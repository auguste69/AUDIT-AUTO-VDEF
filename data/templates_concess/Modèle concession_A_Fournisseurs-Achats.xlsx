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C:\Users\brian.rauly\Desktop\Modèles\Dossier annuel\Modèle type FT\"/>
    </mc:Choice>
  </mc:AlternateContent>
  <xr:revisionPtr revIDLastSave="0" documentId="13_ncr:1_{0AA45908-9AC8-4E37-B707-0C1BB50B654A}" xr6:coauthVersionLast="47" xr6:coauthVersionMax="47" xr10:uidLastSave="{00000000-0000-0000-0000-000000000000}"/>
  <bookViews>
    <workbookView xWindow="-120" yWindow="-120" windowWidth="29040" windowHeight="15720" tabRatio="728" xr2:uid="{00000000-000D-0000-FFFF-FFFF00000000}"/>
  </bookViews>
  <sheets>
    <sheet name="A Synthèse" sheetId="36" r:id="rId1"/>
    <sheet name="Questionnaire" sheetId="37" state="hidden" r:id="rId2"/>
    <sheet name="A100 Rappro BA-BG" sheetId="38" r:id="rId3"/>
    <sheet name="A110 Revue frs débiteurs" sheetId="14" r:id="rId4"/>
    <sheet name="A200 Rappro constructeur" sheetId="15" r:id="rId5"/>
    <sheet name="A300 Réciprocité intragroupe" sheetId="16" state="hidden" r:id="rId6"/>
    <sheet name="A410 Revue FNP" sheetId="24" r:id="rId7"/>
    <sheet name="A420 Revue AAR" sheetId="25" r:id="rId8"/>
    <sheet name="A430 Revue Primes const" sheetId="33" state="hidden" r:id="rId9"/>
    <sheet name="A440 Revue CCA" sheetId="26" r:id="rId10"/>
    <sheet name="A500 Circularisations" sheetId="30" r:id="rId11"/>
    <sheet name="A600 Revue AACE" sheetId="31" r:id="rId12"/>
    <sheet name="A700 Revue EAP" sheetId="34" state="hidden" r:id="rId13"/>
  </sheets>
  <externalReferences>
    <externalReference r:id="rId14"/>
    <externalReference r:id="rId15"/>
    <externalReference r:id="rId16"/>
  </externalReferences>
  <definedNames>
    <definedName name="ActifN">'[1]Balance N Vs N-1'!$D$444</definedName>
    <definedName name="ActifN_1">'[1]Balance N Vs N-1'!$E$444</definedName>
    <definedName name="ça">"$#REF !.$B$508:$R$508"</definedName>
    <definedName name="CA_N">[2]SIG!$B$8</definedName>
    <definedName name="CA_N_1">[2]SIG!$D$8</definedName>
    <definedName name="çb">"$#REF !.$A$48:$K$48"</definedName>
    <definedName name="ChiffreAffairesN">'[1]P&amp;L détaillé'!$D$12</definedName>
    <definedName name="ChiffreAffairesN_1">'[1]P&amp;L détaillé'!$E$12</definedName>
    <definedName name="çi">"$#REF !.$R$11:$R$508"</definedName>
    <definedName name="cloture">"$#REF !.$G$9"</definedName>
    <definedName name="çp">"$#REF !.$B$44:$F$44"</definedName>
    <definedName name="çr">"$#REF !.$B$62:$H$62"</definedName>
    <definedName name="çs">"$#REF !.$B$161:$L$161"</definedName>
    <definedName name="dateCloture" localSheetId="2">#REF!</definedName>
    <definedName name="dateCloture" localSheetId="3">#REF!</definedName>
    <definedName name="dateCloture" localSheetId="4">#REF!</definedName>
    <definedName name="dateCloture" localSheetId="5">#REF!</definedName>
    <definedName name="dateCloture" localSheetId="6">#REF!</definedName>
    <definedName name="dateCloture" localSheetId="7">#REF!</definedName>
    <definedName name="dateCloture" localSheetId="8">#REF!</definedName>
    <definedName name="dateCloture" localSheetId="9">#REF!</definedName>
    <definedName name="dateCloture" localSheetId="10">#REF!</definedName>
    <definedName name="dateCloture" localSheetId="11">#REF!</definedName>
    <definedName name="dateCloture" localSheetId="12">#REF!</definedName>
    <definedName name="dateCloture" localSheetId="1">#REF!</definedName>
    <definedName name="dateCloture">#REF!</definedName>
    <definedName name="DatesCloture">"$#REF !.$F$9:$#REF !.$M$9"</definedName>
    <definedName name="Diligences" localSheetId="2">'A100 Rappro BA-BG'!#REF!</definedName>
    <definedName name="Diligences" localSheetId="3">'A110 Revue frs débiteurs'!#REF!</definedName>
    <definedName name="Diligences" localSheetId="4">'A200 Rappro constructeur'!#REF!</definedName>
    <definedName name="Diligences" localSheetId="5">'A300 Réciprocité intragroupe'!#REF!</definedName>
    <definedName name="Diligences" localSheetId="6">'A410 Revue FNP'!#REF!</definedName>
    <definedName name="Diligences" localSheetId="7">'A420 Revue AAR'!#REF!</definedName>
    <definedName name="Diligences" localSheetId="8">'A430 Revue Primes const'!#REF!</definedName>
    <definedName name="Diligences" localSheetId="9">'A440 Revue CCA'!#REF!</definedName>
    <definedName name="Diligences" localSheetId="10">'A500 Circularisations'!#REF!</definedName>
    <definedName name="Diligences" localSheetId="11">'A600 Revue AACE'!#REF!</definedName>
    <definedName name="Diligences" localSheetId="12">'A700 Revue EAP'!#REF!</definedName>
    <definedName name="Diligences" localSheetId="1">Questionnaire!$R$7:$R$9</definedName>
    <definedName name="Diligences">#REF!</definedName>
    <definedName name="Etat" localSheetId="2">'A100 Rappro BA-BG'!#REF!</definedName>
    <definedName name="Etat" localSheetId="3">'A110 Revue frs débiteurs'!#REF!</definedName>
    <definedName name="Etat" localSheetId="4">'A200 Rappro constructeur'!#REF!</definedName>
    <definedName name="Etat" localSheetId="5">'A300 Réciprocité intragroupe'!#REF!</definedName>
    <definedName name="Etat" localSheetId="6">'A410 Revue FNP'!#REF!</definedName>
    <definedName name="Etat" localSheetId="7">'A420 Revue AAR'!#REF!</definedName>
    <definedName name="Etat" localSheetId="8">'A430 Revue Primes const'!#REF!</definedName>
    <definedName name="Etat" localSheetId="9">'A440 Revue CCA'!#REF!</definedName>
    <definedName name="Etat" localSheetId="10">'A500 Circularisations'!#REF!</definedName>
    <definedName name="Etat" localSheetId="11">'A600 Revue AACE'!#REF!</definedName>
    <definedName name="Etat" localSheetId="12">'A700 Revue EAP'!#REF!</definedName>
    <definedName name="Etat" localSheetId="1">Questionnaire!$R$1:$R$3</definedName>
    <definedName name="Etat">#REF!</definedName>
    <definedName name="libellé">[3]Feuil5!$A$1:$B$1103</definedName>
    <definedName name="NomDossier">"$#REF !.$E$1"</definedName>
    <definedName name="RAS" localSheetId="2">'A100 Rappro BA-BG'!#REF!</definedName>
    <definedName name="RAS" localSheetId="3">'A110 Revue frs débiteurs'!#REF!</definedName>
    <definedName name="RAS" localSheetId="4">'A200 Rappro constructeur'!#REF!</definedName>
    <definedName name="RAS" localSheetId="5">'A300 Réciprocité intragroupe'!#REF!</definedName>
    <definedName name="RAS" localSheetId="6">'A410 Revue FNP'!#REF!</definedName>
    <definedName name="RAS" localSheetId="7">'A420 Revue AAR'!#REF!</definedName>
    <definedName name="RAS" localSheetId="8">'A430 Revue Primes const'!#REF!</definedName>
    <definedName name="RAS" localSheetId="9">'A440 Revue CCA'!#REF!</definedName>
    <definedName name="RAS" localSheetId="10">'A500 Circularisations'!#REF!</definedName>
    <definedName name="RAS" localSheetId="11">'A600 Revue AACE'!#REF!</definedName>
    <definedName name="RAS" localSheetId="12">'A700 Revue EAP'!#REF!</definedName>
    <definedName name="RAS" localSheetId="1">Questionnaire!$R$4:$R$6</definedName>
    <definedName name="RAS">#REF!</definedName>
    <definedName name="referenceDossier" localSheetId="2">#REF!</definedName>
    <definedName name="referenceDossier" localSheetId="3">#REF!</definedName>
    <definedName name="referenceDossier" localSheetId="4">#REF!</definedName>
    <definedName name="referenceDossier" localSheetId="5">#REF!</definedName>
    <definedName name="referenceDossier" localSheetId="6">#REF!</definedName>
    <definedName name="referenceDossier" localSheetId="7">#REF!</definedName>
    <definedName name="referenceDossier" localSheetId="8">#REF!</definedName>
    <definedName name="referenceDossier" localSheetId="9">#REF!</definedName>
    <definedName name="referenceDossier" localSheetId="10">#REF!</definedName>
    <definedName name="referenceDossier" localSheetId="11">#REF!</definedName>
    <definedName name="referenceDossier" localSheetId="12">#REF!</definedName>
    <definedName name="referenceDossier" localSheetId="1">#REF!</definedName>
    <definedName name="referenceDossier">#REF!</definedName>
    <definedName name="RésultatN">'[1]Balance N Vs N-1'!$D$451</definedName>
    <definedName name="RésultatN_1">'[1]Balance N Vs N-1'!$E$451</definedName>
    <definedName name="sold6037">"$#REF !.$A$85:$I$85"</definedName>
    <definedName name="sold607">"$#REF !.$A$84:$I$84"</definedName>
    <definedName name="sold701">"$#REF !.$A$73:$I$73"</definedName>
    <definedName name="sold706">"$#REF !.$A$74:$I$74"</definedName>
    <definedName name="sold707">"$#REF !.$A$72:$I$72"</definedName>
    <definedName name="sold71">"$#REF !.$A$75:$I$75"</definedName>
    <definedName name="sold781">"$#REF !.$A$151:$I$151"</definedName>
    <definedName name="sold791">"$#REF !.$A$82:$I$82"</definedName>
    <definedName name="soldesCapitaux">"$#REF !.$A$55:$J$66"</definedName>
    <definedName name="start_toc" localSheetId="2">#REF!</definedName>
    <definedName name="start_toc" localSheetId="3">#REF!</definedName>
    <definedName name="start_toc" localSheetId="4">#REF!</definedName>
    <definedName name="start_toc" localSheetId="5">#REF!</definedName>
    <definedName name="start_toc" localSheetId="6">#REF!</definedName>
    <definedName name="start_toc" localSheetId="7">#REF!</definedName>
    <definedName name="start_toc" localSheetId="8">#REF!</definedName>
    <definedName name="start_toc" localSheetId="9">#REF!</definedName>
    <definedName name="start_toc" localSheetId="10">#REF!</definedName>
    <definedName name="start_toc" localSheetId="11">#REF!</definedName>
    <definedName name="start_toc" localSheetId="12">#REF!</definedName>
    <definedName name="start_toc" localSheetId="1">#REF!</definedName>
    <definedName name="start_toc">#REF!</definedName>
    <definedName name="tab_Actif">'[1]Actif détaillé'!$B$10:$E$71</definedName>
    <definedName name="tab_BGN">'[1]Balance N Vs N-1'!$D$10:$D$441</definedName>
    <definedName name="tab_BGN_1">'[1]Balance N Vs N-1'!$E$10:$E$441</definedName>
    <definedName name="tab_EtatsFinanciersN">'[1]Balance N Vs N-1'!$K$10:$K$441</definedName>
    <definedName name="tab_EtatsFinanciersN_1">'[1]Balance N Vs N-1'!$L$10:$L$441</definedName>
    <definedName name="tab_Passif">'[1]Passif détaillé'!$B$10:$E$52</definedName>
    <definedName name="tab_PnL">'[1]P&amp;L détaillé'!$B$10:$E$86</definedName>
    <definedName name="TOTAL1_N">'[2]BILAN PASSIF'!$F$24</definedName>
    <definedName name="TOTAL1_N_1">'[2]BILAN PASSIF'!$H$24</definedName>
    <definedName name="TOTAL2_N">'[2]BILAN PASSIF'!$F$29</definedName>
    <definedName name="TOTAL2_N_1">'[2]BILAN PASSIF'!$H$29</definedName>
    <definedName name="TOTAL3_N">'[2]BILAN PASSIF'!$F$34</definedName>
    <definedName name="TOTAL3_N_1">'[2]BILAN PASSIF'!$H$34</definedName>
    <definedName name="TOTAL4_N">'[2]BILAN PASSIF'!$F$54</definedName>
    <definedName name="TOTAL4_N_1">'[2]BILAN PASSIF'!$H$54</definedName>
    <definedName name="TOTAL5_N">'[2]BILAN PASSIF'!$F$56</definedName>
    <definedName name="TOTAL5_N_1">'[2]BILAN PASSIF'!$H$56</definedName>
    <definedName name="TOTALGEN_N">'[2]BILAN PASSIF'!$F$58</definedName>
    <definedName name="TOTALGEN_N_1">'[2]BILAN PASSIF'!$H$58</definedName>
    <definedName name="uniteMonetaire" localSheetId="2">#REF!</definedName>
    <definedName name="uniteMonetaire" localSheetId="3">#REF!</definedName>
    <definedName name="uniteMonetaire" localSheetId="4">#REF!</definedName>
    <definedName name="uniteMonetaire" localSheetId="5">#REF!</definedName>
    <definedName name="uniteMonetaire" localSheetId="6">#REF!</definedName>
    <definedName name="uniteMonetaire" localSheetId="7">#REF!</definedName>
    <definedName name="uniteMonetaire" localSheetId="8">#REF!</definedName>
    <definedName name="uniteMonetaire" localSheetId="9">#REF!</definedName>
    <definedName name="uniteMonetaire" localSheetId="10">#REF!</definedName>
    <definedName name="uniteMonetaire" localSheetId="11">#REF!</definedName>
    <definedName name="uniteMonetaire" localSheetId="12">#REF!</definedName>
    <definedName name="uniteMonetaire" localSheetId="1">#REF!</definedName>
    <definedName name="uniteMonetaire">#REF!</definedName>
    <definedName name="Z_11CE3843_8765_4D4C_AA39_79A83C002DF6_.wvu.PrintArea" localSheetId="0" hidden="1">'A Synthèse'!$A$1:$P$21</definedName>
    <definedName name="Z_11CE3843_8765_4D4C_AA39_79A83C002DF6_.wvu.PrintArea" localSheetId="2" hidden="1">'A100 Rappro BA-BG'!$A$1:$P$10</definedName>
    <definedName name="Z_11CE3843_8765_4D4C_AA39_79A83C002DF6_.wvu.PrintArea" localSheetId="3" hidden="1">'A110 Revue frs débiteurs'!$A$1:$P$10</definedName>
    <definedName name="Z_11CE3843_8765_4D4C_AA39_79A83C002DF6_.wvu.PrintArea" localSheetId="4" hidden="1">'A200 Rappro constructeur'!$A$1:$P$10</definedName>
    <definedName name="Z_11CE3843_8765_4D4C_AA39_79A83C002DF6_.wvu.PrintArea" localSheetId="5" hidden="1">'A300 Réciprocité intragroupe'!$A$1:$P$10</definedName>
    <definedName name="Z_11CE3843_8765_4D4C_AA39_79A83C002DF6_.wvu.PrintArea" localSheetId="6" hidden="1">'A410 Revue FNP'!$A$1:$P$10</definedName>
    <definedName name="Z_11CE3843_8765_4D4C_AA39_79A83C002DF6_.wvu.PrintArea" localSheetId="7" hidden="1">'A420 Revue AAR'!$A$1:$P$10</definedName>
    <definedName name="Z_11CE3843_8765_4D4C_AA39_79A83C002DF6_.wvu.PrintArea" localSheetId="8" hidden="1">'A430 Revue Primes const'!$A$1:$P$10</definedName>
    <definedName name="Z_11CE3843_8765_4D4C_AA39_79A83C002DF6_.wvu.PrintArea" localSheetId="9" hidden="1">'A440 Revue CCA'!$A$1:$P$10</definedName>
    <definedName name="Z_11CE3843_8765_4D4C_AA39_79A83C002DF6_.wvu.PrintArea" localSheetId="10" hidden="1">'A500 Circularisations'!$A$1:$P$10</definedName>
    <definedName name="Z_11CE3843_8765_4D4C_AA39_79A83C002DF6_.wvu.PrintArea" localSheetId="11" hidden="1">'A600 Revue AACE'!$A$1:$P$10</definedName>
    <definedName name="Z_11CE3843_8765_4D4C_AA39_79A83C002DF6_.wvu.PrintArea" localSheetId="12" hidden="1">'A700 Revue EAP'!$A$1:$P$10</definedName>
    <definedName name="Z_11CE3843_8765_4D4C_AA39_79A83C002DF6_.wvu.PrintArea" localSheetId="1" hidden="1">Questionnaire!$A$1:$P$10</definedName>
    <definedName name="Z_3BBE5D10_E029_4BF5_BC04_29D3FAA5A0EB_.wvu.PrintArea" localSheetId="0" hidden="1">'A Synthèse'!$A$1:$P$21</definedName>
    <definedName name="Z_3BBE5D10_E029_4BF5_BC04_29D3FAA5A0EB_.wvu.PrintArea" localSheetId="2" hidden="1">'A100 Rappro BA-BG'!$A$1:$P$10</definedName>
    <definedName name="Z_3BBE5D10_E029_4BF5_BC04_29D3FAA5A0EB_.wvu.PrintArea" localSheetId="3" hidden="1">'A110 Revue frs débiteurs'!$A$1:$P$10</definedName>
    <definedName name="Z_3BBE5D10_E029_4BF5_BC04_29D3FAA5A0EB_.wvu.PrintArea" localSheetId="4" hidden="1">'A200 Rappro constructeur'!$A$1:$P$10</definedName>
    <definedName name="Z_3BBE5D10_E029_4BF5_BC04_29D3FAA5A0EB_.wvu.PrintArea" localSheetId="5" hidden="1">'A300 Réciprocité intragroupe'!$A$1:$P$10</definedName>
    <definedName name="Z_3BBE5D10_E029_4BF5_BC04_29D3FAA5A0EB_.wvu.PrintArea" localSheetId="6" hidden="1">'A410 Revue FNP'!$A$1:$P$10</definedName>
    <definedName name="Z_3BBE5D10_E029_4BF5_BC04_29D3FAA5A0EB_.wvu.PrintArea" localSheetId="7" hidden="1">'A420 Revue AAR'!$A$1:$P$10</definedName>
    <definedName name="Z_3BBE5D10_E029_4BF5_BC04_29D3FAA5A0EB_.wvu.PrintArea" localSheetId="8" hidden="1">'A430 Revue Primes const'!$A$1:$P$10</definedName>
    <definedName name="Z_3BBE5D10_E029_4BF5_BC04_29D3FAA5A0EB_.wvu.PrintArea" localSheetId="9" hidden="1">'A440 Revue CCA'!$A$1:$P$10</definedName>
    <definedName name="Z_3BBE5D10_E029_4BF5_BC04_29D3FAA5A0EB_.wvu.PrintArea" localSheetId="10" hidden="1">'A500 Circularisations'!$A$1:$P$10</definedName>
    <definedName name="Z_3BBE5D10_E029_4BF5_BC04_29D3FAA5A0EB_.wvu.PrintArea" localSheetId="11" hidden="1">'A600 Revue AACE'!$A$1:$P$10</definedName>
    <definedName name="Z_3BBE5D10_E029_4BF5_BC04_29D3FAA5A0EB_.wvu.PrintArea" localSheetId="12" hidden="1">'A700 Revue EAP'!$A$1:$P$10</definedName>
    <definedName name="Z_3BBE5D10_E029_4BF5_BC04_29D3FAA5A0EB_.wvu.PrintArea" localSheetId="1" hidden="1">Questionnaire!$A$1:$P$10</definedName>
    <definedName name="_xlnm.Print_Area" localSheetId="0">'A Synthèse'!$A$1:$P$29</definedName>
    <definedName name="_xlnm.Print_Area" localSheetId="2">'A100 Rappro BA-BG'!$A$1:$P$27</definedName>
    <definedName name="_xlnm.Print_Area" localSheetId="3">'A110 Revue frs débiteurs'!$A$1:$P$14</definedName>
    <definedName name="_xlnm.Print_Area" localSheetId="4">'A200 Rappro constructeur'!$A$1:$P$14</definedName>
    <definedName name="_xlnm.Print_Area" localSheetId="5">'A300 Réciprocité intragroupe'!$A$1:$P$14</definedName>
    <definedName name="_xlnm.Print_Area" localSheetId="6">'A410 Revue FNP'!$A$1:$P$14</definedName>
    <definedName name="_xlnm.Print_Area" localSheetId="7">'A420 Revue AAR'!$A$1:$P$14</definedName>
    <definedName name="_xlnm.Print_Area" localSheetId="8">'A430 Revue Primes const'!$A$1:$P$14</definedName>
    <definedName name="_xlnm.Print_Area" localSheetId="9">'A440 Revue CCA'!$A$1:$P$14</definedName>
    <definedName name="_xlnm.Print_Area" localSheetId="10">'A500 Circularisations'!$A$1:$P$14</definedName>
    <definedName name="_xlnm.Print_Area" localSheetId="11">'A600 Revue AACE'!$A$1:$P$14</definedName>
    <definedName name="_xlnm.Print_Area" localSheetId="12">'A700 Revue EAP'!$A$1:$P$14</definedName>
    <definedName name="_xlnm.Print_Area" localSheetId="1">Questionnaire!$A$1:$P$39</definedName>
  </definedName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5" l="1"/>
  <c r="G18" i="15"/>
  <c r="H32" i="15"/>
  <c r="H19" i="15"/>
  <c r="H23" i="15" s="1"/>
  <c r="H34" i="15" s="1"/>
  <c r="E31" i="24"/>
  <c r="D31" i="24" l="1"/>
  <c r="F31" i="24" s="1"/>
  <c r="G31" i="24" s="1"/>
  <c r="E30" i="24"/>
  <c r="C24" i="14"/>
  <c r="D30" i="24" l="1"/>
  <c r="C23" i="14" l="1"/>
  <c r="B32" i="15"/>
  <c r="B19" i="15"/>
  <c r="E22" i="38"/>
  <c r="D22" i="38"/>
  <c r="F22" i="38" s="1"/>
  <c r="J9" i="36" l="1"/>
  <c r="D23" i="34" l="1"/>
  <c r="D44" i="34"/>
  <c r="E23" i="31"/>
  <c r="E20" i="31"/>
  <c r="C37" i="33"/>
  <c r="C26" i="14"/>
  <c r="F18" i="14"/>
  <c r="E18" i="14"/>
  <c r="D26" i="14" l="1"/>
  <c r="E34" i="33"/>
  <c r="C33" i="33"/>
  <c r="C35" i="33" s="1"/>
  <c r="E31" i="33"/>
  <c r="E30" i="33"/>
  <c r="E29" i="33"/>
  <c r="E28" i="33"/>
  <c r="E27" i="33"/>
  <c r="E26" i="33"/>
  <c r="E25" i="33"/>
  <c r="E24" i="33"/>
  <c r="E23" i="33"/>
  <c r="E22" i="33"/>
  <c r="E21" i="33"/>
  <c r="E20" i="33"/>
  <c r="E19" i="33"/>
  <c r="E32" i="15"/>
  <c r="D24" i="15"/>
  <c r="D23" i="15"/>
  <c r="E23" i="15"/>
  <c r="D18" i="15"/>
  <c r="E33" i="33" l="1"/>
  <c r="E35" i="33" s="1"/>
  <c r="D33" i="33"/>
  <c r="D35" i="33" s="1"/>
  <c r="E34" i="15"/>
  <c r="B23" i="15"/>
  <c r="B34" i="15" s="1"/>
  <c r="D1" i="31" l="1"/>
  <c r="D1" i="30"/>
  <c r="D1" i="26"/>
  <c r="D1" i="33"/>
  <c r="D1" i="25"/>
  <c r="D1" i="24"/>
  <c r="D1" i="16"/>
  <c r="D1" i="15"/>
  <c r="D1" i="34"/>
  <c r="D1" i="14"/>
  <c r="M7" i="14"/>
  <c r="M7" i="34"/>
  <c r="M7" i="15"/>
  <c r="M7" i="16"/>
  <c r="M7" i="24"/>
  <c r="M7" i="25"/>
  <c r="M7" i="33"/>
  <c r="M7" i="26"/>
  <c r="M7" i="30"/>
  <c r="M7" i="31"/>
  <c r="M7" i="38"/>
  <c r="D7" i="14"/>
  <c r="B7" i="14"/>
  <c r="D6" i="14"/>
  <c r="B6" i="14"/>
  <c r="D7" i="34"/>
  <c r="B7" i="34"/>
  <c r="D6" i="34"/>
  <c r="B6" i="34"/>
  <c r="D7" i="15"/>
  <c r="B7" i="15"/>
  <c r="D6" i="15"/>
  <c r="B6" i="15"/>
  <c r="D7" i="16"/>
  <c r="B7" i="16"/>
  <c r="D6" i="16"/>
  <c r="B6" i="16"/>
  <c r="D7" i="24"/>
  <c r="B7" i="24"/>
  <c r="D6" i="24"/>
  <c r="B6" i="24"/>
  <c r="D7" i="25"/>
  <c r="B7" i="25"/>
  <c r="D6" i="25"/>
  <c r="B6" i="25"/>
  <c r="D7" i="33"/>
  <c r="B7" i="33"/>
  <c r="D6" i="33"/>
  <c r="B6" i="33"/>
  <c r="D7" i="26"/>
  <c r="B7" i="26"/>
  <c r="D6" i="26"/>
  <c r="B6" i="26"/>
  <c r="D7" i="30"/>
  <c r="B7" i="30"/>
  <c r="D6" i="30"/>
  <c r="B6" i="30"/>
  <c r="D7" i="31"/>
  <c r="B7" i="31"/>
  <c r="D6" i="31"/>
  <c r="B6" i="31"/>
  <c r="D7" i="38"/>
  <c r="B7" i="38"/>
  <c r="D6" i="38"/>
  <c r="B6" i="38"/>
  <c r="D1" i="38"/>
  <c r="M7" i="37"/>
  <c r="D7" i="37"/>
  <c r="D6" i="37"/>
  <c r="B7" i="37"/>
  <c r="B6" i="37"/>
  <c r="D1" i="37"/>
  <c r="F36" i="31" l="1"/>
  <c r="C36" i="31"/>
  <c r="D20" i="31" s="1"/>
  <c r="G21" i="31"/>
  <c r="H21" i="31" s="1"/>
  <c r="G22" i="31"/>
  <c r="H22" i="31" s="1"/>
  <c r="G23" i="31"/>
  <c r="H23" i="31" s="1"/>
  <c r="G24" i="31"/>
  <c r="H24" i="31" s="1"/>
  <c r="G25" i="31"/>
  <c r="H25" i="31" s="1"/>
  <c r="G26" i="31"/>
  <c r="H26" i="31" s="1"/>
  <c r="G27" i="31"/>
  <c r="H27" i="31" s="1"/>
  <c r="G28" i="31"/>
  <c r="H28" i="31" s="1"/>
  <c r="G29" i="31"/>
  <c r="H29" i="31" s="1"/>
  <c r="G30" i="31"/>
  <c r="H30" i="31" s="1"/>
  <c r="G31" i="31"/>
  <c r="H31" i="31" s="1"/>
  <c r="G32" i="31"/>
  <c r="H32" i="31" s="1"/>
  <c r="G33" i="31"/>
  <c r="H33" i="31" s="1"/>
  <c r="G34" i="31"/>
  <c r="H34" i="31" s="1"/>
  <c r="G20" i="31"/>
  <c r="H20" i="31" s="1"/>
  <c r="E21" i="31"/>
  <c r="E22" i="31"/>
  <c r="E24" i="31"/>
  <c r="E25" i="31"/>
  <c r="E26" i="31"/>
  <c r="E27" i="31"/>
  <c r="E28" i="31"/>
  <c r="E29" i="31"/>
  <c r="E30" i="31"/>
  <c r="E31" i="31"/>
  <c r="E32" i="31"/>
  <c r="E33" i="31"/>
  <c r="E34" i="31"/>
  <c r="G36" i="31" l="1"/>
  <c r="H36" i="31" s="1"/>
  <c r="D21" i="31" l="1"/>
  <c r="D22" i="31"/>
  <c r="D23" i="31"/>
  <c r="D24" i="31"/>
  <c r="D25" i="31"/>
  <c r="D26" i="31"/>
  <c r="D27" i="31"/>
  <c r="D28" i="31"/>
  <c r="D29" i="31"/>
  <c r="D30" i="31"/>
  <c r="D31" i="31"/>
  <c r="D32" i="31"/>
  <c r="D33" i="31"/>
  <c r="D34" i="31"/>
  <c r="H32" i="30"/>
  <c r="J32" i="30" s="1"/>
  <c r="H31" i="30"/>
  <c r="J31" i="30" s="1"/>
  <c r="H30" i="30"/>
  <c r="J30" i="30" s="1"/>
  <c r="H29" i="30"/>
  <c r="J29" i="30" s="1"/>
  <c r="H28" i="30"/>
  <c r="J28" i="30" s="1"/>
  <c r="H27" i="30"/>
  <c r="J27" i="30" s="1"/>
  <c r="F34" i="30"/>
  <c r="F38" i="30" s="1"/>
  <c r="O9" i="14" l="1"/>
  <c r="J9" i="14"/>
  <c r="D9" i="14"/>
  <c r="O9" i="34"/>
  <c r="J9" i="34"/>
  <c r="D9" i="34"/>
  <c r="O9" i="15"/>
  <c r="J9" i="15"/>
  <c r="D9" i="15"/>
  <c r="O9" i="16"/>
  <c r="J9" i="16"/>
  <c r="D9" i="16"/>
  <c r="O9" i="24"/>
  <c r="J9" i="24"/>
  <c r="D9" i="24"/>
  <c r="O9" i="25"/>
  <c r="J9" i="25"/>
  <c r="D9" i="25"/>
  <c r="O9" i="33"/>
  <c r="J9" i="33"/>
  <c r="D9" i="33"/>
  <c r="O9" i="26"/>
  <c r="J9" i="26"/>
  <c r="D9" i="26"/>
  <c r="O9" i="30"/>
  <c r="J9" i="30"/>
  <c r="D9" i="30"/>
  <c r="O9" i="31"/>
  <c r="J9" i="31"/>
  <c r="D9" i="31"/>
  <c r="O9" i="38"/>
  <c r="J9" i="38"/>
  <c r="D9" i="38"/>
  <c r="O9" i="37"/>
  <c r="J9" i="37"/>
  <c r="D9" i="37"/>
  <c r="D27" i="26" l="1"/>
  <c r="C27" i="26"/>
  <c r="E26" i="26"/>
  <c r="F26" i="26" s="1"/>
  <c r="E25" i="26"/>
  <c r="F25" i="26" s="1"/>
  <c r="E24" i="26"/>
  <c r="F24" i="26" s="1"/>
  <c r="E23" i="26"/>
  <c r="F23" i="26" s="1"/>
  <c r="E22" i="26"/>
  <c r="F22" i="26" s="1"/>
  <c r="E21" i="26"/>
  <c r="F21" i="26" s="1"/>
  <c r="E20" i="26"/>
  <c r="F20" i="26" s="1"/>
  <c r="E35" i="25"/>
  <c r="D35" i="25"/>
  <c r="F40" i="25" s="1"/>
  <c r="F30" i="24" l="1"/>
  <c r="G30" i="24" s="1"/>
  <c r="K34" i="30"/>
  <c r="E27" i="26"/>
  <c r="F27" i="26" s="1"/>
  <c r="F35" i="25"/>
  <c r="G35" i="25" s="1"/>
  <c r="D48" i="34" l="1"/>
  <c r="E26" i="38" l="1"/>
  <c r="D26" i="38"/>
  <c r="E24" i="38"/>
  <c r="D24" i="38"/>
  <c r="F18" i="38"/>
  <c r="F26" i="38" s="1"/>
  <c r="F24" i="38" l="1"/>
  <c r="D23" i="14"/>
  <c r="D25" i="14"/>
  <c r="D24" i="14"/>
  <c r="E34" i="26" l="1"/>
  <c r="E36" i="26" s="1"/>
  <c r="L19" i="16" l="1"/>
  <c r="M32" i="30" l="1"/>
  <c r="O32" i="30" s="1"/>
  <c r="M31" i="30"/>
  <c r="O31" i="30" s="1"/>
  <c r="M30" i="30"/>
  <c r="O30" i="30" s="1"/>
  <c r="M29" i="30"/>
  <c r="O29" i="30" s="1"/>
  <c r="M28" i="30"/>
  <c r="O28" i="30" s="1"/>
  <c r="M27" i="30"/>
  <c r="O27" i="30" s="1"/>
  <c r="K38" i="30"/>
  <c r="L22" i="16"/>
  <c r="L21" i="16"/>
  <c r="L20" i="16"/>
  <c r="D36" i="31" l="1"/>
</calcChain>
</file>

<file path=xl/sharedStrings.xml><?xml version="1.0" encoding="utf-8"?>
<sst xmlns="http://schemas.openxmlformats.org/spreadsheetml/2006/main" count="518" uniqueCount="276">
  <si>
    <t>N/A</t>
  </si>
  <si>
    <t>OUI</t>
  </si>
  <si>
    <t>NON</t>
  </si>
  <si>
    <t>Seuil d'investigation</t>
  </si>
  <si>
    <t>1. RISQUES INHERENTS</t>
  </si>
  <si>
    <t>Question</t>
  </si>
  <si>
    <t xml:space="preserve"> SI NON : Commentaires sur les risques d'anomalies significatives  dans les comptes ou la continuité d'exploitation
 et REF.</t>
  </si>
  <si>
    <t>2. RISQUES LIES AU CONTRÔLE</t>
  </si>
  <si>
    <t>Les conclusions des travaux des années précédentes ont-elles été satisfaisantes ? [R-E-S-V-I]</t>
  </si>
  <si>
    <t>Fait par :</t>
  </si>
  <si>
    <t>Le :</t>
  </si>
  <si>
    <t>Xref</t>
  </si>
  <si>
    <t>XRef</t>
  </si>
  <si>
    <t>Date Clôture</t>
  </si>
  <si>
    <t>Synthèse du cycle</t>
  </si>
  <si>
    <t>Risque d'anomalies significatives</t>
  </si>
  <si>
    <t>Niveau de diligences</t>
  </si>
  <si>
    <t>Elevé</t>
  </si>
  <si>
    <t>PE + VP</t>
  </si>
  <si>
    <t>Contrôles</t>
  </si>
  <si>
    <t>A faire</t>
  </si>
  <si>
    <t>Terminé</t>
  </si>
  <si>
    <t>Faible</t>
  </si>
  <si>
    <t>Modéré</t>
  </si>
  <si>
    <t>PB</t>
  </si>
  <si>
    <t>PE</t>
  </si>
  <si>
    <t>CONCLUSION</t>
  </si>
  <si>
    <t>Questionnaire</t>
  </si>
  <si>
    <t>Conclusion sur le contrôle</t>
  </si>
  <si>
    <t>Rapprochement BA-BG</t>
  </si>
  <si>
    <t>Réciprocité intragroupe</t>
  </si>
  <si>
    <t>Circularisations</t>
  </si>
  <si>
    <t>Les éventuelles annulations de facturation sont-elles  approuvées par un responsable clairement défini ? [V]</t>
  </si>
  <si>
    <t>Les avoirs font-ils l'objet d'une autorisation préalable à leur émission ? [R]</t>
  </si>
  <si>
    <t>Les avoirs émis sont-ils pré-numérotés ? [S]</t>
  </si>
  <si>
    <t>Commentaire</t>
  </si>
  <si>
    <t>BALANCE AUXILIAIRE</t>
  </si>
  <si>
    <t>Solde débiteur</t>
  </si>
  <si>
    <t>Solde créditeur</t>
  </si>
  <si>
    <t>Solde Net</t>
  </si>
  <si>
    <t>X-Ref</t>
  </si>
  <si>
    <t>BALANCE GENERALE</t>
  </si>
  <si>
    <t>Total</t>
  </si>
  <si>
    <t>Ecart</t>
  </si>
  <si>
    <t>Débiteurs</t>
  </si>
  <si>
    <t>Créditeurs</t>
  </si>
  <si>
    <t>Solde</t>
  </si>
  <si>
    <t>Ajustement</t>
  </si>
  <si>
    <t>Analyse</t>
  </si>
  <si>
    <t>N</t>
  </si>
  <si>
    <t>N-1</t>
  </si>
  <si>
    <t>TOTAL</t>
  </si>
  <si>
    <t>Var</t>
  </si>
  <si>
    <t>Solde chez X</t>
  </si>
  <si>
    <t>Solde chez intercos</t>
  </si>
  <si>
    <t xml:space="preserve">Ecart </t>
  </si>
  <si>
    <t>débit</t>
  </si>
  <si>
    <t>X-Ref BA</t>
  </si>
  <si>
    <t>crédit</t>
  </si>
  <si>
    <t xml:space="preserve">débit </t>
  </si>
  <si>
    <t>A</t>
  </si>
  <si>
    <t>B</t>
  </si>
  <si>
    <t>C</t>
  </si>
  <si>
    <t>D</t>
  </si>
  <si>
    <t>31/12/N</t>
  </si>
  <si>
    <t>31/12/N-1</t>
  </si>
  <si>
    <t>Caractère récurrent</t>
  </si>
  <si>
    <t>N° facture</t>
  </si>
  <si>
    <t>Date facturation</t>
  </si>
  <si>
    <t xml:space="preserve">Montant HT </t>
  </si>
  <si>
    <t>N° BL</t>
  </si>
  <si>
    <t>Ref pièce</t>
  </si>
  <si>
    <t>Observations</t>
  </si>
  <si>
    <t>Population testée</t>
  </si>
  <si>
    <t>Population totale</t>
  </si>
  <si>
    <t>% Testé</t>
  </si>
  <si>
    <t>cf. fichier sélection auto circul</t>
  </si>
  <si>
    <t>N° de compte</t>
  </si>
  <si>
    <t>Date envoi</t>
  </si>
  <si>
    <t>Date relance</t>
  </si>
  <si>
    <t>Date réponse</t>
  </si>
  <si>
    <t>Solde confirmé 
par le tiers</t>
  </si>
  <si>
    <t>Ecart justifié</t>
  </si>
  <si>
    <t>Ecart non justifié</t>
  </si>
  <si>
    <t>Var %</t>
  </si>
  <si>
    <r>
      <t>Autres risques inhérents identifiés</t>
    </r>
    <r>
      <rPr>
        <b/>
        <sz val="11"/>
        <color indexed="8"/>
        <rFont val="Calibri"/>
        <family val="2"/>
        <scheme val="minor"/>
      </rPr>
      <t xml:space="preserve"> : </t>
    </r>
  </si>
  <si>
    <t>FOURNISSEURS - ACHATS</t>
  </si>
  <si>
    <t>Revue des fournisseurs débiteurs</t>
  </si>
  <si>
    <t>Revue EAP</t>
  </si>
  <si>
    <t>Revue des FNP</t>
  </si>
  <si>
    <t>Revue des AAR</t>
  </si>
  <si>
    <t>Revue des CCA</t>
  </si>
  <si>
    <t>Revue AACE</t>
  </si>
  <si>
    <t>Les achats effectués à des sociétés apparentées sont-ils non significatifs ? [R-V]</t>
  </si>
  <si>
    <t>Le nombre limité de fournisseurs facilite-t-il le suivi ? [E]</t>
  </si>
  <si>
    <t>Les fournisseurs sont-ils diligents pour émettre leurs factures rapidement ? [E-S]</t>
  </si>
  <si>
    <t>Les commandes font-elles l'objet d'une procédure d'autorisation ? [R]</t>
  </si>
  <si>
    <t>Existe-t-il des bons de réception pré-numérotés ?[R-S]</t>
  </si>
  <si>
    <t>Les contrôles qualitatifs et quantitatifs des réceptions font-ils l’objet d’un visa matérialisé par une personne indépendante ? [R]</t>
  </si>
  <si>
    <t>Lors de la réception des factures, est-il apposé un cachet ORIGINAL sur l'un des exemplaires reçus ? [R]</t>
  </si>
  <si>
    <t>Les factures sont-elles rapprochées des bons de réception et des bons de commande ? [R-V]</t>
  </si>
  <si>
    <t>Existe-t-il une procédure de validation et de suivi des avoirs demandés ? [V-E]</t>
  </si>
  <si>
    <t>Les factures comportent-elles l'imputation comptable ? [I]</t>
  </si>
  <si>
    <t>Font-elles mention d’une référence de règlement ? [R]</t>
  </si>
  <si>
    <t>Y figure-t-il un visa de saisie et de paiement ? [R-I]</t>
  </si>
  <si>
    <t>La comptabilité fournisseurs est-elle à jour ? [E]</t>
  </si>
  <si>
    <t>Les paiements se font-ils systématiquement au vu d'une pièce justificative ? [R]</t>
  </si>
  <si>
    <t>Y a-t-il une procédure de collecte des informations permettant de respecter la séparation des exercices (BR en attente, avoirs en attente, factures non reçues, etc, ...) mise en œuvre par le service achats et le service comptable ? [E-S]</t>
  </si>
  <si>
    <r>
      <t>Autres risques liés aux contrôles identifiés</t>
    </r>
    <r>
      <rPr>
        <b/>
        <sz val="10"/>
        <color indexed="8"/>
        <rFont val="Arial"/>
        <family val="2"/>
      </rPr>
      <t xml:space="preserve"> : </t>
    </r>
  </si>
  <si>
    <t>Préparé par : …………………………………………….</t>
  </si>
  <si>
    <t>Signature</t>
  </si>
  <si>
    <t>APPROBATION DU COMMISSAIRE AUX COMPTES :</t>
  </si>
  <si>
    <r>
      <t>Objectif :</t>
    </r>
    <r>
      <rPr>
        <b/>
        <sz val="11"/>
        <rFont val="Calibri"/>
        <family val="2"/>
        <scheme val="minor"/>
      </rPr>
      <t xml:space="preserve"> </t>
    </r>
    <r>
      <rPr>
        <sz val="11"/>
        <rFont val="Calibri"/>
        <family val="2"/>
        <scheme val="minor"/>
      </rPr>
      <t xml:space="preserve">Contrôle de l'exhaustivité des dettes fournisseurs
Contrôle de la correcte présentation des comptes entre clients débiteurs et clients créditeurs.
</t>
    </r>
    <r>
      <rPr>
        <b/>
        <u/>
        <sz val="11"/>
        <rFont val="Calibri"/>
        <family val="2"/>
        <scheme val="minor"/>
      </rPr>
      <t>Travail effectué</t>
    </r>
    <r>
      <rPr>
        <sz val="11"/>
        <rFont val="Calibri"/>
        <family val="2"/>
        <scheme val="minor"/>
      </rPr>
      <t xml:space="preserve">
Contrôle de la concordance entre la balance auxiliaire et la balance générale. 
S'assurer que les fournisseurs débiteurs sont bien identifiés et comptabilisés en fournisseurs débiteurs dans les comptes.</t>
    </r>
  </si>
  <si>
    <t>401000 - Fournisseurs</t>
  </si>
  <si>
    <t>401XX</t>
  </si>
  <si>
    <t>Revue fournisseurs débiteurs</t>
  </si>
  <si>
    <r>
      <t>Objectif</t>
    </r>
    <r>
      <rPr>
        <sz val="11"/>
        <rFont val="Calibri"/>
        <family val="2"/>
        <scheme val="minor"/>
      </rPr>
      <t xml:space="preserve">
Présentation des fournisseurs
</t>
    </r>
    <r>
      <rPr>
        <b/>
        <u/>
        <sz val="11"/>
        <rFont val="Calibri"/>
        <family val="2"/>
        <scheme val="minor"/>
      </rPr>
      <t>Travail effectué</t>
    </r>
    <r>
      <rPr>
        <sz val="11"/>
        <rFont val="Calibri"/>
        <family val="2"/>
        <scheme val="minor"/>
      </rPr>
      <t xml:space="preserve">
S’assurer qu’il n’existe pas de fournisseurs débiteurs significatifs compensés avec les fournisseurs créditeurs.
Le cas échéant proposer le reclassement. 
Comprendre pourquoi la société comptabilise des fournisseurs débiteurs et vérifier que ces soldes ne sont pas constitutifs d'une anomalie ou d'un litige.</t>
    </r>
  </si>
  <si>
    <t>Balance auxiliaire Frs</t>
  </si>
  <si>
    <t>% des débiteurs</t>
  </si>
  <si>
    <t>Total fournisseurs débiteurs testés</t>
  </si>
  <si>
    <t>écart</t>
  </si>
  <si>
    <t>N° Fournisseurs</t>
  </si>
  <si>
    <t>Nom fournisseurs</t>
  </si>
  <si>
    <t>Antériorité</t>
  </si>
  <si>
    <t>Apurement</t>
  </si>
  <si>
    <t>X-Réf</t>
  </si>
  <si>
    <t>Remarques</t>
  </si>
  <si>
    <t>Total Sélection Fournisseurs - Effets à payer</t>
  </si>
  <si>
    <t>Total Fournisseurs - Effets à payer</t>
  </si>
  <si>
    <t>% de contrôle</t>
  </si>
  <si>
    <t xml:space="preserve">Test de détail : contrôle antériorité des EAP </t>
  </si>
  <si>
    <t>Frs</t>
  </si>
  <si>
    <r>
      <t>Objectif</t>
    </r>
    <r>
      <rPr>
        <sz val="11"/>
        <rFont val="Calibri"/>
        <family val="2"/>
        <scheme val="minor"/>
      </rPr>
      <t xml:space="preserve">
Contrôler l'exhaustivité des soldes frs interco
</t>
    </r>
    <r>
      <rPr>
        <b/>
        <u/>
        <sz val="11"/>
        <rFont val="Calibri"/>
        <family val="2"/>
        <scheme val="minor"/>
      </rPr>
      <t>Travail effectué</t>
    </r>
    <r>
      <rPr>
        <sz val="11"/>
        <rFont val="Calibri"/>
        <family val="2"/>
        <scheme val="minor"/>
      </rPr>
      <t xml:space="preserve">
A partir des soldes interco, contrôler la réciprocité des encours avec ceux de la balance frs de ces mêmes sociétés.</t>
    </r>
  </si>
  <si>
    <t>Revue FNP</t>
  </si>
  <si>
    <r>
      <t>Objectif</t>
    </r>
    <r>
      <rPr>
        <sz val="11"/>
        <rFont val="Calibri"/>
        <family val="2"/>
        <scheme val="minor"/>
      </rPr>
      <t xml:space="preserve">
Exhaustivité et évaluation des FNP
</t>
    </r>
    <r>
      <rPr>
        <b/>
        <u/>
        <sz val="11"/>
        <rFont val="Calibri"/>
        <family val="2"/>
        <scheme val="minor"/>
      </rPr>
      <t>Travail effectué</t>
    </r>
    <r>
      <rPr>
        <sz val="11"/>
        <rFont val="Calibri"/>
        <family val="2"/>
        <scheme val="minor"/>
      </rPr>
      <t xml:space="preserve">
Obtenir les détails des comptes de FNP et les cadrer avec la balance générale et effectuer les contrôles arithmétiques nécessaires.
Procéder par revue analytique : identifier les principales FNP et identifier si ce sont des éléments récurrents notamment des frais généraux (à partir des détails N-1). Investiguer notamment en cas d'absence de FNP que l'on sait de nature récurrente. Selon l'approche d'audit retenue sur le dossier (en lien notamment avec l'assurance que l'on a sur le process Frs/Achats et les autres tests de détail menés sur les fournisseurs notamment le cut off), cette revue analytique peut être suffisante pour valider l'exhaustivité et l'exactitude des FNP.
Pour les FNP &gt; SI, obtenir les justificatifs : factures émises sur la période subséquente et si nécessaires bons de livraisons / réalisation des prestations… 
Croiser ce test avec les travaux réalisés sur le cut off et les circularisations frs notamment.</t>
    </r>
  </si>
  <si>
    <t>a) Revue analytique des FNP :</t>
  </si>
  <si>
    <t>Date de la prestation ou réception</t>
  </si>
  <si>
    <t>Revue AAR</t>
  </si>
  <si>
    <t>Nature des FNP</t>
  </si>
  <si>
    <t>XXX</t>
  </si>
  <si>
    <t>a) Revue analytique des AAR :</t>
  </si>
  <si>
    <t>Principaux AAR</t>
  </si>
  <si>
    <r>
      <t>Objectif</t>
    </r>
    <r>
      <rPr>
        <sz val="11"/>
        <rFont val="Calibri"/>
        <family val="2"/>
        <scheme val="minor"/>
      </rPr>
      <t xml:space="preserve">
Réalité et évaluation des AAR
</t>
    </r>
    <r>
      <rPr>
        <b/>
        <u/>
        <sz val="11"/>
        <rFont val="Calibri"/>
        <family val="2"/>
        <scheme val="minor"/>
      </rPr>
      <t>Travail effectué</t>
    </r>
    <r>
      <rPr>
        <sz val="11"/>
        <rFont val="Calibri"/>
        <family val="2"/>
        <scheme val="minor"/>
      </rPr>
      <t xml:space="preserve">
Obtenir les détails des comptes de AAR et les cadrer avec la balance générale et effectuer les contrôles arithmétiques nécessaires.
Procéder par revue analytique : identifier les principaux AAR et identifier si ce sont des éléments récurrents (à partir des détails N-1), la nature des AAR (avoirs sur factures, RFA,...). Investiguer notamment en cas d'absence d'AAR que l'on sait de nature récurrente. Selon l'approche d'audit retenue sur le dossier (en lien notamment avec l'assurance que l'on a sur le process Frs/Achats et les autres tests de détail menés sur les frs notamment le cut off), cette revue analytique peut être suffisante pour  contrôler la réalité et l'exactitude des AAR.
Pour les AAR &gt; SI, obtenir les justificatifs : avoirs émis sur la période subséquente
A partir du journal d'achat de janvier N+1 sélection des avoirs HT &gt; à SI et contrôle de la nécessité de provisionner un AAR à la clôture.</t>
    </r>
  </si>
  <si>
    <t>Location</t>
  </si>
  <si>
    <t>Entretien et maintenance</t>
  </si>
  <si>
    <t>Assurance</t>
  </si>
  <si>
    <t>Honoraires</t>
  </si>
  <si>
    <t>Déplacements, missions</t>
  </si>
  <si>
    <t>Intérim</t>
  </si>
  <si>
    <t>Revue CCA</t>
  </si>
  <si>
    <r>
      <t>Objectif</t>
    </r>
    <r>
      <rPr>
        <sz val="11"/>
        <rFont val="Calibri"/>
        <family val="2"/>
        <scheme val="minor"/>
      </rPr>
      <t xml:space="preserve">
Exhaustivité et évaluation des charges constatées d'avance
</t>
    </r>
    <r>
      <rPr>
        <b/>
        <u/>
        <sz val="11"/>
        <rFont val="Calibri"/>
        <family val="2"/>
        <scheme val="minor"/>
      </rPr>
      <t>Travail effectué</t>
    </r>
    <r>
      <rPr>
        <sz val="11"/>
        <rFont val="Calibri"/>
        <family val="2"/>
        <scheme val="minor"/>
      </rPr>
      <t xml:space="preserve">
Obtenir le détail des CCA et le rapprocher de la comptabilité
Effectuer des tests justifiant la correcte évaluation des CCA provisionnés
Effectuer un comparatif par grandes masses avec les CCA de l'exercice précédent et expliquer les principales évolutions
</t>
    </r>
  </si>
  <si>
    <t>a) Revue analytique des CCA :</t>
  </si>
  <si>
    <t>b) Test de détail sur les CCA :</t>
  </si>
  <si>
    <t>Nom du fournisseur</t>
  </si>
  <si>
    <t xml:space="preserve">Total sélection mvt créditeurs = </t>
  </si>
  <si>
    <t xml:space="preserve">Total balance mvt créditeurs = </t>
  </si>
  <si>
    <t xml:space="preserve">% sélection mvt créditeurs = </t>
  </si>
  <si>
    <t xml:space="preserve">Total sélection solde créditeurs = </t>
  </si>
  <si>
    <t xml:space="preserve">Total balance solde créditeurs = </t>
  </si>
  <si>
    <t xml:space="preserve">% sélection solde créditeurs = </t>
  </si>
  <si>
    <t>CA de l'exercice</t>
  </si>
  <si>
    <t>Libellé</t>
  </si>
  <si>
    <t>% du CA</t>
  </si>
  <si>
    <t>TOTAL AACE</t>
  </si>
  <si>
    <t>% des AACE</t>
  </si>
  <si>
    <t>Variation K€ / %</t>
  </si>
  <si>
    <t>Revue analytique</t>
  </si>
  <si>
    <r>
      <t>Objectif</t>
    </r>
    <r>
      <rPr>
        <sz val="11"/>
        <rFont val="Calibri"/>
        <family val="2"/>
        <scheme val="minor"/>
      </rPr>
      <t xml:space="preserve">
Contrôle de l'évaluation et de la présentation des effets à payer
</t>
    </r>
    <r>
      <rPr>
        <b/>
        <u/>
        <sz val="11"/>
        <rFont val="Calibri"/>
        <family val="2"/>
        <scheme val="minor"/>
      </rPr>
      <t>Travail effectué</t>
    </r>
    <r>
      <rPr>
        <sz val="11"/>
        <rFont val="Calibri"/>
        <family val="2"/>
        <scheme val="minor"/>
      </rPr>
      <t xml:space="preserve">
Rapprocher la comptabilité du détail des effets à payer par date d’échéance - contrôle apurement des EAP si l'antériorité n'est pas satisfaisante.
S’assurer que tous les effets à payer sont à échéance post clôture, dans le cas contraire proposer le reclassement</t>
    </r>
  </si>
  <si>
    <t>Montant des effets à payer en comptabilité</t>
  </si>
  <si>
    <t>Etat des effets à payer à la clôture</t>
  </si>
  <si>
    <t>Rapprochemenent Balance générale / état des EAP</t>
  </si>
  <si>
    <t>1° Critères de sélections</t>
  </si>
  <si>
    <t>2° Tableau de synthèse des circularisations</t>
  </si>
  <si>
    <t>Total mvt créditeur à la clôture</t>
  </si>
  <si>
    <t>Total des mvt confirmé</t>
  </si>
  <si>
    <t>Solde Frs 
à la clôture (BA)</t>
  </si>
  <si>
    <t>Justification du solde</t>
  </si>
  <si>
    <t>Justification du solde des mouvements créditeurs</t>
  </si>
  <si>
    <t>Comptabilité</t>
  </si>
  <si>
    <t>Locations</t>
  </si>
  <si>
    <t>Entretien et réparations</t>
  </si>
  <si>
    <t>Primes d'assurances</t>
  </si>
  <si>
    <t>Etudes et recherches</t>
  </si>
  <si>
    <t>Divers services extérieurs</t>
  </si>
  <si>
    <t>Personnel extérieur à l'entreprise</t>
  </si>
  <si>
    <t>Rémunérations d'intermédiaires et honoraires</t>
  </si>
  <si>
    <t>Publicité, publications, relations publiques</t>
  </si>
  <si>
    <t>Transports de biens et transports collectifs du personnel</t>
  </si>
  <si>
    <t>Déplacements, missions et réceptions</t>
  </si>
  <si>
    <t>Frais postaux et de télécommunications</t>
  </si>
  <si>
    <t>Divers autres services extérieurs</t>
  </si>
  <si>
    <t>Achats non stocks de matière et fournitures</t>
  </si>
  <si>
    <t>Cotisation</t>
  </si>
  <si>
    <t>Autres charges</t>
  </si>
  <si>
    <t>A100</t>
  </si>
  <si>
    <t>A110</t>
  </si>
  <si>
    <t>A200</t>
  </si>
  <si>
    <t>A300</t>
  </si>
  <si>
    <t>A600</t>
  </si>
  <si>
    <t>A700</t>
  </si>
  <si>
    <t>P</t>
  </si>
  <si>
    <t>Ok BG N</t>
  </si>
  <si>
    <t>f</t>
  </si>
  <si>
    <t>Ok RG / BG N-1</t>
  </si>
  <si>
    <t xml:space="preserve"> Ʇ</t>
  </si>
  <si>
    <t>Contrôle arithmétique</t>
  </si>
  <si>
    <t>a</t>
  </si>
  <si>
    <t>Ok Rapppro doc…</t>
  </si>
  <si>
    <t>E</t>
  </si>
  <si>
    <t>G</t>
  </si>
  <si>
    <t>d</t>
  </si>
  <si>
    <t>autres</t>
  </si>
  <si>
    <t>Revu par :</t>
  </si>
  <si>
    <t>Liens</t>
  </si>
  <si>
    <t>A100 Rappro BA-BG</t>
  </si>
  <si>
    <t>A110 Revue frs débiteurs</t>
  </si>
  <si>
    <t>A300 Réciprocité intragroupe</t>
  </si>
  <si>
    <t>A Synthèse</t>
  </si>
  <si>
    <r>
      <t>Objectif</t>
    </r>
    <r>
      <rPr>
        <sz val="11"/>
        <rFont val="Calibri"/>
        <family val="2"/>
        <scheme val="minor"/>
      </rPr>
      <t xml:space="preserve">
Exhaustivité et évaluation des autres charges externes
</t>
    </r>
    <r>
      <rPr>
        <b/>
        <u/>
        <sz val="11"/>
        <rFont val="Calibri"/>
        <family val="2"/>
        <scheme val="minor"/>
      </rPr>
      <t xml:space="preserve">Travail effectué
</t>
    </r>
    <r>
      <rPr>
        <sz val="11"/>
        <rFont val="Calibri"/>
        <family val="2"/>
        <scheme val="minor"/>
      </rPr>
      <t xml:space="preserve">Revue analytique des charges : comprendre les variations par grands postes de charges
S'assurer que la variation est cohérante avec l'analyse de l'activité, éventuellement au moyen de ratios pertinents (commissions / ventes ou achats, frais de ports / CA, énergie / activité…)
En cas d'honoraires significatifs, contrôler la DADS2
Conventions réglementées : être vigilant sur les conventions réglementées et les nouvelles opérations entre sociétés liées qui peuvent être relevées lors de ces travaux.
Prendre en copie les éléments nécessaires pour le rapport sur les conventions réglementées.
</t>
    </r>
  </si>
  <si>
    <t>A410</t>
  </si>
  <si>
    <t>A420</t>
  </si>
  <si>
    <t>A430</t>
  </si>
  <si>
    <t>A440</t>
  </si>
  <si>
    <t>A500</t>
  </si>
  <si>
    <t>Diligence à tester</t>
  </si>
  <si>
    <t>A410 Revue FNP</t>
  </si>
  <si>
    <t>A420 Revue AAR</t>
  </si>
  <si>
    <t>A440 Revue CCA</t>
  </si>
  <si>
    <t>A500 Circularisations</t>
  </si>
  <si>
    <t>A600 Revue AACE</t>
  </si>
  <si>
    <t>A700 Revue EAP</t>
  </si>
  <si>
    <t>Rapprochement constructeur</t>
  </si>
  <si>
    <r>
      <t>Objectif</t>
    </r>
    <r>
      <rPr>
        <sz val="11"/>
        <rFont val="Calibri"/>
        <family val="2"/>
        <scheme val="minor"/>
      </rPr>
      <t xml:space="preserve">
Exhaustivité de la dette constructeur
</t>
    </r>
    <r>
      <rPr>
        <b/>
        <u/>
        <sz val="11"/>
        <rFont val="Calibri"/>
        <family val="2"/>
        <scheme val="minor"/>
      </rPr>
      <t>Travail effectué</t>
    </r>
    <r>
      <rPr>
        <sz val="11"/>
        <rFont val="Calibri"/>
        <family val="2"/>
        <scheme val="minor"/>
      </rPr>
      <t xml:space="preserve">
A partir des états transmis issus du logiciel constructeur (Link,  DCS,…), rapprochement des soldes avec ceux issus de la comptabilité.</t>
    </r>
  </si>
  <si>
    <t>VEHICULES OCCASION</t>
  </si>
  <si>
    <t>VEHICULES NEUFS</t>
  </si>
  <si>
    <t>Encours Financement VO</t>
  </si>
  <si>
    <t>Ecart VO</t>
  </si>
  <si>
    <t>Ecart VN</t>
  </si>
  <si>
    <t>Revue Primes constructeurs</t>
  </si>
  <si>
    <r>
      <t xml:space="preserve">Objectif
</t>
    </r>
    <r>
      <rPr>
        <sz val="11"/>
        <rFont val="Calibri"/>
        <family val="2"/>
        <scheme val="minor"/>
      </rPr>
      <t xml:space="preserve">Réalité et évaluation des primes constructeurs
</t>
    </r>
    <r>
      <rPr>
        <b/>
        <u/>
        <sz val="11"/>
        <rFont val="Calibri"/>
        <family val="2"/>
        <scheme val="minor"/>
      </rPr>
      <t xml:space="preserve">
Travail effectué
</t>
    </r>
    <r>
      <rPr>
        <sz val="11"/>
        <rFont val="Calibri"/>
        <family val="2"/>
        <scheme val="minor"/>
      </rPr>
      <t xml:space="preserve">1/ Recensement des primes constructeurs perçues en N-1 et entretien avec le RAf pour identifier les évolutions en matière d'attribution de primes, les nouvelles primes versées sur l'exercice,...
Si oui, s'assurer qu'elle comptabilise/provisionne bien ces RFA à la clôture de l'exercice audité. 
2/ Revue analytique des primes N/N-1
3/ Pprocéder à des test de détail sur les RFA. 
S'assurer que les taux utilisés sont conformes aux contrats (s'il y en a) ou autre élément de preuve (mails, entretien avec la Direction, …) ou fichiers issus du logiciel constructeur
S'assurer en outre que la base de CA annuel utilisée pour calculer ces primes est conforme au CA réalisé en stat commerciale. 
4/ Dans tous les cas, vérifier sur N l'apurement des primes comptabilisées en N et en N-1, permettant de contrôler la méthode et les sous-provisions éventuelles.
</t>
    </r>
    <r>
      <rPr>
        <b/>
        <u/>
        <sz val="11"/>
        <rFont val="Calibri"/>
        <family val="2"/>
        <scheme val="minor"/>
      </rPr>
      <t xml:space="preserve">
</t>
    </r>
  </si>
  <si>
    <t>FOURNISSEURS</t>
  </si>
  <si>
    <t>MONTANT TTC</t>
  </si>
  <si>
    <t>MONTANT N-1</t>
  </si>
  <si>
    <t>VARIATION</t>
  </si>
  <si>
    <t>REF</t>
  </si>
  <si>
    <t>Dénouement Provision N sur N+1</t>
  </si>
  <si>
    <t>Rappel Dénouement Provision N-1 sur N</t>
  </si>
  <si>
    <t>TOTAL SOLDES ANALYSES</t>
  </si>
  <si>
    <t>TOTAL AAR FOURNISSEURS</t>
  </si>
  <si>
    <t>NATURE</t>
  </si>
  <si>
    <t>soit</t>
  </si>
  <si>
    <t>des AAR</t>
  </si>
  <si>
    <t>Scope</t>
  </si>
  <si>
    <t xml:space="preserve">TOTAL DENOUEMENT AAR au </t>
  </si>
  <si>
    <t>A200 Rappro constructeur</t>
  </si>
  <si>
    <t>Revue des primes constructeurs</t>
  </si>
  <si>
    <t>A430 Revue primes const</t>
  </si>
  <si>
    <t>A101</t>
  </si>
  <si>
    <t>Compte 1100 VO</t>
  </si>
  <si>
    <t>Total Compta CITROEN</t>
  </si>
  <si>
    <t>Compte 1111 VN</t>
  </si>
  <si>
    <t>Principaux fournisseurs débiteurs</t>
  </si>
  <si>
    <t>X-ref détail des FNP</t>
  </si>
  <si>
    <t>A411</t>
  </si>
  <si>
    <t>TOTAL COMPTA</t>
  </si>
  <si>
    <t>S0</t>
  </si>
  <si>
    <t xml:space="preserve">Taux de dénouement </t>
  </si>
  <si>
    <t>Dénouement N-1</t>
  </si>
  <si>
    <t>BRA</t>
  </si>
  <si>
    <t>Cf. A0</t>
  </si>
  <si>
    <t>SATISFAISANT</t>
  </si>
  <si>
    <t>PIECES DE RECHANGE</t>
  </si>
  <si>
    <t>Compta RENAULT</t>
  </si>
  <si>
    <t>Relevé COGERA de 31-12-N</t>
  </si>
  <si>
    <r>
      <t xml:space="preserve">Objectif
</t>
    </r>
    <r>
      <rPr>
        <sz val="11"/>
        <rFont val="Calibri"/>
        <family val="2"/>
        <scheme val="minor"/>
      </rPr>
      <t>Exhaustivité des encours frs par circularisation des tiers</t>
    </r>
    <r>
      <rPr>
        <b/>
        <u/>
        <sz val="11"/>
        <rFont val="Calibri"/>
        <family val="2"/>
        <scheme val="minor"/>
      </rPr>
      <t xml:space="preserve">
Travail effectué
</t>
    </r>
    <r>
      <rPr>
        <sz val="11"/>
        <rFont val="Calibri"/>
        <family val="2"/>
        <scheme val="minor"/>
      </rPr>
      <t>1/ A partir de la balance auxiliaire provisioire en date du 31-12-N, sélectionner les mouvements créditeurs les plus significatifs (cf. procédure circularisations dans Sharepoint)
2/ Emettre des courriers de demande de confirmation de soldes
3/ Exploiter les réponses de circularisations reçues
4/ En cas de non réponse, cf. revue décaissements post-clôture</t>
    </r>
  </si>
  <si>
    <r>
      <rPr>
        <b/>
        <sz val="11"/>
        <color rgb="FFFF0000"/>
        <rFont val="Calibri"/>
        <family val="2"/>
        <scheme val="minor"/>
      </rPr>
      <t>SATISFAISANT</t>
    </r>
    <r>
      <rPr>
        <sz val="11"/>
        <rFont val="Calibri"/>
        <family val="2"/>
        <scheme val="minor"/>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</si>
</sst>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 #,##0.00\ &quot;€&quot;_-;\-* #,##0.00\ &quot;€&quot;_-;_-* &quot;-&quot;??\ &quot;€&quot;_-;_-@_-"/>
    <numFmt numFmtId="164" formatCode="_-* #,##0.00\ _€_-;\-* #,##0.00\ _€_-;_-* &quot;-&quot;??\ _€_-;_-@_-"/>
    <numFmt numFmtId="165" formatCode="_-* #,##0\ _€_-;\-* #,##0\ _€_-;_-* &quot;-&quot;??\ _€_-;_-@_-"/>
    <numFmt numFmtId="166" formatCode="_-* #,##0.0\ _€_-;\-* #,##0.0\ _€_-;_-* &quot;-&quot;??\ _€_-;_-@_-"/>
    <numFmt numFmtId="167" formatCode="#,##0_ ;\-#,##0\ "/>
    <numFmt numFmtId="168" formatCode="_(* #,##0_);_(* \(#,##0\);_(* &quot;-&quot;_);_(@_)"/>
    <numFmt numFmtId="169" formatCode="dd/mm/yy"/>
    <numFmt numFmtId="170" formatCode="0.0%"/>
    <numFmt numFmtId="171" formatCode="_(* #,##0.00_);_(* \(#,##0.00\);_(* &quot;-&quot;??_);_(@_)"/>
    <numFmt numFmtId="172" formatCode="#,##0.0"/>
    <numFmt numFmtId="173" formatCode="_-* #,##0\ _F_-;\-* #,##0\ _F_-;_-* &quot;-&quot;??\ _F_-;_-@_-"/>
  </numFmts>
  <fonts count="64">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2"/>
      <name val="Calibri"/>
      <family val="2"/>
      <scheme val="minor"/>
    </font>
    <font>
      <b/>
      <sz val="12"/>
      <name val="Calibri"/>
      <family val="2"/>
      <scheme val="minor"/>
    </font>
    <font>
      <u/>
      <sz val="12"/>
      <name val="Calibri"/>
      <family val="2"/>
      <scheme val="minor"/>
    </font>
    <font>
      <b/>
      <sz val="11"/>
      <name val="Calibri"/>
      <family val="2"/>
      <scheme val="minor"/>
    </font>
    <font>
      <sz val="8"/>
      <name val="Calibri"/>
      <family val="2"/>
      <scheme val="minor"/>
    </font>
    <font>
      <b/>
      <sz val="14"/>
      <name val="Calibri"/>
      <family val="2"/>
      <scheme val="minor"/>
    </font>
    <font>
      <sz val="14"/>
      <name val="Calibri"/>
      <family val="2"/>
      <scheme val="minor"/>
    </font>
    <font>
      <sz val="11"/>
      <name val="Calibri"/>
      <family val="2"/>
      <scheme val="minor"/>
    </font>
    <font>
      <sz val="9"/>
      <name val="Calibri"/>
      <family val="2"/>
      <scheme val="minor"/>
    </font>
    <font>
      <b/>
      <sz val="12"/>
      <color rgb="FFFF0000"/>
      <name val="Calibri"/>
      <family val="2"/>
      <scheme val="minor"/>
    </font>
    <font>
      <b/>
      <i/>
      <sz val="13"/>
      <name val="Calibri"/>
      <family val="2"/>
      <scheme val="minor"/>
    </font>
    <font>
      <b/>
      <sz val="17"/>
      <name val="Calibri"/>
      <family val="2"/>
      <scheme val="minor"/>
    </font>
    <font>
      <b/>
      <sz val="11"/>
      <color rgb="FFFF0000"/>
      <name val="Calibri"/>
      <family val="2"/>
      <scheme val="minor"/>
    </font>
    <font>
      <sz val="13"/>
      <name val="Calibri"/>
      <family val="2"/>
      <scheme val="minor"/>
    </font>
    <font>
      <sz val="10"/>
      <name val="Calibri"/>
      <family val="2"/>
      <scheme val="minor"/>
    </font>
    <font>
      <i/>
      <sz val="11"/>
      <name val="Calibri"/>
      <family val="2"/>
      <scheme val="minor"/>
    </font>
    <font>
      <b/>
      <u/>
      <sz val="11"/>
      <name val="Calibri"/>
      <family val="2"/>
      <scheme val="minor"/>
    </font>
    <font>
      <b/>
      <sz val="10"/>
      <name val="Arial"/>
      <family val="2"/>
    </font>
    <font>
      <sz val="11"/>
      <name val="Arial Narrow"/>
      <family val="2"/>
    </font>
    <font>
      <b/>
      <i/>
      <sz val="11"/>
      <name val="Calibri"/>
      <family val="2"/>
      <scheme val="minor"/>
    </font>
    <font>
      <u/>
      <sz val="8"/>
      <color theme="10"/>
      <name val="Trebuchet MS"/>
      <family val="2"/>
    </font>
    <font>
      <u/>
      <sz val="11"/>
      <color theme="10"/>
      <name val="Calibri"/>
      <family val="2"/>
      <scheme val="minor"/>
    </font>
    <font>
      <sz val="11"/>
      <name val="Times New Roman"/>
      <family val="1"/>
    </font>
    <font>
      <u/>
      <sz val="10"/>
      <name val="Arial"/>
      <family val="2"/>
    </font>
    <font>
      <sz val="10"/>
      <name val="Geneva"/>
    </font>
    <font>
      <b/>
      <sz val="11"/>
      <color theme="1"/>
      <name val="Calibri"/>
      <family val="2"/>
      <scheme val="minor"/>
    </font>
    <font>
      <b/>
      <sz val="11"/>
      <color indexed="62"/>
      <name val="Calibri"/>
      <family val="2"/>
      <scheme val="minor"/>
    </font>
    <font>
      <b/>
      <i/>
      <sz val="11"/>
      <color indexed="10"/>
      <name val="Calibri"/>
      <family val="2"/>
      <scheme val="minor"/>
    </font>
    <font>
      <b/>
      <u/>
      <sz val="11"/>
      <color indexed="8"/>
      <name val="Calibri"/>
      <family val="2"/>
      <scheme val="minor"/>
    </font>
    <font>
      <b/>
      <sz val="11"/>
      <color indexed="8"/>
      <name val="Calibri"/>
      <family val="2"/>
      <scheme val="minor"/>
    </font>
    <font>
      <sz val="11"/>
      <color indexed="8"/>
      <name val="Calibri"/>
      <family val="2"/>
      <scheme val="minor"/>
    </font>
    <font>
      <b/>
      <sz val="11"/>
      <color indexed="10"/>
      <name val="Calibri"/>
      <family val="2"/>
      <scheme val="minor"/>
    </font>
    <font>
      <sz val="11"/>
      <color rgb="FFFF0000"/>
      <name val="Calibri"/>
      <family val="2"/>
      <scheme val="minor"/>
    </font>
    <font>
      <u/>
      <sz val="11"/>
      <name val="Calibri"/>
      <family val="2"/>
      <scheme val="minor"/>
    </font>
    <font>
      <sz val="11"/>
      <name val="Calibri"/>
      <family val="2"/>
      <scheme val="minor"/>
    </font>
    <font>
      <b/>
      <sz val="11"/>
      <name val="Calibri"/>
      <family val="2"/>
      <scheme val="minor"/>
    </font>
    <font>
      <sz val="13"/>
      <name val="Calibri"/>
      <family val="2"/>
      <scheme val="minor"/>
    </font>
    <font>
      <b/>
      <sz val="12"/>
      <name val="Calibri"/>
      <family val="2"/>
      <scheme val="minor"/>
    </font>
    <font>
      <b/>
      <sz val="12"/>
      <color rgb="FFFF0000"/>
      <name val="Calibri"/>
      <family val="2"/>
      <scheme val="minor"/>
    </font>
    <font>
      <b/>
      <i/>
      <sz val="11"/>
      <color rgb="FF0070C0"/>
      <name val="Calibri"/>
      <family val="2"/>
      <scheme val="minor"/>
    </font>
    <font>
      <b/>
      <i/>
      <sz val="11"/>
      <name val="Calibri"/>
      <family val="2"/>
      <scheme val="minor"/>
    </font>
    <font>
      <b/>
      <sz val="11"/>
      <color indexed="17"/>
      <name val="Calibri"/>
      <family val="2"/>
      <scheme val="minor"/>
    </font>
    <font>
      <b/>
      <u/>
      <sz val="10"/>
      <color indexed="8"/>
      <name val="Arial"/>
      <family val="2"/>
    </font>
    <font>
      <b/>
      <sz val="10"/>
      <color indexed="8"/>
      <name val="Arial"/>
      <family val="2"/>
    </font>
    <font>
      <b/>
      <i/>
      <sz val="10"/>
      <color indexed="10"/>
      <name val="Arial"/>
      <family val="2"/>
    </font>
    <font>
      <sz val="10"/>
      <color indexed="8"/>
      <name val="Arial"/>
      <family val="2"/>
    </font>
    <font>
      <b/>
      <sz val="10"/>
      <color indexed="63"/>
      <name val="Arial"/>
      <family val="2"/>
    </font>
    <font>
      <b/>
      <sz val="10"/>
      <color indexed="62"/>
      <name val="Arial"/>
      <family val="2"/>
    </font>
    <font>
      <sz val="10"/>
      <color indexed="63"/>
      <name val="Arial"/>
      <family val="2"/>
    </font>
    <font>
      <sz val="10"/>
      <name val="Times New Roman"/>
      <family val="1"/>
    </font>
    <font>
      <sz val="10"/>
      <name val="Trebuchet MS"/>
      <family val="2"/>
    </font>
    <font>
      <b/>
      <sz val="10"/>
      <color rgb="FFFF0000"/>
      <name val="Arial"/>
      <family val="2"/>
    </font>
    <font>
      <u/>
      <sz val="10"/>
      <color indexed="12"/>
      <name val="Garamond"/>
      <family val="1"/>
    </font>
    <font>
      <i/>
      <u/>
      <sz val="10"/>
      <name val="Arial"/>
      <family val="2"/>
    </font>
    <font>
      <sz val="11"/>
      <name val="Calibri"/>
      <family val="2"/>
    </font>
    <font>
      <b/>
      <sz val="11"/>
      <color theme="0"/>
      <name val="Calibri"/>
      <family val="2"/>
      <scheme val="minor"/>
    </font>
  </fonts>
  <fills count="12">
    <fill>
      <patternFill patternType="none"/>
    </fill>
    <fill>
      <patternFill patternType="gray125"/>
    </fill>
    <fill>
      <patternFill patternType="solid">
        <fgColor indexed="27"/>
        <bgColor indexed="41"/>
      </patternFill>
    </fill>
    <fill>
      <patternFill patternType="solid">
        <fgColor indexed="9"/>
        <bgColor indexed="64"/>
      </patternFill>
    </fill>
    <fill>
      <patternFill patternType="solid">
        <fgColor rgb="FFFFFFFF"/>
        <bgColor indexed="64"/>
      </patternFill>
    </fill>
    <fill>
      <patternFill patternType="solid">
        <fgColor theme="0" tint="-0.14999847407452621"/>
        <bgColor indexed="64"/>
      </patternFill>
    </fill>
    <fill>
      <patternFill patternType="solid">
        <fgColor theme="0" tint="-0.14996795556505021"/>
        <bgColor auto="1"/>
      </patternFill>
    </fill>
    <fill>
      <patternFill patternType="solid">
        <fgColor indexed="42"/>
        <bgColor indexed="64"/>
      </patternFill>
    </fill>
    <fill>
      <patternFill patternType="solid">
        <fgColor theme="0"/>
        <bgColor indexed="64"/>
      </patternFill>
    </fill>
    <fill>
      <patternFill patternType="solid">
        <fgColor theme="2"/>
        <bgColor indexed="64"/>
      </patternFill>
    </fill>
    <fill>
      <patternFill patternType="solid">
        <fgColor rgb="FF0070C0"/>
        <bgColor indexed="64"/>
      </patternFill>
    </fill>
    <fill>
      <patternFill patternType="solid">
        <fgColor rgb="FF002060"/>
        <bgColor indexed="64"/>
      </patternFill>
    </fill>
  </fills>
  <borders count="96">
    <border>
      <left/>
      <right/>
      <top/>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dotted">
        <color indexed="64"/>
      </left>
      <right/>
      <top style="medium">
        <color indexed="64"/>
      </top>
      <bottom style="medium">
        <color indexed="64"/>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indexed="64"/>
      </right>
      <top style="medium">
        <color auto="1"/>
      </top>
      <bottom style="thin">
        <color auto="1"/>
      </bottom>
      <diagonal/>
    </border>
    <border>
      <left style="medium">
        <color auto="1"/>
      </left>
      <right/>
      <top style="thin">
        <color auto="1"/>
      </top>
      <bottom style="thin">
        <color auto="1"/>
      </bottom>
      <diagonal/>
    </border>
    <border>
      <left/>
      <right style="medium">
        <color indexed="64"/>
      </right>
      <top style="thin">
        <color auto="1"/>
      </top>
      <bottom style="thin">
        <color auto="1"/>
      </bottom>
      <diagonal/>
    </border>
    <border>
      <left style="medium">
        <color auto="1"/>
      </left>
      <right/>
      <top style="thin">
        <color auto="1"/>
      </top>
      <bottom style="medium">
        <color indexed="64"/>
      </bottom>
      <diagonal/>
    </border>
    <border>
      <left/>
      <right/>
      <top style="thin">
        <color auto="1"/>
      </top>
      <bottom style="medium">
        <color indexed="64"/>
      </bottom>
      <diagonal/>
    </border>
    <border>
      <left/>
      <right style="medium">
        <color indexed="64"/>
      </right>
      <top style="thin">
        <color auto="1"/>
      </top>
      <bottom style="medium">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hair">
        <color indexed="64"/>
      </bottom>
      <diagonal/>
    </border>
    <border>
      <left/>
      <right style="thin">
        <color indexed="64"/>
      </right>
      <top/>
      <bottom/>
      <diagonal/>
    </border>
    <border>
      <left style="medium">
        <color indexed="64"/>
      </left>
      <right/>
      <top style="hair">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hair">
        <color indexed="64"/>
      </top>
      <bottom style="hair">
        <color indexed="64"/>
      </bottom>
      <diagonal/>
    </border>
    <border>
      <left style="hair">
        <color indexed="64"/>
      </left>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style="medium">
        <color indexed="64"/>
      </left>
      <right/>
      <top style="thin">
        <color indexed="64"/>
      </top>
      <bottom style="hair">
        <color indexed="64"/>
      </bottom>
      <diagonal/>
    </border>
    <border>
      <left style="hair">
        <color indexed="64"/>
      </left>
      <right style="thin">
        <color auto="1"/>
      </right>
      <top style="hair">
        <color indexed="64"/>
      </top>
      <bottom style="hair">
        <color indexed="64"/>
      </bottom>
      <diagonal/>
    </border>
    <border>
      <left style="hair">
        <color indexed="64"/>
      </left>
      <right style="hair">
        <color indexed="64"/>
      </right>
      <top style="hair">
        <color indexed="64"/>
      </top>
      <bottom style="thin">
        <color auto="1"/>
      </bottom>
      <diagonal/>
    </border>
    <border>
      <left/>
      <right/>
      <top style="hair">
        <color indexed="64"/>
      </top>
      <bottom style="thin">
        <color auto="1"/>
      </bottom>
      <diagonal/>
    </border>
    <border>
      <left style="hair">
        <color indexed="64"/>
      </left>
      <right style="thin">
        <color auto="1"/>
      </right>
      <top style="hair">
        <color indexed="64"/>
      </top>
      <bottom style="thin">
        <color auto="1"/>
      </bottom>
      <diagonal/>
    </border>
    <border>
      <left/>
      <right style="thin">
        <color auto="1"/>
      </right>
      <top style="thin">
        <color indexed="64"/>
      </top>
      <bottom style="hair">
        <color indexed="64"/>
      </bottom>
      <diagonal/>
    </border>
    <border>
      <left/>
      <right style="thin">
        <color auto="1"/>
      </right>
      <top style="hair">
        <color indexed="64"/>
      </top>
      <bottom style="hair">
        <color indexed="64"/>
      </bottom>
      <diagonal/>
    </border>
    <border>
      <left/>
      <right style="thin">
        <color indexed="64"/>
      </right>
      <top style="hair">
        <color indexed="64"/>
      </top>
      <bottom style="thin">
        <color indexed="64"/>
      </bottom>
      <diagonal/>
    </border>
    <border>
      <left/>
      <right style="medium">
        <color indexed="64"/>
      </right>
      <top style="thin">
        <color indexed="64"/>
      </top>
      <bottom style="hair">
        <color indexed="64"/>
      </bottom>
      <diagonal/>
    </border>
    <border>
      <left/>
      <right style="medium">
        <color indexed="64"/>
      </right>
      <top style="hair">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hair">
        <color indexed="64"/>
      </bottom>
      <diagonal/>
    </border>
    <border>
      <left style="thin">
        <color indexed="64"/>
      </left>
      <right/>
      <top style="hair">
        <color indexed="64"/>
      </top>
      <bottom style="thin">
        <color indexed="64"/>
      </bottom>
      <diagonal/>
    </border>
    <border>
      <left style="thin">
        <color indexed="64"/>
      </left>
      <right/>
      <top style="thin">
        <color indexed="64"/>
      </top>
      <bottom style="hair">
        <color indexed="64"/>
      </bottom>
      <diagonal/>
    </border>
    <border>
      <left style="medium">
        <color indexed="64"/>
      </left>
      <right style="thin">
        <color indexed="64"/>
      </right>
      <top style="thin">
        <color indexed="64"/>
      </top>
      <bottom style="hair">
        <color indexed="64"/>
      </bottom>
      <diagonal/>
    </border>
    <border>
      <left style="medium">
        <color indexed="64"/>
      </left>
      <right style="thin">
        <color indexed="64"/>
      </right>
      <top style="hair">
        <color indexed="64"/>
      </top>
      <bottom style="hair">
        <color indexed="64"/>
      </bottom>
      <diagonal/>
    </border>
    <border>
      <left style="medium">
        <color indexed="64"/>
      </left>
      <right style="thin">
        <color indexed="64"/>
      </right>
      <top style="hair">
        <color indexed="64"/>
      </top>
      <bottom style="thin">
        <color indexed="64"/>
      </bottom>
      <diagonal/>
    </border>
    <border>
      <left style="thin">
        <color indexed="64"/>
      </left>
      <right style="medium">
        <color indexed="64"/>
      </right>
      <top style="hair">
        <color indexed="64"/>
      </top>
      <bottom style="thin">
        <color indexed="64"/>
      </bottom>
      <diagonal/>
    </border>
    <border>
      <left style="thin">
        <color auto="1"/>
      </left>
      <right style="thin">
        <color auto="1"/>
      </right>
      <top style="hair">
        <color auto="1"/>
      </top>
      <bottom style="thin">
        <color auto="1"/>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thin">
        <color indexed="64"/>
      </right>
      <top style="thin">
        <color indexed="64"/>
      </top>
      <bottom style="medium">
        <color indexed="64"/>
      </bottom>
      <diagonal/>
    </border>
    <border>
      <left style="thin">
        <color indexed="64"/>
      </left>
      <right/>
      <top style="hair">
        <color indexed="64"/>
      </top>
      <bottom/>
      <diagonal/>
    </border>
    <border>
      <left style="thin">
        <color indexed="64"/>
      </left>
      <right style="thin">
        <color indexed="64"/>
      </right>
      <top style="thin">
        <color indexed="64"/>
      </top>
      <bottom/>
      <diagonal/>
    </border>
    <border>
      <left style="thin">
        <color indexed="64"/>
      </left>
      <right style="hair">
        <color indexed="64"/>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style="hair">
        <color indexed="64"/>
      </left>
      <right/>
      <top style="thin">
        <color indexed="64"/>
      </top>
      <bottom style="thin">
        <color indexed="64"/>
      </bottom>
      <diagonal/>
    </border>
    <border>
      <left style="dashed">
        <color auto="1"/>
      </left>
      <right style="medium">
        <color auto="1"/>
      </right>
      <top style="medium">
        <color auto="1"/>
      </top>
      <bottom/>
      <diagonal/>
    </border>
    <border>
      <left style="dashed">
        <color auto="1"/>
      </left>
      <right style="medium">
        <color auto="1"/>
      </right>
      <top/>
      <bottom style="medium">
        <color auto="1"/>
      </bottom>
      <diagonal/>
    </border>
    <border>
      <left/>
      <right style="medium">
        <color indexed="64"/>
      </right>
      <top style="thin">
        <color auto="1"/>
      </top>
      <bottom/>
      <diagonal/>
    </border>
    <border>
      <left style="medium">
        <color indexed="64"/>
      </left>
      <right/>
      <top style="thin">
        <color indexed="64"/>
      </top>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auto="1"/>
      </left>
      <right style="medium">
        <color auto="1"/>
      </right>
      <top style="medium">
        <color auto="1"/>
      </top>
      <bottom style="thin">
        <color auto="1"/>
      </bottom>
      <diagonal/>
    </border>
    <border>
      <left style="thin">
        <color indexed="64"/>
      </left>
      <right style="thin">
        <color indexed="64"/>
      </right>
      <top/>
      <bottom/>
      <diagonal/>
    </border>
    <border>
      <left style="thin">
        <color indexed="64"/>
      </left>
      <right/>
      <top style="medium">
        <color indexed="64"/>
      </top>
      <bottom style="thin">
        <color indexed="64"/>
      </bottom>
      <diagonal/>
    </border>
    <border>
      <left style="thin">
        <color indexed="64"/>
      </left>
      <right/>
      <top/>
      <bottom/>
      <diagonal/>
    </border>
    <border>
      <left/>
      <right/>
      <top style="hair">
        <color indexed="64"/>
      </top>
      <bottom/>
      <diagonal/>
    </border>
    <border>
      <left/>
      <right style="thin">
        <color indexed="64"/>
      </right>
      <top style="hair">
        <color indexed="64"/>
      </top>
      <bottom/>
      <diagonal/>
    </border>
    <border>
      <left style="medium">
        <color indexed="64"/>
      </left>
      <right style="medium">
        <color indexed="64"/>
      </right>
      <top/>
      <bottom style="medium">
        <color indexed="64"/>
      </bottom>
      <diagonal/>
    </border>
  </borders>
  <cellStyleXfs count="20">
    <xf numFmtId="0" fontId="0" fillId="0" borderId="0"/>
    <xf numFmtId="164" fontId="6" fillId="0" borderId="0" applyFont="0" applyFill="0" applyBorder="0" applyAlignment="0" applyProtection="0"/>
    <xf numFmtId="9" fontId="7" fillId="0" borderId="0" applyFont="0" applyFill="0" applyBorder="0" applyAlignment="0" applyProtection="0"/>
    <xf numFmtId="0" fontId="7" fillId="0" borderId="0"/>
    <xf numFmtId="49" fontId="7" fillId="2" borderId="0" applyFont="0" applyBorder="0" applyProtection="0">
      <alignment vertical="center" readingOrder="1"/>
    </xf>
    <xf numFmtId="0" fontId="28" fillId="0" borderId="0" applyNumberFormat="0" applyFill="0" applyBorder="0" applyAlignment="0" applyProtection="0">
      <alignment vertical="top"/>
      <protection locked="0"/>
    </xf>
    <xf numFmtId="0" fontId="7" fillId="0" borderId="0"/>
    <xf numFmtId="0" fontId="30" fillId="0" borderId="0"/>
    <xf numFmtId="0" fontId="7" fillId="0" borderId="0"/>
    <xf numFmtId="9" fontId="7" fillId="0" borderId="0" applyFont="0" applyFill="0" applyBorder="0" applyAlignment="0" applyProtection="0"/>
    <xf numFmtId="164" fontId="4" fillId="0" borderId="0" applyFont="0" applyFill="0" applyBorder="0" applyAlignment="0" applyProtection="0"/>
    <xf numFmtId="0" fontId="7" fillId="7" borderId="0" applyBorder="0"/>
    <xf numFmtId="0" fontId="57" fillId="0" borderId="0"/>
    <xf numFmtId="0" fontId="58" fillId="0" borderId="0"/>
    <xf numFmtId="0" fontId="7" fillId="0" borderId="0"/>
    <xf numFmtId="0" fontId="60" fillId="0" borderId="0" applyNumberFormat="0" applyFill="0" applyBorder="0" applyAlignment="0" applyProtection="0">
      <alignment vertical="top"/>
      <protection locked="0"/>
    </xf>
    <xf numFmtId="0" fontId="57" fillId="0" borderId="0"/>
    <xf numFmtId="9" fontId="2" fillId="0" borderId="0" applyFont="0" applyFill="0" applyBorder="0" applyAlignment="0" applyProtection="0"/>
    <xf numFmtId="0" fontId="1" fillId="0" borderId="0"/>
    <xf numFmtId="0" fontId="62" fillId="0" borderId="0"/>
  </cellStyleXfs>
  <cellXfs count="730">
    <xf numFmtId="0" fontId="0" fillId="0" borderId="0" xfId="0"/>
    <xf numFmtId="0" fontId="8" fillId="0" borderId="0" xfId="0" applyFont="1" applyAlignment="1" applyProtection="1">
      <alignment vertical="center"/>
      <protection locked="0"/>
    </xf>
    <xf numFmtId="0" fontId="10" fillId="0" borderId="0" xfId="0" applyFont="1" applyProtection="1">
      <protection locked="0"/>
    </xf>
    <xf numFmtId="49" fontId="11" fillId="0" borderId="0" xfId="0" applyNumberFormat="1" applyFont="1" applyAlignment="1" applyProtection="1">
      <alignment horizontal="right"/>
      <protection locked="0"/>
    </xf>
    <xf numFmtId="49" fontId="8" fillId="0" borderId="0" xfId="0" applyNumberFormat="1" applyFont="1" applyAlignment="1" applyProtection="1">
      <alignment horizontal="right"/>
      <protection locked="0"/>
    </xf>
    <xf numFmtId="0" fontId="11" fillId="0" borderId="0" xfId="0" applyFont="1" applyAlignment="1" applyProtection="1">
      <alignment horizontal="left"/>
      <protection locked="0"/>
    </xf>
    <xf numFmtId="0" fontId="9" fillId="0" borderId="0" xfId="0" applyFont="1" applyAlignment="1" applyProtection="1">
      <alignment horizontal="left"/>
      <protection locked="0"/>
    </xf>
    <xf numFmtId="0" fontId="8" fillId="0" borderId="0" xfId="0" applyFont="1" applyProtection="1">
      <protection locked="0"/>
    </xf>
    <xf numFmtId="49" fontId="9" fillId="0" borderId="0" xfId="0" applyNumberFormat="1" applyFont="1" applyAlignment="1" applyProtection="1">
      <alignment horizontal="right"/>
      <protection locked="0"/>
    </xf>
    <xf numFmtId="0" fontId="10" fillId="0" borderId="0" xfId="0" applyFont="1" applyAlignment="1" applyProtection="1">
      <alignment vertical="center"/>
      <protection locked="0"/>
    </xf>
    <xf numFmtId="14" fontId="13" fillId="0" borderId="10" xfId="0" applyNumberFormat="1" applyFont="1" applyBorder="1" applyAlignment="1" applyProtection="1">
      <alignment vertical="center"/>
      <protection locked="0"/>
    </xf>
    <xf numFmtId="14" fontId="13" fillId="0" borderId="11" xfId="0" applyNumberFormat="1" applyFont="1" applyBorder="1" applyAlignment="1" applyProtection="1">
      <alignment vertical="center"/>
      <protection locked="0"/>
    </xf>
    <xf numFmtId="14" fontId="13" fillId="0" borderId="12" xfId="0" applyNumberFormat="1" applyFont="1" applyBorder="1" applyAlignment="1" applyProtection="1">
      <alignment vertical="center"/>
      <protection locked="0"/>
    </xf>
    <xf numFmtId="14" fontId="13" fillId="0" borderId="13" xfId="0" applyNumberFormat="1" applyFont="1" applyBorder="1" applyAlignment="1" applyProtection="1">
      <alignment vertical="center"/>
      <protection locked="0"/>
    </xf>
    <xf numFmtId="14" fontId="13" fillId="0" borderId="0" xfId="0" applyNumberFormat="1" applyFont="1" applyAlignment="1" applyProtection="1">
      <alignment vertical="center"/>
      <protection locked="0"/>
    </xf>
    <xf numFmtId="14" fontId="13" fillId="0" borderId="14" xfId="0" applyNumberFormat="1" applyFont="1" applyBorder="1" applyAlignment="1" applyProtection="1">
      <alignment vertical="center"/>
      <protection locked="0"/>
    </xf>
    <xf numFmtId="14" fontId="16" fillId="0" borderId="0" xfId="0" applyNumberFormat="1" applyFont="1" applyAlignment="1" applyProtection="1">
      <alignment vertical="center"/>
      <protection locked="0"/>
    </xf>
    <xf numFmtId="0" fontId="11" fillId="0" borderId="10" xfId="0" applyFont="1" applyBorder="1" applyAlignment="1" applyProtection="1">
      <alignment vertical="center"/>
      <protection locked="0"/>
    </xf>
    <xf numFmtId="0" fontId="11" fillId="0" borderId="15" xfId="0" applyFont="1" applyBorder="1" applyAlignment="1" applyProtection="1">
      <alignment vertical="center"/>
      <protection locked="0"/>
    </xf>
    <xf numFmtId="0" fontId="11" fillId="0" borderId="0" xfId="0" applyFont="1" applyAlignment="1" applyProtection="1">
      <alignment vertical="center"/>
      <protection locked="0"/>
    </xf>
    <xf numFmtId="0" fontId="15" fillId="0" borderId="0" xfId="0" applyFont="1" applyAlignment="1" applyProtection="1">
      <alignment horizontal="center" vertical="center"/>
      <protection locked="0"/>
    </xf>
    <xf numFmtId="49" fontId="14" fillId="0" borderId="0" xfId="0" applyNumberFormat="1" applyFont="1" applyAlignment="1" applyProtection="1">
      <alignment horizontal="center" vertical="center"/>
      <protection locked="0"/>
    </xf>
    <xf numFmtId="14" fontId="15" fillId="0" borderId="0" xfId="0" applyNumberFormat="1" applyFont="1" applyAlignment="1" applyProtection="1">
      <alignment horizontal="center" vertical="center"/>
      <protection locked="0"/>
    </xf>
    <xf numFmtId="0" fontId="8" fillId="0" borderId="0" xfId="0" applyFont="1" applyAlignment="1" applyProtection="1">
      <alignment horizontal="left"/>
      <protection locked="0"/>
    </xf>
    <xf numFmtId="0" fontId="11" fillId="0" borderId="11" xfId="0" applyFont="1" applyBorder="1" applyAlignment="1" applyProtection="1">
      <alignment vertical="center" wrapText="1"/>
      <protection locked="0"/>
    </xf>
    <xf numFmtId="0" fontId="15" fillId="0" borderId="0" xfId="0" applyFont="1" applyProtection="1">
      <protection locked="0"/>
    </xf>
    <xf numFmtId="0" fontId="12" fillId="0" borderId="0" xfId="0" applyFont="1" applyAlignment="1" applyProtection="1">
      <alignment horizontal="center" vertical="center"/>
      <protection locked="0"/>
    </xf>
    <xf numFmtId="0" fontId="8" fillId="0" borderId="0" xfId="0" applyFont="1" applyAlignment="1">
      <alignment vertical="center"/>
    </xf>
    <xf numFmtId="0" fontId="8" fillId="0" borderId="0" xfId="0" applyFont="1"/>
    <xf numFmtId="0" fontId="22" fillId="0" borderId="0" xfId="0" applyFont="1" applyProtection="1">
      <protection locked="0"/>
    </xf>
    <xf numFmtId="0" fontId="16" fillId="0" borderId="0" xfId="0" applyFont="1" applyProtection="1">
      <protection locked="0"/>
    </xf>
    <xf numFmtId="0" fontId="15" fillId="0" borderId="0" xfId="0" applyFont="1"/>
    <xf numFmtId="0" fontId="20" fillId="0" borderId="0" xfId="0" applyFont="1" applyAlignment="1">
      <alignment horizontal="center" vertical="top"/>
    </xf>
    <xf numFmtId="3" fontId="15" fillId="0" borderId="0" xfId="0" applyNumberFormat="1" applyFont="1" applyAlignment="1">
      <alignment horizontal="center"/>
    </xf>
    <xf numFmtId="0" fontId="15" fillId="0" borderId="0" xfId="0" applyFont="1" applyAlignment="1">
      <alignment horizontal="center"/>
    </xf>
    <xf numFmtId="3" fontId="15" fillId="0" borderId="0" xfId="0" applyNumberFormat="1" applyFont="1" applyAlignment="1">
      <alignment horizontal="right" indent="1"/>
    </xf>
    <xf numFmtId="0" fontId="15" fillId="0" borderId="0" xfId="0" applyFont="1" applyAlignment="1" applyProtection="1">
      <alignment vertical="center"/>
      <protection locked="0"/>
    </xf>
    <xf numFmtId="49" fontId="15" fillId="0" borderId="0" xfId="0" applyNumberFormat="1" applyFont="1" applyAlignment="1" applyProtection="1">
      <alignment horizontal="right"/>
      <protection locked="0"/>
    </xf>
    <xf numFmtId="0" fontId="15" fillId="0" borderId="0" xfId="0" applyFont="1" applyAlignment="1" applyProtection="1">
      <alignment horizontal="left"/>
      <protection locked="0"/>
    </xf>
    <xf numFmtId="14" fontId="15" fillId="0" borderId="0" xfId="0" applyNumberFormat="1" applyFont="1" applyAlignment="1" applyProtection="1">
      <alignment vertical="center"/>
      <protection locked="0"/>
    </xf>
    <xf numFmtId="49" fontId="15" fillId="0" borderId="0" xfId="0" applyNumberFormat="1" applyFont="1" applyAlignment="1" applyProtection="1">
      <alignment horizontal="center" vertical="center"/>
      <protection locked="0"/>
    </xf>
    <xf numFmtId="0" fontId="15" fillId="0" borderId="2" xfId="0" applyFont="1" applyBorder="1" applyProtection="1">
      <protection locked="0"/>
    </xf>
    <xf numFmtId="0" fontId="15" fillId="0" borderId="13" xfId="0" applyFont="1" applyBorder="1"/>
    <xf numFmtId="44" fontId="15" fillId="0" borderId="0" xfId="1" applyNumberFormat="1" applyFont="1" applyBorder="1"/>
    <xf numFmtId="0" fontId="29" fillId="0" borderId="0" xfId="5" quotePrefix="1" applyFont="1" applyBorder="1" applyAlignment="1" applyProtection="1">
      <alignment horizontal="left" wrapText="1"/>
    </xf>
    <xf numFmtId="165" fontId="15" fillId="0" borderId="0" xfId="1" applyNumberFormat="1" applyFont="1" applyFill="1" applyBorder="1"/>
    <xf numFmtId="0" fontId="29" fillId="0" borderId="0" xfId="5" quotePrefix="1" applyFont="1" applyBorder="1" applyAlignment="1" applyProtection="1"/>
    <xf numFmtId="0" fontId="15" fillId="0" borderId="6" xfId="0" applyFont="1" applyBorder="1"/>
    <xf numFmtId="0" fontId="15" fillId="0" borderId="0" xfId="0" applyFont="1" applyAlignment="1">
      <alignment vertical="top" wrapText="1"/>
    </xf>
    <xf numFmtId="0" fontId="15" fillId="0" borderId="0" xfId="6" applyFont="1"/>
    <xf numFmtId="4" fontId="15" fillId="0" borderId="0" xfId="0" applyNumberFormat="1" applyFont="1"/>
    <xf numFmtId="0" fontId="11" fillId="0" borderId="0" xfId="0" applyFont="1"/>
    <xf numFmtId="0" fontId="15" fillId="0" borderId="0" xfId="0" applyFont="1" applyAlignment="1">
      <alignment horizontal="left"/>
    </xf>
    <xf numFmtId="0" fontId="15" fillId="0" borderId="10" xfId="0" applyFont="1" applyBorder="1"/>
    <xf numFmtId="0" fontId="34" fillId="0" borderId="6" xfId="0" applyFont="1" applyBorder="1" applyAlignment="1" applyProtection="1">
      <alignment horizontal="center" vertical="center" wrapText="1"/>
      <protection locked="0"/>
    </xf>
    <xf numFmtId="0" fontId="35" fillId="1" borderId="3" xfId="0" applyFont="1" applyFill="1" applyBorder="1" applyAlignment="1" applyProtection="1">
      <alignment horizontal="center" vertical="center" wrapText="1"/>
      <protection locked="0"/>
    </xf>
    <xf numFmtId="0" fontId="15" fillId="0" borderId="6" xfId="0" applyFont="1" applyBorder="1" applyAlignment="1" applyProtection="1">
      <alignment horizontal="center" vertical="center"/>
      <protection locked="0"/>
    </xf>
    <xf numFmtId="0" fontId="15" fillId="0" borderId="10" xfId="0" applyFont="1" applyBorder="1" applyProtection="1">
      <protection locked="0"/>
    </xf>
    <xf numFmtId="0" fontId="15" fillId="0" borderId="11" xfId="0" applyFont="1" applyBorder="1" applyProtection="1">
      <protection locked="0"/>
    </xf>
    <xf numFmtId="0" fontId="15" fillId="0" borderId="12" xfId="0" applyFont="1" applyBorder="1" applyProtection="1">
      <protection locked="0"/>
    </xf>
    <xf numFmtId="0" fontId="15" fillId="0" borderId="13" xfId="0" applyFont="1" applyBorder="1" applyProtection="1">
      <protection locked="0"/>
    </xf>
    <xf numFmtId="0" fontId="15" fillId="0" borderId="14" xfId="0" applyFont="1" applyBorder="1" applyProtection="1">
      <protection locked="0"/>
    </xf>
    <xf numFmtId="0" fontId="15" fillId="0" borderId="15" xfId="0" applyFont="1" applyBorder="1" applyProtection="1">
      <protection locked="0"/>
    </xf>
    <xf numFmtId="0" fontId="15" fillId="0" borderId="16" xfId="0" applyFont="1" applyBorder="1" applyProtection="1">
      <protection locked="0"/>
    </xf>
    <xf numFmtId="0" fontId="15" fillId="0" borderId="17" xfId="0" applyFont="1" applyBorder="1" applyProtection="1">
      <protection locked="0"/>
    </xf>
    <xf numFmtId="0" fontId="15" fillId="0" borderId="0" xfId="0" applyFont="1" applyAlignment="1" applyProtection="1">
      <alignment vertical="center" wrapText="1"/>
      <protection locked="0"/>
    </xf>
    <xf numFmtId="0" fontId="20" fillId="5" borderId="6" xfId="5" applyFont="1" applyFill="1" applyBorder="1" applyAlignment="1" applyProtection="1">
      <alignment horizontal="center" vertical="center" wrapText="1"/>
    </xf>
    <xf numFmtId="0" fontId="15" fillId="0" borderId="2" xfId="0" applyFont="1" applyBorder="1"/>
    <xf numFmtId="0" fontId="15" fillId="0" borderId="13" xfId="0" applyFont="1" applyBorder="1" applyAlignment="1" applyProtection="1">
      <alignment vertical="center" wrapText="1"/>
      <protection locked="0"/>
    </xf>
    <xf numFmtId="0" fontId="15" fillId="0" borderId="14" xfId="0" applyFont="1" applyBorder="1" applyAlignment="1" applyProtection="1">
      <alignment vertical="center" wrapText="1"/>
      <protection locked="0"/>
    </xf>
    <xf numFmtId="4" fontId="15" fillId="0" borderId="11" xfId="0" applyNumberFormat="1" applyFont="1" applyBorder="1"/>
    <xf numFmtId="0" fontId="15" fillId="3" borderId="0" xfId="0" applyFont="1" applyFill="1"/>
    <xf numFmtId="9" fontId="15" fillId="0" borderId="0" xfId="2" applyFont="1" applyFill="1" applyBorder="1" applyAlignment="1">
      <alignment horizontal="center"/>
    </xf>
    <xf numFmtId="3" fontId="11" fillId="0" borderId="0" xfId="0" applyNumberFormat="1" applyFont="1" applyAlignment="1">
      <alignment horizontal="center"/>
    </xf>
    <xf numFmtId="0" fontId="23" fillId="0" borderId="0" xfId="0" applyFont="1" applyAlignment="1">
      <alignment horizontal="center"/>
    </xf>
    <xf numFmtId="9" fontId="15" fillId="0" borderId="0" xfId="2" applyFont="1" applyFill="1" applyBorder="1"/>
    <xf numFmtId="3" fontId="23" fillId="0" borderId="0" xfId="0" applyNumberFormat="1" applyFont="1" applyAlignment="1">
      <alignment horizontal="center"/>
    </xf>
    <xf numFmtId="1" fontId="15" fillId="0" borderId="0" xfId="0" applyNumberFormat="1" applyFont="1"/>
    <xf numFmtId="0" fontId="24" fillId="0" borderId="0" xfId="0" applyFont="1" applyAlignment="1">
      <alignment horizontal="center"/>
    </xf>
    <xf numFmtId="3" fontId="11" fillId="0" borderId="0" xfId="0" applyNumberFormat="1" applyFont="1" applyAlignment="1">
      <alignment horizontal="right" indent="1"/>
    </xf>
    <xf numFmtId="1" fontId="11" fillId="0" borderId="0" xfId="0" applyNumberFormat="1" applyFont="1" applyAlignment="1">
      <alignment horizontal="right"/>
    </xf>
    <xf numFmtId="0" fontId="24" fillId="0" borderId="13" xfId="0" applyFont="1" applyBorder="1" applyAlignment="1">
      <alignment horizontal="left" vertical="top"/>
    </xf>
    <xf numFmtId="0" fontId="24" fillId="0" borderId="0" xfId="0" applyFont="1" applyAlignment="1">
      <alignment horizontal="left" vertical="top"/>
    </xf>
    <xf numFmtId="0" fontId="15" fillId="3" borderId="13" xfId="0" applyFont="1" applyFill="1" applyBorder="1"/>
    <xf numFmtId="0" fontId="15" fillId="3" borderId="14" xfId="0" applyFont="1" applyFill="1" applyBorder="1"/>
    <xf numFmtId="167" fontId="5" fillId="4" borderId="6" xfId="1" applyNumberFormat="1" applyFont="1" applyFill="1" applyBorder="1" applyAlignment="1">
      <alignment horizontal="right" vertical="center" wrapText="1" indent="2"/>
    </xf>
    <xf numFmtId="167" fontId="15" fillId="0" borderId="6" xfId="1" applyNumberFormat="1" applyFont="1" applyBorder="1" applyAlignment="1">
      <alignment horizontal="right" vertical="center" indent="2"/>
    </xf>
    <xf numFmtId="4" fontId="11" fillId="5" borderId="6" xfId="0" applyNumberFormat="1" applyFont="1" applyFill="1" applyBorder="1" applyAlignment="1">
      <alignment horizontal="center"/>
    </xf>
    <xf numFmtId="0" fontId="11" fillId="5" borderId="6" xfId="0" applyFont="1" applyFill="1" applyBorder="1" applyAlignment="1">
      <alignment horizontal="center"/>
    </xf>
    <xf numFmtId="0" fontId="20" fillId="5" borderId="6" xfId="0" applyFont="1" applyFill="1" applyBorder="1" applyAlignment="1">
      <alignment horizontal="center"/>
    </xf>
    <xf numFmtId="4" fontId="11" fillId="5" borderId="6" xfId="0" applyNumberFormat="1" applyFont="1" applyFill="1" applyBorder="1"/>
    <xf numFmtId="0" fontId="15" fillId="0" borderId="11" xfId="0" applyFont="1" applyBorder="1"/>
    <xf numFmtId="0" fontId="8" fillId="0" borderId="10" xfId="0" applyFont="1" applyBorder="1" applyProtection="1">
      <protection locked="0"/>
    </xf>
    <xf numFmtId="0" fontId="8" fillId="0" borderId="11" xfId="0" applyFont="1" applyBorder="1" applyProtection="1">
      <protection locked="0"/>
    </xf>
    <xf numFmtId="0" fontId="8" fillId="0" borderId="12" xfId="0" applyFont="1" applyBorder="1" applyProtection="1">
      <protection locked="0"/>
    </xf>
    <xf numFmtId="0" fontId="8" fillId="0" borderId="14" xfId="0" applyFont="1" applyBorder="1" applyProtection="1">
      <protection locked="0"/>
    </xf>
    <xf numFmtId="0" fontId="8" fillId="0" borderId="13" xfId="0" applyFont="1" applyBorder="1" applyProtection="1">
      <protection locked="0"/>
    </xf>
    <xf numFmtId="0" fontId="32" fillId="0" borderId="0" xfId="0" applyFont="1"/>
    <xf numFmtId="0" fontId="8" fillId="0" borderId="15" xfId="0" applyFont="1" applyBorder="1" applyProtection="1">
      <protection locked="0"/>
    </xf>
    <xf numFmtId="0" fontId="8" fillId="0" borderId="16" xfId="0" applyFont="1" applyBorder="1" applyProtection="1">
      <protection locked="0"/>
    </xf>
    <xf numFmtId="0" fontId="8" fillId="0" borderId="17" xfId="0" applyFont="1" applyBorder="1" applyProtection="1">
      <protection locked="0"/>
    </xf>
    <xf numFmtId="168" fontId="25" fillId="0" borderId="53" xfId="7" applyNumberFormat="1" applyFont="1" applyBorder="1" applyAlignment="1">
      <alignment horizontal="center" vertical="center" wrapText="1"/>
    </xf>
    <xf numFmtId="168" fontId="7" fillId="0" borderId="55" xfId="7" applyNumberFormat="1" applyFont="1" applyBorder="1"/>
    <xf numFmtId="168" fontId="7" fillId="0" borderId="55" xfId="7" applyNumberFormat="1" applyFont="1" applyBorder="1" applyAlignment="1">
      <alignment horizontal="right"/>
    </xf>
    <xf numFmtId="169" fontId="7" fillId="0" borderId="55" xfId="7" applyNumberFormat="1" applyFont="1" applyBorder="1" applyAlignment="1">
      <alignment horizontal="center"/>
    </xf>
    <xf numFmtId="0" fontId="25" fillId="0" borderId="11" xfId="6" applyFont="1" applyBorder="1"/>
    <xf numFmtId="0" fontId="7" fillId="0" borderId="11" xfId="6" applyBorder="1"/>
    <xf numFmtId="14" fontId="7" fillId="0" borderId="11" xfId="6" applyNumberFormat="1" applyBorder="1"/>
    <xf numFmtId="0" fontId="31" fillId="0" borderId="13" xfId="6" applyFont="1" applyBorder="1"/>
    <xf numFmtId="0" fontId="7" fillId="0" borderId="0" xfId="6"/>
    <xf numFmtId="14" fontId="7" fillId="0" borderId="0" xfId="6" applyNumberFormat="1"/>
    <xf numFmtId="0" fontId="11" fillId="0" borderId="0" xfId="0" applyFont="1" applyAlignment="1">
      <alignment horizontal="right"/>
    </xf>
    <xf numFmtId="0" fontId="42" fillId="0" borderId="0" xfId="0" applyFont="1" applyAlignment="1" applyProtection="1">
      <alignment vertical="center"/>
      <protection locked="0"/>
    </xf>
    <xf numFmtId="0" fontId="42" fillId="0" borderId="0" xfId="0" applyFont="1" applyProtection="1">
      <protection locked="0"/>
    </xf>
    <xf numFmtId="49" fontId="43" fillId="0" borderId="0" xfId="0" applyNumberFormat="1" applyFont="1" applyAlignment="1" applyProtection="1">
      <alignment horizontal="right"/>
      <protection locked="0"/>
    </xf>
    <xf numFmtId="0" fontId="43" fillId="0" borderId="0" xfId="0" applyFont="1" applyAlignment="1" applyProtection="1">
      <alignment horizontal="left"/>
      <protection locked="0"/>
    </xf>
    <xf numFmtId="49" fontId="42" fillId="0" borderId="0" xfId="0" applyNumberFormat="1" applyFont="1" applyAlignment="1" applyProtection="1">
      <alignment horizontal="right"/>
      <protection locked="0"/>
    </xf>
    <xf numFmtId="0" fontId="42" fillId="0" borderId="0" xfId="0" applyFont="1" applyAlignment="1" applyProtection="1">
      <alignment horizontal="left"/>
      <protection locked="0"/>
    </xf>
    <xf numFmtId="0" fontId="43" fillId="0" borderId="0" xfId="0" applyFont="1" applyAlignment="1" applyProtection="1">
      <alignment vertical="center"/>
      <protection locked="0"/>
    </xf>
    <xf numFmtId="14" fontId="42" fillId="0" borderId="0" xfId="0" applyNumberFormat="1" applyFont="1" applyAlignment="1" applyProtection="1">
      <alignment vertical="center"/>
      <protection locked="0"/>
    </xf>
    <xf numFmtId="0" fontId="42" fillId="0" borderId="0" xfId="0" applyFont="1" applyAlignment="1" applyProtection="1">
      <alignment horizontal="center" vertical="center"/>
      <protection locked="0"/>
    </xf>
    <xf numFmtId="49" fontId="42" fillId="0" borderId="0" xfId="0" applyNumberFormat="1" applyFont="1" applyAlignment="1" applyProtection="1">
      <alignment horizontal="center" vertical="center"/>
      <protection locked="0"/>
    </xf>
    <xf numFmtId="14" fontId="42" fillId="0" borderId="0" xfId="0" applyNumberFormat="1" applyFont="1" applyAlignment="1" applyProtection="1">
      <alignment horizontal="center" vertical="center"/>
      <protection locked="0"/>
    </xf>
    <xf numFmtId="0" fontId="43" fillId="0" borderId="11" xfId="0" applyFont="1" applyBorder="1" applyAlignment="1" applyProtection="1">
      <alignment vertical="center" wrapText="1"/>
      <protection locked="0"/>
    </xf>
    <xf numFmtId="0" fontId="42" fillId="0" borderId="10" xfId="0" applyFont="1" applyBorder="1" applyProtection="1">
      <protection locked="0"/>
    </xf>
    <xf numFmtId="0" fontId="42" fillId="0" borderId="11" xfId="0" applyFont="1" applyBorder="1" applyProtection="1">
      <protection locked="0"/>
    </xf>
    <xf numFmtId="0" fontId="42" fillId="0" borderId="12" xfId="0" applyFont="1" applyBorder="1" applyProtection="1">
      <protection locked="0"/>
    </xf>
    <xf numFmtId="0" fontId="47" fillId="0" borderId="13" xfId="0" applyFont="1" applyBorder="1" applyAlignment="1">
      <alignment horizontal="left"/>
    </xf>
    <xf numFmtId="0" fontId="42" fillId="0" borderId="14" xfId="0" applyFont="1" applyBorder="1" applyProtection="1">
      <protection locked="0"/>
    </xf>
    <xf numFmtId="0" fontId="42" fillId="0" borderId="13" xfId="0" applyFont="1" applyBorder="1" applyProtection="1">
      <protection locked="0"/>
    </xf>
    <xf numFmtId="0" fontId="42" fillId="0" borderId="15" xfId="0" applyFont="1" applyBorder="1" applyProtection="1">
      <protection locked="0"/>
    </xf>
    <xf numFmtId="0" fontId="42" fillId="0" borderId="16" xfId="0" applyFont="1" applyBorder="1" applyProtection="1">
      <protection locked="0"/>
    </xf>
    <xf numFmtId="0" fontId="42" fillId="0" borderId="17" xfId="0" applyFont="1" applyBorder="1" applyProtection="1">
      <protection locked="0"/>
    </xf>
    <xf numFmtId="0" fontId="48" fillId="0" borderId="0" xfId="0" applyFont="1" applyAlignment="1">
      <alignment horizontal="left"/>
    </xf>
    <xf numFmtId="0" fontId="42" fillId="0" borderId="0" xfId="0" applyFont="1"/>
    <xf numFmtId="0" fontId="43" fillId="0" borderId="0" xfId="0" applyFont="1" applyAlignment="1">
      <alignment horizontal="center"/>
    </xf>
    <xf numFmtId="0" fontId="49" fillId="0" borderId="0" xfId="0" applyFont="1" applyAlignment="1">
      <alignment horizontal="left" indent="1"/>
    </xf>
    <xf numFmtId="4" fontId="42" fillId="0" borderId="0" xfId="0" applyNumberFormat="1" applyFont="1"/>
    <xf numFmtId="0" fontId="42" fillId="0" borderId="13" xfId="0" applyFont="1" applyBorder="1"/>
    <xf numFmtId="0" fontId="42" fillId="0" borderId="31" xfId="0" applyFont="1" applyBorder="1"/>
    <xf numFmtId="16" fontId="42" fillId="0" borderId="31" xfId="0" applyNumberFormat="1" applyFont="1" applyBorder="1" applyAlignment="1">
      <alignment horizontal="right"/>
    </xf>
    <xf numFmtId="3" fontId="42" fillId="0" borderId="31" xfId="0" applyNumberFormat="1" applyFont="1" applyBorder="1" applyAlignment="1">
      <alignment horizontal="right" indent="2"/>
    </xf>
    <xf numFmtId="0" fontId="42" fillId="0" borderId="45" xfId="0" applyFont="1" applyBorder="1"/>
    <xf numFmtId="16" fontId="42" fillId="0" borderId="45" xfId="0" applyNumberFormat="1" applyFont="1" applyBorder="1" applyAlignment="1">
      <alignment horizontal="right"/>
    </xf>
    <xf numFmtId="3" fontId="42" fillId="0" borderId="45" xfId="0" applyNumberFormat="1" applyFont="1" applyBorder="1" applyAlignment="1">
      <alignment horizontal="right" indent="2"/>
    </xf>
    <xf numFmtId="0" fontId="43" fillId="0" borderId="13" xfId="0" applyFont="1" applyBorder="1"/>
    <xf numFmtId="3" fontId="42" fillId="0" borderId="0" xfId="0" applyNumberFormat="1" applyFont="1"/>
    <xf numFmtId="0" fontId="43" fillId="0" borderId="0" xfId="0" applyFont="1"/>
    <xf numFmtId="10" fontId="42" fillId="0" borderId="14" xfId="0" applyNumberFormat="1" applyFont="1" applyBorder="1" applyAlignment="1">
      <alignment horizontal="center"/>
    </xf>
    <xf numFmtId="10" fontId="43" fillId="0" borderId="0" xfId="0" applyNumberFormat="1" applyFont="1"/>
    <xf numFmtId="9" fontId="42" fillId="6" borderId="17" xfId="0" applyNumberFormat="1" applyFont="1" applyFill="1" applyBorder="1" applyAlignment="1">
      <alignment horizontal="center"/>
    </xf>
    <xf numFmtId="0" fontId="34" fillId="0" borderId="3" xfId="0" applyFont="1" applyBorder="1" applyAlignment="1" applyProtection="1">
      <alignment horizontal="center" vertical="center" wrapText="1"/>
      <protection locked="0"/>
    </xf>
    <xf numFmtId="0" fontId="11" fillId="0" borderId="0" xfId="0" applyFont="1" applyAlignment="1">
      <alignment horizontal="left"/>
    </xf>
    <xf numFmtId="168" fontId="25" fillId="5" borderId="6" xfId="7" applyNumberFormat="1" applyFont="1" applyFill="1" applyBorder="1" applyAlignment="1">
      <alignment horizontal="center" vertical="center" wrapText="1"/>
    </xf>
    <xf numFmtId="0" fontId="0" fillId="0" borderId="6" xfId="0" applyBorder="1" applyAlignment="1" applyProtection="1">
      <alignment horizontal="center" vertical="center"/>
      <protection locked="0"/>
    </xf>
    <xf numFmtId="0" fontId="52" fillId="1" borderId="3" xfId="0" applyFont="1" applyFill="1" applyBorder="1" applyAlignment="1" applyProtection="1">
      <alignment horizontal="center" vertical="center" wrapText="1"/>
      <protection locked="0"/>
    </xf>
    <xf numFmtId="0" fontId="0" fillId="0" borderId="0" xfId="0" applyProtection="1">
      <protection locked="0"/>
    </xf>
    <xf numFmtId="0" fontId="0" fillId="0" borderId="65" xfId="0" applyBorder="1" applyProtection="1">
      <protection locked="0"/>
    </xf>
    <xf numFmtId="0" fontId="0" fillId="0" borderId="66" xfId="0" applyBorder="1" applyProtection="1">
      <protection locked="0"/>
    </xf>
    <xf numFmtId="0" fontId="0" fillId="0" borderId="68" xfId="0" applyBorder="1" applyProtection="1">
      <protection locked="0"/>
    </xf>
    <xf numFmtId="0" fontId="55" fillId="0" borderId="0" xfId="0" applyFont="1" applyAlignment="1" applyProtection="1">
      <alignment horizontal="center" wrapText="1"/>
      <protection locked="0"/>
    </xf>
    <xf numFmtId="4" fontId="15" fillId="0" borderId="0" xfId="0" applyNumberFormat="1" applyFont="1" applyAlignment="1">
      <alignment horizontal="center" vertical="center"/>
    </xf>
    <xf numFmtId="0" fontId="4" fillId="0" borderId="0" xfId="0" applyFont="1"/>
    <xf numFmtId="0" fontId="4" fillId="0" borderId="13" xfId="0" applyFont="1" applyBorder="1"/>
    <xf numFmtId="3" fontId="4" fillId="0" borderId="28" xfId="0" applyNumberFormat="1" applyFont="1" applyBorder="1" applyAlignment="1">
      <alignment horizontal="right" vertical="center" indent="4"/>
    </xf>
    <xf numFmtId="3" fontId="4" fillId="0" borderId="0" xfId="0" applyNumberFormat="1" applyFont="1" applyAlignment="1">
      <alignment horizontal="right" vertical="center" indent="4"/>
    </xf>
    <xf numFmtId="167" fontId="15" fillId="0" borderId="54" xfId="1" applyNumberFormat="1" applyFont="1" applyFill="1" applyBorder="1" applyAlignment="1">
      <alignment horizontal="right" vertical="center" indent="3"/>
    </xf>
    <xf numFmtId="165" fontId="15" fillId="0" borderId="54" xfId="1" applyNumberFormat="1" applyFont="1" applyFill="1" applyBorder="1" applyAlignment="1">
      <alignment horizontal="right" vertical="center"/>
    </xf>
    <xf numFmtId="167" fontId="15" fillId="0" borderId="63" xfId="1" applyNumberFormat="1" applyFont="1" applyFill="1" applyBorder="1" applyAlignment="1">
      <alignment horizontal="right" vertical="center" indent="3"/>
    </xf>
    <xf numFmtId="165" fontId="15" fillId="0" borderId="63" xfId="1" applyNumberFormat="1" applyFont="1" applyFill="1" applyBorder="1" applyAlignment="1">
      <alignment horizontal="right" vertical="center"/>
    </xf>
    <xf numFmtId="0" fontId="15" fillId="0" borderId="0" xfId="0" applyFont="1" applyAlignment="1">
      <alignment horizontal="left" vertical="center"/>
    </xf>
    <xf numFmtId="167" fontId="15" fillId="0" borderId="0" xfId="1" applyNumberFormat="1" applyFont="1" applyFill="1" applyBorder="1" applyAlignment="1">
      <alignment horizontal="right" vertical="center" indent="3"/>
    </xf>
    <xf numFmtId="165" fontId="15" fillId="0" borderId="0" xfId="1" applyNumberFormat="1" applyFont="1" applyFill="1" applyBorder="1" applyAlignment="1">
      <alignment horizontal="right" vertical="center"/>
    </xf>
    <xf numFmtId="167" fontId="11" fillId="0" borderId="6" xfId="1" applyNumberFormat="1" applyFont="1" applyFill="1" applyBorder="1" applyAlignment="1">
      <alignment horizontal="right" vertical="center" indent="3"/>
    </xf>
    <xf numFmtId="0" fontId="27" fillId="0" borderId="13" xfId="0" applyFont="1" applyBorder="1" applyAlignment="1">
      <alignment horizontal="left"/>
    </xf>
    <xf numFmtId="3" fontId="4" fillId="5" borderId="28" xfId="0" applyNumberFormat="1" applyFont="1" applyFill="1" applyBorder="1" applyAlignment="1">
      <alignment horizontal="right" vertical="center" indent="4"/>
    </xf>
    <xf numFmtId="167" fontId="11" fillId="5" borderId="6" xfId="1" applyNumberFormat="1" applyFont="1" applyFill="1" applyBorder="1" applyAlignment="1">
      <alignment horizontal="right" vertical="center" indent="3"/>
    </xf>
    <xf numFmtId="9" fontId="11" fillId="5" borderId="6" xfId="2" applyFont="1" applyFill="1" applyBorder="1" applyAlignment="1">
      <alignment horizontal="right" vertical="center" indent="3"/>
    </xf>
    <xf numFmtId="0" fontId="27" fillId="0" borderId="10" xfId="0" applyFont="1" applyBorder="1" applyAlignment="1">
      <alignment horizontal="left"/>
    </xf>
    <xf numFmtId="0" fontId="4" fillId="0" borderId="11" xfId="0" applyFont="1" applyBorder="1"/>
    <xf numFmtId="165" fontId="15" fillId="0" borderId="15" xfId="1" applyNumberFormat="1" applyFont="1" applyFill="1" applyBorder="1" applyAlignment="1">
      <alignment horizontal="right" vertical="center"/>
    </xf>
    <xf numFmtId="165" fontId="15" fillId="0" borderId="16" xfId="1" applyNumberFormat="1" applyFont="1" applyFill="1" applyBorder="1" applyAlignment="1">
      <alignment horizontal="right" vertical="center"/>
    </xf>
    <xf numFmtId="172" fontId="15" fillId="0" borderId="16" xfId="0" applyNumberFormat="1" applyFont="1" applyBorder="1"/>
    <xf numFmtId="0" fontId="41" fillId="0" borderId="13" xfId="6" applyFont="1" applyBorder="1"/>
    <xf numFmtId="14" fontId="15" fillId="0" borderId="0" xfId="6" applyNumberFormat="1" applyFont="1"/>
    <xf numFmtId="0" fontId="15" fillId="0" borderId="53" xfId="6" applyFont="1" applyBorder="1"/>
    <xf numFmtId="168" fontId="11" fillId="5" borderId="6" xfId="7" applyNumberFormat="1" applyFont="1" applyFill="1" applyBorder="1" applyAlignment="1">
      <alignment horizontal="center" vertical="center" wrapText="1"/>
    </xf>
    <xf numFmtId="0" fontId="11" fillId="0" borderId="11" xfId="6" applyFont="1" applyBorder="1"/>
    <xf numFmtId="0" fontId="15" fillId="0" borderId="11" xfId="6" applyFont="1" applyBorder="1"/>
    <xf numFmtId="14" fontId="15" fillId="0" borderId="11" xfId="6" applyNumberFormat="1" applyFont="1" applyBorder="1"/>
    <xf numFmtId="0" fontId="15" fillId="0" borderId="53" xfId="6" applyFont="1" applyBorder="1" applyAlignment="1">
      <alignment horizontal="center"/>
    </xf>
    <xf numFmtId="170" fontId="15" fillId="0" borderId="53" xfId="2" applyNumberFormat="1" applyFont="1" applyBorder="1" applyAlignment="1">
      <alignment horizontal="center"/>
    </xf>
    <xf numFmtId="0" fontId="11" fillId="0" borderId="13" xfId="0" applyFont="1" applyBorder="1" applyProtection="1">
      <protection locked="0"/>
    </xf>
    <xf numFmtId="0" fontId="11" fillId="0" borderId="0" xfId="6" applyFont="1"/>
    <xf numFmtId="0" fontId="11" fillId="0" borderId="0" xfId="0" applyFont="1" applyProtection="1">
      <protection locked="0"/>
    </xf>
    <xf numFmtId="0" fontId="11" fillId="0" borderId="14" xfId="0" applyFont="1" applyBorder="1" applyProtection="1">
      <protection locked="0"/>
    </xf>
    <xf numFmtId="0" fontId="11" fillId="5" borderId="29" xfId="6" applyFont="1" applyFill="1" applyBorder="1" applyAlignment="1">
      <alignment horizontal="center" vertical="center" wrapText="1"/>
    </xf>
    <xf numFmtId="0" fontId="11" fillId="5" borderId="33" xfId="6" applyFont="1" applyFill="1" applyBorder="1" applyAlignment="1">
      <alignment horizontal="center" vertical="center" wrapText="1"/>
    </xf>
    <xf numFmtId="168" fontId="11" fillId="5" borderId="33" xfId="7" applyNumberFormat="1" applyFont="1" applyFill="1" applyBorder="1" applyAlignment="1">
      <alignment horizontal="center" vertical="center" wrapText="1"/>
    </xf>
    <xf numFmtId="0" fontId="15" fillId="0" borderId="72" xfId="6" applyFont="1" applyBorder="1" applyAlignment="1">
      <alignment horizontal="center"/>
    </xf>
    <xf numFmtId="170" fontId="15" fillId="0" borderId="72" xfId="2" applyNumberFormat="1" applyFont="1" applyBorder="1" applyAlignment="1">
      <alignment horizontal="center"/>
    </xf>
    <xf numFmtId="0" fontId="15" fillId="0" borderId="72" xfId="6" applyFont="1" applyBorder="1"/>
    <xf numFmtId="0" fontId="15" fillId="0" borderId="0" xfId="6" applyFont="1" applyAlignment="1">
      <alignment horizontal="center"/>
    </xf>
    <xf numFmtId="0" fontId="11" fillId="6" borderId="6" xfId="0" applyFont="1" applyFill="1" applyBorder="1" applyAlignment="1">
      <alignment horizontal="center" vertical="center" wrapText="1"/>
    </xf>
    <xf numFmtId="0" fontId="42" fillId="0" borderId="32" xfId="0" applyFont="1" applyBorder="1"/>
    <xf numFmtId="0" fontId="42" fillId="0" borderId="40" xfId="0" applyFont="1" applyBorder="1"/>
    <xf numFmtId="4" fontId="15" fillId="0" borderId="11" xfId="0" applyNumberFormat="1" applyFont="1" applyBorder="1" applyAlignment="1">
      <alignment horizontal="center" vertical="center"/>
    </xf>
    <xf numFmtId="0" fontId="15" fillId="0" borderId="0" xfId="0" applyFont="1" applyAlignment="1">
      <alignment horizontal="right" vertical="center"/>
    </xf>
    <xf numFmtId="165" fontId="11" fillId="0" borderId="13" xfId="1" applyNumberFormat="1" applyFont="1" applyFill="1" applyBorder="1" applyAlignment="1" applyProtection="1">
      <alignment horizontal="center" vertical="center"/>
    </xf>
    <xf numFmtId="165" fontId="11" fillId="0" borderId="0" xfId="1" applyNumberFormat="1" applyFont="1" applyFill="1" applyBorder="1" applyAlignment="1" applyProtection="1">
      <alignment horizontal="center" vertical="center"/>
    </xf>
    <xf numFmtId="165" fontId="11" fillId="0" borderId="0" xfId="1" applyNumberFormat="1" applyFont="1" applyFill="1" applyBorder="1"/>
    <xf numFmtId="4" fontId="15" fillId="0" borderId="0" xfId="0" applyNumberFormat="1" applyFont="1" applyAlignment="1">
      <alignment horizontal="right" indent="2"/>
    </xf>
    <xf numFmtId="165" fontId="15" fillId="0" borderId="14" xfId="1" applyNumberFormat="1" applyFont="1" applyFill="1" applyBorder="1" applyAlignment="1">
      <alignment horizontal="center"/>
    </xf>
    <xf numFmtId="0" fontId="3" fillId="0" borderId="13" xfId="0" applyFont="1" applyBorder="1"/>
    <xf numFmtId="14" fontId="11" fillId="5" borderId="6" xfId="0" applyNumberFormat="1" applyFont="1" applyFill="1" applyBorder="1" applyAlignment="1">
      <alignment horizontal="center" vertical="center"/>
    </xf>
    <xf numFmtId="0" fontId="11" fillId="5" borderId="6" xfId="0" applyFont="1" applyFill="1" applyBorder="1" applyAlignment="1">
      <alignment horizontal="center" vertical="center"/>
    </xf>
    <xf numFmtId="0" fontId="20" fillId="5" borderId="6" xfId="0" applyFont="1" applyFill="1" applyBorder="1" applyAlignment="1">
      <alignment horizontal="center" vertical="center"/>
    </xf>
    <xf numFmtId="167" fontId="15" fillId="0" borderId="53" xfId="1" applyNumberFormat="1" applyFont="1" applyFill="1" applyBorder="1" applyAlignment="1">
      <alignment horizontal="right" vertical="center" indent="3"/>
    </xf>
    <xf numFmtId="165" fontId="15" fillId="0" borderId="53" xfId="1" applyNumberFormat="1" applyFont="1" applyFill="1" applyBorder="1" applyAlignment="1">
      <alignment horizontal="right" vertical="center"/>
    </xf>
    <xf numFmtId="0" fontId="11" fillId="0" borderId="0" xfId="0" applyFont="1" applyAlignment="1">
      <alignment vertical="center"/>
    </xf>
    <xf numFmtId="0" fontId="11" fillId="0" borderId="0" xfId="0" applyFont="1" applyAlignment="1">
      <alignment horizontal="right" vertical="center"/>
    </xf>
    <xf numFmtId="0" fontId="15" fillId="0" borderId="59" xfId="0" applyFont="1" applyBorder="1" applyAlignment="1">
      <alignment horizontal="left"/>
    </xf>
    <xf numFmtId="0" fontId="15" fillId="0" borderId="60" xfId="0" applyFont="1" applyBorder="1" applyAlignment="1">
      <alignment horizontal="left"/>
    </xf>
    <xf numFmtId="0" fontId="15" fillId="0" borderId="61" xfId="0" applyFont="1" applyBorder="1" applyAlignment="1">
      <alignment horizontal="left"/>
    </xf>
    <xf numFmtId="166" fontId="15" fillId="0" borderId="53" xfId="1" applyNumberFormat="1" applyFont="1" applyFill="1" applyBorder="1" applyAlignment="1">
      <alignment horizontal="right" vertical="center"/>
    </xf>
    <xf numFmtId="166" fontId="15" fillId="0" borderId="54" xfId="1" applyNumberFormat="1" applyFont="1" applyFill="1" applyBorder="1" applyAlignment="1">
      <alignment horizontal="right" vertical="center"/>
    </xf>
    <xf numFmtId="166" fontId="15" fillId="0" borderId="63" xfId="1" applyNumberFormat="1" applyFont="1" applyFill="1" applyBorder="1" applyAlignment="1">
      <alignment horizontal="right" vertical="center"/>
    </xf>
    <xf numFmtId="171" fontId="40" fillId="0" borderId="53" xfId="0" applyNumberFormat="1" applyFont="1" applyBorder="1" applyAlignment="1">
      <alignment horizontal="center" vertical="center"/>
    </xf>
    <xf numFmtId="171" fontId="40" fillId="0" borderId="54" xfId="0" applyNumberFormat="1" applyFont="1" applyBorder="1" applyAlignment="1">
      <alignment horizontal="center" vertical="center"/>
    </xf>
    <xf numFmtId="171" fontId="40" fillId="0" borderId="63" xfId="0" applyNumberFormat="1" applyFont="1" applyBorder="1" applyAlignment="1">
      <alignment horizontal="center" vertical="center"/>
    </xf>
    <xf numFmtId="0" fontId="11" fillId="5" borderId="30" xfId="11" applyFont="1" applyFill="1" applyBorder="1" applyAlignment="1">
      <alignment horizontal="center" vertical="center"/>
    </xf>
    <xf numFmtId="165" fontId="5" fillId="4" borderId="6" xfId="1" applyNumberFormat="1" applyFont="1" applyFill="1" applyBorder="1" applyAlignment="1">
      <alignment horizontal="right" vertical="center" wrapText="1" indent="2"/>
    </xf>
    <xf numFmtId="165" fontId="15" fillId="0" borderId="6" xfId="1" applyNumberFormat="1" applyFont="1" applyBorder="1" applyAlignment="1">
      <alignment horizontal="right" vertical="center" indent="2"/>
    </xf>
    <xf numFmtId="165" fontId="5" fillId="5" borderId="6" xfId="1" applyNumberFormat="1" applyFont="1" applyFill="1" applyBorder="1" applyAlignment="1">
      <alignment horizontal="right" vertical="center" wrapText="1" indent="2"/>
    </xf>
    <xf numFmtId="167" fontId="11" fillId="5" borderId="6" xfId="10" applyNumberFormat="1" applyFont="1" applyFill="1" applyBorder="1" applyAlignment="1">
      <alignment horizontal="center"/>
    </xf>
    <xf numFmtId="170" fontId="11" fillId="5" borderId="6" xfId="2" applyNumberFormat="1" applyFont="1" applyFill="1" applyBorder="1"/>
    <xf numFmtId="165" fontId="15" fillId="0" borderId="48" xfId="1" applyNumberFormat="1" applyFont="1" applyBorder="1" applyAlignment="1">
      <alignment horizontal="right"/>
    </xf>
    <xf numFmtId="165" fontId="15" fillId="0" borderId="53" xfId="1" applyNumberFormat="1" applyFont="1" applyBorder="1" applyAlignment="1">
      <alignment horizontal="center"/>
    </xf>
    <xf numFmtId="0" fontId="11" fillId="5" borderId="5" xfId="6" applyFont="1" applyFill="1" applyBorder="1" applyAlignment="1">
      <alignment horizontal="center" vertical="center" wrapText="1"/>
    </xf>
    <xf numFmtId="0" fontId="11" fillId="5" borderId="6" xfId="6" applyFont="1" applyFill="1" applyBorder="1" applyAlignment="1">
      <alignment horizontal="center" vertical="center" wrapText="1"/>
    </xf>
    <xf numFmtId="0" fontId="25" fillId="0" borderId="0" xfId="6" applyFont="1"/>
    <xf numFmtId="0" fontId="25" fillId="0" borderId="1" xfId="6" applyFont="1" applyBorder="1"/>
    <xf numFmtId="0" fontId="11" fillId="0" borderId="13" xfId="0" applyFont="1" applyBorder="1" applyAlignment="1">
      <alignment horizontal="left"/>
    </xf>
    <xf numFmtId="14" fontId="42" fillId="0" borderId="32" xfId="0" applyNumberFormat="1" applyFont="1" applyBorder="1"/>
    <xf numFmtId="0" fontId="42" fillId="0" borderId="0" xfId="0" applyFont="1" applyAlignment="1" applyProtection="1">
      <alignment horizontal="center"/>
      <protection locked="0"/>
    </xf>
    <xf numFmtId="165" fontId="42" fillId="0" borderId="31" xfId="1" applyNumberFormat="1" applyFont="1" applyFill="1" applyBorder="1" applyAlignment="1">
      <alignment horizontal="right"/>
    </xf>
    <xf numFmtId="165" fontId="42" fillId="0" borderId="45" xfId="1" applyNumberFormat="1" applyFont="1" applyFill="1" applyBorder="1" applyAlignment="1">
      <alignment horizontal="right"/>
    </xf>
    <xf numFmtId="165" fontId="42" fillId="0" borderId="31" xfId="1" applyNumberFormat="1" applyFont="1" applyFill="1" applyBorder="1" applyAlignment="1">
      <alignment horizontal="right" indent="2"/>
    </xf>
    <xf numFmtId="165" fontId="42" fillId="6" borderId="31" xfId="1" applyNumberFormat="1" applyFont="1" applyFill="1" applyBorder="1" applyAlignment="1">
      <alignment horizontal="right" indent="2"/>
    </xf>
    <xf numFmtId="165" fontId="42" fillId="0" borderId="45" xfId="1" applyNumberFormat="1" applyFont="1" applyFill="1" applyBorder="1" applyAlignment="1">
      <alignment horizontal="right" indent="2"/>
    </xf>
    <xf numFmtId="165" fontId="42" fillId="6" borderId="45" xfId="1" applyNumberFormat="1" applyFont="1" applyFill="1" applyBorder="1" applyAlignment="1">
      <alignment horizontal="right" indent="2"/>
    </xf>
    <xf numFmtId="0" fontId="11" fillId="6" borderId="38" xfId="0" applyFont="1" applyFill="1" applyBorder="1" applyAlignment="1">
      <alignment horizontal="center" vertical="center" wrapText="1"/>
    </xf>
    <xf numFmtId="3" fontId="42" fillId="0" borderId="39" xfId="0" applyNumberFormat="1" applyFont="1" applyBorder="1" applyAlignment="1">
      <alignment horizontal="left" vertical="top"/>
    </xf>
    <xf numFmtId="3" fontId="42" fillId="0" borderId="62" xfId="0" applyNumberFormat="1" applyFont="1" applyBorder="1" applyAlignment="1">
      <alignment horizontal="left" vertical="top"/>
    </xf>
    <xf numFmtId="0" fontId="43" fillId="0" borderId="75" xfId="0" applyFont="1" applyBorder="1"/>
    <xf numFmtId="0" fontId="43" fillId="0" borderId="76" xfId="0" applyFont="1" applyBorder="1"/>
    <xf numFmtId="0" fontId="43" fillId="6" borderId="77" xfId="0" applyFont="1" applyFill="1" applyBorder="1" applyAlignment="1">
      <alignment horizontal="center" vertical="center" wrapText="1"/>
    </xf>
    <xf numFmtId="0" fontId="11" fillId="6" borderId="78" xfId="0" applyFont="1" applyFill="1" applyBorder="1" applyAlignment="1">
      <alignment horizontal="center" vertical="center" wrapText="1"/>
    </xf>
    <xf numFmtId="0" fontId="43" fillId="6" borderId="78" xfId="0" applyFont="1" applyFill="1" applyBorder="1" applyAlignment="1">
      <alignment horizontal="center" vertical="center" wrapText="1"/>
    </xf>
    <xf numFmtId="165" fontId="42" fillId="0" borderId="75" xfId="1" applyNumberFormat="1" applyFont="1" applyFill="1" applyBorder="1" applyAlignment="1">
      <alignment horizontal="right" indent="2"/>
    </xf>
    <xf numFmtId="165" fontId="42" fillId="6" borderId="44" xfId="1" applyNumberFormat="1" applyFont="1" applyFill="1" applyBorder="1" applyAlignment="1">
      <alignment horizontal="right" indent="2"/>
    </xf>
    <xf numFmtId="165" fontId="42" fillId="0" borderId="76" xfId="1" applyNumberFormat="1" applyFont="1" applyFill="1" applyBorder="1" applyAlignment="1">
      <alignment horizontal="right" indent="2"/>
    </xf>
    <xf numFmtId="165" fontId="42" fillId="6" borderId="47" xfId="1" applyNumberFormat="1" applyFont="1" applyFill="1" applyBorder="1" applyAlignment="1">
      <alignment horizontal="right" indent="2"/>
    </xf>
    <xf numFmtId="0" fontId="43" fillId="6" borderId="79" xfId="0" applyFont="1" applyFill="1" applyBorder="1" applyAlignment="1">
      <alignment horizontal="center" vertical="center" wrapText="1"/>
    </xf>
    <xf numFmtId="0" fontId="11" fillId="6" borderId="77" xfId="0" applyFont="1" applyFill="1" applyBorder="1" applyAlignment="1">
      <alignment horizontal="center" vertical="center" wrapText="1"/>
    </xf>
    <xf numFmtId="0" fontId="11" fillId="5" borderId="6" xfId="0" applyFont="1" applyFill="1" applyBorder="1" applyAlignment="1">
      <alignment vertical="center"/>
    </xf>
    <xf numFmtId="0" fontId="43" fillId="6" borderId="80" xfId="0" applyFont="1" applyFill="1" applyBorder="1" applyAlignment="1">
      <alignment horizontal="center" vertical="center" wrapText="1"/>
    </xf>
    <xf numFmtId="16" fontId="42" fillId="0" borderId="32" xfId="0" applyNumberFormat="1" applyFont="1" applyBorder="1" applyAlignment="1">
      <alignment horizontal="right"/>
    </xf>
    <xf numFmtId="16" fontId="42" fillId="0" borderId="40" xfId="0" applyNumberFormat="1" applyFont="1" applyBorder="1" applyAlignment="1">
      <alignment horizontal="right"/>
    </xf>
    <xf numFmtId="165" fontId="42" fillId="0" borderId="54" xfId="1" applyNumberFormat="1" applyFont="1" applyFill="1" applyBorder="1" applyAlignment="1">
      <alignment horizontal="right"/>
    </xf>
    <xf numFmtId="165" fontId="42" fillId="0" borderId="63" xfId="1" applyNumberFormat="1" applyFont="1" applyFill="1" applyBorder="1" applyAlignment="1">
      <alignment horizontal="right"/>
    </xf>
    <xf numFmtId="165" fontId="42" fillId="0" borderId="0" xfId="1" applyNumberFormat="1" applyFont="1" applyBorder="1"/>
    <xf numFmtId="165" fontId="42" fillId="6" borderId="12" xfId="1" applyNumberFormat="1" applyFont="1" applyFill="1" applyBorder="1" applyAlignment="1">
      <alignment horizontal="right" indent="2"/>
    </xf>
    <xf numFmtId="165" fontId="42" fillId="0" borderId="14" xfId="1" applyNumberFormat="1" applyFont="1" applyFill="1" applyBorder="1" applyAlignment="1">
      <alignment horizontal="right" indent="2"/>
    </xf>
    <xf numFmtId="165" fontId="15" fillId="0" borderId="0" xfId="1" applyNumberFormat="1" applyFont="1" applyFill="1" applyBorder="1" applyAlignment="1">
      <alignment horizontal="left"/>
    </xf>
    <xf numFmtId="165" fontId="11" fillId="5" borderId="6" xfId="1" applyNumberFormat="1" applyFont="1" applyFill="1" applyBorder="1" applyAlignment="1">
      <alignment horizontal="center" vertical="center"/>
    </xf>
    <xf numFmtId="165" fontId="20" fillId="0" borderId="35" xfId="1" applyNumberFormat="1" applyFont="1" applyFill="1" applyBorder="1" applyAlignment="1">
      <alignment horizontal="center" vertical="center" wrapText="1"/>
    </xf>
    <xf numFmtId="165" fontId="11" fillId="5" borderId="6" xfId="1" applyNumberFormat="1" applyFont="1" applyFill="1" applyBorder="1" applyAlignment="1">
      <alignment vertical="center"/>
    </xf>
    <xf numFmtId="0" fontId="15" fillId="0" borderId="0" xfId="0" applyFont="1" applyAlignment="1">
      <alignment vertical="center"/>
    </xf>
    <xf numFmtId="4" fontId="15" fillId="0" borderId="14" xfId="0" applyNumberFormat="1" applyFont="1" applyBorder="1" applyAlignment="1">
      <alignment vertical="center"/>
    </xf>
    <xf numFmtId="9" fontId="11" fillId="5" borderId="6" xfId="2" applyFont="1" applyFill="1" applyBorder="1" applyAlignment="1">
      <alignment vertical="center"/>
    </xf>
    <xf numFmtId="9" fontId="11" fillId="5" borderId="6" xfId="2" applyFont="1" applyFill="1" applyBorder="1" applyAlignment="1">
      <alignment horizontal="right" vertical="center"/>
    </xf>
    <xf numFmtId="165" fontId="15" fillId="0" borderId="53" xfId="1" applyNumberFormat="1" applyFont="1" applyFill="1" applyBorder="1" applyAlignment="1" applyProtection="1">
      <alignment vertical="center" wrapText="1"/>
    </xf>
    <xf numFmtId="170" fontId="15" fillId="0" borderId="53" xfId="2" applyNumberFormat="1" applyFont="1" applyFill="1" applyBorder="1" applyAlignment="1">
      <alignment vertical="center" wrapText="1"/>
    </xf>
    <xf numFmtId="0" fontId="15" fillId="0" borderId="53" xfId="2" applyNumberFormat="1" applyFont="1" applyFill="1" applyBorder="1" applyAlignment="1">
      <alignment horizontal="center" vertical="center" wrapText="1"/>
    </xf>
    <xf numFmtId="165" fontId="15" fillId="0" borderId="53" xfId="1" applyNumberFormat="1" applyFont="1" applyFill="1" applyBorder="1" applyAlignment="1">
      <alignment vertical="center" wrapText="1"/>
    </xf>
    <xf numFmtId="165" fontId="15" fillId="0" borderId="53" xfId="1" applyNumberFormat="1" applyFont="1" applyFill="1" applyBorder="1" applyAlignment="1" applyProtection="1">
      <alignment horizontal="right" vertical="center" wrapText="1"/>
    </xf>
    <xf numFmtId="9" fontId="15" fillId="0" borderId="53" xfId="2" applyFont="1" applyFill="1" applyBorder="1" applyAlignment="1" applyProtection="1">
      <alignment horizontal="center" vertical="center" wrapText="1"/>
    </xf>
    <xf numFmtId="0" fontId="15" fillId="0" borderId="0" xfId="0" applyFont="1" applyAlignment="1" applyProtection="1">
      <alignment wrapText="1"/>
      <protection locked="0"/>
    </xf>
    <xf numFmtId="165" fontId="15" fillId="0" borderId="54" xfId="1" applyNumberFormat="1" applyFont="1" applyFill="1" applyBorder="1" applyAlignment="1" applyProtection="1">
      <alignment vertical="center" wrapText="1"/>
    </xf>
    <xf numFmtId="170" fontId="15" fillId="0" borderId="54" xfId="2" applyNumberFormat="1" applyFont="1" applyFill="1" applyBorder="1" applyAlignment="1">
      <alignment vertical="center" wrapText="1"/>
    </xf>
    <xf numFmtId="0" fontId="15" fillId="0" borderId="54" xfId="2" applyNumberFormat="1" applyFont="1" applyFill="1" applyBorder="1" applyAlignment="1">
      <alignment horizontal="center" vertical="center" wrapText="1"/>
    </xf>
    <xf numFmtId="165" fontId="15" fillId="0" borderId="54" xfId="1" applyNumberFormat="1" applyFont="1" applyFill="1" applyBorder="1" applyAlignment="1">
      <alignment vertical="center" wrapText="1"/>
    </xf>
    <xf numFmtId="165" fontId="15" fillId="0" borderId="54" xfId="1" applyNumberFormat="1" applyFont="1" applyFill="1" applyBorder="1" applyAlignment="1" applyProtection="1">
      <alignment horizontal="right" vertical="center" wrapText="1"/>
    </xf>
    <xf numFmtId="9" fontId="15" fillId="0" borderId="54" xfId="2" applyFont="1" applyFill="1" applyBorder="1" applyAlignment="1" applyProtection="1">
      <alignment horizontal="center" vertical="center" wrapText="1"/>
    </xf>
    <xf numFmtId="165" fontId="15" fillId="0" borderId="63" xfId="1" applyNumberFormat="1" applyFont="1" applyFill="1" applyBorder="1" applyAlignment="1" applyProtection="1">
      <alignment vertical="center" wrapText="1"/>
    </xf>
    <xf numFmtId="170" fontId="15" fillId="0" borderId="63" xfId="2" applyNumberFormat="1" applyFont="1" applyFill="1" applyBorder="1" applyAlignment="1">
      <alignment vertical="center" wrapText="1"/>
    </xf>
    <xf numFmtId="0" fontId="15" fillId="0" borderId="63" xfId="2" applyNumberFormat="1" applyFont="1" applyFill="1" applyBorder="1" applyAlignment="1">
      <alignment horizontal="center" vertical="center" wrapText="1"/>
    </xf>
    <xf numFmtId="165" fontId="15" fillId="0" borderId="63" xfId="1" applyNumberFormat="1" applyFont="1" applyFill="1" applyBorder="1" applyAlignment="1">
      <alignment vertical="center" wrapText="1"/>
    </xf>
    <xf numFmtId="165" fontId="15" fillId="0" borderId="63" xfId="1" applyNumberFormat="1" applyFont="1" applyFill="1" applyBorder="1" applyAlignment="1" applyProtection="1">
      <alignment horizontal="right" vertical="center" wrapText="1"/>
    </xf>
    <xf numFmtId="9" fontId="15" fillId="0" borderId="63" xfId="2" applyFont="1" applyFill="1" applyBorder="1" applyAlignment="1" applyProtection="1">
      <alignment horizontal="center" vertical="center" wrapText="1"/>
    </xf>
    <xf numFmtId="165" fontId="20" fillId="0" borderId="39" xfId="1" applyNumberFormat="1" applyFont="1" applyFill="1" applyBorder="1" applyAlignment="1">
      <alignment horizontal="center" vertical="center" wrapText="1"/>
    </xf>
    <xf numFmtId="0" fontId="20" fillId="0" borderId="39" xfId="1" applyNumberFormat="1" applyFont="1" applyFill="1" applyBorder="1" applyAlignment="1">
      <alignment horizontal="center" vertical="center" wrapText="1"/>
    </xf>
    <xf numFmtId="0" fontId="20" fillId="0" borderId="62" xfId="1" applyNumberFormat="1" applyFont="1" applyFill="1" applyBorder="1" applyAlignment="1">
      <alignment horizontal="center" vertical="center" wrapText="1"/>
    </xf>
    <xf numFmtId="0" fontId="16" fillId="0" borderId="81" xfId="0" applyFont="1" applyBorder="1" applyAlignment="1" applyProtection="1">
      <alignment horizontal="left" vertical="center"/>
      <protection locked="0"/>
    </xf>
    <xf numFmtId="14" fontId="16" fillId="0" borderId="82" xfId="0" applyNumberFormat="1" applyFont="1" applyBorder="1" applyAlignment="1" applyProtection="1">
      <alignment horizontal="left" vertical="center"/>
      <protection locked="0"/>
    </xf>
    <xf numFmtId="0" fontId="17" fillId="0" borderId="0" xfId="0" applyFont="1" applyAlignment="1" applyProtection="1">
      <alignment horizontal="center" vertical="center"/>
      <protection locked="0"/>
    </xf>
    <xf numFmtId="0" fontId="20" fillId="0" borderId="0" xfId="0" applyFont="1" applyAlignment="1" applyProtection="1">
      <alignment horizontal="center"/>
      <protection locked="0"/>
    </xf>
    <xf numFmtId="9" fontId="11" fillId="0" borderId="0" xfId="2" applyFont="1" applyFill="1" applyBorder="1" applyAlignment="1">
      <alignment horizontal="center" vertical="center"/>
    </xf>
    <xf numFmtId="0" fontId="15" fillId="0" borderId="18" xfId="0" applyFont="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14" fontId="23" fillId="0" borderId="15" xfId="0" applyNumberFormat="1" applyFont="1" applyBorder="1" applyAlignment="1" applyProtection="1">
      <alignment vertical="center"/>
      <protection locked="0"/>
    </xf>
    <xf numFmtId="0" fontId="23" fillId="0" borderId="17" xfId="0" applyFont="1" applyBorder="1" applyAlignment="1" applyProtection="1">
      <alignment vertical="center"/>
      <protection locked="0"/>
    </xf>
    <xf numFmtId="0" fontId="15" fillId="0" borderId="10" xfId="0" applyFont="1" applyBorder="1" applyAlignment="1" applyProtection="1">
      <alignment vertical="center"/>
      <protection locked="0"/>
    </xf>
    <xf numFmtId="0" fontId="15" fillId="0" borderId="12" xfId="0" applyFont="1" applyBorder="1" applyAlignment="1" applyProtection="1">
      <alignment vertical="center"/>
      <protection locked="0"/>
    </xf>
    <xf numFmtId="0" fontId="15" fillId="0" borderId="18" xfId="0" applyFont="1" applyBorder="1" applyAlignment="1" applyProtection="1">
      <alignment vertical="center" wrapText="1"/>
      <protection locked="0"/>
    </xf>
    <xf numFmtId="0" fontId="15" fillId="0" borderId="9" xfId="0" applyFont="1" applyBorder="1" applyAlignment="1" applyProtection="1">
      <alignment vertical="center" wrapText="1"/>
      <protection locked="0"/>
    </xf>
    <xf numFmtId="0" fontId="15" fillId="0" borderId="4" xfId="0" applyFont="1" applyBorder="1" applyAlignment="1" applyProtection="1">
      <alignment vertical="center" wrapText="1"/>
      <protection locked="0"/>
    </xf>
    <xf numFmtId="165" fontId="15" fillId="0" borderId="18" xfId="10" applyNumberFormat="1" applyFont="1" applyFill="1" applyBorder="1" applyAlignment="1" applyProtection="1">
      <alignment vertical="center" wrapText="1"/>
      <protection locked="0"/>
    </xf>
    <xf numFmtId="165" fontId="15" fillId="0" borderId="9" xfId="10" applyNumberFormat="1" applyFont="1" applyFill="1" applyBorder="1" applyAlignment="1" applyProtection="1">
      <alignment vertical="center" wrapText="1"/>
      <protection locked="0"/>
    </xf>
    <xf numFmtId="0" fontId="15" fillId="0" borderId="4" xfId="0" applyFont="1" applyBorder="1" applyAlignment="1" applyProtection="1">
      <alignment vertical="center"/>
      <protection locked="0"/>
    </xf>
    <xf numFmtId="0" fontId="15" fillId="0" borderId="16" xfId="0" applyFont="1" applyBorder="1" applyAlignment="1" applyProtection="1">
      <alignment vertical="center"/>
      <protection locked="0"/>
    </xf>
    <xf numFmtId="0" fontId="11" fillId="0" borderId="0" xfId="0" applyFont="1" applyAlignment="1">
      <alignment horizontal="center"/>
    </xf>
    <xf numFmtId="3" fontId="26" fillId="0" borderId="0" xfId="12" applyNumberFormat="1" applyFont="1" applyAlignment="1">
      <alignment horizontal="left" vertical="center" wrapText="1"/>
    </xf>
    <xf numFmtId="0" fontId="11" fillId="0" borderId="6" xfId="0" applyFont="1" applyBorder="1" applyAlignment="1">
      <alignment horizontal="center" vertical="center"/>
    </xf>
    <xf numFmtId="0" fontId="11" fillId="0" borderId="6" xfId="5" applyFont="1" applyBorder="1" applyAlignment="1" applyProtection="1">
      <alignment horizontal="center" vertical="center"/>
    </xf>
    <xf numFmtId="0" fontId="11" fillId="5" borderId="6" xfId="0" applyFont="1" applyFill="1" applyBorder="1" applyAlignment="1">
      <alignment horizontal="center" vertical="center" wrapText="1"/>
    </xf>
    <xf numFmtId="165" fontId="15" fillId="0" borderId="60" xfId="1" quotePrefix="1" applyNumberFormat="1" applyFont="1" applyFill="1" applyBorder="1" applyAlignment="1" applyProtection="1">
      <alignment horizontal="left" vertical="center" wrapText="1"/>
    </xf>
    <xf numFmtId="3" fontId="39" fillId="0" borderId="0" xfId="0" applyNumberFormat="1" applyFont="1" applyAlignment="1">
      <alignment horizontal="center"/>
    </xf>
    <xf numFmtId="3" fontId="15" fillId="0" borderId="0" xfId="0" applyNumberFormat="1" applyFont="1"/>
    <xf numFmtId="3" fontId="15" fillId="0" borderId="0" xfId="0" applyNumberFormat="1" applyFont="1" applyAlignment="1">
      <alignment horizontal="left"/>
    </xf>
    <xf numFmtId="166" fontId="15" fillId="0" borderId="0" xfId="1" applyNumberFormat="1" applyFont="1" applyFill="1" applyBorder="1" applyAlignment="1">
      <alignment horizontal="left" indent="1"/>
    </xf>
    <xf numFmtId="166" fontId="15" fillId="0" borderId="0" xfId="1" applyNumberFormat="1" applyFont="1" applyFill="1" applyBorder="1" applyAlignment="1">
      <alignment horizontal="center"/>
    </xf>
    <xf numFmtId="0" fontId="11" fillId="0" borderId="13" xfId="0" applyFont="1" applyBorder="1"/>
    <xf numFmtId="14" fontId="11" fillId="0" borderId="0" xfId="0" applyNumberFormat="1" applyFont="1" applyAlignment="1">
      <alignment horizontal="center"/>
    </xf>
    <xf numFmtId="165" fontId="15" fillId="0" borderId="0" xfId="1" applyNumberFormat="1" applyFont="1" applyFill="1" applyBorder="1" applyAlignment="1">
      <alignment horizontal="right" indent="1"/>
    </xf>
    <xf numFmtId="165" fontId="11" fillId="0" borderId="0" xfId="1" applyNumberFormat="1" applyFont="1" applyFill="1" applyBorder="1" applyAlignment="1">
      <alignment horizontal="right" indent="1"/>
    </xf>
    <xf numFmtId="165" fontId="11" fillId="0" borderId="0" xfId="1" applyNumberFormat="1" applyFont="1" applyFill="1" applyBorder="1" applyAlignment="1">
      <alignment horizontal="center"/>
    </xf>
    <xf numFmtId="0" fontId="7" fillId="0" borderId="0" xfId="14"/>
    <xf numFmtId="0" fontId="25" fillId="9" borderId="10" xfId="14" applyFont="1" applyFill="1" applyBorder="1"/>
    <xf numFmtId="0" fontId="25" fillId="9" borderId="12" xfId="14" applyFont="1" applyFill="1" applyBorder="1" applyAlignment="1">
      <alignment horizontal="center"/>
    </xf>
    <xf numFmtId="0" fontId="7" fillId="8" borderId="13" xfId="14" applyFill="1" applyBorder="1"/>
    <xf numFmtId="173" fontId="0" fillId="8" borderId="14" xfId="1" applyNumberFormat="1" applyFont="1" applyFill="1" applyBorder="1" applyAlignment="1">
      <alignment horizontal="center"/>
    </xf>
    <xf numFmtId="0" fontId="7" fillId="0" borderId="13" xfId="14" applyBorder="1"/>
    <xf numFmtId="0" fontId="7" fillId="0" borderId="14" xfId="14" applyBorder="1" applyAlignment="1">
      <alignment horizontal="center"/>
    </xf>
    <xf numFmtId="173" fontId="0" fillId="0" borderId="85" xfId="1" applyNumberFormat="1" applyFont="1" applyBorder="1" applyAlignment="1">
      <alignment horizontal="center"/>
    </xf>
    <xf numFmtId="173" fontId="0" fillId="0" borderId="14" xfId="1" applyNumberFormat="1" applyFont="1" applyBorder="1" applyAlignment="1">
      <alignment horizontal="center"/>
    </xf>
    <xf numFmtId="0" fontId="25" fillId="9" borderId="13" xfId="14" applyFont="1" applyFill="1" applyBorder="1"/>
    <xf numFmtId="173" fontId="0" fillId="9" borderId="14" xfId="1" applyNumberFormat="1" applyFont="1" applyFill="1" applyBorder="1" applyAlignment="1">
      <alignment horizontal="center"/>
    </xf>
    <xf numFmtId="173" fontId="7" fillId="0" borderId="14" xfId="1" applyNumberFormat="1" applyFont="1" applyBorder="1" applyAlignment="1">
      <alignment horizontal="center"/>
    </xf>
    <xf numFmtId="0" fontId="25" fillId="0" borderId="13" xfId="14" applyFont="1" applyBorder="1"/>
    <xf numFmtId="173" fontId="7" fillId="8" borderId="14" xfId="1" applyNumberFormat="1" applyFont="1" applyFill="1" applyBorder="1" applyAlignment="1">
      <alignment horizontal="center"/>
    </xf>
    <xf numFmtId="0" fontId="25" fillId="0" borderId="13" xfId="14" applyFont="1" applyBorder="1" applyAlignment="1">
      <alignment horizontal="left" vertical="center"/>
    </xf>
    <xf numFmtId="173" fontId="7" fillId="8" borderId="14" xfId="1" applyNumberFormat="1" applyFont="1" applyFill="1" applyBorder="1" applyAlignment="1">
      <alignment horizontal="center" vertical="center"/>
    </xf>
    <xf numFmtId="0" fontId="25" fillId="9" borderId="15" xfId="14" applyFont="1" applyFill="1" applyBorder="1"/>
    <xf numFmtId="173" fontId="25" fillId="9" borderId="17" xfId="14" applyNumberFormat="1" applyFont="1" applyFill="1" applyBorder="1" applyAlignment="1">
      <alignment horizontal="center"/>
    </xf>
    <xf numFmtId="0" fontId="0" fillId="8" borderId="13" xfId="14" applyFont="1" applyFill="1" applyBorder="1" applyAlignment="1">
      <alignment vertical="center" wrapText="1"/>
    </xf>
    <xf numFmtId="0" fontId="25" fillId="0" borderId="16" xfId="14" applyFont="1" applyBorder="1"/>
    <xf numFmtId="0" fontId="25" fillId="0" borderId="0" xfId="14" applyFont="1"/>
    <xf numFmtId="0" fontId="0" fillId="8" borderId="13" xfId="14" applyFont="1" applyFill="1" applyBorder="1"/>
    <xf numFmtId="4" fontId="11" fillId="0" borderId="13" xfId="0" applyNumberFormat="1" applyFont="1" applyBorder="1"/>
    <xf numFmtId="4" fontId="11" fillId="0" borderId="0" xfId="0" applyNumberFormat="1" applyFont="1"/>
    <xf numFmtId="165" fontId="15" fillId="0" borderId="0" xfId="1" applyNumberFormat="1" applyFont="1" applyFill="1" applyBorder="1" applyAlignment="1"/>
    <xf numFmtId="4" fontId="15" fillId="0" borderId="13" xfId="0" applyNumberFormat="1" applyFont="1" applyBorder="1"/>
    <xf numFmtId="4" fontId="15" fillId="0" borderId="15" xfId="0" applyNumberFormat="1" applyFont="1" applyBorder="1"/>
    <xf numFmtId="4" fontId="15" fillId="0" borderId="16" xfId="0" applyNumberFormat="1" applyFont="1" applyBorder="1"/>
    <xf numFmtId="0" fontId="15" fillId="0" borderId="16" xfId="0" applyFont="1" applyBorder="1"/>
    <xf numFmtId="14" fontId="11" fillId="0" borderId="10" xfId="0" applyNumberFormat="1" applyFont="1" applyBorder="1" applyAlignment="1" applyProtection="1">
      <alignment vertical="center"/>
      <protection locked="0"/>
    </xf>
    <xf numFmtId="14" fontId="11" fillId="0" borderId="11" xfId="0" applyNumberFormat="1" applyFont="1" applyBorder="1" applyAlignment="1" applyProtection="1">
      <alignment vertical="center"/>
      <protection locked="0"/>
    </xf>
    <xf numFmtId="14" fontId="11" fillId="0" borderId="12" xfId="0" applyNumberFormat="1" applyFont="1" applyBorder="1" applyAlignment="1" applyProtection="1">
      <alignment vertical="center"/>
      <protection locked="0"/>
    </xf>
    <xf numFmtId="14" fontId="11" fillId="0" borderId="13" xfId="0" applyNumberFormat="1" applyFont="1" applyBorder="1" applyAlignment="1" applyProtection="1">
      <alignment vertical="center"/>
      <protection locked="0"/>
    </xf>
    <xf numFmtId="14" fontId="11" fillId="0" borderId="0" xfId="0" applyNumberFormat="1" applyFont="1" applyAlignment="1" applyProtection="1">
      <alignment vertical="center"/>
      <protection locked="0"/>
    </xf>
    <xf numFmtId="14" fontId="11" fillId="0" borderId="14" xfId="0" applyNumberFormat="1" applyFont="1" applyBorder="1" applyAlignment="1" applyProtection="1">
      <alignment vertical="center"/>
      <protection locked="0"/>
    </xf>
    <xf numFmtId="0" fontId="15" fillId="0" borderId="81" xfId="0" applyFont="1" applyBorder="1" applyAlignment="1" applyProtection="1">
      <alignment horizontal="left" vertical="center"/>
      <protection locked="0"/>
    </xf>
    <xf numFmtId="14" fontId="15" fillId="0" borderId="82" xfId="0" applyNumberFormat="1" applyFont="1" applyBorder="1" applyAlignment="1" applyProtection="1">
      <alignment horizontal="left" vertical="center"/>
      <protection locked="0"/>
    </xf>
    <xf numFmtId="0" fontId="15" fillId="3" borderId="6" xfId="0" applyFont="1" applyFill="1" applyBorder="1" applyAlignment="1">
      <alignment vertical="center"/>
    </xf>
    <xf numFmtId="0" fontId="15" fillId="3" borderId="6" xfId="0" applyFont="1" applyFill="1" applyBorder="1" applyAlignment="1">
      <alignment horizontal="center" vertical="center" wrapText="1"/>
    </xf>
    <xf numFmtId="9" fontId="23" fillId="3" borderId="6" xfId="2" applyFont="1" applyFill="1" applyBorder="1" applyAlignment="1">
      <alignment horizontal="center" vertical="center" wrapText="1"/>
    </xf>
    <xf numFmtId="0" fontId="15" fillId="3" borderId="6" xfId="0" applyFont="1" applyFill="1" applyBorder="1" applyAlignment="1">
      <alignment vertical="center" wrapText="1"/>
    </xf>
    <xf numFmtId="0" fontId="23" fillId="3" borderId="6" xfId="0" applyFont="1" applyFill="1" applyBorder="1" applyAlignment="1">
      <alignment horizontal="center" vertical="center" wrapText="1"/>
    </xf>
    <xf numFmtId="0" fontId="15" fillId="8" borderId="6" xfId="0" applyFont="1" applyFill="1" applyBorder="1" applyAlignment="1">
      <alignment vertical="center" wrapText="1"/>
    </xf>
    <xf numFmtId="0" fontId="15" fillId="8" borderId="6" xfId="0" applyFont="1" applyFill="1" applyBorder="1" applyAlignment="1">
      <alignment horizontal="center" vertical="center" wrapText="1"/>
    </xf>
    <xf numFmtId="0" fontId="23" fillId="8" borderId="6" xfId="0" applyFont="1" applyFill="1" applyBorder="1" applyAlignment="1">
      <alignment horizontal="center" vertical="center" wrapText="1"/>
    </xf>
    <xf numFmtId="0" fontId="20" fillId="8" borderId="6" xfId="0" applyFont="1" applyFill="1" applyBorder="1" applyAlignment="1">
      <alignment horizontal="center" vertical="center" wrapText="1"/>
    </xf>
    <xf numFmtId="0" fontId="15" fillId="3" borderId="6" xfId="0" applyFont="1" applyFill="1" applyBorder="1" applyAlignment="1">
      <alignment horizontal="center" vertical="center"/>
    </xf>
    <xf numFmtId="0" fontId="23" fillId="3" borderId="6" xfId="0" applyFont="1" applyFill="1" applyBorder="1" applyAlignment="1">
      <alignment horizontal="center" vertical="center"/>
    </xf>
    <xf numFmtId="0" fontId="15" fillId="8" borderId="6" xfId="0" applyFont="1" applyFill="1" applyBorder="1" applyAlignment="1">
      <alignment vertical="center"/>
    </xf>
    <xf numFmtId="0" fontId="15" fillId="3" borderId="0" xfId="0" applyFont="1" applyFill="1" applyAlignment="1">
      <alignment horizontal="center" vertical="center"/>
    </xf>
    <xf numFmtId="0" fontId="20" fillId="8" borderId="6" xfId="0" applyFont="1" applyFill="1" applyBorder="1" applyAlignment="1">
      <alignment horizontal="center" vertical="center"/>
    </xf>
    <xf numFmtId="0" fontId="20" fillId="3" borderId="6" xfId="0" applyFont="1" applyFill="1" applyBorder="1" applyAlignment="1">
      <alignment horizontal="center" vertical="center"/>
    </xf>
    <xf numFmtId="0" fontId="15" fillId="3" borderId="30" xfId="0" applyFont="1" applyFill="1" applyBorder="1" applyAlignment="1">
      <alignment vertical="center"/>
    </xf>
    <xf numFmtId="168" fontId="15" fillId="3" borderId="14" xfId="0" applyNumberFormat="1" applyFont="1" applyFill="1" applyBorder="1" applyAlignment="1">
      <alignment horizontal="right" vertical="center"/>
    </xf>
    <xf numFmtId="10" fontId="15" fillId="3" borderId="14" xfId="0" applyNumberFormat="1" applyFont="1" applyFill="1" applyBorder="1" applyAlignment="1">
      <alignment horizontal="right" vertical="center"/>
    </xf>
    <xf numFmtId="0" fontId="15" fillId="3" borderId="0" xfId="0" applyFont="1" applyFill="1" applyAlignment="1">
      <alignment horizontal="right"/>
    </xf>
    <xf numFmtId="165" fontId="15" fillId="0" borderId="0" xfId="10" applyNumberFormat="1" applyFont="1" applyFill="1" applyBorder="1" applyAlignment="1">
      <alignment vertical="center"/>
    </xf>
    <xf numFmtId="166" fontId="15" fillId="0" borderId="1" xfId="10" applyNumberFormat="1" applyFont="1" applyBorder="1" applyAlignment="1" applyProtection="1">
      <protection locked="0"/>
    </xf>
    <xf numFmtId="166" fontId="15" fillId="0" borderId="0" xfId="10" applyNumberFormat="1" applyFont="1" applyBorder="1" applyAlignment="1" applyProtection="1">
      <protection locked="0"/>
    </xf>
    <xf numFmtId="165" fontId="15" fillId="5" borderId="6" xfId="1" applyNumberFormat="1" applyFont="1" applyFill="1" applyBorder="1" applyAlignment="1"/>
    <xf numFmtId="165" fontId="29" fillId="0" borderId="6" xfId="1" quotePrefix="1" applyNumberFormat="1" applyFont="1" applyFill="1" applyBorder="1" applyAlignment="1" applyProtection="1">
      <alignment vertical="center"/>
    </xf>
    <xf numFmtId="9" fontId="15" fillId="5" borderId="6" xfId="2" applyFont="1" applyFill="1" applyBorder="1" applyAlignment="1" applyProtection="1">
      <alignment vertical="center"/>
    </xf>
    <xf numFmtId="0" fontId="11" fillId="5" borderId="6" xfId="2" applyNumberFormat="1" applyFont="1" applyFill="1" applyBorder="1" applyAlignment="1" applyProtection="1">
      <alignment vertical="center"/>
    </xf>
    <xf numFmtId="0" fontId="15" fillId="0" borderId="74" xfId="0" applyFont="1" applyBorder="1"/>
    <xf numFmtId="165" fontId="11" fillId="0" borderId="5" xfId="0" applyNumberFormat="1" applyFont="1" applyBorder="1" applyAlignment="1">
      <alignment vertical="top"/>
    </xf>
    <xf numFmtId="0" fontId="11" fillId="0" borderId="6" xfId="0" applyFont="1" applyBorder="1"/>
    <xf numFmtId="0" fontId="11" fillId="0" borderId="36" xfId="0" applyFont="1" applyBorder="1"/>
    <xf numFmtId="0" fontId="0" fillId="0" borderId="13" xfId="14" applyFont="1" applyBorder="1"/>
    <xf numFmtId="0" fontId="33" fillId="4" borderId="0" xfId="0" applyFont="1" applyFill="1" applyAlignment="1">
      <alignment vertical="center" wrapText="1"/>
    </xf>
    <xf numFmtId="0" fontId="33" fillId="4" borderId="6" xfId="0" applyFont="1" applyFill="1" applyBorder="1" applyAlignment="1">
      <alignment horizontal="center" vertical="center" wrapText="1"/>
    </xf>
    <xf numFmtId="0" fontId="15" fillId="0" borderId="24" xfId="6" applyFont="1" applyBorder="1"/>
    <xf numFmtId="0" fontId="15" fillId="0" borderId="43" xfId="6" applyFont="1" applyBorder="1"/>
    <xf numFmtId="0" fontId="11" fillId="5" borderId="19" xfId="6" applyFont="1" applyFill="1" applyBorder="1" applyAlignment="1">
      <alignment vertical="center" wrapText="1"/>
    </xf>
    <xf numFmtId="0" fontId="11" fillId="0" borderId="0" xfId="6" applyFont="1" applyAlignment="1">
      <alignment vertical="center" wrapText="1"/>
    </xf>
    <xf numFmtId="167" fontId="11" fillId="5" borderId="5" xfId="10" applyNumberFormat="1" applyFont="1" applyFill="1" applyBorder="1" applyAlignment="1">
      <alignment horizontal="center"/>
    </xf>
    <xf numFmtId="0" fontId="11" fillId="5" borderId="89" xfId="6" applyFont="1" applyFill="1" applyBorder="1" applyAlignment="1">
      <alignment horizontal="center" vertical="center" wrapText="1"/>
    </xf>
    <xf numFmtId="0" fontId="11" fillId="0" borderId="36" xfId="6" applyFont="1" applyBorder="1" applyAlignment="1">
      <alignment vertical="center" wrapText="1"/>
    </xf>
    <xf numFmtId="0" fontId="15" fillId="0" borderId="36" xfId="6" applyFont="1" applyBorder="1"/>
    <xf numFmtId="0" fontId="11" fillId="5" borderId="6" xfId="6" applyFont="1" applyFill="1" applyBorder="1" applyAlignment="1">
      <alignment vertical="center" wrapText="1"/>
    </xf>
    <xf numFmtId="0" fontId="11" fillId="0" borderId="6" xfId="6" applyFont="1" applyBorder="1"/>
    <xf numFmtId="0" fontId="15" fillId="8" borderId="86" xfId="0" applyFont="1" applyFill="1" applyBorder="1" applyAlignment="1">
      <alignment vertical="center" wrapText="1"/>
    </xf>
    <xf numFmtId="168" fontId="15" fillId="3" borderId="3" xfId="0" applyNumberFormat="1" applyFont="1" applyFill="1" applyBorder="1" applyAlignment="1">
      <alignment vertical="center"/>
    </xf>
    <xf numFmtId="173" fontId="15" fillId="3" borderId="3" xfId="1" applyNumberFormat="1" applyFont="1" applyFill="1" applyBorder="1" applyAlignment="1">
      <alignment vertical="center"/>
    </xf>
    <xf numFmtId="10" fontId="15" fillId="3" borderId="3" xfId="0" applyNumberFormat="1" applyFont="1" applyFill="1" applyBorder="1" applyAlignment="1">
      <alignment vertical="center"/>
    </xf>
    <xf numFmtId="9" fontId="15" fillId="3" borderId="1" xfId="2" applyFont="1" applyFill="1" applyBorder="1" applyAlignment="1"/>
    <xf numFmtId="173" fontId="15" fillId="3" borderId="6" xfId="1" applyNumberFormat="1" applyFont="1" applyFill="1" applyBorder="1" applyAlignment="1">
      <alignment vertical="center"/>
    </xf>
    <xf numFmtId="10" fontId="15" fillId="3" borderId="0" xfId="0" applyNumberFormat="1" applyFont="1" applyFill="1" applyAlignment="1">
      <alignment vertical="center"/>
    </xf>
    <xf numFmtId="10" fontId="15" fillId="3" borderId="6" xfId="0" applyNumberFormat="1" applyFont="1" applyFill="1" applyBorder="1" applyAlignment="1">
      <alignment vertical="center"/>
    </xf>
    <xf numFmtId="168" fontId="15" fillId="3" borderId="6" xfId="0" applyNumberFormat="1" applyFont="1" applyFill="1" applyBorder="1" applyAlignment="1">
      <alignment vertical="center"/>
    </xf>
    <xf numFmtId="0" fontId="15" fillId="0" borderId="6" xfId="6" applyFont="1" applyBorder="1"/>
    <xf numFmtId="167" fontId="11" fillId="5" borderId="33" xfId="10" applyNumberFormat="1" applyFont="1" applyFill="1" applyBorder="1" applyAlignment="1">
      <alignment horizontal="center"/>
    </xf>
    <xf numFmtId="170" fontId="11" fillId="5" borderId="33" xfId="2" applyNumberFormat="1" applyFont="1" applyFill="1" applyBorder="1"/>
    <xf numFmtId="0" fontId="8" fillId="0" borderId="37" xfId="0" applyFont="1" applyBorder="1" applyProtection="1">
      <protection locked="0"/>
    </xf>
    <xf numFmtId="168" fontId="25" fillId="5" borderId="22" xfId="7" applyNumberFormat="1" applyFont="1" applyFill="1" applyBorder="1" applyAlignment="1">
      <alignment vertical="center" wrapText="1"/>
    </xf>
    <xf numFmtId="168" fontId="7" fillId="5" borderId="74" xfId="6" applyNumberFormat="1" applyFill="1" applyBorder="1"/>
    <xf numFmtId="0" fontId="7" fillId="5" borderId="90" xfId="6" applyFill="1" applyBorder="1"/>
    <xf numFmtId="0" fontId="7" fillId="5" borderId="6" xfId="6" applyFill="1" applyBorder="1"/>
    <xf numFmtId="3" fontId="15" fillId="5" borderId="3" xfId="0" applyNumberFormat="1" applyFont="1" applyFill="1" applyBorder="1"/>
    <xf numFmtId="3" fontId="15" fillId="0" borderId="92" xfId="0" applyNumberFormat="1" applyFont="1" applyBorder="1"/>
    <xf numFmtId="4" fontId="11" fillId="5" borderId="3" xfId="0" applyNumberFormat="1" applyFont="1" applyFill="1" applyBorder="1" applyAlignment="1">
      <alignment vertical="center"/>
    </xf>
    <xf numFmtId="165" fontId="15" fillId="0" borderId="60" xfId="1" quotePrefix="1" applyNumberFormat="1" applyFont="1" applyFill="1" applyBorder="1" applyAlignment="1" applyProtection="1">
      <alignment vertical="center" wrapText="1"/>
    </xf>
    <xf numFmtId="165" fontId="15" fillId="0" borderId="59" xfId="1" applyNumberFormat="1" applyFont="1" applyFill="1" applyBorder="1" applyAlignment="1" applyProtection="1">
      <alignment vertical="center" wrapText="1"/>
    </xf>
    <xf numFmtId="0" fontId="15" fillId="0" borderId="54" xfId="2" applyNumberFormat="1" applyFont="1" applyFill="1" applyBorder="1" applyAlignment="1" applyProtection="1">
      <alignment horizontal="center" vertical="center" wrapText="1"/>
    </xf>
    <xf numFmtId="0" fontId="15" fillId="0" borderId="14" xfId="0" applyFont="1" applyBorder="1" applyAlignment="1" applyProtection="1">
      <alignment horizontal="center" vertical="center"/>
      <protection locked="0"/>
    </xf>
    <xf numFmtId="0" fontId="15" fillId="0" borderId="14" xfId="0" applyFont="1" applyBorder="1" applyAlignment="1" applyProtection="1">
      <alignment wrapText="1"/>
      <protection locked="0"/>
    </xf>
    <xf numFmtId="0" fontId="15" fillId="0" borderId="49" xfId="0" applyFont="1" applyBorder="1" applyAlignment="1">
      <alignment vertical="center"/>
    </xf>
    <xf numFmtId="0" fontId="15" fillId="0" borderId="48" xfId="0" applyFont="1" applyBorder="1" applyAlignment="1">
      <alignment vertical="center"/>
    </xf>
    <xf numFmtId="0" fontId="15" fillId="0" borderId="50" xfId="0" applyFont="1" applyBorder="1" applyAlignment="1">
      <alignment vertical="center"/>
    </xf>
    <xf numFmtId="0" fontId="0" fillId="0" borderId="0" xfId="14" applyFont="1"/>
    <xf numFmtId="0" fontId="59" fillId="0" borderId="0" xfId="14" applyFont="1"/>
    <xf numFmtId="0" fontId="61" fillId="8" borderId="13" xfId="14" applyFont="1" applyFill="1" applyBorder="1"/>
    <xf numFmtId="0" fontId="59" fillId="0" borderId="0" xfId="14" applyFont="1" applyAlignment="1">
      <alignment vertical="center"/>
    </xf>
    <xf numFmtId="0" fontId="8" fillId="0" borderId="6" xfId="3" applyFont="1" applyBorder="1" applyAlignment="1">
      <alignment horizontal="left" vertical="center"/>
    </xf>
    <xf numFmtId="0" fontId="8" fillId="0" borderId="6" xfId="3" applyFont="1" applyBorder="1" applyAlignment="1">
      <alignment horizontal="left" vertical="center" wrapText="1"/>
    </xf>
    <xf numFmtId="0" fontId="8" fillId="0" borderId="6" xfId="3" applyFont="1" applyBorder="1" applyAlignment="1">
      <alignment horizontal="center" vertical="center"/>
    </xf>
    <xf numFmtId="165" fontId="8" fillId="0" borderId="6" xfId="1" applyNumberFormat="1" applyFont="1" applyBorder="1" applyAlignment="1">
      <alignment horizontal="center" vertical="center"/>
    </xf>
    <xf numFmtId="165" fontId="8" fillId="0" borderId="3" xfId="1" applyNumberFormat="1" applyFont="1" applyBorder="1" applyAlignment="1">
      <alignment horizontal="center" vertical="center"/>
    </xf>
    <xf numFmtId="0" fontId="15" fillId="0" borderId="3" xfId="6" applyFont="1" applyBorder="1" applyAlignment="1">
      <alignment horizontal="right"/>
    </xf>
    <xf numFmtId="14" fontId="20" fillId="0" borderId="5" xfId="6" applyNumberFormat="1" applyFont="1" applyBorder="1"/>
    <xf numFmtId="165" fontId="15" fillId="0" borderId="0" xfId="1" applyNumberFormat="1" applyFont="1" applyBorder="1"/>
    <xf numFmtId="14" fontId="20" fillId="0" borderId="0" xfId="6" applyNumberFormat="1" applyFont="1" applyAlignment="1">
      <alignment horizontal="center"/>
    </xf>
    <xf numFmtId="0" fontId="20" fillId="0" borderId="0" xfId="6" applyFont="1" applyAlignment="1">
      <alignment horizontal="center"/>
    </xf>
    <xf numFmtId="165" fontId="15" fillId="0" borderId="0" xfId="0" applyNumberFormat="1" applyFont="1" applyProtection="1">
      <protection locked="0"/>
    </xf>
    <xf numFmtId="0" fontId="15" fillId="0" borderId="6" xfId="6" applyFont="1" applyBorder="1" applyAlignment="1">
      <alignment vertical="center"/>
    </xf>
    <xf numFmtId="0" fontId="20" fillId="0" borderId="6" xfId="6" applyFont="1" applyBorder="1" applyAlignment="1">
      <alignment vertical="center"/>
    </xf>
    <xf numFmtId="0" fontId="7" fillId="0" borderId="6" xfId="0" applyFont="1" applyBorder="1" applyAlignment="1">
      <alignment vertical="center"/>
    </xf>
    <xf numFmtId="165" fontId="15" fillId="0" borderId="5" xfId="1" applyNumberFormat="1" applyFont="1" applyBorder="1" applyAlignment="1">
      <alignment vertical="center"/>
    </xf>
    <xf numFmtId="165" fontId="15" fillId="0" borderId="6" xfId="1" applyNumberFormat="1" applyFont="1" applyBorder="1" applyAlignment="1">
      <alignment horizontal="center" vertical="center"/>
    </xf>
    <xf numFmtId="170" fontId="15" fillId="0" borderId="6" xfId="2" applyNumberFormat="1" applyFont="1" applyBorder="1" applyAlignment="1">
      <alignment horizontal="center" vertical="center"/>
    </xf>
    <xf numFmtId="14" fontId="25" fillId="0" borderId="53" xfId="7" applyNumberFormat="1" applyFont="1" applyBorder="1" applyAlignment="1">
      <alignment horizontal="center" vertical="center" wrapText="1"/>
    </xf>
    <xf numFmtId="0" fontId="8" fillId="0" borderId="43" xfId="0" applyFont="1" applyBorder="1" applyAlignment="1" applyProtection="1">
      <alignment vertical="center"/>
      <protection locked="0"/>
    </xf>
    <xf numFmtId="0" fontId="8" fillId="0" borderId="14" xfId="0" applyFont="1" applyBorder="1" applyAlignment="1" applyProtection="1">
      <alignment vertical="center"/>
      <protection locked="0"/>
    </xf>
    <xf numFmtId="16" fontId="15" fillId="0" borderId="31" xfId="0" applyNumberFormat="1" applyFont="1" applyBorder="1" applyAlignment="1">
      <alignment horizontal="right"/>
    </xf>
    <xf numFmtId="3" fontId="15" fillId="0" borderId="39" xfId="0" applyNumberFormat="1" applyFont="1" applyBorder="1" applyAlignment="1">
      <alignment horizontal="left" vertical="top"/>
    </xf>
    <xf numFmtId="3" fontId="15" fillId="0" borderId="39" xfId="0" applyNumberFormat="1" applyFont="1" applyBorder="1" applyAlignment="1">
      <alignment horizontal="left" vertical="top" wrapText="1"/>
    </xf>
    <xf numFmtId="10" fontId="8" fillId="0" borderId="0" xfId="2" applyNumberFormat="1" applyFont="1" applyProtection="1">
      <protection locked="0"/>
    </xf>
    <xf numFmtId="0" fontId="63" fillId="10" borderId="0" xfId="0" applyFont="1" applyFill="1" applyProtection="1">
      <protection locked="0"/>
    </xf>
    <xf numFmtId="9" fontId="63" fillId="10" borderId="0" xfId="0" applyNumberFormat="1" applyFont="1" applyFill="1" applyProtection="1">
      <protection locked="0"/>
    </xf>
    <xf numFmtId="10" fontId="63" fillId="10" borderId="0" xfId="2" applyNumberFormat="1" applyFont="1" applyFill="1" applyProtection="1">
      <protection locked="0"/>
    </xf>
    <xf numFmtId="165" fontId="15" fillId="0" borderId="6" xfId="1" applyNumberFormat="1" applyFont="1" applyBorder="1" applyAlignment="1">
      <alignment horizontal="center"/>
    </xf>
    <xf numFmtId="0" fontId="15" fillId="0" borderId="3" xfId="6" applyFont="1" applyBorder="1" applyAlignment="1">
      <alignment horizontal="center"/>
    </xf>
    <xf numFmtId="0" fontId="15" fillId="0" borderId="4" xfId="6" applyFont="1" applyBorder="1" applyAlignment="1">
      <alignment horizontal="center"/>
    </xf>
    <xf numFmtId="0" fontId="15" fillId="0" borderId="23" xfId="6" applyFont="1" applyBorder="1" applyAlignment="1">
      <alignment horizontal="center"/>
    </xf>
    <xf numFmtId="14" fontId="19" fillId="0" borderId="13" xfId="0" applyNumberFormat="1" applyFont="1" applyBorder="1" applyAlignment="1" applyProtection="1">
      <alignment horizontal="center" vertical="center"/>
      <protection locked="0"/>
    </xf>
    <xf numFmtId="14" fontId="19" fillId="0" borderId="0" xfId="0" applyNumberFormat="1" applyFont="1" applyAlignment="1" applyProtection="1">
      <alignment horizontal="center" vertical="center"/>
      <protection locked="0"/>
    </xf>
    <xf numFmtId="14" fontId="19" fillId="0" borderId="14" xfId="0" applyNumberFormat="1" applyFont="1" applyBorder="1" applyAlignment="1" applyProtection="1">
      <alignment horizontal="center" vertical="center"/>
      <protection locked="0"/>
    </xf>
    <xf numFmtId="14" fontId="19" fillId="0" borderId="15" xfId="0" applyNumberFormat="1" applyFont="1" applyBorder="1" applyAlignment="1" applyProtection="1">
      <alignment horizontal="center" vertical="center"/>
      <protection locked="0"/>
    </xf>
    <xf numFmtId="14" fontId="19" fillId="0" borderId="16" xfId="0" applyNumberFormat="1" applyFont="1" applyBorder="1" applyAlignment="1" applyProtection="1">
      <alignment horizontal="center" vertical="center"/>
      <protection locked="0"/>
    </xf>
    <xf numFmtId="14" fontId="19" fillId="0" borderId="17" xfId="0" applyNumberFormat="1" applyFont="1" applyBorder="1" applyAlignment="1" applyProtection="1">
      <alignment horizontal="center" vertical="center"/>
      <protection locked="0"/>
    </xf>
    <xf numFmtId="49" fontId="21" fillId="0" borderId="10" xfId="0" applyNumberFormat="1" applyFont="1" applyBorder="1" applyAlignment="1" applyProtection="1">
      <alignment horizontal="center" vertical="center"/>
      <protection locked="0"/>
    </xf>
    <xf numFmtId="49" fontId="21" fillId="0" borderId="11" xfId="0" applyNumberFormat="1" applyFont="1" applyBorder="1" applyAlignment="1" applyProtection="1">
      <alignment horizontal="center" vertical="center"/>
      <protection locked="0"/>
    </xf>
    <xf numFmtId="49" fontId="21" fillId="0" borderId="12" xfId="0" applyNumberFormat="1" applyFont="1" applyBorder="1" applyAlignment="1" applyProtection="1">
      <alignment horizontal="center" vertical="center"/>
      <protection locked="0"/>
    </xf>
    <xf numFmtId="49" fontId="21" fillId="0" borderId="15" xfId="0" applyNumberFormat="1" applyFont="1" applyBorder="1" applyAlignment="1" applyProtection="1">
      <alignment horizontal="center" vertical="center"/>
      <protection locked="0"/>
    </xf>
    <xf numFmtId="49" fontId="21" fillId="0" borderId="16" xfId="0" applyNumberFormat="1" applyFont="1" applyBorder="1" applyAlignment="1" applyProtection="1">
      <alignment horizontal="center" vertical="center"/>
      <protection locked="0"/>
    </xf>
    <xf numFmtId="49" fontId="21" fillId="0" borderId="17" xfId="0" applyNumberFormat="1" applyFont="1" applyBorder="1" applyAlignment="1" applyProtection="1">
      <alignment horizontal="center" vertical="center"/>
      <protection locked="0"/>
    </xf>
    <xf numFmtId="0" fontId="9" fillId="0" borderId="11" xfId="0" applyFont="1" applyBorder="1" applyAlignment="1" applyProtection="1">
      <alignment horizontal="center" vertical="center"/>
      <protection locked="0"/>
    </xf>
    <xf numFmtId="0" fontId="9" fillId="0" borderId="12" xfId="0" applyFont="1" applyBorder="1" applyAlignment="1" applyProtection="1">
      <alignment horizontal="center" vertical="center"/>
      <protection locked="0"/>
    </xf>
    <xf numFmtId="0" fontId="17" fillId="0" borderId="16" xfId="0" applyFont="1" applyBorder="1" applyAlignment="1" applyProtection="1">
      <alignment horizontal="center" vertical="center"/>
      <protection locked="0"/>
    </xf>
    <xf numFmtId="0" fontId="17" fillId="0" borderId="17" xfId="0" applyFont="1" applyBorder="1" applyAlignment="1" applyProtection="1">
      <alignment horizontal="center" vertical="center"/>
      <protection locked="0"/>
    </xf>
    <xf numFmtId="0" fontId="11" fillId="0" borderId="7" xfId="0" applyFont="1" applyBorder="1" applyAlignment="1" applyProtection="1">
      <alignment horizontal="left" vertical="center" wrapText="1" indent="2"/>
      <protection locked="0"/>
    </xf>
    <xf numFmtId="0" fontId="11" fillId="0" borderId="8" xfId="0" applyFont="1" applyBorder="1" applyAlignment="1" applyProtection="1">
      <alignment horizontal="left" vertical="center" wrapText="1" indent="2"/>
      <protection locked="0"/>
    </xf>
    <xf numFmtId="0" fontId="11" fillId="0" borderId="7" xfId="0" applyFont="1" applyBorder="1" applyAlignment="1" applyProtection="1">
      <alignment horizontal="center" vertical="center" wrapText="1"/>
      <protection locked="0"/>
    </xf>
    <xf numFmtId="0" fontId="11" fillId="0" borderId="8" xfId="0" applyFont="1" applyBorder="1" applyAlignment="1" applyProtection="1">
      <alignment horizontal="center" vertical="center" wrapText="1"/>
      <protection locked="0"/>
    </xf>
    <xf numFmtId="0" fontId="11" fillId="0" borderId="10" xfId="0" applyFont="1" applyBorder="1" applyAlignment="1" applyProtection="1">
      <alignment horizontal="center" vertical="center"/>
      <protection locked="0"/>
    </xf>
    <xf numFmtId="0" fontId="11" fillId="0" borderId="12" xfId="0" applyFont="1" applyBorder="1" applyAlignment="1" applyProtection="1">
      <alignment horizontal="center" vertical="center"/>
      <protection locked="0"/>
    </xf>
    <xf numFmtId="0" fontId="11" fillId="0" borderId="10" xfId="0" applyFont="1" applyBorder="1" applyAlignment="1" applyProtection="1">
      <alignment horizontal="center"/>
      <protection locked="0"/>
    </xf>
    <xf numFmtId="0" fontId="11" fillId="0" borderId="12" xfId="0" applyFont="1" applyBorder="1" applyAlignment="1" applyProtection="1">
      <alignment horizontal="center"/>
      <protection locked="0"/>
    </xf>
    <xf numFmtId="0" fontId="11" fillId="0" borderId="11" xfId="0" applyFont="1" applyBorder="1" applyAlignment="1" applyProtection="1">
      <alignment horizontal="center" wrapText="1"/>
      <protection locked="0"/>
    </xf>
    <xf numFmtId="0" fontId="11" fillId="0" borderId="12" xfId="0" applyFont="1" applyBorder="1" applyAlignment="1" applyProtection="1">
      <alignment horizontal="center" wrapText="1"/>
      <protection locked="0"/>
    </xf>
    <xf numFmtId="0" fontId="20" fillId="0" borderId="22" xfId="0" applyFont="1" applyBorder="1" applyAlignment="1" applyProtection="1">
      <alignment horizontal="center" vertical="center"/>
      <protection locked="0"/>
    </xf>
    <xf numFmtId="0" fontId="20" fillId="0" borderId="23" xfId="0" applyFont="1" applyBorder="1" applyAlignment="1" applyProtection="1">
      <alignment horizontal="center" vertical="center"/>
      <protection locked="0"/>
    </xf>
    <xf numFmtId="0" fontId="15" fillId="0" borderId="22" xfId="0" applyFont="1" applyBorder="1" applyAlignment="1" applyProtection="1">
      <alignment horizontal="center" vertical="center"/>
      <protection locked="0"/>
    </xf>
    <xf numFmtId="0" fontId="15" fillId="0" borderId="23" xfId="0" applyFont="1" applyBorder="1" applyAlignment="1" applyProtection="1">
      <alignment horizontal="center" vertical="center"/>
      <protection locked="0"/>
    </xf>
    <xf numFmtId="0" fontId="29" fillId="0" borderId="4" xfId="5" applyFont="1" applyFill="1" applyBorder="1" applyAlignment="1" applyProtection="1">
      <alignment horizontal="left" vertical="center"/>
      <protection locked="0"/>
    </xf>
    <xf numFmtId="0" fontId="29" fillId="0" borderId="23" xfId="5" applyFont="1" applyFill="1" applyBorder="1" applyAlignment="1" applyProtection="1">
      <alignment horizontal="left" vertical="center"/>
      <protection locked="0"/>
    </xf>
    <xf numFmtId="0" fontId="15" fillId="0" borderId="84" xfId="0" applyFont="1" applyBorder="1" applyAlignment="1" applyProtection="1">
      <alignment horizontal="center" vertical="center"/>
      <protection locked="0"/>
    </xf>
    <xf numFmtId="0" fontId="15" fillId="0" borderId="83" xfId="0" applyFont="1" applyBorder="1" applyAlignment="1" applyProtection="1">
      <alignment horizontal="center" vertical="center"/>
      <protection locked="0"/>
    </xf>
    <xf numFmtId="14" fontId="18" fillId="0" borderId="13" xfId="0" applyNumberFormat="1" applyFont="1" applyBorder="1" applyAlignment="1" applyProtection="1">
      <alignment horizontal="center" vertical="center" wrapText="1"/>
      <protection locked="0"/>
    </xf>
    <xf numFmtId="0" fontId="0" fillId="0" borderId="0" xfId="0" applyAlignment="1">
      <alignment horizontal="center" vertical="center" wrapText="1"/>
    </xf>
    <xf numFmtId="0" fontId="0" fillId="0" borderId="14" xfId="0" applyBorder="1" applyAlignment="1">
      <alignment horizontal="center" vertical="center" wrapText="1"/>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7" xfId="0" applyBorder="1" applyAlignment="1">
      <alignment horizontal="center" vertical="center" wrapText="1"/>
    </xf>
    <xf numFmtId="0" fontId="20" fillId="0" borderId="24" xfId="0" applyFont="1" applyBorder="1" applyAlignment="1" applyProtection="1">
      <alignment horizontal="left" vertical="top" wrapText="1"/>
      <protection locked="0"/>
    </xf>
    <xf numFmtId="0" fontId="15" fillId="0" borderId="25" xfId="0" applyFont="1" applyBorder="1" applyAlignment="1" applyProtection="1">
      <alignment horizontal="left" vertical="top" wrapText="1"/>
      <protection locked="0"/>
    </xf>
    <xf numFmtId="0" fontId="15" fillId="0" borderId="26" xfId="0" applyFont="1" applyBorder="1" applyAlignment="1" applyProtection="1">
      <alignment horizontal="left" vertical="top" wrapText="1"/>
      <protection locked="0"/>
    </xf>
    <xf numFmtId="0" fontId="11" fillId="0" borderId="19" xfId="0" applyFont="1" applyBorder="1" applyAlignment="1" applyProtection="1">
      <alignment horizontal="center"/>
      <protection locked="0"/>
    </xf>
    <xf numFmtId="0" fontId="11" fillId="0" borderId="20" xfId="0" applyFont="1" applyBorder="1" applyAlignment="1" applyProtection="1">
      <alignment horizontal="center"/>
      <protection locked="0"/>
    </xf>
    <xf numFmtId="0" fontId="11" fillId="0" borderId="21" xfId="0" applyFont="1" applyBorder="1" applyAlignment="1" applyProtection="1">
      <alignment horizontal="center"/>
      <protection locked="0"/>
    </xf>
    <xf numFmtId="0" fontId="15" fillId="0" borderId="15" xfId="0" applyFont="1" applyBorder="1" applyAlignment="1" applyProtection="1">
      <alignment horizontal="left" vertical="top" wrapText="1"/>
      <protection locked="0"/>
    </xf>
    <xf numFmtId="0" fontId="15" fillId="0" borderId="16" xfId="0" applyFont="1" applyBorder="1" applyAlignment="1" applyProtection="1">
      <alignment horizontal="left" vertical="top"/>
      <protection locked="0"/>
    </xf>
    <xf numFmtId="0" fontId="15" fillId="0" borderId="17" xfId="0" applyFont="1" applyBorder="1" applyAlignment="1" applyProtection="1">
      <alignment horizontal="left" vertical="top"/>
      <protection locked="0"/>
    </xf>
    <xf numFmtId="0" fontId="11" fillId="0" borderId="19" xfId="0" applyFont="1" applyBorder="1" applyAlignment="1" applyProtection="1">
      <alignment horizontal="left"/>
      <protection locked="0"/>
    </xf>
    <xf numFmtId="0" fontId="11" fillId="0" borderId="20" xfId="0" applyFont="1" applyBorder="1" applyAlignment="1" applyProtection="1">
      <alignment horizontal="left"/>
      <protection locked="0"/>
    </xf>
    <xf numFmtId="0" fontId="11" fillId="0" borderId="21" xfId="0" applyFont="1" applyBorder="1" applyAlignment="1" applyProtection="1">
      <alignment horizontal="left"/>
      <protection locked="0"/>
    </xf>
    <xf numFmtId="0" fontId="11" fillId="0" borderId="25" xfId="0" applyFont="1" applyBorder="1" applyAlignment="1" applyProtection="1">
      <alignment horizontal="left" vertical="center"/>
      <protection locked="0"/>
    </xf>
    <xf numFmtId="0" fontId="11" fillId="0" borderId="26" xfId="0" applyFont="1" applyBorder="1" applyAlignment="1" applyProtection="1">
      <alignment horizontal="left" vertical="center"/>
      <protection locked="0"/>
    </xf>
    <xf numFmtId="0" fontId="20" fillId="0" borderId="15" xfId="0" applyFont="1" applyBorder="1" applyAlignment="1" applyProtection="1">
      <alignment horizontal="center" vertical="center"/>
      <protection locked="0"/>
    </xf>
    <xf numFmtId="0" fontId="20" fillId="0" borderId="17" xfId="0" applyFont="1" applyBorder="1" applyAlignment="1" applyProtection="1">
      <alignment horizontal="center" vertical="center"/>
      <protection locked="0"/>
    </xf>
    <xf numFmtId="0" fontId="15" fillId="0" borderId="15" xfId="0" applyFont="1" applyBorder="1" applyAlignment="1" applyProtection="1">
      <alignment horizontal="center" vertical="center"/>
      <protection locked="0"/>
    </xf>
    <xf numFmtId="0" fontId="15" fillId="0" borderId="17" xfId="0" applyFont="1" applyBorder="1" applyAlignment="1" applyProtection="1">
      <alignment horizontal="center" vertical="center"/>
      <protection locked="0"/>
    </xf>
    <xf numFmtId="0" fontId="15" fillId="0" borderId="18" xfId="0" applyFont="1" applyBorder="1" applyAlignment="1" applyProtection="1">
      <alignment horizontal="center" vertical="center" wrapText="1"/>
      <protection locked="0"/>
    </xf>
    <xf numFmtId="0" fontId="15" fillId="0" borderId="9" xfId="0" applyFont="1" applyBorder="1" applyAlignment="1" applyProtection="1">
      <alignment horizontal="center" vertical="center" wrapText="1"/>
      <protection locked="0"/>
    </xf>
    <xf numFmtId="14" fontId="18" fillId="0" borderId="10" xfId="0" applyNumberFormat="1" applyFont="1" applyBorder="1" applyAlignment="1" applyProtection="1">
      <alignment horizontal="center" vertical="center"/>
      <protection locked="0"/>
    </xf>
    <xf numFmtId="14" fontId="18" fillId="0" borderId="11" xfId="0" applyNumberFormat="1" applyFont="1" applyBorder="1" applyAlignment="1" applyProtection="1">
      <alignment horizontal="center" vertical="center"/>
      <protection locked="0"/>
    </xf>
    <xf numFmtId="14" fontId="18" fillId="0" borderId="12" xfId="0" applyNumberFormat="1" applyFont="1" applyBorder="1" applyAlignment="1" applyProtection="1">
      <alignment horizontal="center" vertical="center"/>
      <protection locked="0"/>
    </xf>
    <xf numFmtId="14" fontId="18" fillId="0" borderId="15" xfId="0" applyNumberFormat="1" applyFont="1" applyBorder="1" applyAlignment="1" applyProtection="1">
      <alignment horizontal="center" vertical="center"/>
      <protection locked="0"/>
    </xf>
    <xf numFmtId="14" fontId="18" fillId="0" borderId="16" xfId="0" applyNumberFormat="1" applyFont="1" applyBorder="1" applyAlignment="1" applyProtection="1">
      <alignment horizontal="center" vertical="center"/>
      <protection locked="0"/>
    </xf>
    <xf numFmtId="14" fontId="18" fillId="0" borderId="17" xfId="0" applyNumberFormat="1" applyFont="1" applyBorder="1" applyAlignment="1" applyProtection="1">
      <alignment horizontal="center" vertical="center"/>
      <protection locked="0"/>
    </xf>
    <xf numFmtId="0" fontId="15" fillId="0" borderId="10" xfId="0" applyFont="1" applyBorder="1" applyAlignment="1" applyProtection="1">
      <alignment horizontal="center" vertical="center"/>
      <protection locked="0"/>
    </xf>
    <xf numFmtId="0" fontId="15" fillId="0" borderId="12" xfId="0" applyFont="1" applyBorder="1" applyAlignment="1" applyProtection="1">
      <alignment horizontal="center" vertical="center"/>
      <protection locked="0"/>
    </xf>
    <xf numFmtId="14" fontId="23" fillId="0" borderId="15" xfId="0" applyNumberFormat="1" applyFont="1" applyBorder="1" applyAlignment="1" applyProtection="1">
      <alignment horizontal="center" vertical="center"/>
      <protection locked="0"/>
    </xf>
    <xf numFmtId="0" fontId="23" fillId="0" borderId="17" xfId="0" applyFont="1" applyBorder="1" applyAlignment="1" applyProtection="1">
      <alignment horizontal="center" vertical="center"/>
      <protection locked="0"/>
    </xf>
    <xf numFmtId="165" fontId="15" fillId="0" borderId="18" xfId="10" applyNumberFormat="1" applyFont="1" applyFill="1" applyBorder="1" applyAlignment="1" applyProtection="1">
      <alignment horizontal="center" vertical="center" wrapText="1"/>
      <protection locked="0"/>
    </xf>
    <xf numFmtId="165" fontId="15" fillId="0" borderId="9" xfId="10" applyNumberFormat="1" applyFont="1" applyFill="1" applyBorder="1" applyAlignment="1" applyProtection="1">
      <alignment horizontal="center" vertical="center" wrapText="1"/>
      <protection locked="0"/>
    </xf>
    <xf numFmtId="0" fontId="28" fillId="0" borderId="8" xfId="5" applyBorder="1" applyAlignment="1" applyProtection="1">
      <alignment horizontal="center" vertical="center"/>
      <protection locked="0"/>
    </xf>
    <xf numFmtId="0" fontId="34" fillId="0" borderId="3" xfId="0" applyFont="1" applyBorder="1" applyAlignment="1" applyProtection="1">
      <alignment horizontal="center" vertical="center" wrapText="1"/>
      <protection locked="0"/>
    </xf>
    <xf numFmtId="0" fontId="15" fillId="0" borderId="4" xfId="0" applyFont="1" applyBorder="1" applyProtection="1">
      <protection locked="0"/>
    </xf>
    <xf numFmtId="0" fontId="15" fillId="0" borderId="5" xfId="0" applyFont="1" applyBorder="1" applyProtection="1">
      <protection locked="0"/>
    </xf>
    <xf numFmtId="0" fontId="34" fillId="0" borderId="4" xfId="0" applyFont="1" applyBorder="1" applyAlignment="1" applyProtection="1">
      <alignment horizontal="center" vertical="center" wrapText="1"/>
      <protection locked="0"/>
    </xf>
    <xf numFmtId="0" fontId="15" fillId="0" borderId="3" xfId="0" applyFont="1" applyBorder="1" applyAlignment="1" applyProtection="1">
      <alignment vertical="center" wrapText="1"/>
      <protection locked="0"/>
    </xf>
    <xf numFmtId="0" fontId="15" fillId="0" borderId="4" xfId="0" applyFont="1" applyBorder="1" applyAlignment="1" applyProtection="1">
      <alignment vertical="center" wrapText="1"/>
      <protection locked="0"/>
    </xf>
    <xf numFmtId="0" fontId="15" fillId="0" borderId="5" xfId="0" applyFont="1" applyBorder="1" applyAlignment="1" applyProtection="1">
      <alignment vertical="center" wrapText="1"/>
      <protection locked="0"/>
    </xf>
    <xf numFmtId="0" fontId="38" fillId="0" borderId="3" xfId="0" applyFont="1" applyBorder="1" applyAlignment="1" applyProtection="1">
      <alignment vertical="center" wrapText="1"/>
      <protection locked="0"/>
    </xf>
    <xf numFmtId="0" fontId="36" fillId="0" borderId="3" xfId="0" applyFont="1" applyBorder="1" applyAlignment="1" applyProtection="1">
      <alignment horizontal="left" vertical="top" wrapText="1"/>
      <protection locked="0"/>
    </xf>
    <xf numFmtId="0" fontId="11" fillId="0" borderId="4" xfId="0" applyFont="1" applyBorder="1" applyProtection="1">
      <protection locked="0"/>
    </xf>
    <xf numFmtId="0" fontId="11" fillId="0" borderId="5" xfId="0" applyFont="1" applyBorder="1" applyProtection="1">
      <protection locked="0"/>
    </xf>
    <xf numFmtId="0" fontId="50" fillId="0" borderId="3" xfId="0" applyFont="1" applyBorder="1" applyAlignment="1" applyProtection="1">
      <alignment horizontal="left" vertical="top" wrapText="1"/>
      <protection locked="0"/>
    </xf>
    <xf numFmtId="0" fontId="25" fillId="0" borderId="4" xfId="0" applyFont="1" applyBorder="1" applyProtection="1">
      <protection locked="0"/>
    </xf>
    <xf numFmtId="0" fontId="25" fillId="0" borderId="5" xfId="0" applyFont="1" applyBorder="1" applyProtection="1">
      <protection locked="0"/>
    </xf>
    <xf numFmtId="0" fontId="0" fillId="0" borderId="3" xfId="0" applyBorder="1" applyAlignment="1" applyProtection="1">
      <alignment vertical="center" wrapText="1"/>
      <protection locked="0"/>
    </xf>
    <xf numFmtId="0" fontId="0" fillId="0" borderId="4" xfId="0" applyBorder="1" applyAlignment="1" applyProtection="1">
      <alignment vertical="center" wrapText="1"/>
      <protection locked="0"/>
    </xf>
    <xf numFmtId="0" fontId="0" fillId="0" borderId="5" xfId="0" applyBorder="1" applyAlignment="1" applyProtection="1">
      <alignment vertical="center" wrapText="1"/>
      <protection locked="0"/>
    </xf>
    <xf numFmtId="0" fontId="53" fillId="0" borderId="3" xfId="0" applyFont="1" applyBorder="1" applyAlignment="1" applyProtection="1">
      <alignment vertical="center" wrapText="1"/>
      <protection locked="0"/>
    </xf>
    <xf numFmtId="49" fontId="54" fillId="0" borderId="64" xfId="4" applyFont="1" applyFill="1" applyBorder="1" applyAlignment="1" applyProtection="1">
      <alignment vertical="center" wrapText="1"/>
      <protection locked="0"/>
    </xf>
    <xf numFmtId="0" fontId="25" fillId="0" borderId="65" xfId="0" applyFont="1" applyBorder="1" applyProtection="1">
      <protection locked="0"/>
    </xf>
    <xf numFmtId="0" fontId="55" fillId="0" borderId="65" xfId="0" applyFont="1" applyBorder="1" applyAlignment="1" applyProtection="1">
      <alignment horizontal="center" wrapText="1"/>
      <protection locked="0"/>
    </xf>
    <xf numFmtId="0" fontId="7" fillId="0" borderId="67" xfId="0" applyFont="1" applyBorder="1" applyAlignment="1" applyProtection="1">
      <alignment vertical="top"/>
      <protection locked="0"/>
    </xf>
    <xf numFmtId="0" fontId="0" fillId="0" borderId="0" xfId="0" applyAlignment="1" applyProtection="1">
      <alignment vertical="top"/>
      <protection locked="0"/>
    </xf>
    <xf numFmtId="0" fontId="0" fillId="0" borderId="69" xfId="0" applyBorder="1" applyAlignment="1" applyProtection="1">
      <alignment vertical="center" wrapText="1"/>
      <protection locked="0"/>
    </xf>
    <xf numFmtId="0" fontId="0" fillId="0" borderId="70" xfId="0" applyBorder="1" applyAlignment="1" applyProtection="1">
      <alignment vertical="center" wrapText="1"/>
      <protection locked="0"/>
    </xf>
    <xf numFmtId="0" fontId="0" fillId="0" borderId="71" xfId="0" applyBorder="1" applyProtection="1">
      <protection locked="0"/>
    </xf>
    <xf numFmtId="49" fontId="56" fillId="0" borderId="67" xfId="4" applyFont="1" applyFill="1" applyBorder="1" applyAlignment="1" applyProtection="1">
      <alignment vertical="center" wrapText="1"/>
      <protection locked="0"/>
    </xf>
    <xf numFmtId="0" fontId="0" fillId="0" borderId="0" xfId="0" applyProtection="1">
      <protection locked="0"/>
    </xf>
    <xf numFmtId="0" fontId="55" fillId="0" borderId="0" xfId="0" applyFont="1" applyAlignment="1" applyProtection="1">
      <alignment horizontal="center" wrapText="1"/>
      <protection locked="0"/>
    </xf>
    <xf numFmtId="49" fontId="55" fillId="0" borderId="67" xfId="4" applyFont="1" applyFill="1" applyBorder="1" applyAlignment="1" applyProtection="1">
      <alignment vertical="center" wrapText="1"/>
      <protection locked="0"/>
    </xf>
    <xf numFmtId="0" fontId="55" fillId="0" borderId="0" xfId="0" applyFont="1" applyAlignment="1" applyProtection="1">
      <alignment horizontal="center"/>
      <protection locked="0"/>
    </xf>
    <xf numFmtId="0" fontId="24" fillId="0" borderId="7" xfId="0" applyFont="1" applyBorder="1" applyAlignment="1" applyProtection="1">
      <alignment horizontal="left" vertical="top" wrapText="1"/>
      <protection locked="0"/>
    </xf>
    <xf numFmtId="0" fontId="15" fillId="0" borderId="8" xfId="0" applyFont="1" applyBorder="1" applyAlignment="1" applyProtection="1">
      <alignment horizontal="left" vertical="top"/>
      <protection locked="0"/>
    </xf>
    <xf numFmtId="0" fontId="15" fillId="0" borderId="9" xfId="0" applyFont="1" applyBorder="1" applyAlignment="1" applyProtection="1">
      <alignment horizontal="left" vertical="top"/>
      <protection locked="0"/>
    </xf>
    <xf numFmtId="0" fontId="20" fillId="0" borderId="15" xfId="0" applyFont="1" applyBorder="1" applyAlignment="1" applyProtection="1">
      <alignment horizontal="left" vertical="top" wrapText="1"/>
      <protection locked="0"/>
    </xf>
    <xf numFmtId="165" fontId="15" fillId="0" borderId="6" xfId="1" applyNumberFormat="1" applyFont="1" applyBorder="1" applyAlignment="1">
      <alignment horizontal="center"/>
    </xf>
    <xf numFmtId="0" fontId="15" fillId="0" borderId="6" xfId="0" applyFont="1" applyBorder="1" applyAlignment="1">
      <alignment horizontal="left"/>
    </xf>
    <xf numFmtId="0" fontId="11" fillId="5" borderId="6" xfId="5" applyFont="1" applyFill="1" applyBorder="1" applyAlignment="1" applyProtection="1">
      <alignment horizontal="center" vertical="center" wrapText="1"/>
    </xf>
    <xf numFmtId="0" fontId="11" fillId="5" borderId="6" xfId="0" applyFont="1" applyFill="1" applyBorder="1" applyAlignment="1">
      <alignment horizontal="center" vertical="center" wrapText="1"/>
    </xf>
    <xf numFmtId="0" fontId="11" fillId="0" borderId="7" xfId="0" applyFont="1" applyBorder="1" applyAlignment="1">
      <alignment horizontal="center" vertical="top"/>
    </xf>
    <xf numFmtId="0" fontId="11" fillId="0" borderId="9" xfId="0" applyFont="1" applyBorder="1" applyAlignment="1">
      <alignment horizontal="center" vertical="top"/>
    </xf>
    <xf numFmtId="0" fontId="24" fillId="0" borderId="13" xfId="0" applyFont="1" applyBorder="1" applyAlignment="1">
      <alignment horizontal="left" vertical="center" wrapText="1"/>
    </xf>
    <xf numFmtId="0" fontId="24" fillId="0" borderId="0" xfId="0" applyFont="1" applyAlignment="1">
      <alignment horizontal="left" vertical="center" wrapText="1"/>
    </xf>
    <xf numFmtId="0" fontId="24" fillId="0" borderId="14" xfId="0" applyFont="1" applyBorder="1" applyAlignment="1">
      <alignment horizontal="left" vertical="center" wrapText="1"/>
    </xf>
    <xf numFmtId="0" fontId="11" fillId="0" borderId="0" xfId="0" applyFont="1" applyAlignment="1">
      <alignment horizontal="left"/>
    </xf>
    <xf numFmtId="0" fontId="11" fillId="5" borderId="6" xfId="0" applyFont="1" applyFill="1" applyBorder="1" applyAlignment="1">
      <alignment horizontal="center"/>
    </xf>
    <xf numFmtId="0" fontId="11" fillId="5" borderId="91" xfId="6" applyFont="1" applyFill="1" applyBorder="1" applyAlignment="1">
      <alignment horizontal="center" vertical="center" wrapText="1"/>
    </xf>
    <xf numFmtId="0" fontId="11" fillId="5" borderId="20" xfId="6" applyFont="1" applyFill="1" applyBorder="1" applyAlignment="1">
      <alignment horizontal="center" vertical="center" wrapText="1"/>
    </xf>
    <xf numFmtId="0" fontId="11" fillId="5" borderId="21" xfId="6" applyFont="1" applyFill="1" applyBorder="1" applyAlignment="1">
      <alignment horizontal="center" vertical="center" wrapText="1"/>
    </xf>
    <xf numFmtId="0" fontId="15" fillId="0" borderId="3" xfId="6" applyFont="1" applyBorder="1" applyAlignment="1">
      <alignment horizontal="center"/>
    </xf>
    <xf numFmtId="0" fontId="15" fillId="0" borderId="4" xfId="6" applyFont="1" applyBorder="1" applyAlignment="1">
      <alignment horizontal="center"/>
    </xf>
    <xf numFmtId="0" fontId="15" fillId="0" borderId="23" xfId="6" applyFont="1" applyBorder="1" applyAlignment="1">
      <alignment horizontal="center"/>
    </xf>
    <xf numFmtId="3" fontId="26" fillId="0" borderId="0" xfId="12" applyNumberFormat="1" applyFont="1" applyAlignment="1">
      <alignment horizontal="left" vertical="center" wrapText="1"/>
    </xf>
    <xf numFmtId="0" fontId="20" fillId="0" borderId="25" xfId="0" applyFont="1" applyBorder="1" applyAlignment="1" applyProtection="1">
      <alignment horizontal="left" vertical="top" wrapText="1"/>
      <protection locked="0"/>
    </xf>
    <xf numFmtId="0" fontId="20" fillId="0" borderId="26" xfId="0" applyFont="1" applyBorder="1" applyAlignment="1" applyProtection="1">
      <alignment horizontal="left" vertical="top" wrapText="1"/>
      <protection locked="0"/>
    </xf>
    <xf numFmtId="0" fontId="15" fillId="0" borderId="58" xfId="6" applyFont="1" applyBorder="1" applyAlignment="1">
      <alignment horizontal="left"/>
    </xf>
    <xf numFmtId="0" fontId="15" fillId="0" borderId="41" xfId="6" applyFont="1" applyBorder="1" applyAlignment="1">
      <alignment horizontal="left"/>
    </xf>
    <xf numFmtId="0" fontId="11" fillId="5" borderId="6" xfId="6" applyFont="1" applyFill="1" applyBorder="1" applyAlignment="1">
      <alignment horizontal="center" vertical="center" wrapText="1"/>
    </xf>
    <xf numFmtId="4" fontId="23" fillId="0" borderId="13" xfId="0" applyNumberFormat="1" applyFont="1" applyBorder="1" applyAlignment="1">
      <alignment horizontal="left" vertical="top" wrapText="1"/>
    </xf>
    <xf numFmtId="4" fontId="23" fillId="0" borderId="0" xfId="0" applyNumberFormat="1" applyFont="1" applyAlignment="1">
      <alignment horizontal="left" vertical="top"/>
    </xf>
    <xf numFmtId="4" fontId="23" fillId="0" borderId="14" xfId="0" applyNumberFormat="1" applyFont="1" applyBorder="1" applyAlignment="1">
      <alignment horizontal="left" vertical="top"/>
    </xf>
    <xf numFmtId="170" fontId="11" fillId="0" borderId="0" xfId="0" applyNumberFormat="1" applyFont="1" applyAlignment="1">
      <alignment horizontal="center"/>
    </xf>
    <xf numFmtId="165" fontId="15" fillId="0" borderId="0" xfId="10" applyNumberFormat="1" applyFont="1" applyFill="1" applyBorder="1" applyAlignment="1">
      <alignment horizontal="center"/>
    </xf>
    <xf numFmtId="14" fontId="27" fillId="0" borderId="10" xfId="0" applyNumberFormat="1" applyFont="1" applyBorder="1" applyAlignment="1" applyProtection="1">
      <alignment horizontal="center" vertical="center"/>
      <protection locked="0"/>
    </xf>
    <xf numFmtId="14" fontId="27" fillId="0" borderId="11" xfId="0" applyNumberFormat="1" applyFont="1" applyBorder="1" applyAlignment="1" applyProtection="1">
      <alignment horizontal="center" vertical="center"/>
      <protection locked="0"/>
    </xf>
    <xf numFmtId="14" fontId="27" fillId="0" borderId="12" xfId="0" applyNumberFormat="1" applyFont="1" applyBorder="1" applyAlignment="1" applyProtection="1">
      <alignment horizontal="center" vertical="center"/>
      <protection locked="0"/>
    </xf>
    <xf numFmtId="14" fontId="27" fillId="0" borderId="15" xfId="0" applyNumberFormat="1" applyFont="1" applyBorder="1" applyAlignment="1" applyProtection="1">
      <alignment horizontal="center" vertical="center"/>
      <protection locked="0"/>
    </xf>
    <xf numFmtId="14" fontId="27" fillId="0" borderId="16" xfId="0" applyNumberFormat="1" applyFont="1" applyBorder="1" applyAlignment="1" applyProtection="1">
      <alignment horizontal="center" vertical="center"/>
      <protection locked="0"/>
    </xf>
    <xf numFmtId="14" fontId="27" fillId="0" borderId="17" xfId="0" applyNumberFormat="1" applyFont="1" applyBorder="1" applyAlignment="1" applyProtection="1">
      <alignment horizontal="center" vertical="center"/>
      <protection locked="0"/>
    </xf>
    <xf numFmtId="14" fontId="11" fillId="0" borderId="13" xfId="0" applyNumberFormat="1" applyFont="1" applyBorder="1" applyAlignment="1" applyProtection="1">
      <alignment horizontal="center" vertical="center"/>
      <protection locked="0"/>
    </xf>
    <xf numFmtId="14" fontId="11" fillId="0" borderId="0" xfId="0" applyNumberFormat="1" applyFont="1" applyAlignment="1" applyProtection="1">
      <alignment horizontal="center" vertical="center"/>
      <protection locked="0"/>
    </xf>
    <xf numFmtId="14" fontId="11" fillId="0" borderId="14" xfId="0" applyNumberFormat="1" applyFont="1" applyBorder="1" applyAlignment="1" applyProtection="1">
      <alignment horizontal="center" vertical="center"/>
      <protection locked="0"/>
    </xf>
    <xf numFmtId="14" fontId="11" fillId="0" borderId="15" xfId="0" applyNumberFormat="1" applyFont="1" applyBorder="1" applyAlignment="1" applyProtection="1">
      <alignment horizontal="center" vertical="center"/>
      <protection locked="0"/>
    </xf>
    <xf numFmtId="14" fontId="11" fillId="0" borderId="16" xfId="0" applyNumberFormat="1" applyFont="1" applyBorder="1" applyAlignment="1" applyProtection="1">
      <alignment horizontal="center" vertical="center"/>
      <protection locked="0"/>
    </xf>
    <xf numFmtId="14" fontId="11" fillId="0" borderId="17" xfId="0" applyNumberFormat="1" applyFont="1" applyBorder="1" applyAlignment="1" applyProtection="1">
      <alignment horizontal="center" vertical="center"/>
      <protection locked="0"/>
    </xf>
    <xf numFmtId="49" fontId="15" fillId="0" borderId="10" xfId="0" applyNumberFormat="1" applyFont="1" applyBorder="1" applyAlignment="1" applyProtection="1">
      <alignment horizontal="center" vertical="center"/>
      <protection locked="0"/>
    </xf>
    <xf numFmtId="49" fontId="15" fillId="0" borderId="11" xfId="0" applyNumberFormat="1" applyFont="1" applyBorder="1" applyAlignment="1" applyProtection="1">
      <alignment horizontal="center" vertical="center"/>
      <protection locked="0"/>
    </xf>
    <xf numFmtId="49" fontId="15" fillId="0" borderId="12" xfId="0" applyNumberFormat="1" applyFont="1" applyBorder="1" applyAlignment="1" applyProtection="1">
      <alignment horizontal="center" vertical="center"/>
      <protection locked="0"/>
    </xf>
    <xf numFmtId="49" fontId="15" fillId="0" borderId="15" xfId="0" applyNumberFormat="1" applyFont="1" applyBorder="1" applyAlignment="1" applyProtection="1">
      <alignment horizontal="center" vertical="center"/>
      <protection locked="0"/>
    </xf>
    <xf numFmtId="49" fontId="15" fillId="0" borderId="16" xfId="0" applyNumberFormat="1" applyFont="1" applyBorder="1" applyAlignment="1" applyProtection="1">
      <alignment horizontal="center" vertical="center"/>
      <protection locked="0"/>
    </xf>
    <xf numFmtId="49" fontId="15" fillId="0" borderId="17" xfId="0" applyNumberFormat="1" applyFont="1" applyBorder="1" applyAlignment="1" applyProtection="1">
      <alignment horizontal="center" vertical="center"/>
      <protection locked="0"/>
    </xf>
    <xf numFmtId="0" fontId="11" fillId="0" borderId="11" xfId="0" applyFont="1" applyBorder="1" applyAlignment="1" applyProtection="1">
      <alignment horizontal="center" vertical="center"/>
      <protection locked="0"/>
    </xf>
    <xf numFmtId="0" fontId="20" fillId="0" borderId="16" xfId="0" applyFont="1" applyBorder="1" applyAlignment="1" applyProtection="1">
      <alignment horizontal="center" vertical="center"/>
      <protection locked="0"/>
    </xf>
    <xf numFmtId="165" fontId="15" fillId="0" borderId="0" xfId="1" applyNumberFormat="1" applyFont="1" applyFill="1" applyBorder="1" applyAlignment="1">
      <alignment horizontal="right"/>
    </xf>
    <xf numFmtId="170" fontId="15" fillId="0" borderId="0" xfId="2" applyNumberFormat="1" applyFont="1" applyFill="1" applyBorder="1" applyAlignment="1">
      <alignment horizontal="center"/>
    </xf>
    <xf numFmtId="0" fontId="15" fillId="0" borderId="24" xfId="0" applyFont="1" applyBorder="1" applyAlignment="1" applyProtection="1">
      <alignment horizontal="left" vertical="top" wrapText="1"/>
      <protection locked="0"/>
    </xf>
    <xf numFmtId="0" fontId="11" fillId="5" borderId="74" xfId="0" applyFont="1" applyFill="1" applyBorder="1" applyAlignment="1">
      <alignment horizontal="center" vertical="center"/>
    </xf>
    <xf numFmtId="0" fontId="11" fillId="5" borderId="86" xfId="0" applyFont="1" applyFill="1" applyBorder="1" applyAlignment="1">
      <alignment horizontal="center" vertical="center"/>
    </xf>
    <xf numFmtId="0" fontId="11" fillId="5" borderId="74" xfId="0" applyFont="1" applyFill="1" applyBorder="1" applyAlignment="1">
      <alignment horizontal="center" vertical="center" wrapText="1"/>
    </xf>
    <xf numFmtId="0" fontId="11" fillId="5" borderId="86" xfId="0" applyFont="1" applyFill="1" applyBorder="1" applyAlignment="1">
      <alignment horizontal="center" vertical="center" wrapText="1"/>
    </xf>
    <xf numFmtId="0" fontId="11" fillId="5" borderId="87" xfId="0" applyFont="1" applyFill="1" applyBorder="1" applyAlignment="1">
      <alignment horizontal="left" vertical="center"/>
    </xf>
    <xf numFmtId="0" fontId="11" fillId="5" borderId="88" xfId="0" applyFont="1" applyFill="1" applyBorder="1" applyAlignment="1">
      <alignment horizontal="left" vertical="center"/>
    </xf>
    <xf numFmtId="0" fontId="29" fillId="0" borderId="8" xfId="5" applyFont="1" applyBorder="1" applyAlignment="1" applyProtection="1">
      <alignment horizontal="center" vertical="center"/>
      <protection locked="0"/>
    </xf>
    <xf numFmtId="0" fontId="15" fillId="0" borderId="51" xfId="6" applyFont="1" applyBorder="1" applyAlignment="1">
      <alignment horizontal="left"/>
    </xf>
    <xf numFmtId="0" fontId="11" fillId="5" borderId="33" xfId="6" applyFont="1" applyFill="1" applyBorder="1" applyAlignment="1">
      <alignment horizontal="center" vertical="center" wrapText="1"/>
    </xf>
    <xf numFmtId="0" fontId="11" fillId="5" borderId="34" xfId="6" applyFont="1" applyFill="1" applyBorder="1" applyAlignment="1">
      <alignment horizontal="center" vertical="center" wrapText="1"/>
    </xf>
    <xf numFmtId="0" fontId="15" fillId="0" borderId="27" xfId="6" applyFont="1" applyBorder="1" applyAlignment="1">
      <alignment horizontal="left"/>
    </xf>
    <xf numFmtId="0" fontId="15" fillId="0" borderId="25" xfId="6" applyFont="1" applyBorder="1" applyAlignment="1">
      <alignment horizontal="left"/>
    </xf>
    <xf numFmtId="0" fontId="15" fillId="0" borderId="26" xfId="6" applyFont="1" applyBorder="1" applyAlignment="1">
      <alignment horizontal="left"/>
    </xf>
    <xf numFmtId="0" fontId="7" fillId="0" borderId="57" xfId="6" applyBorder="1" applyAlignment="1">
      <alignment horizontal="left"/>
    </xf>
    <xf numFmtId="0" fontId="7" fillId="0" borderId="46" xfId="6" applyBorder="1" applyAlignment="1">
      <alignment horizontal="left"/>
    </xf>
    <xf numFmtId="0" fontId="7" fillId="0" borderId="52" xfId="6" applyBorder="1" applyAlignment="1">
      <alignment horizontal="left"/>
    </xf>
    <xf numFmtId="0" fontId="0" fillId="0" borderId="58" xfId="6" applyFont="1" applyBorder="1" applyAlignment="1">
      <alignment horizontal="left" vertical="center"/>
    </xf>
    <xf numFmtId="0" fontId="7" fillId="0" borderId="41" xfId="6" applyBorder="1" applyAlignment="1">
      <alignment horizontal="left" vertical="center"/>
    </xf>
    <xf numFmtId="0" fontId="7" fillId="0" borderId="51" xfId="6" applyBorder="1" applyAlignment="1">
      <alignment horizontal="left" vertical="center"/>
    </xf>
    <xf numFmtId="168" fontId="25" fillId="5" borderId="3" xfId="7" applyNumberFormat="1" applyFont="1" applyFill="1" applyBorder="1" applyAlignment="1">
      <alignment horizontal="center" vertical="center" wrapText="1"/>
    </xf>
    <xf numFmtId="168" fontId="25" fillId="5" borderId="4" xfId="7" applyNumberFormat="1" applyFont="1" applyFill="1" applyBorder="1" applyAlignment="1">
      <alignment horizontal="center" vertical="center" wrapText="1"/>
    </xf>
    <xf numFmtId="168" fontId="25" fillId="5" borderId="23" xfId="7" applyNumberFormat="1" applyFont="1" applyFill="1" applyBorder="1" applyAlignment="1">
      <alignment horizontal="center" vertical="center" wrapText="1"/>
    </xf>
    <xf numFmtId="0" fontId="11" fillId="0" borderId="15" xfId="0" applyFont="1" applyBorder="1" applyAlignment="1">
      <alignment horizontal="right"/>
    </xf>
    <xf numFmtId="0" fontId="11" fillId="0" borderId="16" xfId="0" applyFont="1" applyBorder="1" applyAlignment="1">
      <alignment horizontal="right"/>
    </xf>
    <xf numFmtId="0" fontId="42" fillId="0" borderId="8" xfId="0" applyFont="1" applyBorder="1" applyAlignment="1" applyProtection="1">
      <alignment horizontal="left" vertical="top"/>
      <protection locked="0"/>
    </xf>
    <xf numFmtId="0" fontId="42" fillId="0" borderId="9" xfId="0" applyFont="1" applyBorder="1" applyAlignment="1" applyProtection="1">
      <alignment horizontal="left" vertical="top"/>
      <protection locked="0"/>
    </xf>
    <xf numFmtId="0" fontId="43" fillId="0" borderId="19" xfId="0" applyFont="1" applyBorder="1" applyAlignment="1" applyProtection="1">
      <alignment horizontal="left"/>
      <protection locked="0"/>
    </xf>
    <xf numFmtId="0" fontId="43" fillId="0" borderId="20" xfId="0" applyFont="1" applyBorder="1" applyAlignment="1" applyProtection="1">
      <alignment horizontal="left"/>
      <protection locked="0"/>
    </xf>
    <xf numFmtId="0" fontId="43" fillId="0" borderId="21" xfId="0" applyFont="1" applyBorder="1" applyAlignment="1" applyProtection="1">
      <alignment horizontal="left"/>
      <protection locked="0"/>
    </xf>
    <xf numFmtId="0" fontId="42" fillId="0" borderId="16" xfId="0" applyFont="1" applyBorder="1" applyAlignment="1" applyProtection="1">
      <alignment horizontal="left" vertical="top"/>
      <protection locked="0"/>
    </xf>
    <xf numFmtId="0" fontId="42" fillId="0" borderId="17" xfId="0" applyFont="1" applyBorder="1" applyAlignment="1" applyProtection="1">
      <alignment horizontal="left" vertical="top"/>
      <protection locked="0"/>
    </xf>
    <xf numFmtId="0" fontId="11" fillId="5" borderId="3" xfId="0" applyFont="1" applyFill="1" applyBorder="1" applyAlignment="1">
      <alignment horizontal="center" vertical="center"/>
    </xf>
    <xf numFmtId="0" fontId="11" fillId="5" borderId="4" xfId="0" applyFont="1" applyFill="1" applyBorder="1" applyAlignment="1">
      <alignment horizontal="center" vertical="center"/>
    </xf>
    <xf numFmtId="0" fontId="11" fillId="5" borderId="5" xfId="0" applyFont="1" applyFill="1" applyBorder="1" applyAlignment="1">
      <alignment horizontal="center" vertical="center"/>
    </xf>
    <xf numFmtId="0" fontId="11" fillId="0" borderId="13" xfId="0" applyFont="1" applyBorder="1" applyAlignment="1">
      <alignment horizontal="right"/>
    </xf>
    <xf numFmtId="0" fontId="11" fillId="0" borderId="0" xfId="0" applyFont="1" applyAlignment="1">
      <alignment horizontal="right"/>
    </xf>
    <xf numFmtId="0" fontId="11" fillId="0" borderId="10" xfId="0" applyFont="1" applyBorder="1" applyAlignment="1">
      <alignment horizontal="right"/>
    </xf>
    <xf numFmtId="0" fontId="11" fillId="0" borderId="11" xfId="0" applyFont="1" applyBorder="1" applyAlignment="1">
      <alignment horizontal="right"/>
    </xf>
    <xf numFmtId="49" fontId="44" fillId="0" borderId="10" xfId="0" applyNumberFormat="1" applyFont="1" applyBorder="1" applyAlignment="1" applyProtection="1">
      <alignment horizontal="center" vertical="center"/>
      <protection locked="0"/>
    </xf>
    <xf numFmtId="49" fontId="44" fillId="0" borderId="11" xfId="0" applyNumberFormat="1" applyFont="1" applyBorder="1" applyAlignment="1" applyProtection="1">
      <alignment horizontal="center" vertical="center"/>
      <protection locked="0"/>
    </xf>
    <xf numFmtId="49" fontId="44" fillId="0" borderId="12" xfId="0" applyNumberFormat="1" applyFont="1" applyBorder="1" applyAlignment="1" applyProtection="1">
      <alignment horizontal="center" vertical="center"/>
      <protection locked="0"/>
    </xf>
    <xf numFmtId="49" fontId="44" fillId="0" borderId="15" xfId="0" applyNumberFormat="1" applyFont="1" applyBorder="1" applyAlignment="1" applyProtection="1">
      <alignment horizontal="center" vertical="center"/>
      <protection locked="0"/>
    </xf>
    <xf numFmtId="49" fontId="44" fillId="0" borderId="16" xfId="0" applyNumberFormat="1" applyFont="1" applyBorder="1" applyAlignment="1" applyProtection="1">
      <alignment horizontal="center" vertical="center"/>
      <protection locked="0"/>
    </xf>
    <xf numFmtId="49" fontId="44" fillId="0" borderId="17" xfId="0" applyNumberFormat="1" applyFont="1" applyBorder="1" applyAlignment="1" applyProtection="1">
      <alignment horizontal="center" vertical="center"/>
      <protection locked="0"/>
    </xf>
    <xf numFmtId="0" fontId="42" fillId="0" borderId="10" xfId="0" applyFont="1" applyBorder="1" applyAlignment="1" applyProtection="1">
      <alignment horizontal="center" vertical="center"/>
      <protection locked="0"/>
    </xf>
    <xf numFmtId="0" fontId="42" fillId="0" borderId="12" xfId="0" applyFont="1" applyBorder="1" applyAlignment="1" applyProtection="1">
      <alignment horizontal="center" vertical="center"/>
      <protection locked="0"/>
    </xf>
    <xf numFmtId="0" fontId="45" fillId="0" borderId="11" xfId="0" applyFont="1" applyBorder="1" applyAlignment="1" applyProtection="1">
      <alignment horizontal="center" vertical="center"/>
      <protection locked="0"/>
    </xf>
    <xf numFmtId="0" fontId="45" fillId="0" borderId="12" xfId="0" applyFont="1" applyBorder="1" applyAlignment="1" applyProtection="1">
      <alignment horizontal="center" vertical="center"/>
      <protection locked="0"/>
    </xf>
    <xf numFmtId="0" fontId="46" fillId="0" borderId="17" xfId="0" applyFont="1" applyBorder="1" applyAlignment="1" applyProtection="1">
      <alignment horizontal="center" vertical="center"/>
      <protection locked="0"/>
    </xf>
    <xf numFmtId="0" fontId="11" fillId="5" borderId="6" xfId="0" applyFont="1" applyFill="1" applyBorder="1" applyAlignment="1">
      <alignment horizontal="center" vertical="center"/>
    </xf>
    <xf numFmtId="0" fontId="15" fillId="0" borderId="0" xfId="0" applyFont="1" applyAlignment="1">
      <alignment horizontal="left"/>
    </xf>
    <xf numFmtId="0" fontId="15" fillId="0" borderId="58" xfId="0" applyFont="1" applyBorder="1" applyAlignment="1" applyProtection="1">
      <alignment horizontal="center" wrapText="1"/>
      <protection locked="0"/>
    </xf>
    <xf numFmtId="0" fontId="15" fillId="0" borderId="41" xfId="0" applyFont="1" applyBorder="1" applyAlignment="1" applyProtection="1">
      <alignment horizontal="center" wrapText="1"/>
      <protection locked="0"/>
    </xf>
    <xf numFmtId="0" fontId="15" fillId="0" borderId="48" xfId="0" applyFont="1" applyBorder="1" applyAlignment="1" applyProtection="1">
      <alignment horizontal="center" wrapText="1"/>
      <protection locked="0"/>
    </xf>
    <xf numFmtId="0" fontId="15" fillId="0" borderId="56" xfId="0" applyFont="1" applyBorder="1" applyAlignment="1" applyProtection="1">
      <alignment horizontal="center" wrapText="1"/>
      <protection locked="0"/>
    </xf>
    <xf numFmtId="0" fontId="15" fillId="0" borderId="42" xfId="0" applyFont="1" applyBorder="1" applyAlignment="1" applyProtection="1">
      <alignment horizontal="center" wrapText="1"/>
      <protection locked="0"/>
    </xf>
    <xf numFmtId="0" fontId="15" fillId="0" borderId="49" xfId="0" applyFont="1" applyBorder="1" applyAlignment="1" applyProtection="1">
      <alignment horizontal="center" wrapText="1"/>
      <protection locked="0"/>
    </xf>
    <xf numFmtId="0" fontId="15" fillId="0" borderId="57" xfId="0" applyFont="1" applyBorder="1" applyAlignment="1" applyProtection="1">
      <alignment horizontal="center" wrapText="1"/>
      <protection locked="0"/>
    </xf>
    <xf numFmtId="0" fontId="15" fillId="0" borderId="46" xfId="0" applyFont="1" applyBorder="1" applyAlignment="1" applyProtection="1">
      <alignment horizontal="center" wrapText="1"/>
      <protection locked="0"/>
    </xf>
    <xf numFmtId="0" fontId="15" fillId="0" borderId="50" xfId="0" applyFont="1" applyBorder="1" applyAlignment="1" applyProtection="1">
      <alignment horizontal="center" wrapText="1"/>
      <protection locked="0"/>
    </xf>
    <xf numFmtId="9" fontId="15" fillId="0" borderId="56" xfId="2" applyFont="1" applyFill="1" applyBorder="1" applyAlignment="1">
      <alignment horizontal="center" vertical="center"/>
    </xf>
    <xf numFmtId="9" fontId="15" fillId="0" borderId="42" xfId="2" applyFont="1" applyFill="1" applyBorder="1" applyAlignment="1">
      <alignment horizontal="center" vertical="center"/>
    </xf>
    <xf numFmtId="9" fontId="15" fillId="0" borderId="49" xfId="2" applyFont="1" applyFill="1" applyBorder="1" applyAlignment="1">
      <alignment horizontal="center" vertical="center"/>
    </xf>
    <xf numFmtId="9" fontId="15" fillId="0" borderId="58" xfId="2" applyFont="1" applyFill="1" applyBorder="1" applyAlignment="1">
      <alignment horizontal="center" vertical="center"/>
    </xf>
    <xf numFmtId="9" fontId="15" fillId="0" borderId="41" xfId="2" applyFont="1" applyFill="1" applyBorder="1" applyAlignment="1">
      <alignment horizontal="center" vertical="center"/>
    </xf>
    <xf numFmtId="9" fontId="15" fillId="0" borderId="48" xfId="2" applyFont="1" applyFill="1" applyBorder="1" applyAlignment="1">
      <alignment horizontal="center" vertical="center"/>
    </xf>
    <xf numFmtId="9" fontId="15" fillId="0" borderId="57" xfId="2" applyFont="1" applyFill="1" applyBorder="1" applyAlignment="1">
      <alignment horizontal="center" vertical="center"/>
    </xf>
    <xf numFmtId="9" fontId="15" fillId="0" borderId="46" xfId="2" applyFont="1" applyFill="1" applyBorder="1" applyAlignment="1">
      <alignment horizontal="center" vertical="center"/>
    </xf>
    <xf numFmtId="9" fontId="15" fillId="0" borderId="50" xfId="2" applyFont="1" applyFill="1" applyBorder="1" applyAlignment="1">
      <alignment horizontal="center" vertical="center"/>
    </xf>
    <xf numFmtId="9" fontId="15" fillId="0" borderId="73" xfId="2" applyFont="1" applyFill="1" applyBorder="1" applyAlignment="1">
      <alignment horizontal="center" vertical="center"/>
    </xf>
    <xf numFmtId="9" fontId="15" fillId="0" borderId="93" xfId="2" applyFont="1" applyFill="1" applyBorder="1" applyAlignment="1">
      <alignment horizontal="center" vertical="center"/>
    </xf>
    <xf numFmtId="9" fontId="15" fillId="0" borderId="94" xfId="2" applyFont="1" applyFill="1" applyBorder="1" applyAlignment="1">
      <alignment horizontal="center" vertical="center"/>
    </xf>
    <xf numFmtId="0" fontId="29" fillId="11" borderId="4" xfId="5" applyFont="1" applyFill="1" applyBorder="1" applyAlignment="1" applyProtection="1">
      <alignment horizontal="left" vertical="center"/>
      <protection locked="0"/>
    </xf>
    <xf numFmtId="0" fontId="29" fillId="11" borderId="23" xfId="5" applyFont="1" applyFill="1" applyBorder="1" applyAlignment="1" applyProtection="1">
      <alignment horizontal="left" vertical="center"/>
      <protection locked="0"/>
    </xf>
    <xf numFmtId="0" fontId="25" fillId="0" borderId="7" xfId="14" applyFont="1" applyBorder="1" applyAlignment="1">
      <alignment horizontal="center"/>
    </xf>
    <xf numFmtId="0" fontId="25" fillId="0" borderId="9" xfId="14" applyFont="1" applyBorder="1" applyAlignment="1">
      <alignment horizontal="center"/>
    </xf>
    <xf numFmtId="4" fontId="7" fillId="0" borderId="0" xfId="0" applyNumberFormat="1" applyFont="1" applyBorder="1"/>
    <xf numFmtId="0" fontId="7" fillId="0" borderId="0" xfId="0" applyFont="1" applyBorder="1"/>
    <xf numFmtId="4" fontId="7" fillId="0" borderId="0" xfId="0" applyNumberFormat="1" applyFont="1" applyBorder="1" applyAlignment="1">
      <alignment vertical="center"/>
    </xf>
    <xf numFmtId="0" fontId="7" fillId="0" borderId="0" xfId="0" applyFont="1" applyBorder="1" applyAlignment="1">
      <alignment vertical="center"/>
    </xf>
    <xf numFmtId="4" fontId="0" fillId="0" borderId="0" xfId="0" applyNumberFormat="1" applyBorder="1"/>
    <xf numFmtId="0" fontId="15" fillId="0" borderId="0" xfId="0" applyFont="1" applyBorder="1" applyProtection="1">
      <protection locked="0"/>
    </xf>
    <xf numFmtId="0" fontId="15" fillId="0" borderId="0" xfId="6" applyFont="1" applyBorder="1"/>
    <xf numFmtId="0" fontId="11" fillId="0" borderId="95" xfId="6" applyFont="1" applyBorder="1"/>
    <xf numFmtId="167" fontId="11" fillId="5" borderId="86" xfId="10" applyNumberFormat="1" applyFont="1" applyFill="1" applyBorder="1" applyAlignment="1">
      <alignment horizontal="center"/>
    </xf>
    <xf numFmtId="165" fontId="11" fillId="5" borderId="86" xfId="1" applyNumberFormat="1" applyFont="1" applyFill="1" applyBorder="1" applyAlignment="1">
      <alignment horizontal="center"/>
    </xf>
    <xf numFmtId="170" fontId="11" fillId="5" borderId="86" xfId="2" applyNumberFormat="1" applyFont="1" applyFill="1" applyBorder="1"/>
    <xf numFmtId="165" fontId="15" fillId="0" borderId="5" xfId="1" applyNumberFormat="1" applyFont="1" applyBorder="1" applyAlignment="1">
      <alignment horizontal="right"/>
    </xf>
    <xf numFmtId="170" fontId="15" fillId="0" borderId="6" xfId="2" applyNumberFormat="1" applyFont="1" applyBorder="1" applyAlignment="1">
      <alignment horizontal="center"/>
    </xf>
    <xf numFmtId="0" fontId="15" fillId="0" borderId="5" xfId="6" applyFont="1" applyBorder="1" applyAlignment="1">
      <alignment horizontal="center"/>
    </xf>
  </cellXfs>
  <cellStyles count="20">
    <cellStyle name="Lien hypertexte" xfId="5" builtinId="8"/>
    <cellStyle name="Lien hypertexte 2" xfId="15" xr:uid="{00000000-0005-0000-0000-000001000000}"/>
    <cellStyle name="Milliers" xfId="1" builtinId="3"/>
    <cellStyle name="Milliers 2" xfId="10" xr:uid="{00000000-0005-0000-0000-000003000000}"/>
    <cellStyle name="Normal" xfId="0" builtinId="0"/>
    <cellStyle name="Normal 2" xfId="3" xr:uid="{00000000-0005-0000-0000-000005000000}"/>
    <cellStyle name="Normal 2 2" xfId="14" xr:uid="{00000000-0005-0000-0000-000006000000}"/>
    <cellStyle name="Normal 3" xfId="16" xr:uid="{00000000-0005-0000-0000-000007000000}"/>
    <cellStyle name="Normal 4" xfId="8" xr:uid="{00000000-0005-0000-0000-000008000000}"/>
    <cellStyle name="Normal 5" xfId="18" xr:uid="{C98A1BA6-8291-4F39-AE1B-B90CE307B2BF}"/>
    <cellStyle name="Normal 6" xfId="19" xr:uid="{7D3B2A49-F6A1-41E6-BB9D-42CB887CFA8E}"/>
    <cellStyle name="Normal 8" xfId="13" xr:uid="{00000000-0005-0000-0000-000009000000}"/>
    <cellStyle name="Normal_Bilan Ancenis_(08-12) - E - Clients - Novembal" xfId="12" xr:uid="{00000000-0005-0000-0000-00000A000000}"/>
    <cellStyle name="Normal_IDE 311205 Clients" xfId="6" xr:uid="{00000000-0005-0000-0000-00000B000000}"/>
    <cellStyle name="Normal_REVISION MODELE version 2005" xfId="11" xr:uid="{00000000-0005-0000-0000-00000C000000}"/>
    <cellStyle name="Normal_xxx-L-Clients 200x" xfId="7" xr:uid="{00000000-0005-0000-0000-00000D000000}"/>
    <cellStyle name="Pourcentage" xfId="2" builtinId="5"/>
    <cellStyle name="Pourcentage 2" xfId="17" xr:uid="{4FEF2D50-71F4-4935-BB58-31C1DD74FB7D}"/>
    <cellStyle name="Pourcentage 3" xfId="9" xr:uid="{00000000-0005-0000-0000-00000F000000}"/>
    <cellStyle name="Texte de fond" xfId="4" xr:uid="{00000000-0005-0000-0000-000010000000}"/>
  </cellStyles>
  <dxfs count="1">
    <dxf>
      <fill>
        <patternFill>
          <bgColor theme="0"/>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externalLink" Target="externalLinks/externalLink3.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2.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952500</xdr:colOff>
      <xdr:row>0</xdr:row>
      <xdr:rowOff>73467</xdr:rowOff>
    </xdr:from>
    <xdr:to>
      <xdr:col>2</xdr:col>
      <xdr:colOff>30894</xdr:colOff>
      <xdr:row>4</xdr:row>
      <xdr:rowOff>123825</xdr:rowOff>
    </xdr:to>
    <xdr:pic>
      <xdr:nvPicPr>
        <xdr:cNvPr id="4" name="Image 3">
          <a:extLst>
            <a:ext uri="{FF2B5EF4-FFF2-40B4-BE49-F238E27FC236}">
              <a16:creationId xmlns:a16="http://schemas.microsoft.com/office/drawing/2014/main" id="{745597FC-281A-48B1-9446-4527EEEC247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0" y="73467"/>
          <a:ext cx="1040544" cy="812358"/>
        </a:xfrm>
        <a:prstGeom prst="rect">
          <a:avLst/>
        </a:prstGeom>
      </xdr:spPr>
    </xdr:pic>
    <xdr:clientData/>
  </xdr:twoCellAnchor>
  <xdr:twoCellAnchor editAs="oneCell">
    <xdr:from>
      <xdr:col>13</xdr:col>
      <xdr:colOff>718771</xdr:colOff>
      <xdr:row>0</xdr:row>
      <xdr:rowOff>109727</xdr:rowOff>
    </xdr:from>
    <xdr:to>
      <xdr:col>15</xdr:col>
      <xdr:colOff>285750</xdr:colOff>
      <xdr:row>4</xdr:row>
      <xdr:rowOff>142874</xdr:rowOff>
    </xdr:to>
    <xdr:pic>
      <xdr:nvPicPr>
        <xdr:cNvPr id="5" name="Image 4">
          <a:extLst>
            <a:ext uri="{FF2B5EF4-FFF2-40B4-BE49-F238E27FC236}">
              <a16:creationId xmlns:a16="http://schemas.microsoft.com/office/drawing/2014/main" id="{DD595A51-D09A-44E5-B1C1-60CFCEE31E6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472746" y="109727"/>
          <a:ext cx="1529129" cy="79514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726391</xdr:colOff>
      <xdr:row>0</xdr:row>
      <xdr:rowOff>109727</xdr:rowOff>
    </xdr:from>
    <xdr:to>
      <xdr:col>14</xdr:col>
      <xdr:colOff>1299210</xdr:colOff>
      <xdr:row>4</xdr:row>
      <xdr:rowOff>142874</xdr:rowOff>
    </xdr:to>
    <xdr:pic>
      <xdr:nvPicPr>
        <xdr:cNvPr id="5" name="Image 4">
          <a:extLst>
            <a:ext uri="{FF2B5EF4-FFF2-40B4-BE49-F238E27FC236}">
              <a16:creationId xmlns:a16="http://schemas.microsoft.com/office/drawing/2014/main" id="{E2360F5F-5116-45A9-9261-CBD3B3812DF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551351" y="109727"/>
          <a:ext cx="1578659" cy="79514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952500</xdr:colOff>
      <xdr:row>0</xdr:row>
      <xdr:rowOff>73467</xdr:rowOff>
    </xdr:from>
    <xdr:to>
      <xdr:col>2</xdr:col>
      <xdr:colOff>30894</xdr:colOff>
      <xdr:row>4</xdr:row>
      <xdr:rowOff>123825</xdr:rowOff>
    </xdr:to>
    <xdr:pic>
      <xdr:nvPicPr>
        <xdr:cNvPr id="4" name="Image 3">
          <a:extLst>
            <a:ext uri="{FF2B5EF4-FFF2-40B4-BE49-F238E27FC236}">
              <a16:creationId xmlns:a16="http://schemas.microsoft.com/office/drawing/2014/main" id="{0C0B10BB-E2D1-4202-A15F-AA5D6F4067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0" y="73467"/>
          <a:ext cx="1040544" cy="812358"/>
        </a:xfrm>
        <a:prstGeom prst="rect">
          <a:avLst/>
        </a:prstGeom>
      </xdr:spPr>
    </xdr:pic>
    <xdr:clientData/>
  </xdr:twoCellAnchor>
  <xdr:twoCellAnchor editAs="oneCell">
    <xdr:from>
      <xdr:col>13</xdr:col>
      <xdr:colOff>718771</xdr:colOff>
      <xdr:row>0</xdr:row>
      <xdr:rowOff>109727</xdr:rowOff>
    </xdr:from>
    <xdr:to>
      <xdr:col>15</xdr:col>
      <xdr:colOff>285750</xdr:colOff>
      <xdr:row>4</xdr:row>
      <xdr:rowOff>142874</xdr:rowOff>
    </xdr:to>
    <xdr:pic>
      <xdr:nvPicPr>
        <xdr:cNvPr id="5" name="Image 4">
          <a:extLst>
            <a:ext uri="{FF2B5EF4-FFF2-40B4-BE49-F238E27FC236}">
              <a16:creationId xmlns:a16="http://schemas.microsoft.com/office/drawing/2014/main" id="{5F6AF78F-3A5D-4F6B-B23D-21927016045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472746" y="109727"/>
          <a:ext cx="1529129" cy="79514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16</xdr:row>
      <xdr:rowOff>0</xdr:rowOff>
    </xdr:from>
    <xdr:to>
      <xdr:col>4</xdr:col>
      <xdr:colOff>0</xdr:colOff>
      <xdr:row>16</xdr:row>
      <xdr:rowOff>0</xdr:rowOff>
    </xdr:to>
    <xdr:sp macro="" textlink="">
      <xdr:nvSpPr>
        <xdr:cNvPr id="4" name="Line 1">
          <a:extLst>
            <a:ext uri="{FF2B5EF4-FFF2-40B4-BE49-F238E27FC236}">
              <a16:creationId xmlns:a16="http://schemas.microsoft.com/office/drawing/2014/main" id="{00000000-0008-0000-0A00-000004000000}"/>
            </a:ext>
          </a:extLst>
        </xdr:cNvPr>
        <xdr:cNvSpPr>
          <a:spLocks noChangeShapeType="1"/>
        </xdr:cNvSpPr>
      </xdr:nvSpPr>
      <xdr:spPr bwMode="auto">
        <a:xfrm flipV="1">
          <a:off x="2621280" y="5715000"/>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16</xdr:row>
      <xdr:rowOff>0</xdr:rowOff>
    </xdr:from>
    <xdr:to>
      <xdr:col>4</xdr:col>
      <xdr:colOff>0</xdr:colOff>
      <xdr:row>16</xdr:row>
      <xdr:rowOff>0</xdr:rowOff>
    </xdr:to>
    <xdr:sp macro="" textlink="">
      <xdr:nvSpPr>
        <xdr:cNvPr id="5" name="Line 1">
          <a:extLst>
            <a:ext uri="{FF2B5EF4-FFF2-40B4-BE49-F238E27FC236}">
              <a16:creationId xmlns:a16="http://schemas.microsoft.com/office/drawing/2014/main" id="{00000000-0008-0000-0B00-000005000000}"/>
            </a:ext>
          </a:extLst>
        </xdr:cNvPr>
        <xdr:cNvSpPr>
          <a:spLocks noChangeShapeType="1"/>
        </xdr:cNvSpPr>
      </xdr:nvSpPr>
      <xdr:spPr bwMode="auto">
        <a:xfrm flipV="1">
          <a:off x="2686050" y="57626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952500</xdr:colOff>
      <xdr:row>0</xdr:row>
      <xdr:rowOff>73467</xdr:rowOff>
    </xdr:from>
    <xdr:to>
      <xdr:col>1</xdr:col>
      <xdr:colOff>648114</xdr:colOff>
      <xdr:row>4</xdr:row>
      <xdr:rowOff>123825</xdr:rowOff>
    </xdr:to>
    <xdr:pic>
      <xdr:nvPicPr>
        <xdr:cNvPr id="4" name="Image 3">
          <a:extLst>
            <a:ext uri="{FF2B5EF4-FFF2-40B4-BE49-F238E27FC236}">
              <a16:creationId xmlns:a16="http://schemas.microsoft.com/office/drawing/2014/main" id="{A78BE25F-0187-4FF3-AEA0-42C29B5552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0" y="73467"/>
          <a:ext cx="1040544" cy="812358"/>
        </a:xfrm>
        <a:prstGeom prst="rect">
          <a:avLst/>
        </a:prstGeom>
      </xdr:spPr>
    </xdr:pic>
    <xdr:clientData/>
  </xdr:twoCellAnchor>
  <xdr:twoCellAnchor editAs="oneCell">
    <xdr:from>
      <xdr:col>13</xdr:col>
      <xdr:colOff>718771</xdr:colOff>
      <xdr:row>0</xdr:row>
      <xdr:rowOff>109727</xdr:rowOff>
    </xdr:from>
    <xdr:to>
      <xdr:col>15</xdr:col>
      <xdr:colOff>285749</xdr:colOff>
      <xdr:row>4</xdr:row>
      <xdr:rowOff>142874</xdr:rowOff>
    </xdr:to>
    <xdr:pic>
      <xdr:nvPicPr>
        <xdr:cNvPr id="5" name="Image 4">
          <a:extLst>
            <a:ext uri="{FF2B5EF4-FFF2-40B4-BE49-F238E27FC236}">
              <a16:creationId xmlns:a16="http://schemas.microsoft.com/office/drawing/2014/main" id="{E3E24B38-D37A-4727-9B17-563AABA9620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472746" y="109727"/>
          <a:ext cx="1529129" cy="795147"/>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16</xdr:row>
      <xdr:rowOff>0</xdr:rowOff>
    </xdr:from>
    <xdr:to>
      <xdr:col>4</xdr:col>
      <xdr:colOff>0</xdr:colOff>
      <xdr:row>16</xdr:row>
      <xdr:rowOff>0</xdr:rowOff>
    </xdr:to>
    <xdr:sp macro="" textlink="">
      <xdr:nvSpPr>
        <xdr:cNvPr id="5" name="Line 1">
          <a:extLst>
            <a:ext uri="{FF2B5EF4-FFF2-40B4-BE49-F238E27FC236}">
              <a16:creationId xmlns:a16="http://schemas.microsoft.com/office/drawing/2014/main" id="{00000000-0008-0000-0D00-000005000000}"/>
            </a:ext>
          </a:extLst>
        </xdr:cNvPr>
        <xdr:cNvSpPr>
          <a:spLocks noChangeShapeType="1"/>
        </xdr:cNvSpPr>
      </xdr:nvSpPr>
      <xdr:spPr bwMode="auto">
        <a:xfrm flipV="1">
          <a:off x="2686050" y="5762625"/>
          <a:ext cx="0" cy="0"/>
        </a:xfrm>
        <a:prstGeom prst="line">
          <a:avLst/>
        </a:prstGeom>
        <a:noFill/>
        <a:ln w="9525">
          <a:solidFill>
            <a:srgbClr val="000000"/>
          </a:solidFill>
          <a:round/>
          <a:headEnd/>
          <a:tailEnd/>
        </a:ln>
        <a:extLst>
          <a:ext uri="{909E8E84-426E-40DD-AFC4-6F175D3DCCD1}">
            <a14:hiddenFill xmlns:a14="http://schemas.microsoft.com/office/drawing/2010/main">
              <a:noFill/>
            </a14:hiddenFill>
          </a:ext>
        </a:extLst>
      </xdr:spPr>
    </xdr:sp>
    <xdr:clientData/>
  </xdr:twoCellAnchor>
</xdr:wsDr>
</file>

<file path=xl/drawings/drawing8.xml><?xml version="1.0" encoding="utf-8"?>
<xdr:wsDr xmlns:xdr="http://schemas.openxmlformats.org/drawingml/2006/spreadsheetDrawing" xmlns:a="http://schemas.openxmlformats.org/drawingml/2006/main">
  <xdr:twoCellAnchor>
    <xdr:from>
      <xdr:col>1</xdr:col>
      <xdr:colOff>251460</xdr:colOff>
      <xdr:row>19</xdr:row>
      <xdr:rowOff>137160</xdr:rowOff>
    </xdr:from>
    <xdr:to>
      <xdr:col>12</xdr:col>
      <xdr:colOff>198120</xdr:colOff>
      <xdr:row>30</xdr:row>
      <xdr:rowOff>129540</xdr:rowOff>
    </xdr:to>
    <xdr:sp macro="" textlink="">
      <xdr:nvSpPr>
        <xdr:cNvPr id="2" name="ZoneTexte 1">
          <a:extLst>
            <a:ext uri="{FF2B5EF4-FFF2-40B4-BE49-F238E27FC236}">
              <a16:creationId xmlns:a16="http://schemas.microsoft.com/office/drawing/2014/main" id="{5852307A-71A5-425E-96A2-FC796733BFF0}"/>
            </a:ext>
          </a:extLst>
        </xdr:cNvPr>
        <xdr:cNvSpPr txBox="1"/>
      </xdr:nvSpPr>
      <xdr:spPr>
        <a:xfrm>
          <a:off x="1318260" y="6370320"/>
          <a:ext cx="12573000" cy="435102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fr-FR" sz="1100"/>
            <a:t>Cf. </a:t>
          </a:r>
          <a:r>
            <a:rPr lang="fr-FR" sz="1100" b="1">
              <a:solidFill>
                <a:srgbClr val="FF0000"/>
              </a:solidFill>
            </a:rPr>
            <a:t>A610</a:t>
          </a: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952500</xdr:colOff>
      <xdr:row>0</xdr:row>
      <xdr:rowOff>73467</xdr:rowOff>
    </xdr:from>
    <xdr:to>
      <xdr:col>1</xdr:col>
      <xdr:colOff>686214</xdr:colOff>
      <xdr:row>4</xdr:row>
      <xdr:rowOff>123825</xdr:rowOff>
    </xdr:to>
    <xdr:pic>
      <xdr:nvPicPr>
        <xdr:cNvPr id="4" name="Image 3">
          <a:extLst>
            <a:ext uri="{FF2B5EF4-FFF2-40B4-BE49-F238E27FC236}">
              <a16:creationId xmlns:a16="http://schemas.microsoft.com/office/drawing/2014/main" id="{6AFEFDB6-B6C9-4E80-8EC8-C638122FF10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52500" y="73467"/>
          <a:ext cx="1040544" cy="812358"/>
        </a:xfrm>
        <a:prstGeom prst="rect">
          <a:avLst/>
        </a:prstGeom>
      </xdr:spPr>
    </xdr:pic>
    <xdr:clientData/>
  </xdr:twoCellAnchor>
  <xdr:twoCellAnchor editAs="oneCell">
    <xdr:from>
      <xdr:col>13</xdr:col>
      <xdr:colOff>718771</xdr:colOff>
      <xdr:row>0</xdr:row>
      <xdr:rowOff>109727</xdr:rowOff>
    </xdr:from>
    <xdr:to>
      <xdr:col>15</xdr:col>
      <xdr:colOff>285750</xdr:colOff>
      <xdr:row>4</xdr:row>
      <xdr:rowOff>142874</xdr:rowOff>
    </xdr:to>
    <xdr:pic>
      <xdr:nvPicPr>
        <xdr:cNvPr id="5" name="Image 4">
          <a:extLst>
            <a:ext uri="{FF2B5EF4-FFF2-40B4-BE49-F238E27FC236}">
              <a16:creationId xmlns:a16="http://schemas.microsoft.com/office/drawing/2014/main" id="{1DE71A9C-E85C-4DC5-A242-11CC7B7A36A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3472746" y="109727"/>
          <a:ext cx="1529129" cy="79514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stagiaire/Desktop/GT/F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rvdclyo\Collaborateurs\CHA\CAC%20-%20Dossier%20annuel%202016.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stagiaire/Desktop/GT/GT%20-%20BALANCE%20EXERCICE%202016.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Balance N Vs N-1"/>
      <sheetName val="Bilan"/>
      <sheetName val="EBIT"/>
      <sheetName val="Actif détaillé"/>
      <sheetName val="Passif détaillé"/>
      <sheetName val="P&amp;L détaillé"/>
      <sheetName val="Tréso"/>
      <sheetName val="AACE"/>
      <sheetName val="A0"/>
      <sheetName val="C0"/>
      <sheetName val="E0"/>
      <sheetName val="F0"/>
      <sheetName val="I0"/>
      <sheetName val="P0"/>
      <sheetName val="S0"/>
      <sheetName val="T0"/>
      <sheetName val="V0"/>
      <sheetName val="X0"/>
    </sheetNames>
    <sheetDataSet>
      <sheetData sheetId="0"/>
      <sheetData sheetId="1">
        <row r="10">
          <cell r="D10">
            <v>-1067144</v>
          </cell>
          <cell r="E10">
            <v>-1067144</v>
          </cell>
          <cell r="K10" t="str">
            <v>Capital social</v>
          </cell>
          <cell r="L10" t="str">
            <v>Capital social</v>
          </cell>
        </row>
        <row r="11">
          <cell r="D11">
            <v>-106714.31</v>
          </cell>
          <cell r="E11">
            <v>-106714.31</v>
          </cell>
          <cell r="K11" t="str">
            <v>Réserves</v>
          </cell>
          <cell r="L11" t="str">
            <v>Réserves</v>
          </cell>
        </row>
        <row r="12">
          <cell r="D12">
            <v>-832139.18</v>
          </cell>
          <cell r="E12">
            <v>-812729.15</v>
          </cell>
          <cell r="K12" t="str">
            <v>Réserves</v>
          </cell>
          <cell r="L12" t="str">
            <v>Réserves</v>
          </cell>
        </row>
        <row r="13">
          <cell r="D13">
            <v>0</v>
          </cell>
          <cell r="E13">
            <v>0</v>
          </cell>
          <cell r="K13" t="str">
            <v>Résultat de l'exercice</v>
          </cell>
          <cell r="L13" t="str">
            <v>Résultat de l'exercice</v>
          </cell>
        </row>
        <row r="14">
          <cell r="D14">
            <v>-245230</v>
          </cell>
          <cell r="E14">
            <v>-245230</v>
          </cell>
          <cell r="K14" t="str">
            <v>Subventions d'investissement</v>
          </cell>
          <cell r="L14" t="str">
            <v>Subventions d'investissement</v>
          </cell>
        </row>
        <row r="15">
          <cell r="D15">
            <v>113509.41</v>
          </cell>
          <cell r="E15">
            <v>79700.070000000007</v>
          </cell>
          <cell r="K15" t="str">
            <v>Subventions d'investissement</v>
          </cell>
          <cell r="L15" t="str">
            <v>Subventions d'investissement</v>
          </cell>
        </row>
        <row r="16">
          <cell r="D16">
            <v>-80000</v>
          </cell>
          <cell r="E16">
            <v>-275145.09000000003</v>
          </cell>
          <cell r="K16" t="str">
            <v>Provisions pour risques</v>
          </cell>
          <cell r="L16" t="str">
            <v>Provisions pour risques</v>
          </cell>
        </row>
        <row r="17">
          <cell r="D17">
            <v>-58281.69</v>
          </cell>
          <cell r="E17">
            <v>-119709.29</v>
          </cell>
          <cell r="K17" t="str">
            <v>Emprunts et dettes auprès d'établissements de crédit</v>
          </cell>
          <cell r="L17" t="str">
            <v>Emprunts et dettes auprès d'établissements de crédit</v>
          </cell>
        </row>
        <row r="18">
          <cell r="D18">
            <v>0</v>
          </cell>
          <cell r="E18">
            <v>0</v>
          </cell>
          <cell r="K18" t="str">
            <v>Emprunts et dettes auprès d'établissements de crédit</v>
          </cell>
          <cell r="L18" t="str">
            <v>Emprunts et dettes auprès d'établissements de crédit</v>
          </cell>
        </row>
        <row r="19">
          <cell r="D19">
            <v>-259351.55</v>
          </cell>
          <cell r="E19">
            <v>0</v>
          </cell>
          <cell r="K19" t="str">
            <v>Emprunts et dettes auprès d'établissements de crédit</v>
          </cell>
          <cell r="L19" t="str">
            <v>Emprunts et dettes auprès d'établissements de crédit</v>
          </cell>
        </row>
        <row r="20">
          <cell r="D20">
            <v>-443.48</v>
          </cell>
          <cell r="E20">
            <v>-439.82</v>
          </cell>
          <cell r="K20" t="str">
            <v>Emprunts et dettes financières</v>
          </cell>
          <cell r="L20" t="str">
            <v>Emprunts et dettes financières</v>
          </cell>
        </row>
        <row r="21">
          <cell r="D21">
            <v>-700000</v>
          </cell>
          <cell r="E21">
            <v>-500000</v>
          </cell>
          <cell r="K21" t="str">
            <v>Emprunts et dettes financières</v>
          </cell>
          <cell r="L21" t="str">
            <v>Emprunts et dettes financières</v>
          </cell>
        </row>
        <row r="22">
          <cell r="D22">
            <v>0</v>
          </cell>
          <cell r="E22">
            <v>0</v>
          </cell>
          <cell r="K22" t="str">
            <v>Emprunts et dettes financières</v>
          </cell>
          <cell r="L22" t="str">
            <v>Emprunts et dettes financières</v>
          </cell>
        </row>
        <row r="23">
          <cell r="D23">
            <v>-3811.23</v>
          </cell>
          <cell r="E23">
            <v>-3811.23</v>
          </cell>
          <cell r="K23" t="str">
            <v>Emprunts et dettes financières</v>
          </cell>
          <cell r="L23" t="str">
            <v>Emprunts et dettes financières</v>
          </cell>
        </row>
        <row r="24">
          <cell r="D24">
            <v>-2.65</v>
          </cell>
          <cell r="E24">
            <v>-2.72</v>
          </cell>
          <cell r="K24" t="str">
            <v>Emprunts et dettes auprès d'établissements de crédit</v>
          </cell>
          <cell r="L24" t="str">
            <v>Emprunts et dettes auprès d'établissements de crédit</v>
          </cell>
        </row>
        <row r="25">
          <cell r="D25">
            <v>30971.190000000002</v>
          </cell>
          <cell r="E25">
            <v>28573.93</v>
          </cell>
          <cell r="K25" t="str">
            <v>Concessions, brvts, licences, logiciels, drts &amp; val. similaire</v>
          </cell>
          <cell r="L25" t="str">
            <v>Concessions, brvts, licences, logiciels, drts &amp; val. similaire</v>
          </cell>
        </row>
        <row r="26">
          <cell r="D26">
            <v>12424.59</v>
          </cell>
          <cell r="E26">
            <v>12424.59</v>
          </cell>
          <cell r="K26" t="str">
            <v>Fonds commercial</v>
          </cell>
          <cell r="L26" t="str">
            <v>Fonds commercial</v>
          </cell>
        </row>
        <row r="27">
          <cell r="D27">
            <v>369598.6</v>
          </cell>
          <cell r="E27">
            <v>338098.6</v>
          </cell>
          <cell r="K27" t="str">
            <v>Constructions</v>
          </cell>
          <cell r="L27" t="str">
            <v>Constructions</v>
          </cell>
        </row>
        <row r="28">
          <cell r="D28">
            <v>758996.4</v>
          </cell>
          <cell r="E28">
            <v>758996.4</v>
          </cell>
          <cell r="K28" t="str">
            <v>Constructions</v>
          </cell>
          <cell r="L28" t="str">
            <v>Constructions</v>
          </cell>
        </row>
        <row r="29">
          <cell r="D29">
            <v>263615.51</v>
          </cell>
          <cell r="E29">
            <v>250818.69999999998</v>
          </cell>
          <cell r="K29" t="str">
            <v>Installations techniques, matériel et outillage industriels</v>
          </cell>
          <cell r="L29" t="str">
            <v>Installations techniques, matériel et outillage industriels</v>
          </cell>
        </row>
        <row r="30">
          <cell r="D30">
            <v>83268.040000000008</v>
          </cell>
          <cell r="E30">
            <v>55907.9</v>
          </cell>
          <cell r="K30" t="str">
            <v>Installations techniques, matériel et outillage industriels</v>
          </cell>
          <cell r="L30" t="str">
            <v>Installations techniques, matériel et outillage industriels</v>
          </cell>
        </row>
        <row r="31">
          <cell r="D31">
            <v>731701.33000000007</v>
          </cell>
          <cell r="E31">
            <v>640562.82000000007</v>
          </cell>
          <cell r="K31" t="str">
            <v>Autres immobilisations corporelles</v>
          </cell>
          <cell r="L31" t="str">
            <v>Autres immobilisations corporelles</v>
          </cell>
        </row>
        <row r="32">
          <cell r="D32">
            <v>84236.61</v>
          </cell>
          <cell r="E32">
            <v>84236.61</v>
          </cell>
          <cell r="K32" t="str">
            <v>Autres immobilisations corporelles</v>
          </cell>
          <cell r="L32" t="str">
            <v>Autres immobilisations corporelles</v>
          </cell>
        </row>
        <row r="33">
          <cell r="D33">
            <v>71572.45</v>
          </cell>
          <cell r="E33">
            <v>170572.41999999998</v>
          </cell>
          <cell r="K33" t="str">
            <v>Autres immobilisations corporelles</v>
          </cell>
          <cell r="L33" t="str">
            <v>Autres immobilisations corporelles</v>
          </cell>
        </row>
        <row r="34">
          <cell r="D34">
            <v>120247.35</v>
          </cell>
          <cell r="E34">
            <v>117490.04000000001</v>
          </cell>
          <cell r="K34" t="str">
            <v>Autres immobilisations corporelles</v>
          </cell>
          <cell r="L34" t="str">
            <v>Autres immobilisations corporelles</v>
          </cell>
        </row>
        <row r="35">
          <cell r="D35">
            <v>58712.41</v>
          </cell>
          <cell r="E35">
            <v>56032.19</v>
          </cell>
          <cell r="K35" t="str">
            <v>Autres immobilisations corporelles</v>
          </cell>
          <cell r="L35" t="str">
            <v>Autres immobilisations corporelles</v>
          </cell>
        </row>
        <row r="36">
          <cell r="D36">
            <v>310260.7</v>
          </cell>
          <cell r="E36">
            <v>8350</v>
          </cell>
          <cell r="K36" t="str">
            <v>Immobilisations corporelles en cours</v>
          </cell>
          <cell r="L36" t="str">
            <v>Immobilisations corporelles en cours</v>
          </cell>
        </row>
        <row r="37">
          <cell r="D37">
            <v>4300</v>
          </cell>
          <cell r="E37">
            <v>4300</v>
          </cell>
          <cell r="K37" t="str">
            <v>Participations</v>
          </cell>
          <cell r="L37" t="str">
            <v>Participations</v>
          </cell>
        </row>
        <row r="38">
          <cell r="D38">
            <v>2095.79</v>
          </cell>
          <cell r="E38">
            <v>2095.79</v>
          </cell>
          <cell r="K38" t="str">
            <v>Dépôts et cautionnements versés</v>
          </cell>
          <cell r="L38" t="str">
            <v>Dépôts et cautionnements versés</v>
          </cell>
        </row>
        <row r="39">
          <cell r="D39">
            <v>-29789</v>
          </cell>
          <cell r="E39">
            <v>-27230.53</v>
          </cell>
          <cell r="K39" t="str">
            <v>Concessions, brvts, licences, logiciels, drts &amp; val. similaire</v>
          </cell>
          <cell r="L39" t="str">
            <v>Concessions, brvts, licences, logiciels, drts &amp; val. similaire</v>
          </cell>
        </row>
        <row r="40">
          <cell r="D40">
            <v>-311072.23</v>
          </cell>
          <cell r="E40">
            <v>-300207.13</v>
          </cell>
          <cell r="K40" t="str">
            <v>Constructions</v>
          </cell>
          <cell r="L40" t="str">
            <v>Constructions</v>
          </cell>
        </row>
        <row r="41">
          <cell r="D41">
            <v>-499298.74</v>
          </cell>
          <cell r="E41">
            <v>-437519.26</v>
          </cell>
          <cell r="K41" t="str">
            <v>Constructions</v>
          </cell>
          <cell r="L41" t="str">
            <v>Constructions</v>
          </cell>
        </row>
        <row r="42">
          <cell r="D42">
            <v>-224815</v>
          </cell>
          <cell r="E42">
            <v>-212549.96</v>
          </cell>
          <cell r="K42" t="str">
            <v>Installations techniques, matériel et outillage industriels</v>
          </cell>
          <cell r="L42" t="str">
            <v>Installations techniques, matériel et outillage industriels</v>
          </cell>
        </row>
        <row r="43">
          <cell r="D43">
            <v>-52610.38</v>
          </cell>
          <cell r="E43">
            <v>-47767.93</v>
          </cell>
          <cell r="K43" t="str">
            <v>Installations techniques, matériel et outillage industriels</v>
          </cell>
          <cell r="L43" t="str">
            <v>Installations techniques, matériel et outillage industriels</v>
          </cell>
        </row>
        <row r="44">
          <cell r="D44">
            <v>-385509.21</v>
          </cell>
          <cell r="E44">
            <v>-326819.65999999997</v>
          </cell>
          <cell r="K44" t="str">
            <v>Autres immobilisations corporelles</v>
          </cell>
          <cell r="L44" t="str">
            <v>Autres immobilisations corporelles</v>
          </cell>
        </row>
        <row r="45">
          <cell r="D45">
            <v>-84236.61</v>
          </cell>
          <cell r="E45">
            <v>-84236.61</v>
          </cell>
          <cell r="K45" t="str">
            <v>Autres immobilisations corporelles</v>
          </cell>
          <cell r="L45" t="str">
            <v>Autres immobilisations corporelles</v>
          </cell>
        </row>
        <row r="46">
          <cell r="D46">
            <v>-35225.51</v>
          </cell>
          <cell r="E46">
            <v>-87024.46</v>
          </cell>
          <cell r="K46" t="str">
            <v>Autres immobilisations corporelles</v>
          </cell>
          <cell r="L46" t="str">
            <v>Autres immobilisations corporelles</v>
          </cell>
        </row>
        <row r="47">
          <cell r="D47">
            <v>-117372.65</v>
          </cell>
          <cell r="E47">
            <v>-114261.17</v>
          </cell>
          <cell r="K47" t="str">
            <v>Autres immobilisations corporelles</v>
          </cell>
          <cell r="L47" t="str">
            <v>Autres immobilisations corporelles</v>
          </cell>
        </row>
        <row r="48">
          <cell r="D48">
            <v>-51991.02</v>
          </cell>
          <cell r="E48">
            <v>-43973.49</v>
          </cell>
          <cell r="K48" t="str">
            <v>Autres immobilisations corporelles</v>
          </cell>
          <cell r="L48" t="str">
            <v>Autres immobilisations corporelles</v>
          </cell>
        </row>
        <row r="49">
          <cell r="D49">
            <v>1428</v>
          </cell>
          <cell r="E49">
            <v>343.5</v>
          </cell>
          <cell r="K49" t="str">
            <v>En-cours de production (biens et services)</v>
          </cell>
          <cell r="L49" t="str">
            <v>En-cours de production (biens et services)</v>
          </cell>
        </row>
        <row r="50">
          <cell r="D50">
            <v>9453.7999999999993</v>
          </cell>
          <cell r="E50">
            <v>3099.73</v>
          </cell>
          <cell r="K50" t="str">
            <v>En-cours de production (biens et services)</v>
          </cell>
          <cell r="L50" t="str">
            <v>En-cours de production (biens et services)</v>
          </cell>
        </row>
        <row r="51">
          <cell r="D51">
            <v>108.1</v>
          </cell>
          <cell r="E51">
            <v>133.06</v>
          </cell>
          <cell r="K51" t="str">
            <v>En-cours de production (biens et services)</v>
          </cell>
          <cell r="L51" t="str">
            <v>En-cours de production (biens et services)</v>
          </cell>
        </row>
        <row r="52">
          <cell r="D52">
            <v>4101266.95</v>
          </cell>
          <cell r="E52">
            <v>4194275.99</v>
          </cell>
          <cell r="K52" t="str">
            <v>Marchandises</v>
          </cell>
          <cell r="L52" t="str">
            <v>Marchandises</v>
          </cell>
        </row>
        <row r="53">
          <cell r="D53">
            <v>973411.46</v>
          </cell>
          <cell r="E53">
            <v>684653.33</v>
          </cell>
          <cell r="K53" t="str">
            <v>Marchandises</v>
          </cell>
          <cell r="L53" t="str">
            <v>Marchandises</v>
          </cell>
        </row>
        <row r="54">
          <cell r="D54">
            <v>34909.800000000003</v>
          </cell>
          <cell r="E54">
            <v>9512.6200000000008</v>
          </cell>
          <cell r="K54" t="str">
            <v>Marchandises</v>
          </cell>
          <cell r="L54" t="str">
            <v>Marchandises</v>
          </cell>
        </row>
        <row r="55">
          <cell r="D55">
            <v>230210.53</v>
          </cell>
          <cell r="E55">
            <v>293361.28999999998</v>
          </cell>
          <cell r="K55" t="str">
            <v>Marchandises</v>
          </cell>
          <cell r="L55" t="str">
            <v>Marchandises</v>
          </cell>
        </row>
        <row r="56">
          <cell r="D56">
            <v>1494833.82</v>
          </cell>
          <cell r="E56">
            <v>1428460.4</v>
          </cell>
          <cell r="K56" t="str">
            <v>Marchandises</v>
          </cell>
          <cell r="L56" t="str">
            <v>Marchandises</v>
          </cell>
        </row>
        <row r="57">
          <cell r="D57">
            <v>46796.39</v>
          </cell>
          <cell r="E57">
            <v>42810.33</v>
          </cell>
          <cell r="K57" t="str">
            <v>Marchandises</v>
          </cell>
          <cell r="L57" t="str">
            <v>Marchandises</v>
          </cell>
        </row>
        <row r="58">
          <cell r="D58">
            <v>56035.83</v>
          </cell>
          <cell r="E58">
            <v>185736.47</v>
          </cell>
          <cell r="K58" t="str">
            <v>Marchandises</v>
          </cell>
          <cell r="L58" t="str">
            <v>Marchandises</v>
          </cell>
        </row>
        <row r="59">
          <cell r="D59">
            <v>16486.59</v>
          </cell>
          <cell r="E59">
            <v>58113.01</v>
          </cell>
          <cell r="K59" t="str">
            <v>Marchandises</v>
          </cell>
          <cell r="L59" t="str">
            <v>Marchandises</v>
          </cell>
        </row>
        <row r="60">
          <cell r="D60">
            <v>12592.43</v>
          </cell>
          <cell r="E60">
            <v>8498.16</v>
          </cell>
          <cell r="K60" t="str">
            <v>Marchandises</v>
          </cell>
          <cell r="L60" t="str">
            <v>Marchandises</v>
          </cell>
        </row>
        <row r="61">
          <cell r="D61">
            <v>3211.87</v>
          </cell>
          <cell r="E61">
            <v>1402.74</v>
          </cell>
          <cell r="K61" t="str">
            <v>Marchandises</v>
          </cell>
          <cell r="L61" t="str">
            <v>Marchandises</v>
          </cell>
        </row>
        <row r="62">
          <cell r="D62">
            <v>-6332.1</v>
          </cell>
          <cell r="E62">
            <v>-22161.56</v>
          </cell>
          <cell r="K62" t="str">
            <v>Marchandises</v>
          </cell>
          <cell r="L62" t="str">
            <v>Marchandises</v>
          </cell>
        </row>
        <row r="63">
          <cell r="D63">
            <v>-32326.39</v>
          </cell>
          <cell r="E63">
            <v>0</v>
          </cell>
          <cell r="K63" t="str">
            <v>Marchandises</v>
          </cell>
          <cell r="L63" t="str">
            <v>Marchandises</v>
          </cell>
        </row>
        <row r="64">
          <cell r="D64">
            <v>-16407.099999999999</v>
          </cell>
          <cell r="E64">
            <v>-12398</v>
          </cell>
          <cell r="K64" t="str">
            <v>Marchandises</v>
          </cell>
          <cell r="L64" t="str">
            <v>Marchandises</v>
          </cell>
        </row>
        <row r="65">
          <cell r="D65">
            <v>-9731.4699999999993</v>
          </cell>
          <cell r="E65">
            <v>-53415.91</v>
          </cell>
          <cell r="K65" t="str">
            <v>Marchandises</v>
          </cell>
          <cell r="L65" t="str">
            <v>Marchandises</v>
          </cell>
        </row>
        <row r="66">
          <cell r="D66">
            <v>-267065.25</v>
          </cell>
          <cell r="E66">
            <v>-133190.23000000001</v>
          </cell>
          <cell r="K66" t="str">
            <v>Fournisseurs et comptes rattachés</v>
          </cell>
          <cell r="L66" t="str">
            <v>Fournisseurs et comptes rattachés</v>
          </cell>
        </row>
        <row r="67">
          <cell r="D67">
            <v>-6529.78</v>
          </cell>
          <cell r="E67">
            <v>-24208.36</v>
          </cell>
          <cell r="K67" t="str">
            <v>Fournisseurs et comptes rattachés</v>
          </cell>
          <cell r="L67" t="str">
            <v>Fournisseurs et comptes rattachés</v>
          </cell>
        </row>
        <row r="68">
          <cell r="D68">
            <v>-359561.11</v>
          </cell>
          <cell r="E68">
            <v>-630746.84</v>
          </cell>
          <cell r="K68" t="str">
            <v>Fournisseurs et comptes rattachés</v>
          </cell>
          <cell r="L68" t="str">
            <v>Fournisseurs et comptes rattachés</v>
          </cell>
        </row>
        <row r="69">
          <cell r="D69">
            <v>-88311.57</v>
          </cell>
          <cell r="E69">
            <v>-589781.16</v>
          </cell>
          <cell r="K69" t="str">
            <v>Fournisseurs et comptes rattachés</v>
          </cell>
          <cell r="L69" t="str">
            <v>Fournisseurs et comptes rattachés</v>
          </cell>
        </row>
        <row r="70">
          <cell r="D70">
            <v>-3820304.4</v>
          </cell>
          <cell r="E70">
            <v>-4138438.8</v>
          </cell>
          <cell r="K70" t="str">
            <v>Fournisseurs et comptes rattachés</v>
          </cell>
          <cell r="L70" t="str">
            <v>Fournisseurs et comptes rattachés</v>
          </cell>
        </row>
        <row r="71">
          <cell r="D71">
            <v>471089.94</v>
          </cell>
          <cell r="E71">
            <v>456740.95</v>
          </cell>
          <cell r="K71" t="str">
            <v>Fournisseurs débiteurs</v>
          </cell>
          <cell r="L71" t="str">
            <v>Fournisseurs débiteurs</v>
          </cell>
        </row>
        <row r="72">
          <cell r="D72">
            <v>-32095.11</v>
          </cell>
          <cell r="E72">
            <v>-20437.07</v>
          </cell>
          <cell r="K72" t="str">
            <v>Fournisseurs et comptes rattachés</v>
          </cell>
          <cell r="L72" t="str">
            <v>Fournisseurs et comptes rattachés</v>
          </cell>
        </row>
        <row r="73">
          <cell r="D73">
            <v>-168193.21</v>
          </cell>
          <cell r="E73">
            <v>-13110.59</v>
          </cell>
          <cell r="K73" t="str">
            <v>Fournisseurs et comptes rattachés</v>
          </cell>
          <cell r="L73" t="str">
            <v>Fournisseurs et comptes rattachés</v>
          </cell>
        </row>
        <row r="74">
          <cell r="D74">
            <v>-35793.83</v>
          </cell>
          <cell r="E74">
            <v>-27388.75</v>
          </cell>
          <cell r="K74" t="str">
            <v>Fournisseurs et comptes rattachés</v>
          </cell>
          <cell r="L74" t="str">
            <v>Fournisseurs et comptes rattachés</v>
          </cell>
        </row>
        <row r="75">
          <cell r="D75">
            <v>-115182.35</v>
          </cell>
          <cell r="E75">
            <v>-123767.56</v>
          </cell>
          <cell r="K75" t="str">
            <v>Fournisseurs et comptes rattachés</v>
          </cell>
          <cell r="L75" t="str">
            <v>Fournisseurs et comptes rattachés</v>
          </cell>
        </row>
        <row r="76">
          <cell r="D76">
            <v>-13065.87</v>
          </cell>
          <cell r="E76">
            <v>-16453.75</v>
          </cell>
          <cell r="K76" t="str">
            <v>Fournisseurs et comptes rattachés</v>
          </cell>
          <cell r="L76" t="str">
            <v>Fournisseurs et comptes rattachés</v>
          </cell>
        </row>
        <row r="77">
          <cell r="D77">
            <v>708.35</v>
          </cell>
          <cell r="E77">
            <v>0</v>
          </cell>
          <cell r="K77" t="str">
            <v>Fournisseurs débiteurs</v>
          </cell>
          <cell r="L77" t="str">
            <v>Fournisseurs débiteurs</v>
          </cell>
        </row>
        <row r="78">
          <cell r="D78">
            <v>473475.57</v>
          </cell>
          <cell r="E78">
            <v>525942.51</v>
          </cell>
          <cell r="K78" t="str">
            <v>Avances et acomptes versés sur commandes</v>
          </cell>
          <cell r="L78" t="str">
            <v>Avances et acomptes versés sur commandes</v>
          </cell>
        </row>
        <row r="79">
          <cell r="D79">
            <v>366.31</v>
          </cell>
          <cell r="E79">
            <v>12280.21</v>
          </cell>
          <cell r="K79" t="str">
            <v>Avances et acomptes versés sur commandes</v>
          </cell>
          <cell r="L79" t="str">
            <v>Avances et acomptes versés sur commandes</v>
          </cell>
        </row>
        <row r="80">
          <cell r="D80">
            <v>228261.78</v>
          </cell>
          <cell r="E80">
            <v>105902.07</v>
          </cell>
          <cell r="K80" t="str">
            <v>Clients et comptes rattachés</v>
          </cell>
          <cell r="L80" t="str">
            <v>Clients et comptes rattachés</v>
          </cell>
        </row>
        <row r="81">
          <cell r="D81">
            <v>27118.75</v>
          </cell>
          <cell r="E81">
            <v>50817.71</v>
          </cell>
          <cell r="K81" t="str">
            <v>Clients et comptes rattachés</v>
          </cell>
          <cell r="L81" t="str">
            <v>Clients et comptes rattachés</v>
          </cell>
        </row>
        <row r="82">
          <cell r="D82">
            <v>13961.59</v>
          </cell>
          <cell r="E82">
            <v>21351.93</v>
          </cell>
          <cell r="K82" t="str">
            <v>Clients et comptes rattachés</v>
          </cell>
          <cell r="L82" t="str">
            <v>Clients et comptes rattachés</v>
          </cell>
        </row>
        <row r="83">
          <cell r="D83">
            <v>669142.12</v>
          </cell>
          <cell r="E83">
            <v>471886.54</v>
          </cell>
          <cell r="K83" t="str">
            <v>Clients et comptes rattachés</v>
          </cell>
          <cell r="L83" t="str">
            <v>Clients et comptes rattachés</v>
          </cell>
        </row>
        <row r="84">
          <cell r="D84">
            <v>2990</v>
          </cell>
          <cell r="E84">
            <v>11941.42</v>
          </cell>
          <cell r="K84" t="str">
            <v>Clients et comptes rattachés</v>
          </cell>
          <cell r="L84" t="str">
            <v>Clients et comptes rattachés</v>
          </cell>
        </row>
        <row r="85">
          <cell r="D85">
            <v>29768.720000000001</v>
          </cell>
          <cell r="E85">
            <v>41165.29</v>
          </cell>
          <cell r="K85" t="str">
            <v>Clients et comptes rattachés</v>
          </cell>
          <cell r="L85" t="str">
            <v>Clients et comptes rattachés</v>
          </cell>
        </row>
        <row r="86">
          <cell r="D86">
            <v>0</v>
          </cell>
          <cell r="E86">
            <v>390.72</v>
          </cell>
          <cell r="K86" t="str">
            <v>Clients et comptes rattachés</v>
          </cell>
          <cell r="L86" t="str">
            <v>Clients et comptes rattachés</v>
          </cell>
        </row>
        <row r="87">
          <cell r="D87">
            <v>63742.57</v>
          </cell>
          <cell r="E87">
            <v>37944.57</v>
          </cell>
          <cell r="K87" t="str">
            <v>Clients et comptes rattachés</v>
          </cell>
          <cell r="L87" t="str">
            <v>Clients et comptes rattachés</v>
          </cell>
        </row>
        <row r="88">
          <cell r="D88">
            <v>7462.47</v>
          </cell>
          <cell r="E88">
            <v>7273.16</v>
          </cell>
          <cell r="K88" t="str">
            <v>Clients et comptes rattachés</v>
          </cell>
          <cell r="L88" t="str">
            <v>Clients et comptes rattachés</v>
          </cell>
        </row>
        <row r="89">
          <cell r="D89">
            <v>0</v>
          </cell>
          <cell r="E89">
            <v>0</v>
          </cell>
          <cell r="K89" t="str">
            <v>Clients et comptes rattachés</v>
          </cell>
          <cell r="L89" t="str">
            <v>Clients et comptes rattachés</v>
          </cell>
        </row>
        <row r="90">
          <cell r="D90">
            <v>176484.25</v>
          </cell>
          <cell r="E90">
            <v>169843.16</v>
          </cell>
          <cell r="K90" t="str">
            <v>Clients et comptes rattachés</v>
          </cell>
          <cell r="L90" t="str">
            <v>Clients et comptes rattachés</v>
          </cell>
        </row>
        <row r="91">
          <cell r="D91">
            <v>0</v>
          </cell>
          <cell r="E91">
            <v>300</v>
          </cell>
          <cell r="K91" t="str">
            <v>Clients et comptes rattachés</v>
          </cell>
          <cell r="L91" t="str">
            <v>Clients et comptes rattachés</v>
          </cell>
        </row>
        <row r="92">
          <cell r="D92">
            <v>-4426.5</v>
          </cell>
          <cell r="E92">
            <v>0</v>
          </cell>
          <cell r="K92" t="str">
            <v>Avances et acomptes reçus sur commandes en cours</v>
          </cell>
          <cell r="L92" t="str">
            <v>Clients et comptes rattachés</v>
          </cell>
        </row>
        <row r="93">
          <cell r="D93">
            <v>-88327.64</v>
          </cell>
          <cell r="E93">
            <v>-187704.63</v>
          </cell>
          <cell r="K93" t="str">
            <v>Avances et acomptes reçus sur commandes en cours</v>
          </cell>
          <cell r="L93" t="str">
            <v>Avances et acomptes reçus sur commandes en cours</v>
          </cell>
        </row>
        <row r="94">
          <cell r="D94">
            <v>23.03</v>
          </cell>
          <cell r="E94">
            <v>0</v>
          </cell>
          <cell r="K94" t="str">
            <v>Créances sociales</v>
          </cell>
          <cell r="L94" t="str">
            <v>Créances sociales</v>
          </cell>
        </row>
        <row r="95">
          <cell r="D95">
            <v>-1207.29</v>
          </cell>
          <cell r="E95">
            <v>-280.47000000000003</v>
          </cell>
          <cell r="K95" t="str">
            <v>Dettes sociales</v>
          </cell>
          <cell r="L95" t="str">
            <v>Dettes sociales</v>
          </cell>
        </row>
        <row r="96">
          <cell r="D96">
            <v>0</v>
          </cell>
          <cell r="E96">
            <v>0</v>
          </cell>
          <cell r="K96" t="str">
            <v>Créances sociales</v>
          </cell>
          <cell r="L96" t="str">
            <v>Créances sociales</v>
          </cell>
        </row>
        <row r="97">
          <cell r="D97">
            <v>0</v>
          </cell>
          <cell r="E97">
            <v>1100</v>
          </cell>
          <cell r="K97" t="str">
            <v>Créances sociales</v>
          </cell>
          <cell r="L97" t="str">
            <v>Créances sociales</v>
          </cell>
        </row>
        <row r="98">
          <cell r="D98">
            <v>0</v>
          </cell>
          <cell r="E98">
            <v>-770</v>
          </cell>
          <cell r="K98" t="str">
            <v>Créances sociales</v>
          </cell>
          <cell r="L98" t="str">
            <v>Dettes sociales</v>
          </cell>
        </row>
        <row r="99">
          <cell r="D99">
            <v>-102414.78</v>
          </cell>
          <cell r="E99">
            <v>-104817.43</v>
          </cell>
          <cell r="K99" t="str">
            <v>Dettes sociales</v>
          </cell>
          <cell r="L99" t="str">
            <v>Dettes sociales</v>
          </cell>
        </row>
        <row r="100">
          <cell r="D100">
            <v>-15067.13</v>
          </cell>
          <cell r="E100">
            <v>-10028.299999999999</v>
          </cell>
          <cell r="K100" t="str">
            <v>Dettes sociales</v>
          </cell>
          <cell r="L100" t="str">
            <v>Dettes sociales</v>
          </cell>
        </row>
        <row r="101">
          <cell r="D101">
            <v>0</v>
          </cell>
          <cell r="E101">
            <v>0</v>
          </cell>
          <cell r="K101" t="str">
            <v>Créances sociales</v>
          </cell>
          <cell r="L101" t="str">
            <v>Créances sociales</v>
          </cell>
        </row>
        <row r="102">
          <cell r="D102">
            <v>-32727.32</v>
          </cell>
          <cell r="E102">
            <v>-78788.240000000005</v>
          </cell>
          <cell r="K102" t="str">
            <v>Dettes sociales</v>
          </cell>
          <cell r="L102" t="str">
            <v>Dettes sociales</v>
          </cell>
        </row>
        <row r="103">
          <cell r="D103">
            <v>0</v>
          </cell>
          <cell r="E103">
            <v>3381.21</v>
          </cell>
          <cell r="K103" t="str">
            <v>Créances sociales</v>
          </cell>
          <cell r="L103" t="str">
            <v>Créances sociales</v>
          </cell>
        </row>
        <row r="104">
          <cell r="D104">
            <v>-71542.52</v>
          </cell>
          <cell r="E104">
            <v>-67894.210000000006</v>
          </cell>
          <cell r="K104" t="str">
            <v>Dettes sociales</v>
          </cell>
          <cell r="L104" t="str">
            <v>Dettes sociales</v>
          </cell>
        </row>
        <row r="105">
          <cell r="D105">
            <v>-465.68</v>
          </cell>
          <cell r="E105">
            <v>2285.3200000000002</v>
          </cell>
          <cell r="K105" t="str">
            <v>Dettes sociales</v>
          </cell>
          <cell r="L105" t="str">
            <v>Créances sociales</v>
          </cell>
        </row>
        <row r="106">
          <cell r="D106">
            <v>0</v>
          </cell>
          <cell r="E106">
            <v>0</v>
          </cell>
          <cell r="K106" t="str">
            <v>Créances sociales</v>
          </cell>
          <cell r="L106" t="str">
            <v>Créances sociales</v>
          </cell>
        </row>
        <row r="107">
          <cell r="D107">
            <v>-32796.74</v>
          </cell>
          <cell r="E107">
            <v>-21878</v>
          </cell>
          <cell r="K107" t="str">
            <v>Dettes sociales</v>
          </cell>
          <cell r="L107" t="str">
            <v>Dettes sociales</v>
          </cell>
        </row>
        <row r="108">
          <cell r="D108">
            <v>-5696.11</v>
          </cell>
          <cell r="E108">
            <v>-4598.84</v>
          </cell>
          <cell r="K108" t="str">
            <v>Dettes sociales</v>
          </cell>
          <cell r="L108" t="str">
            <v>Dettes sociales</v>
          </cell>
        </row>
        <row r="109">
          <cell r="D109">
            <v>-3786.81</v>
          </cell>
          <cell r="E109">
            <v>-5107.72</v>
          </cell>
          <cell r="K109" t="str">
            <v>Dettes sociales</v>
          </cell>
          <cell r="L109" t="str">
            <v>Dettes sociales</v>
          </cell>
        </row>
        <row r="110">
          <cell r="D110">
            <v>-24031.45</v>
          </cell>
          <cell r="E110">
            <v>-23589</v>
          </cell>
          <cell r="K110" t="str">
            <v>Dettes sociales</v>
          </cell>
          <cell r="L110" t="str">
            <v>Dettes sociales</v>
          </cell>
        </row>
        <row r="111">
          <cell r="D111">
            <v>0</v>
          </cell>
          <cell r="E111">
            <v>0</v>
          </cell>
          <cell r="K111" t="str">
            <v>Créances sociales</v>
          </cell>
          <cell r="L111" t="str">
            <v>Créances sociales</v>
          </cell>
        </row>
        <row r="112">
          <cell r="D112">
            <v>-7510.01</v>
          </cell>
          <cell r="E112">
            <v>-7232.72</v>
          </cell>
          <cell r="K112" t="str">
            <v>Dettes sociales</v>
          </cell>
          <cell r="L112" t="str">
            <v>Dettes sociales</v>
          </cell>
        </row>
        <row r="113">
          <cell r="D113">
            <v>-8708.4</v>
          </cell>
          <cell r="E113">
            <v>-8025.6</v>
          </cell>
          <cell r="K113" t="str">
            <v>Dettes sociales</v>
          </cell>
          <cell r="L113" t="str">
            <v>Dettes sociales</v>
          </cell>
        </row>
        <row r="114">
          <cell r="D114">
            <v>0</v>
          </cell>
          <cell r="E114">
            <v>15</v>
          </cell>
          <cell r="K114" t="str">
            <v>Créances sociales</v>
          </cell>
          <cell r="L114" t="str">
            <v>Créances sociales</v>
          </cell>
        </row>
        <row r="115">
          <cell r="D115">
            <v>0</v>
          </cell>
          <cell r="E115">
            <v>0</v>
          </cell>
          <cell r="K115" t="str">
            <v>Créances sociales</v>
          </cell>
          <cell r="L115" t="str">
            <v>Créances sociales</v>
          </cell>
        </row>
        <row r="116">
          <cell r="D116">
            <v>-11348.08</v>
          </cell>
          <cell r="E116">
            <v>-10601.09</v>
          </cell>
          <cell r="K116" t="str">
            <v>Dettes sociales</v>
          </cell>
          <cell r="L116" t="str">
            <v>Dettes sociales</v>
          </cell>
        </row>
        <row r="117">
          <cell r="D117">
            <v>-46909.279999999999</v>
          </cell>
          <cell r="E117">
            <v>-47624.7</v>
          </cell>
          <cell r="K117" t="str">
            <v>Dettes sociales</v>
          </cell>
          <cell r="L117" t="str">
            <v>Dettes sociales</v>
          </cell>
        </row>
        <row r="118">
          <cell r="D118">
            <v>-7783.18</v>
          </cell>
          <cell r="E118">
            <v>-5379.56</v>
          </cell>
          <cell r="K118" t="str">
            <v>Dettes sociales</v>
          </cell>
          <cell r="L118" t="str">
            <v>Dettes sociales</v>
          </cell>
        </row>
        <row r="119">
          <cell r="D119">
            <v>-23499.05</v>
          </cell>
          <cell r="E119">
            <v>-47976.32</v>
          </cell>
          <cell r="K119" t="str">
            <v>Dettes sociales</v>
          </cell>
          <cell r="L119" t="str">
            <v>Dettes sociales</v>
          </cell>
        </row>
        <row r="120">
          <cell r="D120">
            <v>10000</v>
          </cell>
          <cell r="E120">
            <v>10000</v>
          </cell>
          <cell r="K120" t="str">
            <v>Créances fiscales</v>
          </cell>
          <cell r="L120" t="str">
            <v>Créances fiscales</v>
          </cell>
        </row>
        <row r="121">
          <cell r="D121">
            <v>-1154</v>
          </cell>
          <cell r="E121">
            <v>-488</v>
          </cell>
          <cell r="K121" t="str">
            <v>Dettes fiscales</v>
          </cell>
          <cell r="L121" t="str">
            <v>Dettes fiscales</v>
          </cell>
        </row>
        <row r="122">
          <cell r="D122">
            <v>0</v>
          </cell>
          <cell r="E122">
            <v>0</v>
          </cell>
          <cell r="K122" t="str">
            <v>Créances fiscales</v>
          </cell>
          <cell r="L122" t="str">
            <v>Créances fiscales</v>
          </cell>
        </row>
        <row r="123">
          <cell r="D123">
            <v>0</v>
          </cell>
          <cell r="E123">
            <v>0</v>
          </cell>
          <cell r="K123" t="str">
            <v>Créances fiscales</v>
          </cell>
          <cell r="L123" t="str">
            <v>Créances fiscales</v>
          </cell>
        </row>
        <row r="124">
          <cell r="D124">
            <v>153484.53</v>
          </cell>
          <cell r="E124">
            <v>0</v>
          </cell>
          <cell r="K124" t="str">
            <v>Créances fiscales</v>
          </cell>
          <cell r="L124" t="str">
            <v>Créances fiscales</v>
          </cell>
        </row>
        <row r="125">
          <cell r="D125">
            <v>0</v>
          </cell>
          <cell r="E125">
            <v>-220.62</v>
          </cell>
          <cell r="K125" t="str">
            <v>Créances fiscales</v>
          </cell>
          <cell r="L125" t="str">
            <v>Dettes fiscales</v>
          </cell>
        </row>
        <row r="126">
          <cell r="D126">
            <v>77526</v>
          </cell>
          <cell r="E126">
            <v>49749</v>
          </cell>
          <cell r="K126" t="str">
            <v>Créances fiscales</v>
          </cell>
          <cell r="L126" t="str">
            <v>Créances fiscales</v>
          </cell>
        </row>
        <row r="127">
          <cell r="D127">
            <v>0</v>
          </cell>
          <cell r="E127">
            <v>0</v>
          </cell>
          <cell r="K127" t="str">
            <v>Créances fiscales</v>
          </cell>
          <cell r="L127" t="str">
            <v>Créances fiscales</v>
          </cell>
        </row>
        <row r="128">
          <cell r="D128">
            <v>0</v>
          </cell>
          <cell r="E128">
            <v>0</v>
          </cell>
          <cell r="K128" t="str">
            <v>Créances fiscales</v>
          </cell>
          <cell r="L128" t="str">
            <v>Créances fiscales</v>
          </cell>
        </row>
        <row r="129">
          <cell r="D129">
            <v>10525.14</v>
          </cell>
          <cell r="E129">
            <v>-5272.47</v>
          </cell>
          <cell r="K129" t="str">
            <v>Créances fiscales</v>
          </cell>
          <cell r="L129" t="str">
            <v>Dettes fiscales</v>
          </cell>
        </row>
        <row r="130">
          <cell r="D130">
            <v>-47511.409999999996</v>
          </cell>
          <cell r="E130">
            <v>-58129.62</v>
          </cell>
          <cell r="K130" t="str">
            <v>Dettes fiscales</v>
          </cell>
          <cell r="L130" t="str">
            <v>Dettes fiscales</v>
          </cell>
        </row>
        <row r="131">
          <cell r="D131">
            <v>-8421.83</v>
          </cell>
          <cell r="E131">
            <v>6949.09</v>
          </cell>
          <cell r="K131" t="str">
            <v>Dettes fiscales</v>
          </cell>
          <cell r="L131" t="str">
            <v>Créances fiscales</v>
          </cell>
        </row>
        <row r="132">
          <cell r="D132">
            <v>-12578</v>
          </cell>
          <cell r="E132">
            <v>-12269</v>
          </cell>
          <cell r="K132" t="str">
            <v>Dettes fiscales</v>
          </cell>
          <cell r="L132" t="str">
            <v>Dettes fiscales</v>
          </cell>
        </row>
        <row r="133">
          <cell r="D133">
            <v>-5932</v>
          </cell>
          <cell r="E133">
            <v>-11338.45</v>
          </cell>
          <cell r="K133" t="str">
            <v>Dettes fiscales</v>
          </cell>
          <cell r="L133" t="str">
            <v>Dettes fiscales</v>
          </cell>
        </row>
        <row r="134">
          <cell r="D134">
            <v>6000</v>
          </cell>
          <cell r="E134">
            <v>3553</v>
          </cell>
          <cell r="K134" t="str">
            <v>Créances fiscales</v>
          </cell>
          <cell r="L134" t="str">
            <v>Créances fiscales</v>
          </cell>
        </row>
        <row r="135">
          <cell r="D135">
            <v>68400.759999999995</v>
          </cell>
          <cell r="E135">
            <v>0</v>
          </cell>
          <cell r="K135" t="str">
            <v>Créances fiscales</v>
          </cell>
          <cell r="L135" t="str">
            <v>Créances fiscales</v>
          </cell>
        </row>
        <row r="136">
          <cell r="D136">
            <v>-600000</v>
          </cell>
          <cell r="E136">
            <v>-150000</v>
          </cell>
          <cell r="K136" t="str">
            <v>Emprunts et dettes financières</v>
          </cell>
          <cell r="L136" t="str">
            <v>Emprunts et dettes financières</v>
          </cell>
        </row>
        <row r="137">
          <cell r="D137">
            <v>0</v>
          </cell>
          <cell r="E137">
            <v>0</v>
          </cell>
          <cell r="K137" t="str">
            <v>Comptes courants débiteurs</v>
          </cell>
          <cell r="L137" t="str">
            <v>Comptes courants débiteurs</v>
          </cell>
        </row>
        <row r="138">
          <cell r="D138">
            <v>4070.54</v>
          </cell>
          <cell r="E138">
            <v>4070.54</v>
          </cell>
          <cell r="K138" t="str">
            <v>Comptes courants débiteurs</v>
          </cell>
          <cell r="L138" t="str">
            <v>Comptes courants débiteurs</v>
          </cell>
        </row>
        <row r="139">
          <cell r="D139">
            <v>20000</v>
          </cell>
          <cell r="E139">
            <v>51600</v>
          </cell>
          <cell r="K139" t="str">
            <v>Comptes courants débiteurs</v>
          </cell>
          <cell r="L139" t="str">
            <v>Comptes courants débiteurs</v>
          </cell>
        </row>
        <row r="140">
          <cell r="D140">
            <v>0</v>
          </cell>
          <cell r="E140">
            <v>94934.81</v>
          </cell>
          <cell r="K140" t="str">
            <v>Comptes courants débiteurs</v>
          </cell>
          <cell r="L140" t="str">
            <v>Comptes courants débiteurs</v>
          </cell>
        </row>
        <row r="141">
          <cell r="D141">
            <v>12835.16</v>
          </cell>
          <cell r="E141">
            <v>2628.99</v>
          </cell>
          <cell r="K141" t="str">
            <v>Créances diverses</v>
          </cell>
          <cell r="L141" t="str">
            <v>Créances diverses</v>
          </cell>
        </row>
        <row r="142">
          <cell r="D142">
            <v>19208.939999999999</v>
          </cell>
          <cell r="E142">
            <v>18206.47</v>
          </cell>
          <cell r="K142" t="str">
            <v>Créances diverses</v>
          </cell>
          <cell r="L142" t="str">
            <v>Créances diverses</v>
          </cell>
        </row>
        <row r="143">
          <cell r="D143">
            <v>-19504.7</v>
          </cell>
          <cell r="E143">
            <v>-32622.44</v>
          </cell>
          <cell r="K143" t="str">
            <v>Dettes diverses</v>
          </cell>
          <cell r="L143" t="str">
            <v>Dettes diverses</v>
          </cell>
        </row>
        <row r="144">
          <cell r="D144">
            <v>14457.8</v>
          </cell>
          <cell r="E144">
            <v>17742.75</v>
          </cell>
          <cell r="K144" t="str">
            <v>Créances diverses</v>
          </cell>
          <cell r="L144" t="str">
            <v>Créances diverses</v>
          </cell>
        </row>
        <row r="145">
          <cell r="D145">
            <v>0</v>
          </cell>
          <cell r="E145">
            <v>0</v>
          </cell>
          <cell r="K145" t="str">
            <v>Créances diverses</v>
          </cell>
          <cell r="L145" t="str">
            <v>Créances diverses</v>
          </cell>
        </row>
        <row r="146">
          <cell r="D146">
            <v>0</v>
          </cell>
          <cell r="E146">
            <v>0</v>
          </cell>
          <cell r="K146" t="str">
            <v>Créances diverses</v>
          </cell>
          <cell r="L146" t="str">
            <v>Créances diverses</v>
          </cell>
        </row>
        <row r="147">
          <cell r="D147">
            <v>0</v>
          </cell>
          <cell r="E147">
            <v>0</v>
          </cell>
          <cell r="K147" t="str">
            <v>Créances diverses</v>
          </cell>
          <cell r="L147" t="str">
            <v>Créances diverses</v>
          </cell>
        </row>
        <row r="148">
          <cell r="D148">
            <v>0</v>
          </cell>
          <cell r="E148">
            <v>0</v>
          </cell>
          <cell r="K148" t="str">
            <v>Créances diverses</v>
          </cell>
          <cell r="L148" t="str">
            <v>Créances diverses</v>
          </cell>
        </row>
        <row r="149">
          <cell r="D149">
            <v>0</v>
          </cell>
          <cell r="E149">
            <v>0</v>
          </cell>
          <cell r="K149" t="str">
            <v>Créances diverses</v>
          </cell>
          <cell r="L149" t="str">
            <v>Créances diverses</v>
          </cell>
        </row>
        <row r="150">
          <cell r="D150">
            <v>0</v>
          </cell>
          <cell r="E150">
            <v>0</v>
          </cell>
          <cell r="K150" t="str">
            <v>Créances diverses</v>
          </cell>
          <cell r="L150" t="str">
            <v>Créances diverses</v>
          </cell>
        </row>
        <row r="151">
          <cell r="D151">
            <v>0</v>
          </cell>
          <cell r="E151">
            <v>0</v>
          </cell>
          <cell r="K151" t="str">
            <v>Créances diverses</v>
          </cell>
          <cell r="L151" t="str">
            <v>Créances diverses</v>
          </cell>
        </row>
        <row r="152">
          <cell r="D152">
            <v>0</v>
          </cell>
          <cell r="E152">
            <v>0</v>
          </cell>
          <cell r="K152" t="str">
            <v>Créances diverses</v>
          </cell>
          <cell r="L152" t="str">
            <v>Créances diverses</v>
          </cell>
        </row>
        <row r="153">
          <cell r="D153">
            <v>0</v>
          </cell>
          <cell r="E153">
            <v>0</v>
          </cell>
          <cell r="K153" t="str">
            <v>Créances diverses</v>
          </cell>
          <cell r="L153" t="str">
            <v>Créances diverses</v>
          </cell>
        </row>
        <row r="154">
          <cell r="D154">
            <v>0</v>
          </cell>
          <cell r="E154">
            <v>0</v>
          </cell>
          <cell r="K154" t="str">
            <v>Créances diverses</v>
          </cell>
          <cell r="L154" t="str">
            <v>Créances diverses</v>
          </cell>
        </row>
        <row r="155">
          <cell r="D155">
            <v>0</v>
          </cell>
          <cell r="E155">
            <v>0</v>
          </cell>
          <cell r="K155" t="str">
            <v>Créances diverses</v>
          </cell>
          <cell r="L155" t="str">
            <v>Créances diverses</v>
          </cell>
        </row>
        <row r="156">
          <cell r="D156">
            <v>0</v>
          </cell>
          <cell r="E156">
            <v>0</v>
          </cell>
          <cell r="K156" t="str">
            <v>Créances diverses</v>
          </cell>
          <cell r="L156" t="str">
            <v>Créances diverses</v>
          </cell>
        </row>
        <row r="157">
          <cell r="D157">
            <v>0</v>
          </cell>
          <cell r="E157">
            <v>0</v>
          </cell>
          <cell r="K157" t="str">
            <v>Créances diverses</v>
          </cell>
          <cell r="L157" t="str">
            <v>Créances diverses</v>
          </cell>
        </row>
        <row r="158">
          <cell r="D158">
            <v>0</v>
          </cell>
          <cell r="E158">
            <v>0</v>
          </cell>
          <cell r="K158" t="str">
            <v>Créances diverses</v>
          </cell>
          <cell r="L158" t="str">
            <v>Créances diverses</v>
          </cell>
        </row>
        <row r="159">
          <cell r="D159">
            <v>0</v>
          </cell>
          <cell r="E159">
            <v>0</v>
          </cell>
          <cell r="K159" t="str">
            <v>Créances diverses</v>
          </cell>
          <cell r="L159" t="str">
            <v>Créances diverses</v>
          </cell>
        </row>
        <row r="160">
          <cell r="D160">
            <v>28242.12</v>
          </cell>
          <cell r="E160">
            <v>10321.59</v>
          </cell>
          <cell r="K160" t="str">
            <v>Charges constatées d'avance</v>
          </cell>
          <cell r="L160" t="str">
            <v>Charges constatées d'avance</v>
          </cell>
        </row>
        <row r="161">
          <cell r="D161">
            <v>-6859</v>
          </cell>
          <cell r="E161">
            <v>-22856.440000000002</v>
          </cell>
          <cell r="K161" t="str">
            <v>Produits constatés d'avance</v>
          </cell>
          <cell r="L161" t="str">
            <v>Produits constatés d'avance</v>
          </cell>
        </row>
        <row r="162">
          <cell r="D162">
            <v>0</v>
          </cell>
          <cell r="E162">
            <v>0</v>
          </cell>
          <cell r="K162" t="str">
            <v>Produits constatés d'avance</v>
          </cell>
          <cell r="L162" t="str">
            <v>Produits constatés d'avance</v>
          </cell>
        </row>
        <row r="163">
          <cell r="D163">
            <v>0</v>
          </cell>
          <cell r="E163">
            <v>0</v>
          </cell>
          <cell r="K163" t="str">
            <v>Produits constatés d'avance</v>
          </cell>
          <cell r="L163" t="str">
            <v>Produits constatés d'avance</v>
          </cell>
        </row>
        <row r="164">
          <cell r="D164">
            <v>0</v>
          </cell>
          <cell r="E164">
            <v>0</v>
          </cell>
          <cell r="K164" t="str">
            <v>Produits constatés d'avance</v>
          </cell>
          <cell r="L164" t="str">
            <v>Produits constatés d'avance</v>
          </cell>
        </row>
        <row r="165">
          <cell r="D165">
            <v>0</v>
          </cell>
          <cell r="E165">
            <v>0</v>
          </cell>
          <cell r="K165" t="str">
            <v>Produits constatés d'avance</v>
          </cell>
          <cell r="L165" t="str">
            <v>Produits constatés d'avance</v>
          </cell>
        </row>
        <row r="166">
          <cell r="D166">
            <v>0</v>
          </cell>
          <cell r="E166">
            <v>0</v>
          </cell>
          <cell r="K166" t="str">
            <v>Produits constatés d'avance</v>
          </cell>
          <cell r="L166" t="str">
            <v>Produits constatés d'avance</v>
          </cell>
        </row>
        <row r="167">
          <cell r="D167">
            <v>0</v>
          </cell>
          <cell r="E167">
            <v>0</v>
          </cell>
          <cell r="K167" t="str">
            <v>Produits constatés d'avance</v>
          </cell>
          <cell r="L167" t="str">
            <v>Produits constatés d'avance</v>
          </cell>
        </row>
        <row r="168">
          <cell r="D168">
            <v>0</v>
          </cell>
          <cell r="E168">
            <v>0</v>
          </cell>
          <cell r="K168" t="str">
            <v>Produits constatés d'avance</v>
          </cell>
          <cell r="L168" t="str">
            <v>Produits constatés d'avance</v>
          </cell>
        </row>
        <row r="169">
          <cell r="D169">
            <v>0</v>
          </cell>
          <cell r="E169">
            <v>0</v>
          </cell>
          <cell r="K169" t="str">
            <v>Produits constatés d'avance</v>
          </cell>
          <cell r="L169" t="str">
            <v>Produits constatés d'avance</v>
          </cell>
        </row>
        <row r="170">
          <cell r="D170">
            <v>0</v>
          </cell>
          <cell r="E170">
            <v>0</v>
          </cell>
          <cell r="K170" t="str">
            <v>Produits constatés d'avance</v>
          </cell>
          <cell r="L170" t="str">
            <v>Produits constatés d'avance</v>
          </cell>
        </row>
        <row r="171">
          <cell r="D171">
            <v>0</v>
          </cell>
          <cell r="E171">
            <v>0</v>
          </cell>
          <cell r="K171" t="str">
            <v>Produits constatés d'avance</v>
          </cell>
          <cell r="L171" t="str">
            <v>Produits constatés d'avance</v>
          </cell>
        </row>
        <row r="172">
          <cell r="D172">
            <v>0</v>
          </cell>
          <cell r="E172">
            <v>0</v>
          </cell>
          <cell r="K172" t="str">
            <v>Produits constatés d'avance</v>
          </cell>
          <cell r="L172" t="str">
            <v>Produits constatés d'avance</v>
          </cell>
        </row>
        <row r="173">
          <cell r="D173">
            <v>0</v>
          </cell>
          <cell r="E173">
            <v>0</v>
          </cell>
          <cell r="K173" t="str">
            <v>Produits constatés d'avance</v>
          </cell>
          <cell r="L173" t="str">
            <v>Produits constatés d'avance</v>
          </cell>
        </row>
        <row r="174">
          <cell r="D174">
            <v>0</v>
          </cell>
          <cell r="E174">
            <v>0</v>
          </cell>
          <cell r="K174" t="str">
            <v>Produits constatés d'avance</v>
          </cell>
          <cell r="L174" t="str">
            <v>Produits constatés d'avance</v>
          </cell>
        </row>
        <row r="175">
          <cell r="D175">
            <v>0</v>
          </cell>
          <cell r="E175">
            <v>0</v>
          </cell>
          <cell r="K175" t="str">
            <v>Produits constatés d'avance</v>
          </cell>
          <cell r="L175" t="str">
            <v>Produits constatés d'avance</v>
          </cell>
        </row>
        <row r="176">
          <cell r="D176">
            <v>0</v>
          </cell>
          <cell r="E176">
            <v>0</v>
          </cell>
          <cell r="K176" t="str">
            <v>Produits constatés d'avance</v>
          </cell>
          <cell r="L176" t="str">
            <v>Produits constatés d'avance</v>
          </cell>
        </row>
        <row r="177">
          <cell r="D177">
            <v>0</v>
          </cell>
          <cell r="E177">
            <v>0</v>
          </cell>
          <cell r="K177" t="str">
            <v>Produits constatés d'avance</v>
          </cell>
          <cell r="L177" t="str">
            <v>Produits constatés d'avance</v>
          </cell>
        </row>
        <row r="178">
          <cell r="D178">
            <v>0</v>
          </cell>
          <cell r="E178">
            <v>0</v>
          </cell>
          <cell r="K178" t="str">
            <v>Produits constatés d'avance</v>
          </cell>
          <cell r="L178" t="str">
            <v>Produits constatés d'avance</v>
          </cell>
        </row>
        <row r="179">
          <cell r="D179">
            <v>0</v>
          </cell>
          <cell r="E179">
            <v>0</v>
          </cell>
          <cell r="K179" t="str">
            <v>Produits constatés d'avance</v>
          </cell>
          <cell r="L179" t="str">
            <v>Produits constatés d'avance</v>
          </cell>
        </row>
        <row r="180">
          <cell r="D180">
            <v>0</v>
          </cell>
          <cell r="E180">
            <v>0</v>
          </cell>
          <cell r="K180" t="str">
            <v>Produits constatés d'avance</v>
          </cell>
          <cell r="L180" t="str">
            <v>Produits constatés d'avance</v>
          </cell>
        </row>
        <row r="181">
          <cell r="D181">
            <v>0</v>
          </cell>
          <cell r="E181">
            <v>0</v>
          </cell>
          <cell r="K181" t="str">
            <v>Produits constatés d'avance</v>
          </cell>
          <cell r="L181" t="str">
            <v>Produits constatés d'avance</v>
          </cell>
        </row>
        <row r="182">
          <cell r="D182">
            <v>0</v>
          </cell>
          <cell r="E182">
            <v>0</v>
          </cell>
          <cell r="K182" t="str">
            <v>Produits constatés d'avance</v>
          </cell>
          <cell r="L182" t="str">
            <v>Produits constatés d'avance</v>
          </cell>
        </row>
        <row r="183">
          <cell r="D183">
            <v>0</v>
          </cell>
          <cell r="E183">
            <v>0</v>
          </cell>
          <cell r="K183" t="str">
            <v>Produits constatés d'avance</v>
          </cell>
          <cell r="L183" t="str">
            <v>Produits constatés d'avance</v>
          </cell>
        </row>
        <row r="184">
          <cell r="D184">
            <v>0</v>
          </cell>
          <cell r="E184">
            <v>0</v>
          </cell>
          <cell r="K184" t="str">
            <v>Produits constatés d'avance</v>
          </cell>
          <cell r="L184" t="str">
            <v>Produits constatés d'avance</v>
          </cell>
        </row>
        <row r="185">
          <cell r="D185">
            <v>0</v>
          </cell>
          <cell r="E185">
            <v>0</v>
          </cell>
          <cell r="K185" t="str">
            <v>Produits constatés d'avance</v>
          </cell>
          <cell r="L185" t="str">
            <v>Produits constatés d'avance</v>
          </cell>
        </row>
        <row r="186">
          <cell r="D186">
            <v>0</v>
          </cell>
          <cell r="E186">
            <v>0</v>
          </cell>
          <cell r="K186" t="str">
            <v>Produits constatés d'avance</v>
          </cell>
          <cell r="L186" t="str">
            <v>Produits constatés d'avance</v>
          </cell>
        </row>
        <row r="187">
          <cell r="D187">
            <v>0</v>
          </cell>
          <cell r="E187">
            <v>0</v>
          </cell>
          <cell r="K187" t="str">
            <v>Produits constatés d'avance</v>
          </cell>
          <cell r="L187" t="str">
            <v>Produits constatés d'avance</v>
          </cell>
        </row>
        <row r="188">
          <cell r="D188">
            <v>0</v>
          </cell>
          <cell r="E188">
            <v>0</v>
          </cell>
          <cell r="K188" t="str">
            <v>Produits constatés d'avance</v>
          </cell>
          <cell r="L188" t="str">
            <v>Produits constatés d'avance</v>
          </cell>
        </row>
        <row r="189">
          <cell r="D189">
            <v>0</v>
          </cell>
          <cell r="E189">
            <v>0</v>
          </cell>
          <cell r="K189" t="str">
            <v>Produits constatés d'avance</v>
          </cell>
          <cell r="L189" t="str">
            <v>Produits constatés d'avance</v>
          </cell>
        </row>
        <row r="190">
          <cell r="D190">
            <v>-7468.65</v>
          </cell>
          <cell r="E190">
            <v>-7211.21</v>
          </cell>
          <cell r="K190" t="str">
            <v>Clients et comptes rattachés</v>
          </cell>
          <cell r="L190" t="str">
            <v>Clients et comptes rattachés</v>
          </cell>
        </row>
        <row r="191">
          <cell r="D191">
            <v>20500</v>
          </cell>
          <cell r="E191">
            <v>19400</v>
          </cell>
          <cell r="K191" t="str">
            <v>Disponibilités</v>
          </cell>
          <cell r="L191" t="str">
            <v>Disponibilités</v>
          </cell>
        </row>
        <row r="192">
          <cell r="D192">
            <v>0</v>
          </cell>
          <cell r="E192">
            <v>0</v>
          </cell>
          <cell r="K192" t="str">
            <v>Disponibilités</v>
          </cell>
          <cell r="L192" t="str">
            <v>Disponibilités</v>
          </cell>
        </row>
        <row r="193">
          <cell r="D193">
            <v>792</v>
          </cell>
          <cell r="E193">
            <v>1035</v>
          </cell>
          <cell r="K193" t="str">
            <v>Disponibilités</v>
          </cell>
          <cell r="L193" t="str">
            <v>Disponibilités</v>
          </cell>
        </row>
        <row r="194">
          <cell r="D194">
            <v>0</v>
          </cell>
          <cell r="E194">
            <v>0</v>
          </cell>
          <cell r="K194" t="str">
            <v>Disponibilités</v>
          </cell>
          <cell r="L194" t="str">
            <v>Disponibilités</v>
          </cell>
        </row>
        <row r="195">
          <cell r="D195">
            <v>-1339743.42</v>
          </cell>
          <cell r="E195">
            <v>-287722.08</v>
          </cell>
          <cell r="K195" t="str">
            <v>Emprunts et dettes auprès d'établissements de crédit</v>
          </cell>
          <cell r="L195" t="str">
            <v>Emprunts et dettes auprès d'établissements de crédit</v>
          </cell>
        </row>
        <row r="196">
          <cell r="D196">
            <v>107301.62</v>
          </cell>
          <cell r="E196">
            <v>197448.95999999999</v>
          </cell>
          <cell r="K196" t="str">
            <v>Disponibilités</v>
          </cell>
          <cell r="L196" t="str">
            <v>Disponibilités</v>
          </cell>
        </row>
        <row r="197">
          <cell r="D197">
            <v>0</v>
          </cell>
          <cell r="E197">
            <v>0</v>
          </cell>
          <cell r="K197" t="str">
            <v>Disponibilités</v>
          </cell>
          <cell r="L197" t="str">
            <v>Disponibilités</v>
          </cell>
        </row>
        <row r="198">
          <cell r="D198">
            <v>-1400.09</v>
          </cell>
          <cell r="E198">
            <v>0</v>
          </cell>
          <cell r="K198" t="str">
            <v>Emprunts et dettes auprès d'établissements de crédit</v>
          </cell>
          <cell r="L198" t="str">
            <v>Disponibilités</v>
          </cell>
        </row>
        <row r="199">
          <cell r="D199">
            <v>0</v>
          </cell>
          <cell r="E199">
            <v>0</v>
          </cell>
          <cell r="K199" t="str">
            <v>Disponibilités</v>
          </cell>
          <cell r="L199" t="str">
            <v>Disponibilités</v>
          </cell>
        </row>
        <row r="200">
          <cell r="D200">
            <v>0</v>
          </cell>
          <cell r="E200">
            <v>0</v>
          </cell>
          <cell r="K200" t="str">
            <v>Disponibilités</v>
          </cell>
          <cell r="L200" t="str">
            <v>Disponibilités</v>
          </cell>
        </row>
        <row r="201">
          <cell r="D201">
            <v>355.22</v>
          </cell>
          <cell r="E201">
            <v>588.91999999999996</v>
          </cell>
          <cell r="K201" t="str">
            <v>Disponibilités</v>
          </cell>
          <cell r="L201" t="str">
            <v>Disponibilités</v>
          </cell>
        </row>
        <row r="202">
          <cell r="D202">
            <v>400</v>
          </cell>
          <cell r="E202">
            <v>400</v>
          </cell>
          <cell r="K202" t="str">
            <v>Disponibilités</v>
          </cell>
          <cell r="L202" t="str">
            <v>Disponibilités</v>
          </cell>
        </row>
        <row r="203">
          <cell r="D203">
            <v>100</v>
          </cell>
          <cell r="E203">
            <v>100</v>
          </cell>
          <cell r="K203" t="str">
            <v>Disponibilités</v>
          </cell>
          <cell r="L203" t="str">
            <v>Disponibilités</v>
          </cell>
        </row>
        <row r="204">
          <cell r="D204">
            <v>0</v>
          </cell>
          <cell r="E204">
            <v>0</v>
          </cell>
          <cell r="K204" t="str">
            <v>Disponibilités</v>
          </cell>
          <cell r="L204" t="str">
            <v>Disponibilités</v>
          </cell>
        </row>
        <row r="205">
          <cell r="D205">
            <v>9531.98</v>
          </cell>
          <cell r="E205">
            <v>8817.880000000001</v>
          </cell>
          <cell r="K205" t="str">
            <v>Achat de matières premières et autres approvisionnements</v>
          </cell>
          <cell r="L205" t="str">
            <v>Achat de matières premières et autres approvisionnements</v>
          </cell>
        </row>
        <row r="206">
          <cell r="D206">
            <v>23065.19</v>
          </cell>
          <cell r="E206">
            <v>19908.29</v>
          </cell>
          <cell r="K206" t="str">
            <v>Achat de matières premières et autres approvisionnements</v>
          </cell>
          <cell r="L206" t="str">
            <v>Achat de matières premières et autres approvisionnements</v>
          </cell>
        </row>
        <row r="207">
          <cell r="D207">
            <v>2685.91</v>
          </cell>
          <cell r="E207">
            <v>2488</v>
          </cell>
          <cell r="K207" t="str">
            <v>Achat de matières premières et autres approvisionnements</v>
          </cell>
          <cell r="L207" t="str">
            <v>Achat de matières premières et autres approvisionnements</v>
          </cell>
        </row>
        <row r="208">
          <cell r="D208">
            <v>-62931.329999999987</v>
          </cell>
          <cell r="E208">
            <v>692972.05</v>
          </cell>
          <cell r="K208" t="str">
            <v>Variation de stocks de marchandises</v>
          </cell>
          <cell r="L208" t="str">
            <v>Variation de stocks de marchandises</v>
          </cell>
        </row>
        <row r="209">
          <cell r="D209">
            <v>172945.62999999998</v>
          </cell>
          <cell r="E209">
            <v>82169.02</v>
          </cell>
          <cell r="K209" t="str">
            <v>Autres achats et charges externes</v>
          </cell>
          <cell r="L209" t="str">
            <v>Autres achats et charges externes</v>
          </cell>
        </row>
        <row r="210">
          <cell r="D210">
            <v>81351.540000000008</v>
          </cell>
          <cell r="E210">
            <v>41082.020000000004</v>
          </cell>
          <cell r="K210" t="str">
            <v>Autres achats et charges externes</v>
          </cell>
          <cell r="L210" t="str">
            <v>Autres achats et charges externes</v>
          </cell>
        </row>
        <row r="211">
          <cell r="D211">
            <v>13798.79</v>
          </cell>
          <cell r="E211">
            <v>15648.65</v>
          </cell>
          <cell r="K211" t="str">
            <v>Autres achats et charges externes</v>
          </cell>
          <cell r="L211" t="str">
            <v>Autres achats et charges externes</v>
          </cell>
        </row>
        <row r="212">
          <cell r="D212">
            <v>15444.34</v>
          </cell>
          <cell r="E212">
            <v>8381.36</v>
          </cell>
          <cell r="K212" t="str">
            <v>Autres achats et charges externes</v>
          </cell>
          <cell r="L212" t="str">
            <v>Autres achats et charges externes</v>
          </cell>
        </row>
        <row r="213">
          <cell r="D213">
            <v>5561.41</v>
          </cell>
          <cell r="E213">
            <v>3072.48</v>
          </cell>
          <cell r="K213" t="str">
            <v>Autres achats et charges externes</v>
          </cell>
          <cell r="L213" t="str">
            <v>Autres achats et charges externes</v>
          </cell>
        </row>
        <row r="214">
          <cell r="D214">
            <v>28280.45</v>
          </cell>
          <cell r="E214">
            <v>35542.369999999995</v>
          </cell>
          <cell r="K214" t="str">
            <v>Autres achats et charges externes</v>
          </cell>
          <cell r="L214" t="str">
            <v>Autres achats et charges externes</v>
          </cell>
        </row>
        <row r="215">
          <cell r="D215">
            <v>29014.62</v>
          </cell>
          <cell r="E215">
            <v>28275.71</v>
          </cell>
          <cell r="K215" t="str">
            <v>Autres achats et charges externes</v>
          </cell>
          <cell r="L215" t="str">
            <v>Autres achats et charges externes</v>
          </cell>
        </row>
        <row r="216">
          <cell r="D216">
            <v>4573.3900000000003</v>
          </cell>
          <cell r="E216">
            <v>6820.4299999999994</v>
          </cell>
          <cell r="K216" t="str">
            <v>Autres achats et charges externes</v>
          </cell>
          <cell r="L216" t="str">
            <v>Autres achats et charges externes</v>
          </cell>
        </row>
        <row r="217">
          <cell r="D217">
            <v>13123.79</v>
          </cell>
          <cell r="E217">
            <v>11828.600000000002</v>
          </cell>
          <cell r="K217" t="str">
            <v>Autres achats et charges externes</v>
          </cell>
          <cell r="L217" t="str">
            <v>Autres achats et charges externes</v>
          </cell>
        </row>
        <row r="218">
          <cell r="D218">
            <v>594.75</v>
          </cell>
          <cell r="E218">
            <v>199.78</v>
          </cell>
          <cell r="K218" t="str">
            <v>Autres achats et charges externes</v>
          </cell>
          <cell r="L218" t="str">
            <v>Autres achats et charges externes</v>
          </cell>
        </row>
        <row r="219">
          <cell r="D219">
            <v>184.13</v>
          </cell>
          <cell r="E219">
            <v>747.26</v>
          </cell>
          <cell r="K219" t="str">
            <v>Autres achats et charges externes</v>
          </cell>
          <cell r="L219" t="str">
            <v>Autres achats et charges externes</v>
          </cell>
        </row>
        <row r="220">
          <cell r="D220">
            <v>1637.31</v>
          </cell>
          <cell r="E220">
            <v>1559.77</v>
          </cell>
          <cell r="K220" t="str">
            <v>Autres achats et charges externes</v>
          </cell>
          <cell r="L220" t="str">
            <v>Autres achats et charges externes</v>
          </cell>
        </row>
        <row r="221">
          <cell r="D221">
            <v>20086.86</v>
          </cell>
          <cell r="E221">
            <v>18790.190000000002</v>
          </cell>
          <cell r="K221" t="str">
            <v>Achats de marchandises</v>
          </cell>
          <cell r="L221" t="str">
            <v>Achats de marchandises</v>
          </cell>
        </row>
        <row r="222">
          <cell r="D222">
            <v>19994455.449999999</v>
          </cell>
          <cell r="E222">
            <v>21408470.489999998</v>
          </cell>
          <cell r="K222" t="str">
            <v>Achats de marchandises</v>
          </cell>
          <cell r="L222" t="str">
            <v>Achats de marchandises</v>
          </cell>
        </row>
        <row r="223">
          <cell r="D223">
            <v>24529</v>
          </cell>
          <cell r="E223">
            <v>36611.81</v>
          </cell>
          <cell r="K223" t="str">
            <v>Achats de marchandises</v>
          </cell>
          <cell r="L223" t="str">
            <v>Achats de marchandises</v>
          </cell>
        </row>
        <row r="224">
          <cell r="D224">
            <v>0</v>
          </cell>
          <cell r="E224">
            <v>63.97</v>
          </cell>
          <cell r="K224" t="str">
            <v>Achats de marchandises</v>
          </cell>
          <cell r="L224" t="str">
            <v>Achats de marchandises</v>
          </cell>
        </row>
        <row r="225">
          <cell r="D225">
            <v>4730495.92</v>
          </cell>
          <cell r="E225">
            <v>5020240.01</v>
          </cell>
          <cell r="K225" t="str">
            <v>Achats de marchandises</v>
          </cell>
          <cell r="L225" t="str">
            <v>Achats de marchandises</v>
          </cell>
        </row>
        <row r="226">
          <cell r="D226">
            <v>1</v>
          </cell>
          <cell r="E226">
            <v>0</v>
          </cell>
          <cell r="K226" t="str">
            <v>Achats de marchandises</v>
          </cell>
          <cell r="L226" t="str">
            <v>Achats de marchandises</v>
          </cell>
        </row>
        <row r="227">
          <cell r="D227">
            <v>91459.01999999999</v>
          </cell>
          <cell r="E227">
            <v>66450</v>
          </cell>
          <cell r="K227" t="str">
            <v>Achats de marchandises</v>
          </cell>
          <cell r="L227" t="str">
            <v>Achats de marchandises</v>
          </cell>
        </row>
        <row r="228">
          <cell r="D228">
            <v>640005.30000000005</v>
          </cell>
          <cell r="E228">
            <v>2971701.62</v>
          </cell>
          <cell r="K228" t="str">
            <v>Achats de marchandises</v>
          </cell>
          <cell r="L228" t="str">
            <v>Achats de marchandises</v>
          </cell>
        </row>
        <row r="229">
          <cell r="D229">
            <v>26290.120000000003</v>
          </cell>
          <cell r="E229">
            <v>33571.56</v>
          </cell>
          <cell r="K229" t="str">
            <v>Achats de marchandises</v>
          </cell>
          <cell r="L229" t="str">
            <v>Achats de marchandises</v>
          </cell>
        </row>
        <row r="230">
          <cell r="D230">
            <v>227115.22999999998</v>
          </cell>
          <cell r="E230">
            <v>0</v>
          </cell>
          <cell r="K230" t="str">
            <v>Achats de marchandises</v>
          </cell>
          <cell r="L230" t="str">
            <v>Achats de marchandises</v>
          </cell>
        </row>
        <row r="231">
          <cell r="D231">
            <v>781.74</v>
          </cell>
          <cell r="E231">
            <v>0</v>
          </cell>
          <cell r="K231" t="str">
            <v>Achats de marchandises</v>
          </cell>
          <cell r="L231" t="str">
            <v>Achats de marchandises</v>
          </cell>
        </row>
        <row r="232">
          <cell r="D232">
            <v>14077.77</v>
          </cell>
          <cell r="E232">
            <v>0</v>
          </cell>
          <cell r="K232" t="str">
            <v>Achats de marchandises</v>
          </cell>
          <cell r="L232" t="str">
            <v>Achats de marchandises</v>
          </cell>
        </row>
        <row r="233">
          <cell r="D233">
            <v>12719.69</v>
          </cell>
          <cell r="E233">
            <v>0</v>
          </cell>
          <cell r="K233" t="str">
            <v>Achats de marchandises</v>
          </cell>
          <cell r="L233" t="str">
            <v>Achats de marchandises</v>
          </cell>
        </row>
        <row r="234">
          <cell r="D234">
            <v>11461.32</v>
          </cell>
          <cell r="E234">
            <v>0</v>
          </cell>
          <cell r="K234" t="str">
            <v>Achats de marchandises</v>
          </cell>
          <cell r="L234" t="str">
            <v>Achats de marchandises</v>
          </cell>
        </row>
        <row r="235">
          <cell r="D235">
            <v>16913.87</v>
          </cell>
          <cell r="E235">
            <v>0</v>
          </cell>
          <cell r="K235" t="str">
            <v>Achats de marchandises</v>
          </cell>
          <cell r="L235" t="str">
            <v>Achats de marchandises</v>
          </cell>
        </row>
        <row r="236">
          <cell r="D236">
            <v>116.88</v>
          </cell>
          <cell r="E236">
            <v>0</v>
          </cell>
          <cell r="K236" t="str">
            <v>Achats de marchandises</v>
          </cell>
          <cell r="L236" t="str">
            <v>Achats de marchandises</v>
          </cell>
        </row>
        <row r="237">
          <cell r="D237">
            <v>725.27</v>
          </cell>
          <cell r="E237">
            <v>0</v>
          </cell>
          <cell r="K237" t="str">
            <v>Achats de marchandises</v>
          </cell>
          <cell r="L237" t="str">
            <v>Achats de marchandises</v>
          </cell>
        </row>
        <row r="238">
          <cell r="D238">
            <v>11194.51</v>
          </cell>
          <cell r="E238">
            <v>0</v>
          </cell>
          <cell r="K238" t="str">
            <v>Achats de marchandises</v>
          </cell>
          <cell r="L238" t="str">
            <v>Achats de marchandises</v>
          </cell>
        </row>
        <row r="239">
          <cell r="D239">
            <v>778.05</v>
          </cell>
          <cell r="E239">
            <v>0</v>
          </cell>
          <cell r="K239" t="str">
            <v>Achats de marchandises</v>
          </cell>
          <cell r="L239" t="str">
            <v>Achats de marchandises</v>
          </cell>
        </row>
        <row r="240">
          <cell r="D240">
            <v>3818.48</v>
          </cell>
          <cell r="E240">
            <v>0</v>
          </cell>
          <cell r="K240" t="str">
            <v>Achats de marchandises</v>
          </cell>
          <cell r="L240" t="str">
            <v>Achats de marchandises</v>
          </cell>
        </row>
        <row r="241">
          <cell r="D241">
            <v>0</v>
          </cell>
          <cell r="E241">
            <v>0</v>
          </cell>
          <cell r="K241" t="str">
            <v>Autres achats et charges externes</v>
          </cell>
          <cell r="L241" t="str">
            <v>Autres achats et charges externes</v>
          </cell>
        </row>
        <row r="242">
          <cell r="D242">
            <v>-609305.01</v>
          </cell>
          <cell r="E242">
            <v>-554955.28999999992</v>
          </cell>
          <cell r="K242" t="str">
            <v>Achats de marchandises</v>
          </cell>
          <cell r="L242" t="str">
            <v>Achats de marchandises</v>
          </cell>
        </row>
        <row r="243">
          <cell r="D243">
            <v>-97646.87</v>
          </cell>
          <cell r="E243">
            <v>-41200</v>
          </cell>
          <cell r="K243" t="str">
            <v>Achats de marchandises</v>
          </cell>
          <cell r="L243" t="str">
            <v>Achats de marchandises</v>
          </cell>
        </row>
        <row r="244">
          <cell r="D244">
            <v>-21550</v>
          </cell>
          <cell r="E244">
            <v>0</v>
          </cell>
          <cell r="K244" t="str">
            <v>Achats de marchandises</v>
          </cell>
          <cell r="L244" t="str">
            <v>Achats de marchandises</v>
          </cell>
        </row>
        <row r="245">
          <cell r="D245">
            <v>-4831901.41</v>
          </cell>
          <cell r="E245">
            <v>-5931649.0899999999</v>
          </cell>
          <cell r="K245" t="str">
            <v>Achats de marchandises</v>
          </cell>
          <cell r="L245" t="str">
            <v>Achats de marchandises</v>
          </cell>
        </row>
        <row r="246">
          <cell r="D246">
            <v>-118.81</v>
          </cell>
          <cell r="E246">
            <v>-40227.629999999997</v>
          </cell>
          <cell r="K246" t="str">
            <v>Achats de marchandises</v>
          </cell>
          <cell r="L246" t="str">
            <v>Achats de marchandises</v>
          </cell>
        </row>
        <row r="247">
          <cell r="D247">
            <v>79187.77</v>
          </cell>
          <cell r="E247">
            <v>61731.59</v>
          </cell>
          <cell r="K247" t="str">
            <v>Autres achats et charges externes</v>
          </cell>
          <cell r="L247" t="str">
            <v>Autres achats et charges externes</v>
          </cell>
        </row>
        <row r="248">
          <cell r="D248">
            <v>25439.979999999996</v>
          </cell>
          <cell r="E248">
            <v>20932.649999999998</v>
          </cell>
          <cell r="K248" t="str">
            <v>Autres achats et charges externes</v>
          </cell>
          <cell r="L248" t="str">
            <v>Autres achats et charges externes</v>
          </cell>
        </row>
        <row r="249">
          <cell r="D249">
            <v>625</v>
          </cell>
          <cell r="E249">
            <v>780</v>
          </cell>
          <cell r="K249" t="str">
            <v>Autres achats et charges externes</v>
          </cell>
          <cell r="L249" t="str">
            <v>Autres achats et charges externes</v>
          </cell>
        </row>
        <row r="250">
          <cell r="D250">
            <v>0</v>
          </cell>
          <cell r="E250">
            <v>0</v>
          </cell>
          <cell r="K250" t="str">
            <v>Autres achats et charges externes</v>
          </cell>
          <cell r="L250" t="str">
            <v>Autres achats et charges externes</v>
          </cell>
        </row>
        <row r="251">
          <cell r="D251">
            <v>0</v>
          </cell>
          <cell r="E251">
            <v>170.4</v>
          </cell>
          <cell r="K251" t="str">
            <v>Autres achats et charges externes</v>
          </cell>
          <cell r="L251" t="str">
            <v>Autres achats et charges externes</v>
          </cell>
        </row>
        <row r="252">
          <cell r="D252">
            <v>1620</v>
          </cell>
          <cell r="E252">
            <v>1659.75</v>
          </cell>
          <cell r="K252" t="str">
            <v>Autres achats et charges externes</v>
          </cell>
          <cell r="L252" t="str">
            <v>Autres achats et charges externes</v>
          </cell>
        </row>
        <row r="253">
          <cell r="D253">
            <v>15602.09</v>
          </cell>
          <cell r="E253">
            <v>13493.7</v>
          </cell>
          <cell r="K253" t="str">
            <v>Autres achats et charges externes</v>
          </cell>
          <cell r="L253" t="str">
            <v>Autres achats et charges externes</v>
          </cell>
        </row>
        <row r="254">
          <cell r="D254">
            <v>0</v>
          </cell>
          <cell r="E254">
            <v>530</v>
          </cell>
          <cell r="K254" t="str">
            <v>Autres achats et charges externes</v>
          </cell>
          <cell r="L254" t="str">
            <v>Autres achats et charges externes</v>
          </cell>
        </row>
        <row r="255">
          <cell r="D255">
            <v>224845.3</v>
          </cell>
          <cell r="E255">
            <v>208461</v>
          </cell>
          <cell r="K255" t="str">
            <v>Autres achats et charges externes</v>
          </cell>
          <cell r="L255" t="str">
            <v>Autres achats et charges externes</v>
          </cell>
        </row>
        <row r="256">
          <cell r="D256">
            <v>20268.97</v>
          </cell>
          <cell r="E256">
            <v>21963.089999999997</v>
          </cell>
          <cell r="K256" t="str">
            <v>Autres achats et charges externes</v>
          </cell>
          <cell r="L256" t="str">
            <v>Autres achats et charges externes</v>
          </cell>
        </row>
        <row r="257">
          <cell r="D257">
            <v>19653.61</v>
          </cell>
          <cell r="E257">
            <v>0</v>
          </cell>
          <cell r="K257" t="str">
            <v>Autres achats et charges externes</v>
          </cell>
          <cell r="L257" t="str">
            <v>Autres achats et charges externes</v>
          </cell>
        </row>
        <row r="258">
          <cell r="D258">
            <v>39017.160000000003</v>
          </cell>
          <cell r="E258">
            <v>39017.160000000003</v>
          </cell>
          <cell r="K258" t="str">
            <v>Autres achats et charges externes</v>
          </cell>
          <cell r="L258" t="str">
            <v>Autres achats et charges externes</v>
          </cell>
        </row>
        <row r="259">
          <cell r="D259">
            <v>41900.9</v>
          </cell>
          <cell r="E259">
            <v>49083.49</v>
          </cell>
          <cell r="K259" t="str">
            <v>Autres achats et charges externes</v>
          </cell>
          <cell r="L259" t="str">
            <v>Autres achats et charges externes</v>
          </cell>
        </row>
        <row r="260">
          <cell r="D260">
            <v>1256.6600000000001</v>
          </cell>
          <cell r="E260">
            <v>0</v>
          </cell>
          <cell r="K260" t="str">
            <v>Autres achats et charges externes</v>
          </cell>
          <cell r="L260" t="str">
            <v>Autres achats et charges externes</v>
          </cell>
        </row>
        <row r="261">
          <cell r="D261">
            <v>10636.38</v>
          </cell>
          <cell r="E261">
            <v>13581.91</v>
          </cell>
          <cell r="K261" t="str">
            <v>Autres achats et charges externes</v>
          </cell>
          <cell r="L261" t="str">
            <v>Autres achats et charges externes</v>
          </cell>
        </row>
        <row r="262">
          <cell r="D262">
            <v>13116.69</v>
          </cell>
          <cell r="E262">
            <v>8050.12</v>
          </cell>
          <cell r="K262" t="str">
            <v>Autres achats et charges externes</v>
          </cell>
          <cell r="L262" t="str">
            <v>Autres achats et charges externes</v>
          </cell>
        </row>
        <row r="263">
          <cell r="D263">
            <v>5043.47</v>
          </cell>
          <cell r="E263">
            <v>1644.37</v>
          </cell>
          <cell r="K263" t="str">
            <v>Autres achats et charges externes</v>
          </cell>
          <cell r="L263" t="str">
            <v>Autres achats et charges externes</v>
          </cell>
        </row>
        <row r="264">
          <cell r="D264">
            <v>5988</v>
          </cell>
          <cell r="E264">
            <v>0</v>
          </cell>
          <cell r="K264" t="str">
            <v>Autres achats et charges externes</v>
          </cell>
          <cell r="L264" t="str">
            <v>Autres achats et charges externes</v>
          </cell>
        </row>
        <row r="265">
          <cell r="D265">
            <v>13003.490000000002</v>
          </cell>
          <cell r="E265">
            <v>6682.52</v>
          </cell>
          <cell r="K265" t="str">
            <v>Autres achats et charges externes</v>
          </cell>
          <cell r="L265" t="str">
            <v>Autres achats et charges externes</v>
          </cell>
        </row>
        <row r="266">
          <cell r="D266">
            <v>3519.1400000000003</v>
          </cell>
          <cell r="E266">
            <v>3177.4399999999996</v>
          </cell>
          <cell r="K266" t="str">
            <v>Autres achats et charges externes</v>
          </cell>
          <cell r="L266" t="str">
            <v>Autres achats et charges externes</v>
          </cell>
        </row>
        <row r="267">
          <cell r="D267">
            <v>8839.25</v>
          </cell>
          <cell r="E267">
            <v>9118.09</v>
          </cell>
          <cell r="K267" t="str">
            <v>Autres achats et charges externes</v>
          </cell>
          <cell r="L267" t="str">
            <v>Autres achats et charges externes</v>
          </cell>
        </row>
        <row r="268">
          <cell r="D268">
            <v>0</v>
          </cell>
          <cell r="E268">
            <v>4787</v>
          </cell>
          <cell r="K268" t="str">
            <v>Autres achats et charges externes</v>
          </cell>
          <cell r="L268" t="str">
            <v>Autres achats et charges externes</v>
          </cell>
        </row>
        <row r="269">
          <cell r="D269">
            <v>42617.2</v>
          </cell>
          <cell r="E269">
            <v>49519.23</v>
          </cell>
          <cell r="K269" t="str">
            <v>Autres achats et charges externes</v>
          </cell>
          <cell r="L269" t="str">
            <v>Autres achats et charges externes</v>
          </cell>
        </row>
        <row r="270">
          <cell r="D270">
            <v>8321.6</v>
          </cell>
          <cell r="E270">
            <v>10305</v>
          </cell>
          <cell r="K270" t="str">
            <v>Autres achats et charges externes</v>
          </cell>
          <cell r="L270" t="str">
            <v>Autres achats et charges externes</v>
          </cell>
        </row>
        <row r="271">
          <cell r="D271">
            <v>1520</v>
          </cell>
          <cell r="E271">
            <v>2280</v>
          </cell>
          <cell r="K271" t="str">
            <v>Autres achats et charges externes</v>
          </cell>
          <cell r="L271" t="str">
            <v>Autres achats et charges externes</v>
          </cell>
        </row>
        <row r="272">
          <cell r="D272">
            <v>6413.5599999999995</v>
          </cell>
          <cell r="E272">
            <v>5923.79</v>
          </cell>
          <cell r="K272" t="str">
            <v>Autres achats et charges externes</v>
          </cell>
          <cell r="L272" t="str">
            <v>Autres achats et charges externes</v>
          </cell>
        </row>
        <row r="273">
          <cell r="D273">
            <v>156.16</v>
          </cell>
          <cell r="E273">
            <v>0</v>
          </cell>
          <cell r="K273" t="str">
            <v>Autres achats et charges externes</v>
          </cell>
          <cell r="L273" t="str">
            <v>Autres achats et charges externes</v>
          </cell>
        </row>
        <row r="274">
          <cell r="D274">
            <v>82203.509999999995</v>
          </cell>
          <cell r="E274">
            <v>63534.19</v>
          </cell>
          <cell r="K274" t="str">
            <v>Autres achats et charges externes</v>
          </cell>
          <cell r="L274" t="str">
            <v>Autres achats et charges externes</v>
          </cell>
        </row>
        <row r="275">
          <cell r="D275">
            <v>60434.34</v>
          </cell>
          <cell r="E275">
            <v>98620.57</v>
          </cell>
          <cell r="K275" t="str">
            <v>Autres achats et charges externes</v>
          </cell>
          <cell r="L275" t="str">
            <v>Autres achats et charges externes</v>
          </cell>
        </row>
        <row r="276">
          <cell r="D276">
            <v>26191.079999999998</v>
          </cell>
          <cell r="E276">
            <v>23173.059999999998</v>
          </cell>
          <cell r="K276" t="str">
            <v>Autres achats et charges externes</v>
          </cell>
          <cell r="L276" t="str">
            <v>Autres achats et charges externes</v>
          </cell>
        </row>
        <row r="277">
          <cell r="D277">
            <v>2641</v>
          </cell>
          <cell r="E277">
            <v>0</v>
          </cell>
          <cell r="K277" t="str">
            <v>Autres achats et charges externes</v>
          </cell>
          <cell r="L277" t="str">
            <v>Autres achats et charges externes</v>
          </cell>
        </row>
        <row r="278">
          <cell r="D278">
            <v>501.03999999999996</v>
          </cell>
          <cell r="E278">
            <v>235.42000000000002</v>
          </cell>
          <cell r="K278" t="str">
            <v>Autres achats et charges externes</v>
          </cell>
          <cell r="L278" t="str">
            <v>Autres achats et charges externes</v>
          </cell>
        </row>
        <row r="279">
          <cell r="D279">
            <v>177664.75</v>
          </cell>
          <cell r="E279">
            <v>164000.00999999998</v>
          </cell>
          <cell r="K279" t="str">
            <v>Autres achats et charges externes</v>
          </cell>
          <cell r="L279" t="str">
            <v>Autres achats et charges externes</v>
          </cell>
        </row>
        <row r="280">
          <cell r="D280">
            <v>10916.78</v>
          </cell>
          <cell r="E280">
            <v>6433.7</v>
          </cell>
          <cell r="K280" t="str">
            <v>Autres achats et charges externes</v>
          </cell>
          <cell r="L280" t="str">
            <v>Autres achats et charges externes</v>
          </cell>
        </row>
        <row r="281">
          <cell r="D281">
            <v>1323.85</v>
          </cell>
          <cell r="E281">
            <v>755.09</v>
          </cell>
          <cell r="K281" t="str">
            <v>Autres achats et charges externes</v>
          </cell>
          <cell r="L281" t="str">
            <v>Autres achats et charges externes</v>
          </cell>
        </row>
        <row r="282">
          <cell r="D282">
            <v>442</v>
          </cell>
          <cell r="E282">
            <v>370</v>
          </cell>
          <cell r="K282" t="str">
            <v>Autres achats et charges externes</v>
          </cell>
          <cell r="L282" t="str">
            <v>Autres achats et charges externes</v>
          </cell>
        </row>
        <row r="283">
          <cell r="D283">
            <v>0</v>
          </cell>
          <cell r="E283">
            <v>133.33000000000001</v>
          </cell>
          <cell r="K283" t="str">
            <v>Autres achats et charges externes</v>
          </cell>
          <cell r="L283" t="str">
            <v>Autres achats et charges externes</v>
          </cell>
        </row>
        <row r="284">
          <cell r="D284">
            <v>79458.180000000008</v>
          </cell>
          <cell r="E284">
            <v>163450.07</v>
          </cell>
          <cell r="K284" t="str">
            <v>Autres achats et charges externes</v>
          </cell>
          <cell r="L284" t="str">
            <v>Autres achats et charges externes</v>
          </cell>
        </row>
        <row r="285">
          <cell r="D285">
            <v>79330.440000000017</v>
          </cell>
          <cell r="E285">
            <v>66405.030000000013</v>
          </cell>
          <cell r="K285" t="str">
            <v>Autres achats et charges externes</v>
          </cell>
          <cell r="L285" t="str">
            <v>Autres achats et charges externes</v>
          </cell>
        </row>
        <row r="286">
          <cell r="D286">
            <v>103.33999999999999</v>
          </cell>
          <cell r="E286">
            <v>0</v>
          </cell>
          <cell r="K286" t="str">
            <v>Autres achats et charges externes</v>
          </cell>
          <cell r="L286" t="str">
            <v>Autres achats et charges externes</v>
          </cell>
        </row>
        <row r="287">
          <cell r="D287">
            <v>14736.949999999997</v>
          </cell>
          <cell r="E287">
            <v>11617.039999999999</v>
          </cell>
          <cell r="K287" t="str">
            <v>Autres achats et charges externes</v>
          </cell>
          <cell r="L287" t="str">
            <v>Autres achats et charges externes</v>
          </cell>
        </row>
        <row r="288">
          <cell r="D288">
            <v>470.54999999999995</v>
          </cell>
          <cell r="E288">
            <v>266.13</v>
          </cell>
          <cell r="K288" t="str">
            <v>Autres achats et charges externes</v>
          </cell>
          <cell r="L288" t="str">
            <v>Autres achats et charges externes</v>
          </cell>
        </row>
        <row r="289">
          <cell r="D289">
            <v>4457.2700000000004</v>
          </cell>
          <cell r="E289">
            <v>2542.7800000000002</v>
          </cell>
          <cell r="K289" t="str">
            <v>Autres achats et charges externes</v>
          </cell>
          <cell r="L289" t="str">
            <v>Autres achats et charges externes</v>
          </cell>
        </row>
        <row r="290">
          <cell r="D290">
            <v>912.44999999999993</v>
          </cell>
          <cell r="E290">
            <v>43.09</v>
          </cell>
          <cell r="K290" t="str">
            <v>Autres achats et charges externes</v>
          </cell>
          <cell r="L290" t="str">
            <v>Autres achats et charges externes</v>
          </cell>
        </row>
        <row r="291">
          <cell r="D291">
            <v>12544.12</v>
          </cell>
          <cell r="E291">
            <v>10822.51</v>
          </cell>
          <cell r="K291" t="str">
            <v>Autres achats et charges externes</v>
          </cell>
          <cell r="L291" t="str">
            <v>Autres achats et charges externes</v>
          </cell>
        </row>
        <row r="292">
          <cell r="D292">
            <v>360</v>
          </cell>
          <cell r="E292">
            <v>439.42</v>
          </cell>
          <cell r="K292" t="str">
            <v>Autres achats et charges externes</v>
          </cell>
          <cell r="L292" t="str">
            <v>Autres achats et charges externes</v>
          </cell>
        </row>
        <row r="293">
          <cell r="D293">
            <v>16044.640000000001</v>
          </cell>
          <cell r="E293">
            <v>16800.13</v>
          </cell>
          <cell r="K293" t="str">
            <v>Autres achats et charges externes</v>
          </cell>
          <cell r="L293" t="str">
            <v>Autres achats et charges externes</v>
          </cell>
        </row>
        <row r="294">
          <cell r="D294">
            <v>9798.6200000000008</v>
          </cell>
          <cell r="E294">
            <v>10782.75</v>
          </cell>
          <cell r="K294" t="str">
            <v>Autres achats et charges externes</v>
          </cell>
          <cell r="L294" t="str">
            <v>Autres achats et charges externes</v>
          </cell>
        </row>
        <row r="295">
          <cell r="D295">
            <v>0</v>
          </cell>
          <cell r="E295">
            <v>149.02000000000001</v>
          </cell>
          <cell r="K295" t="str">
            <v>Autres achats et charges externes</v>
          </cell>
          <cell r="L295" t="str">
            <v>Autres achats et charges externes</v>
          </cell>
        </row>
        <row r="296">
          <cell r="D296">
            <v>3975</v>
          </cell>
          <cell r="E296">
            <v>5230</v>
          </cell>
          <cell r="K296" t="str">
            <v>Autres achats et charges externes</v>
          </cell>
          <cell r="L296" t="str">
            <v>Autres achats et charges externes</v>
          </cell>
        </row>
        <row r="297">
          <cell r="D297">
            <v>214472.95999999999</v>
          </cell>
          <cell r="E297">
            <v>214472.95999999999</v>
          </cell>
          <cell r="K297" t="str">
            <v>Autres achats et charges externes</v>
          </cell>
          <cell r="L297" t="str">
            <v>Autres achats et charges externes</v>
          </cell>
        </row>
        <row r="298">
          <cell r="D298">
            <v>1903.84</v>
          </cell>
          <cell r="E298">
            <v>3307.48</v>
          </cell>
          <cell r="K298" t="str">
            <v>Autres achats et charges externes</v>
          </cell>
          <cell r="L298" t="str">
            <v>Autres achats et charges externes</v>
          </cell>
        </row>
        <row r="299">
          <cell r="D299">
            <v>0</v>
          </cell>
          <cell r="E299">
            <v>3717</v>
          </cell>
          <cell r="K299" t="str">
            <v>Autres achats et charges externes</v>
          </cell>
          <cell r="L299" t="str">
            <v>Autres achats et charges externes</v>
          </cell>
        </row>
        <row r="300">
          <cell r="D300">
            <v>5660</v>
          </cell>
          <cell r="E300">
            <v>5245.4</v>
          </cell>
          <cell r="K300" t="str">
            <v>Autres achats et charges externes</v>
          </cell>
          <cell r="L300" t="str">
            <v>Autres achats et charges externes</v>
          </cell>
        </row>
        <row r="301">
          <cell r="D301">
            <v>1453.25</v>
          </cell>
          <cell r="E301">
            <v>1246.45</v>
          </cell>
          <cell r="K301" t="str">
            <v>Autres achats et charges externes</v>
          </cell>
          <cell r="L301" t="str">
            <v>Autres achats et charges externes</v>
          </cell>
        </row>
        <row r="302">
          <cell r="D302">
            <v>557.20000000000005</v>
          </cell>
          <cell r="E302">
            <v>100.4</v>
          </cell>
          <cell r="K302" t="str">
            <v>Autres achats et charges externes</v>
          </cell>
          <cell r="L302" t="str">
            <v>Autres achats et charges externes</v>
          </cell>
        </row>
        <row r="303">
          <cell r="D303">
            <v>47397.319999999992</v>
          </cell>
          <cell r="E303">
            <v>53248.009999999987</v>
          </cell>
          <cell r="K303" t="str">
            <v>Impôts, taxes et versements assimilés</v>
          </cell>
          <cell r="L303" t="str">
            <v>Impôts, taxes et versements assimilés</v>
          </cell>
        </row>
        <row r="304">
          <cell r="D304">
            <v>794.85</v>
          </cell>
          <cell r="E304">
            <v>0</v>
          </cell>
          <cell r="K304" t="str">
            <v>Impôts, taxes et versements assimilés</v>
          </cell>
          <cell r="L304" t="str">
            <v>Impôts, taxes et versements assimilés</v>
          </cell>
        </row>
        <row r="305">
          <cell r="D305">
            <v>7510.22</v>
          </cell>
          <cell r="E305">
            <v>7232.73</v>
          </cell>
          <cell r="K305" t="str">
            <v>Impôts, taxes et versements assimilés</v>
          </cell>
          <cell r="L305" t="str">
            <v>Impôts, taxes et versements assimilés</v>
          </cell>
        </row>
        <row r="306">
          <cell r="D306">
            <v>11348.27</v>
          </cell>
          <cell r="E306">
            <v>10601.15</v>
          </cell>
          <cell r="K306" t="str">
            <v>Impôts, taxes et versements assimilés</v>
          </cell>
          <cell r="L306" t="str">
            <v>Impôts, taxes et versements assimilés</v>
          </cell>
        </row>
        <row r="307">
          <cell r="D307">
            <v>57639.15</v>
          </cell>
          <cell r="E307">
            <v>61593</v>
          </cell>
          <cell r="K307" t="str">
            <v>Impôts, taxes et versements assimilés</v>
          </cell>
          <cell r="L307" t="str">
            <v>Impôts, taxes et versements assimilés</v>
          </cell>
        </row>
        <row r="308">
          <cell r="D308">
            <v>26781</v>
          </cell>
          <cell r="E308">
            <v>25911</v>
          </cell>
          <cell r="K308" t="str">
            <v>Impôts, taxes et versements assimilés</v>
          </cell>
          <cell r="L308" t="str">
            <v>Impôts, taxes et versements assimilés</v>
          </cell>
        </row>
        <row r="309">
          <cell r="D309">
            <v>737.5</v>
          </cell>
          <cell r="E309">
            <v>1205</v>
          </cell>
          <cell r="K309" t="str">
            <v>Impôts, taxes et versements assimilés</v>
          </cell>
          <cell r="L309" t="str">
            <v>Impôts, taxes et versements assimilés</v>
          </cell>
        </row>
        <row r="310">
          <cell r="D310">
            <v>5253.6</v>
          </cell>
          <cell r="E310">
            <v>4916.84</v>
          </cell>
          <cell r="K310" t="str">
            <v>Impôts, taxes et versements assimilés</v>
          </cell>
          <cell r="L310" t="str">
            <v>Impôts, taxes et versements assimilés</v>
          </cell>
        </row>
        <row r="311">
          <cell r="D311">
            <v>5893.55</v>
          </cell>
          <cell r="E311">
            <v>11320.45</v>
          </cell>
          <cell r="K311" t="str">
            <v>Impôts, taxes et versements assimilés</v>
          </cell>
          <cell r="L311" t="str">
            <v>Impôts, taxes et versements assimilés</v>
          </cell>
        </row>
        <row r="312">
          <cell r="D312">
            <v>13672</v>
          </cell>
          <cell r="E312">
            <v>11484</v>
          </cell>
          <cell r="K312" t="str">
            <v>Impôts, taxes et versements assimilés</v>
          </cell>
          <cell r="L312" t="str">
            <v>Impôts, taxes et versements assimilés</v>
          </cell>
        </row>
        <row r="313">
          <cell r="D313">
            <v>1438.8</v>
          </cell>
          <cell r="E313">
            <v>1532.4</v>
          </cell>
          <cell r="K313" t="str">
            <v>Impôts, taxes et versements assimilés</v>
          </cell>
          <cell r="L313" t="str">
            <v>Impôts, taxes et versements assimilés</v>
          </cell>
        </row>
        <row r="314">
          <cell r="D314">
            <v>1064239.4799999997</v>
          </cell>
          <cell r="E314">
            <v>1142954.78</v>
          </cell>
          <cell r="K314" t="str">
            <v>Salaires et traitements</v>
          </cell>
          <cell r="L314" t="str">
            <v>Salaires et traitements</v>
          </cell>
        </row>
        <row r="315">
          <cell r="D315">
            <v>16508.060000000001</v>
          </cell>
          <cell r="E315">
            <v>6811.07</v>
          </cell>
          <cell r="K315" t="str">
            <v>Salaires et traitements</v>
          </cell>
          <cell r="L315" t="str">
            <v>Salaires et traitements</v>
          </cell>
        </row>
        <row r="316">
          <cell r="D316">
            <v>135911.38</v>
          </cell>
          <cell r="E316">
            <v>133387.57999999999</v>
          </cell>
          <cell r="K316" t="str">
            <v>Salaires et traitements</v>
          </cell>
          <cell r="L316" t="str">
            <v>Salaires et traitements</v>
          </cell>
        </row>
        <row r="317">
          <cell r="D317">
            <v>5038.83</v>
          </cell>
          <cell r="E317">
            <v>-922.24</v>
          </cell>
          <cell r="K317" t="str">
            <v>Salaires et traitements</v>
          </cell>
          <cell r="L317" t="str">
            <v>Salaires et traitements</v>
          </cell>
        </row>
        <row r="318">
          <cell r="D318">
            <v>-2402.65</v>
          </cell>
          <cell r="E318">
            <v>-3336.14</v>
          </cell>
          <cell r="K318" t="str">
            <v>Salaires et traitements</v>
          </cell>
          <cell r="L318" t="str">
            <v>Salaires et traitements</v>
          </cell>
        </row>
        <row r="319">
          <cell r="D319">
            <v>360064.88</v>
          </cell>
          <cell r="E319">
            <v>357262.15</v>
          </cell>
          <cell r="K319" t="str">
            <v>Salaires et traitements</v>
          </cell>
          <cell r="L319" t="str">
            <v>Salaires et traitements</v>
          </cell>
        </row>
        <row r="320">
          <cell r="D320">
            <v>0</v>
          </cell>
          <cell r="E320">
            <v>-29940.16</v>
          </cell>
          <cell r="K320" t="str">
            <v>Salaires et traitements</v>
          </cell>
          <cell r="L320" t="str">
            <v>Salaires et traitements</v>
          </cell>
        </row>
        <row r="321">
          <cell r="D321">
            <v>20447.34</v>
          </cell>
          <cell r="E321">
            <v>16640.010000000002</v>
          </cell>
          <cell r="K321" t="str">
            <v>Salaires et traitements</v>
          </cell>
          <cell r="L321" t="str">
            <v>Salaires et traitements</v>
          </cell>
        </row>
        <row r="322">
          <cell r="D322">
            <v>0</v>
          </cell>
          <cell r="E322">
            <v>0</v>
          </cell>
          <cell r="K322" t="str">
            <v>Salaires et traitements</v>
          </cell>
          <cell r="L322" t="str">
            <v>Salaires et traitements</v>
          </cell>
        </row>
        <row r="323">
          <cell r="D323">
            <v>479114.23999999999</v>
          </cell>
          <cell r="E323">
            <v>451877.2300000001</v>
          </cell>
          <cell r="K323" t="str">
            <v>Charges sociales</v>
          </cell>
          <cell r="L323" t="str">
            <v>Charges sociales</v>
          </cell>
        </row>
        <row r="324">
          <cell r="D324">
            <v>165.29</v>
          </cell>
          <cell r="E324">
            <v>0</v>
          </cell>
          <cell r="K324" t="str">
            <v>Charges sociales</v>
          </cell>
          <cell r="L324" t="str">
            <v>Charges sociales</v>
          </cell>
        </row>
        <row r="325">
          <cell r="D325">
            <v>24507.140000000003</v>
          </cell>
          <cell r="E325">
            <v>23840.699999999997</v>
          </cell>
          <cell r="K325" t="str">
            <v>Charges sociales</v>
          </cell>
          <cell r="L325" t="str">
            <v>Charges sociales</v>
          </cell>
        </row>
        <row r="326">
          <cell r="D326">
            <v>191623.51999999996</v>
          </cell>
          <cell r="E326">
            <v>188942.32</v>
          </cell>
          <cell r="K326" t="str">
            <v>Charges sociales</v>
          </cell>
          <cell r="L326" t="str">
            <v>Charges sociales</v>
          </cell>
        </row>
        <row r="327">
          <cell r="D327">
            <v>6028.85</v>
          </cell>
          <cell r="E327">
            <v>1755.2599999999998</v>
          </cell>
          <cell r="K327" t="str">
            <v>Charges sociales</v>
          </cell>
          <cell r="L327" t="str">
            <v>Charges sociales</v>
          </cell>
        </row>
        <row r="328">
          <cell r="D328">
            <v>-24477.27</v>
          </cell>
          <cell r="E328">
            <v>23670.400000000001</v>
          </cell>
          <cell r="K328" t="str">
            <v>Charges sociales</v>
          </cell>
          <cell r="L328" t="str">
            <v>Charges sociales</v>
          </cell>
        </row>
        <row r="329">
          <cell r="D329">
            <v>24185.120000000003</v>
          </cell>
          <cell r="E329">
            <v>25637.59</v>
          </cell>
          <cell r="K329" t="str">
            <v>Charges sociales</v>
          </cell>
          <cell r="L329" t="str">
            <v>Charges sociales</v>
          </cell>
        </row>
        <row r="330">
          <cell r="D330">
            <v>0</v>
          </cell>
          <cell r="E330">
            <v>-22021.56</v>
          </cell>
          <cell r="K330" t="str">
            <v>Charges sociales</v>
          </cell>
          <cell r="L330" t="str">
            <v>Charges sociales</v>
          </cell>
        </row>
        <row r="331">
          <cell r="D331">
            <v>-715.42</v>
          </cell>
          <cell r="E331">
            <v>-2018.44</v>
          </cell>
          <cell r="K331" t="str">
            <v>Charges sociales</v>
          </cell>
          <cell r="L331" t="str">
            <v>Charges sociales</v>
          </cell>
        </row>
        <row r="332">
          <cell r="D332">
            <v>2403.62</v>
          </cell>
          <cell r="E332">
            <v>5379.56</v>
          </cell>
          <cell r="K332" t="str">
            <v>Charges sociales</v>
          </cell>
          <cell r="L332" t="str">
            <v>Charges sociales</v>
          </cell>
        </row>
        <row r="333">
          <cell r="D333">
            <v>3337.8799999999997</v>
          </cell>
          <cell r="E333">
            <v>3214.54</v>
          </cell>
          <cell r="K333" t="str">
            <v>Charges sociales</v>
          </cell>
          <cell r="L333" t="str">
            <v>Charges sociales</v>
          </cell>
        </row>
        <row r="334">
          <cell r="D334">
            <v>92.44</v>
          </cell>
          <cell r="E334">
            <v>28.740000000000002</v>
          </cell>
          <cell r="K334" t="str">
            <v>Charges sociales</v>
          </cell>
          <cell r="L334" t="str">
            <v>Charges sociales</v>
          </cell>
        </row>
        <row r="335">
          <cell r="D335">
            <v>5331.69</v>
          </cell>
          <cell r="E335">
            <v>5343.1399999999994</v>
          </cell>
          <cell r="K335" t="str">
            <v>Charges sociales</v>
          </cell>
          <cell r="L335" t="str">
            <v>Charges sociales</v>
          </cell>
        </row>
        <row r="336">
          <cell r="D336">
            <v>174941.31</v>
          </cell>
          <cell r="E336">
            <v>62385.29</v>
          </cell>
          <cell r="K336" t="str">
            <v>Charges sociales</v>
          </cell>
          <cell r="L336" t="str">
            <v>Charges sociales</v>
          </cell>
        </row>
        <row r="337">
          <cell r="D337">
            <v>-68400.77</v>
          </cell>
          <cell r="E337">
            <v>-50469.310000000005</v>
          </cell>
          <cell r="K337" t="str">
            <v>Charges sociales</v>
          </cell>
          <cell r="L337" t="str">
            <v>Charges sociales</v>
          </cell>
        </row>
        <row r="338">
          <cell r="D338">
            <v>180</v>
          </cell>
          <cell r="E338">
            <v>180</v>
          </cell>
          <cell r="K338" t="str">
            <v>Autres charges d'exploitation</v>
          </cell>
          <cell r="L338" t="str">
            <v>Autres charges d'exploitation</v>
          </cell>
        </row>
        <row r="339">
          <cell r="D339">
            <v>0</v>
          </cell>
          <cell r="E339">
            <v>0</v>
          </cell>
          <cell r="K339" t="str">
            <v>Autres charges d'exploitation</v>
          </cell>
          <cell r="L339" t="str">
            <v>Autres charges d'exploitation</v>
          </cell>
        </row>
        <row r="340">
          <cell r="D340">
            <v>957.67</v>
          </cell>
          <cell r="E340">
            <v>1960.51</v>
          </cell>
          <cell r="K340" t="str">
            <v>Autres charges d'exploitation</v>
          </cell>
          <cell r="L340" t="str">
            <v>Autres charges d'exploitation</v>
          </cell>
        </row>
        <row r="341">
          <cell r="D341">
            <v>4484.3599999999997</v>
          </cell>
          <cell r="E341">
            <v>675.1</v>
          </cell>
          <cell r="K341" t="str">
            <v>Autres charges d'exploitation</v>
          </cell>
          <cell r="L341" t="str">
            <v>Autres charges d'exploitation</v>
          </cell>
        </row>
        <row r="342">
          <cell r="D342">
            <v>0</v>
          </cell>
          <cell r="E342">
            <v>6262.27</v>
          </cell>
          <cell r="K342" t="str">
            <v>Autres charges d'exploitation</v>
          </cell>
          <cell r="L342" t="str">
            <v>Autres charges d'exploitation</v>
          </cell>
        </row>
        <row r="343">
          <cell r="D343">
            <v>3499.55</v>
          </cell>
          <cell r="E343">
            <v>5741.8</v>
          </cell>
          <cell r="K343" t="str">
            <v>Intérêts et charges assimilées</v>
          </cell>
          <cell r="L343" t="str">
            <v>Intérêts et charges assimilées</v>
          </cell>
        </row>
        <row r="344">
          <cell r="D344">
            <v>3.59</v>
          </cell>
          <cell r="E344">
            <v>54.59</v>
          </cell>
          <cell r="K344" t="str">
            <v>Intérêts et charges assimilées</v>
          </cell>
          <cell r="L344" t="str">
            <v>Intérêts et charges assimilées</v>
          </cell>
        </row>
        <row r="345">
          <cell r="D345">
            <v>0</v>
          </cell>
          <cell r="E345">
            <v>750</v>
          </cell>
          <cell r="K345" t="str">
            <v>Intérêts et charges assimilées</v>
          </cell>
          <cell r="L345" t="str">
            <v>Intérêts et charges assimilées</v>
          </cell>
        </row>
        <row r="346">
          <cell r="D346">
            <v>762.05</v>
          </cell>
          <cell r="E346">
            <v>3530.38</v>
          </cell>
          <cell r="K346" t="str">
            <v>Intérêts et charges assimilées</v>
          </cell>
          <cell r="L346" t="str">
            <v>Intérêts et charges assimilées</v>
          </cell>
        </row>
        <row r="347">
          <cell r="D347">
            <v>1035.5</v>
          </cell>
          <cell r="E347">
            <v>9679.34</v>
          </cell>
          <cell r="K347" t="str">
            <v>Intérêts et charges assimilées</v>
          </cell>
          <cell r="L347" t="str">
            <v>Intérêts et charges assimilées</v>
          </cell>
        </row>
        <row r="348">
          <cell r="D348">
            <v>0</v>
          </cell>
          <cell r="E348">
            <v>1234.02</v>
          </cell>
          <cell r="K348" t="str">
            <v>Intérêts et charges assimilées</v>
          </cell>
          <cell r="L348" t="str">
            <v>Intérêts et charges assimilées</v>
          </cell>
        </row>
        <row r="349">
          <cell r="D349">
            <v>3170.46</v>
          </cell>
          <cell r="E349">
            <v>3240.25</v>
          </cell>
          <cell r="K349" t="str">
            <v>Intérêts et charges assimilées</v>
          </cell>
          <cell r="L349" t="str">
            <v>Intérêts et charges assimilées</v>
          </cell>
        </row>
        <row r="350">
          <cell r="D350">
            <v>11671.41</v>
          </cell>
          <cell r="E350">
            <v>0</v>
          </cell>
          <cell r="K350" t="str">
            <v>Intérêts et charges assimilées</v>
          </cell>
          <cell r="L350" t="str">
            <v>Intérêts et charges assimilées</v>
          </cell>
        </row>
        <row r="351">
          <cell r="D351">
            <v>2311.64</v>
          </cell>
          <cell r="E351">
            <v>0</v>
          </cell>
          <cell r="K351" t="str">
            <v>Intérêts et charges assimilées</v>
          </cell>
          <cell r="L351" t="str">
            <v>Intérêts et charges assimilées</v>
          </cell>
        </row>
        <row r="352">
          <cell r="D352">
            <v>0</v>
          </cell>
          <cell r="E352">
            <v>14190.86</v>
          </cell>
          <cell r="K352" t="str">
            <v>Intérêts et charges assimilées</v>
          </cell>
          <cell r="L352" t="str">
            <v>Intérêts et charges assimilées</v>
          </cell>
        </row>
        <row r="353">
          <cell r="D353">
            <v>885.97</v>
          </cell>
          <cell r="E353">
            <v>12960.86</v>
          </cell>
          <cell r="K353" t="str">
            <v>Intérêts et charges assimilées</v>
          </cell>
          <cell r="L353" t="str">
            <v>Intérêts et charges assimilées</v>
          </cell>
        </row>
        <row r="354">
          <cell r="D354">
            <v>0</v>
          </cell>
          <cell r="E354">
            <v>135</v>
          </cell>
          <cell r="K354" t="str">
            <v>Charges sur opérations de gestion</v>
          </cell>
          <cell r="L354" t="str">
            <v>Charges sur opérations de gestion</v>
          </cell>
        </row>
        <row r="355">
          <cell r="D355">
            <v>37311.64</v>
          </cell>
          <cell r="E355">
            <v>17561.8</v>
          </cell>
          <cell r="K355" t="str">
            <v>Charges sur opérations en capital</v>
          </cell>
          <cell r="L355" t="str">
            <v>Charges sur opérations en capital</v>
          </cell>
        </row>
        <row r="356">
          <cell r="D356">
            <v>2568.06</v>
          </cell>
          <cell r="E356">
            <v>0</v>
          </cell>
          <cell r="K356" t="str">
            <v>Charges sur opérations en capital</v>
          </cell>
          <cell r="L356" t="str">
            <v>Charges sur opérations en capital</v>
          </cell>
        </row>
        <row r="357">
          <cell r="D357">
            <v>2558.4699999999998</v>
          </cell>
          <cell r="E357">
            <v>2445.4899999999998</v>
          </cell>
          <cell r="K357" t="str">
            <v>Dotations aux amortissements sur Immobilisations</v>
          </cell>
          <cell r="L357" t="str">
            <v>Dotations aux amortissements sur Immobilisations</v>
          </cell>
        </row>
        <row r="358">
          <cell r="D358">
            <v>182571.81</v>
          </cell>
          <cell r="E358">
            <v>180653.47</v>
          </cell>
          <cell r="K358" t="str">
            <v>Dotations aux amortissements sur Immobilisations</v>
          </cell>
          <cell r="L358" t="str">
            <v>Dotations aux amortissements sur Immobilisations</v>
          </cell>
        </row>
        <row r="359">
          <cell r="D359">
            <v>18533.099999999999</v>
          </cell>
          <cell r="E359">
            <v>41085.289999999994</v>
          </cell>
          <cell r="K359" t="str">
            <v>Dotations aux amortissements sur Immobilisations</v>
          </cell>
          <cell r="L359" t="str">
            <v>Dotations aux amortissements sur Immobilisations</v>
          </cell>
        </row>
        <row r="360">
          <cell r="D360">
            <v>80000</v>
          </cell>
          <cell r="E360">
            <v>0</v>
          </cell>
          <cell r="K360" t="str">
            <v>Dotations aux provisions pour risques et charges</v>
          </cell>
          <cell r="L360" t="str">
            <v>Dotations aux provisions pour risques et charges</v>
          </cell>
        </row>
        <row r="361">
          <cell r="D361">
            <v>64797.06</v>
          </cell>
          <cell r="E361">
            <v>87975.47</v>
          </cell>
          <cell r="K361" t="str">
            <v>Dotations aux dépréciations sur Actif circulant</v>
          </cell>
          <cell r="L361" t="str">
            <v>Dotations aux dépréciations sur Actif circulant</v>
          </cell>
        </row>
        <row r="362">
          <cell r="D362">
            <v>1485.15</v>
          </cell>
          <cell r="E362">
            <v>1356.58</v>
          </cell>
          <cell r="K362" t="str">
            <v>Dotations aux dépréciations sur Actif circulant</v>
          </cell>
          <cell r="L362" t="str">
            <v>Dotations aux dépréciations sur Actif circulant</v>
          </cell>
        </row>
        <row r="363">
          <cell r="D363">
            <v>0</v>
          </cell>
          <cell r="E363">
            <v>-4465.32</v>
          </cell>
          <cell r="K363" t="str">
            <v>Impôts sur les bénéfices</v>
          </cell>
          <cell r="L363" t="str">
            <v>Impôts sur les bénéfices</v>
          </cell>
        </row>
        <row r="364">
          <cell r="D364">
            <v>-1938.99</v>
          </cell>
          <cell r="E364">
            <v>-3154.55</v>
          </cell>
          <cell r="K364" t="str">
            <v>Production vendue (Biens et Services)</v>
          </cell>
          <cell r="L364" t="str">
            <v>Production vendue (Biens et Services)</v>
          </cell>
        </row>
        <row r="365">
          <cell r="D365">
            <v>-711699.30999999994</v>
          </cell>
          <cell r="E365">
            <v>-851984.77</v>
          </cell>
          <cell r="K365" t="str">
            <v>Production vendue (Biens et Services)</v>
          </cell>
          <cell r="L365" t="str">
            <v>Production vendue (Biens et Services)</v>
          </cell>
        </row>
        <row r="366">
          <cell r="D366">
            <v>-263664.70999999996</v>
          </cell>
          <cell r="E366">
            <v>-112029.35</v>
          </cell>
          <cell r="K366" t="str">
            <v>Production vendue (Biens et Services)</v>
          </cell>
          <cell r="L366" t="str">
            <v>Production vendue (Biens et Services)</v>
          </cell>
        </row>
        <row r="367">
          <cell r="D367">
            <v>-7581.74</v>
          </cell>
          <cell r="E367">
            <v>-9964.24</v>
          </cell>
          <cell r="K367" t="str">
            <v>Production vendue (Biens et Services)</v>
          </cell>
          <cell r="L367" t="str">
            <v>Production vendue (Biens et Services)</v>
          </cell>
        </row>
        <row r="368">
          <cell r="D368">
            <v>-24981.360000000001</v>
          </cell>
          <cell r="E368">
            <v>-20289.79</v>
          </cell>
          <cell r="K368" t="str">
            <v>Production vendue (Biens et Services)</v>
          </cell>
          <cell r="L368" t="str">
            <v>Production vendue (Biens et Services)</v>
          </cell>
        </row>
        <row r="369">
          <cell r="D369">
            <v>-610.64</v>
          </cell>
          <cell r="E369">
            <v>-432.5</v>
          </cell>
          <cell r="K369" t="str">
            <v>Production vendue (Biens et Services)</v>
          </cell>
          <cell r="L369" t="str">
            <v>Production vendue (Biens et Services)</v>
          </cell>
        </row>
        <row r="370">
          <cell r="D370">
            <v>-51.92</v>
          </cell>
          <cell r="E370">
            <v>0</v>
          </cell>
          <cell r="K370" t="str">
            <v>Production vendue (Biens et Services)</v>
          </cell>
          <cell r="L370" t="str">
            <v>Production vendue (Biens et Services)</v>
          </cell>
        </row>
        <row r="371">
          <cell r="D371">
            <v>-163.91</v>
          </cell>
          <cell r="E371">
            <v>-34.78</v>
          </cell>
          <cell r="K371" t="str">
            <v>Production vendue (Biens et Services)</v>
          </cell>
          <cell r="L371" t="str">
            <v>Production vendue (Biens et Services)</v>
          </cell>
        </row>
        <row r="372">
          <cell r="D372">
            <v>-37323.42</v>
          </cell>
          <cell r="E372">
            <v>-38154.469999999994</v>
          </cell>
          <cell r="K372" t="str">
            <v>Production vendue (Biens et Services)</v>
          </cell>
          <cell r="L372" t="str">
            <v>Production vendue (Biens et Services)</v>
          </cell>
        </row>
        <row r="373">
          <cell r="D373">
            <v>-141.66</v>
          </cell>
          <cell r="E373">
            <v>-209.01</v>
          </cell>
          <cell r="K373" t="str">
            <v>Production vendue (Biens et Services)</v>
          </cell>
          <cell r="L373" t="str">
            <v>Production vendue (Biens et Services)</v>
          </cell>
        </row>
        <row r="374">
          <cell r="D374">
            <v>-9773.7900000000009</v>
          </cell>
          <cell r="E374">
            <v>-13893.47</v>
          </cell>
          <cell r="K374" t="str">
            <v>Production vendue (Biens et Services)</v>
          </cell>
          <cell r="L374" t="str">
            <v>Production vendue (Biens et Services)</v>
          </cell>
        </row>
        <row r="375">
          <cell r="D375">
            <v>-21698755.379999999</v>
          </cell>
          <cell r="E375">
            <v>-24653446.759999998</v>
          </cell>
          <cell r="K375" t="str">
            <v>Ventes de marchandises</v>
          </cell>
          <cell r="L375" t="str">
            <v>Ventes de marchandises</v>
          </cell>
        </row>
        <row r="376">
          <cell r="D376">
            <v>-17255.95</v>
          </cell>
          <cell r="E376">
            <v>-18579.45</v>
          </cell>
          <cell r="K376" t="str">
            <v>Ventes de marchandises</v>
          </cell>
          <cell r="L376" t="str">
            <v>Ventes de marchandises</v>
          </cell>
        </row>
        <row r="377">
          <cell r="D377">
            <v>-113507.91</v>
          </cell>
          <cell r="E377">
            <v>-70821.94</v>
          </cell>
          <cell r="K377" t="str">
            <v>Ventes de marchandises</v>
          </cell>
          <cell r="L377" t="str">
            <v>Ventes de marchandises</v>
          </cell>
        </row>
        <row r="378">
          <cell r="D378">
            <v>-21581.18</v>
          </cell>
          <cell r="E378">
            <v>-18923.73</v>
          </cell>
          <cell r="K378" t="str">
            <v>Ventes de marchandises</v>
          </cell>
          <cell r="L378" t="str">
            <v>Ventes de marchandises</v>
          </cell>
        </row>
        <row r="379">
          <cell r="D379">
            <v>-4679416.6300000008</v>
          </cell>
          <cell r="E379">
            <v>-4490155.74</v>
          </cell>
          <cell r="K379" t="str">
            <v>Ventes de marchandises</v>
          </cell>
          <cell r="L379" t="str">
            <v>Ventes de marchandises</v>
          </cell>
        </row>
        <row r="380">
          <cell r="D380">
            <v>-795251.65</v>
          </cell>
          <cell r="E380">
            <v>-776748.32000000007</v>
          </cell>
          <cell r="K380" t="str">
            <v>Ventes de marchandises</v>
          </cell>
          <cell r="L380" t="str">
            <v>Ventes de marchandises</v>
          </cell>
        </row>
        <row r="381">
          <cell r="D381">
            <v>-11067.22</v>
          </cell>
          <cell r="E381">
            <v>-10619.09</v>
          </cell>
          <cell r="K381" t="str">
            <v>Ventes de marchandises</v>
          </cell>
          <cell r="L381" t="str">
            <v>Ventes de marchandises</v>
          </cell>
        </row>
        <row r="382">
          <cell r="D382">
            <v>0</v>
          </cell>
          <cell r="E382">
            <v>-500.01</v>
          </cell>
          <cell r="K382" t="str">
            <v>Ventes de marchandises</v>
          </cell>
          <cell r="L382" t="str">
            <v>Ventes de marchandises</v>
          </cell>
        </row>
        <row r="383">
          <cell r="D383">
            <v>0</v>
          </cell>
          <cell r="E383">
            <v>-95166.69</v>
          </cell>
          <cell r="K383" t="str">
            <v>Ventes de marchandises</v>
          </cell>
          <cell r="L383" t="str">
            <v>Ventes de marchandises</v>
          </cell>
        </row>
        <row r="384">
          <cell r="D384">
            <v>-185198.90000000002</v>
          </cell>
          <cell r="E384">
            <v>-182592.37</v>
          </cell>
          <cell r="K384" t="str">
            <v>Ventes de marchandises</v>
          </cell>
          <cell r="L384" t="str">
            <v>Ventes de marchandises</v>
          </cell>
        </row>
        <row r="385">
          <cell r="D385">
            <v>-586889.41999999993</v>
          </cell>
          <cell r="E385">
            <v>-3843534.7099999995</v>
          </cell>
          <cell r="K385" t="str">
            <v>Ventes de marchandises</v>
          </cell>
          <cell r="L385" t="str">
            <v>Ventes de marchandises</v>
          </cell>
        </row>
        <row r="386">
          <cell r="D386">
            <v>-948</v>
          </cell>
          <cell r="E386">
            <v>-3516.13</v>
          </cell>
          <cell r="K386" t="str">
            <v>Ventes de marchandises</v>
          </cell>
          <cell r="L386" t="str">
            <v>Ventes de marchandises</v>
          </cell>
        </row>
        <row r="387">
          <cell r="D387">
            <v>-5020.4799999999996</v>
          </cell>
          <cell r="E387">
            <v>-360592.06999999995</v>
          </cell>
          <cell r="K387" t="str">
            <v>Ventes de marchandises</v>
          </cell>
          <cell r="L387" t="str">
            <v>Ventes de marchandises</v>
          </cell>
        </row>
        <row r="388">
          <cell r="D388">
            <v>-55977.81</v>
          </cell>
          <cell r="E388">
            <v>-99325.909999999989</v>
          </cell>
          <cell r="K388" t="str">
            <v>Ventes de marchandises</v>
          </cell>
          <cell r="L388" t="str">
            <v>Ventes de marchandises</v>
          </cell>
        </row>
        <row r="389">
          <cell r="D389">
            <v>-4808.4399999999996</v>
          </cell>
          <cell r="E389">
            <v>-8594.2999999999993</v>
          </cell>
          <cell r="K389" t="str">
            <v>Ventes de marchandises</v>
          </cell>
          <cell r="L389" t="str">
            <v>Ventes de marchandises</v>
          </cell>
        </row>
        <row r="390">
          <cell r="D390">
            <v>-670869.46</v>
          </cell>
          <cell r="E390">
            <v>-546410.04999999993</v>
          </cell>
          <cell r="K390" t="str">
            <v>Production vendue (Biens et Services)</v>
          </cell>
          <cell r="L390" t="str">
            <v>Production vendue (Biens et Services)</v>
          </cell>
        </row>
        <row r="391">
          <cell r="D391">
            <v>-26032.67</v>
          </cell>
          <cell r="E391">
            <v>0</v>
          </cell>
          <cell r="K391" t="str">
            <v>Production vendue (Biens et Services)</v>
          </cell>
          <cell r="L391" t="str">
            <v>Production vendue (Biens et Services)</v>
          </cell>
        </row>
        <row r="392">
          <cell r="D392">
            <v>35</v>
          </cell>
          <cell r="E392">
            <v>-5881</v>
          </cell>
          <cell r="K392" t="str">
            <v>Production vendue (Biens et Services)</v>
          </cell>
          <cell r="L392" t="str">
            <v>Production vendue (Biens et Services)</v>
          </cell>
        </row>
        <row r="393">
          <cell r="D393">
            <v>-43473.66</v>
          </cell>
          <cell r="E393">
            <v>-35000</v>
          </cell>
          <cell r="K393" t="str">
            <v>Production vendue (Biens et Services)</v>
          </cell>
          <cell r="L393" t="str">
            <v>Production vendue (Biens et Services)</v>
          </cell>
        </row>
        <row r="394">
          <cell r="D394">
            <v>-51797.259999999995</v>
          </cell>
          <cell r="E394">
            <v>-50139.75</v>
          </cell>
          <cell r="K394" t="str">
            <v>Production vendue (Biens et Services)</v>
          </cell>
          <cell r="L394" t="str">
            <v>Production vendue (Biens et Services)</v>
          </cell>
        </row>
        <row r="395">
          <cell r="D395">
            <v>-3212.62</v>
          </cell>
          <cell r="E395">
            <v>0</v>
          </cell>
          <cell r="K395" t="str">
            <v>Production vendue (Biens et Services)</v>
          </cell>
          <cell r="L395" t="str">
            <v>Production vendue (Biens et Services)</v>
          </cell>
        </row>
        <row r="396">
          <cell r="D396">
            <v>-25.13</v>
          </cell>
          <cell r="E396">
            <v>0</v>
          </cell>
          <cell r="K396" t="str">
            <v>Production vendue (Biens et Services)</v>
          </cell>
          <cell r="L396" t="str">
            <v>Production vendue (Biens et Services)</v>
          </cell>
        </row>
        <row r="397">
          <cell r="D397">
            <v>-371624.02999999997</v>
          </cell>
          <cell r="E397">
            <v>-386182.55000000005</v>
          </cell>
          <cell r="K397" t="str">
            <v>Production vendue (Biens et Services)</v>
          </cell>
          <cell r="L397" t="str">
            <v>Production vendue (Biens et Services)</v>
          </cell>
        </row>
        <row r="398">
          <cell r="D398">
            <v>2160</v>
          </cell>
          <cell r="E398">
            <v>-2065</v>
          </cell>
          <cell r="K398" t="str">
            <v>Production vendue (Biens et Services)</v>
          </cell>
          <cell r="L398" t="str">
            <v>Production vendue (Biens et Services)</v>
          </cell>
        </row>
        <row r="399">
          <cell r="D399">
            <v>-966.53</v>
          </cell>
          <cell r="E399">
            <v>0</v>
          </cell>
          <cell r="K399" t="str">
            <v>Production vendue (Biens et Services)</v>
          </cell>
          <cell r="L399" t="str">
            <v>Production vendue (Biens et Services)</v>
          </cell>
        </row>
        <row r="400">
          <cell r="D400">
            <v>22560.850000000002</v>
          </cell>
          <cell r="E400">
            <v>31802.04</v>
          </cell>
          <cell r="K400" t="str">
            <v>Production vendue (Biens et Services)</v>
          </cell>
          <cell r="L400" t="str">
            <v>Production vendue (Biens et Services)</v>
          </cell>
        </row>
        <row r="401">
          <cell r="D401">
            <v>14239.95</v>
          </cell>
          <cell r="E401">
            <v>14042.89</v>
          </cell>
          <cell r="K401" t="str">
            <v>Production vendue (Biens et Services)</v>
          </cell>
          <cell r="L401" t="str">
            <v>Production vendue (Biens et Services)</v>
          </cell>
        </row>
        <row r="402">
          <cell r="D402">
            <v>35857.25</v>
          </cell>
          <cell r="E402">
            <v>18413.689999999999</v>
          </cell>
          <cell r="K402" t="str">
            <v>Production vendue (Biens et Services)</v>
          </cell>
          <cell r="L402" t="str">
            <v>Production vendue (Biens et Services)</v>
          </cell>
        </row>
        <row r="403">
          <cell r="D403">
            <v>390.39</v>
          </cell>
          <cell r="E403">
            <v>70129.84</v>
          </cell>
          <cell r="K403" t="str">
            <v>Production vendue (Biens et Services)</v>
          </cell>
          <cell r="L403" t="str">
            <v>Production vendue (Biens et Services)</v>
          </cell>
        </row>
        <row r="404">
          <cell r="D404">
            <v>6233422.46</v>
          </cell>
          <cell r="E404">
            <v>8388170.6199999992</v>
          </cell>
          <cell r="K404" t="str">
            <v>Ventes de marchandises</v>
          </cell>
          <cell r="L404" t="str">
            <v>Ventes de marchandises</v>
          </cell>
        </row>
        <row r="405">
          <cell r="D405">
            <v>15609.990000000002</v>
          </cell>
          <cell r="E405">
            <v>83363.01999999999</v>
          </cell>
          <cell r="K405" t="str">
            <v>Ventes de marchandises</v>
          </cell>
          <cell r="L405" t="str">
            <v>Ventes de marchandises</v>
          </cell>
        </row>
        <row r="406">
          <cell r="D406">
            <v>0</v>
          </cell>
          <cell r="E406">
            <v>206.75</v>
          </cell>
          <cell r="K406" t="str">
            <v>Production vendue (Biens et Services)</v>
          </cell>
          <cell r="L406" t="str">
            <v>Production vendue (Biens et Services)</v>
          </cell>
        </row>
        <row r="407">
          <cell r="D407">
            <v>-1084.5</v>
          </cell>
          <cell r="E407">
            <v>753</v>
          </cell>
          <cell r="K407" t="str">
            <v>Production stockée</v>
          </cell>
          <cell r="L407" t="str">
            <v>Production stockée</v>
          </cell>
        </row>
        <row r="408">
          <cell r="D408">
            <v>-6354.07</v>
          </cell>
          <cell r="E408">
            <v>8419.44</v>
          </cell>
          <cell r="K408" t="str">
            <v>Production stockée</v>
          </cell>
          <cell r="L408" t="str">
            <v>Production stockée</v>
          </cell>
        </row>
        <row r="409">
          <cell r="D409">
            <v>24.96</v>
          </cell>
          <cell r="E409">
            <v>428.13</v>
          </cell>
          <cell r="K409" t="str">
            <v>Production stockée</v>
          </cell>
          <cell r="L409" t="str">
            <v>Production stockée</v>
          </cell>
        </row>
        <row r="410">
          <cell r="D410">
            <v>0</v>
          </cell>
          <cell r="E410">
            <v>0</v>
          </cell>
          <cell r="K410" t="str">
            <v>Production immobilisée</v>
          </cell>
          <cell r="L410" t="str">
            <v>Production immobilisée</v>
          </cell>
        </row>
        <row r="411">
          <cell r="D411">
            <v>-39287.15</v>
          </cell>
          <cell r="E411">
            <v>-12298.67</v>
          </cell>
          <cell r="K411" t="str">
            <v>Production immobilisée</v>
          </cell>
          <cell r="L411" t="str">
            <v>Production immobilisée</v>
          </cell>
        </row>
        <row r="412">
          <cell r="D412">
            <v>-33809.339999999997</v>
          </cell>
          <cell r="E412">
            <v>-38438.400000000001</v>
          </cell>
          <cell r="K412" t="str">
            <v>Subventions d'exploitation</v>
          </cell>
          <cell r="L412" t="str">
            <v>Subventions d'exploitation</v>
          </cell>
        </row>
        <row r="413">
          <cell r="D413">
            <v>0</v>
          </cell>
          <cell r="E413">
            <v>0</v>
          </cell>
          <cell r="K413" t="str">
            <v>Autres produits</v>
          </cell>
          <cell r="L413" t="str">
            <v>Autres produits</v>
          </cell>
        </row>
        <row r="414">
          <cell r="D414">
            <v>-3225.65</v>
          </cell>
          <cell r="E414">
            <v>-7791.92</v>
          </cell>
          <cell r="K414" t="str">
            <v>Autres produits</v>
          </cell>
          <cell r="L414" t="str">
            <v>Autres produits</v>
          </cell>
        </row>
        <row r="415">
          <cell r="D415">
            <v>-8000</v>
          </cell>
          <cell r="E415">
            <v>-149.01</v>
          </cell>
          <cell r="K415" t="str">
            <v>Autres intérêts et produits assimilés</v>
          </cell>
          <cell r="L415" t="str">
            <v>Autres intérêts et produits assimilés</v>
          </cell>
        </row>
        <row r="416">
          <cell r="D416">
            <v>-5394.51</v>
          </cell>
          <cell r="E416">
            <v>-2558.16</v>
          </cell>
          <cell r="K416" t="str">
            <v>Autres intérêts et produits assimilés</v>
          </cell>
          <cell r="L416" t="str">
            <v>Autres intérêts et produits assimilés</v>
          </cell>
        </row>
        <row r="417">
          <cell r="D417">
            <v>-39</v>
          </cell>
          <cell r="E417">
            <v>-150.5</v>
          </cell>
          <cell r="K417" t="str">
            <v>Autres intérêts et produits assimilés</v>
          </cell>
          <cell r="L417" t="str">
            <v>Autres intérêts et produits assimilés</v>
          </cell>
        </row>
        <row r="418">
          <cell r="D418">
            <v>0</v>
          </cell>
          <cell r="E418">
            <v>-4.17</v>
          </cell>
          <cell r="K418" t="str">
            <v>Autres intérêts et produits assimilés</v>
          </cell>
          <cell r="L418" t="str">
            <v>Autres intérêts et produits assimilés</v>
          </cell>
        </row>
        <row r="419">
          <cell r="D419">
            <v>-90593.239999999991</v>
          </cell>
          <cell r="E419">
            <v>-51681.09</v>
          </cell>
          <cell r="K419" t="str">
            <v>Produits sur opérations en capital</v>
          </cell>
          <cell r="L419" t="str">
            <v>Produits sur opérations en capital</v>
          </cell>
        </row>
        <row r="420">
          <cell r="D420">
            <v>0</v>
          </cell>
          <cell r="E420">
            <v>-4500</v>
          </cell>
          <cell r="K420" t="str">
            <v>Reprises sur provisions d'exploitation</v>
          </cell>
          <cell r="L420" t="str">
            <v>Reprises sur provisions d'exploitation</v>
          </cell>
        </row>
        <row r="421">
          <cell r="D421">
            <v>-87975.47</v>
          </cell>
          <cell r="E421">
            <v>-61082.729999999996</v>
          </cell>
          <cell r="K421" t="str">
            <v>Reprises sur provisions d'exploitation</v>
          </cell>
          <cell r="L421" t="str">
            <v>Reprises sur provisions d'exploitation</v>
          </cell>
        </row>
        <row r="422">
          <cell r="D422">
            <v>-1227.71</v>
          </cell>
          <cell r="E422">
            <v>-1836.27</v>
          </cell>
          <cell r="K422" t="str">
            <v>Reprises sur provisions d'exploitation</v>
          </cell>
          <cell r="L422" t="str">
            <v>Reprises sur provisions d'exploitation</v>
          </cell>
        </row>
        <row r="423">
          <cell r="D423">
            <v>-275145.09000000003</v>
          </cell>
          <cell r="E423">
            <v>0</v>
          </cell>
          <cell r="K423" t="str">
            <v>Reprises sur dépréciations, provisions exceptionnelles</v>
          </cell>
          <cell r="L423" t="str">
            <v>Reprises sur dépréciations, provisions exceptionnelles</v>
          </cell>
        </row>
        <row r="424">
          <cell r="D424">
            <v>-20455.3</v>
          </cell>
          <cell r="E424">
            <v>-16640.010000000002</v>
          </cell>
          <cell r="K424" t="str">
            <v>Transfert de charges d'exploitation</v>
          </cell>
          <cell r="L424" t="str">
            <v>Transfert de charges d'exploitation</v>
          </cell>
        </row>
        <row r="425">
          <cell r="D425">
            <v>-1100.7</v>
          </cell>
          <cell r="E425">
            <v>-744.53</v>
          </cell>
          <cell r="K425" t="str">
            <v>Transfert de charges d'exploitation</v>
          </cell>
          <cell r="L425" t="str">
            <v>Transfert de charges d'exploitation</v>
          </cell>
        </row>
        <row r="426">
          <cell r="D426">
            <v>-943.5</v>
          </cell>
          <cell r="E426">
            <v>-943.5</v>
          </cell>
          <cell r="K426" t="str">
            <v>Transfert de charges d'exploitation</v>
          </cell>
          <cell r="L426" t="str">
            <v>Transfert de charges d'exploitation</v>
          </cell>
        </row>
        <row r="427">
          <cell r="D427">
            <v>0</v>
          </cell>
          <cell r="E427">
            <v>0</v>
          </cell>
          <cell r="K427" t="str">
            <v>Transfert de charges d'exploitation</v>
          </cell>
          <cell r="L427" t="str">
            <v>Transfert de charges d'exploitation</v>
          </cell>
        </row>
        <row r="428">
          <cell r="D428">
            <v>-4374.6400000000003</v>
          </cell>
          <cell r="E428">
            <v>-4711.68</v>
          </cell>
          <cell r="K428" t="str">
            <v>Transfert de charges d'exploitation</v>
          </cell>
          <cell r="L428" t="str">
            <v>Transfert de charges d'exploitation</v>
          </cell>
        </row>
        <row r="429">
          <cell r="D429">
            <v>0</v>
          </cell>
          <cell r="E429">
            <v>-97.61</v>
          </cell>
          <cell r="K429" t="str">
            <v>Transfert de charges d'exploitation</v>
          </cell>
          <cell r="L429" t="str">
            <v>Transfert de charges d'exploitation</v>
          </cell>
        </row>
        <row r="430">
          <cell r="D430">
            <v>-10716.75</v>
          </cell>
          <cell r="E430">
            <v>-3447.8300000000004</v>
          </cell>
          <cell r="K430" t="str">
            <v>Transfert de charges d'exploitation</v>
          </cell>
          <cell r="L430" t="str">
            <v>Transfert de charges d'exploitation</v>
          </cell>
        </row>
        <row r="431">
          <cell r="D431">
            <v>-57110.21</v>
          </cell>
          <cell r="E431">
            <v>-38149.880000000005</v>
          </cell>
          <cell r="K431" t="str">
            <v>Transfert de charges d'exploitation</v>
          </cell>
          <cell r="L431" t="str">
            <v>Transfert de charges d'exploitation</v>
          </cell>
        </row>
        <row r="432">
          <cell r="D432">
            <v>0</v>
          </cell>
          <cell r="E432">
            <v>-450</v>
          </cell>
          <cell r="K432" t="str">
            <v>Transfert de charges d'exploitation</v>
          </cell>
          <cell r="L432" t="str">
            <v>Transfert de charges d'exploitation</v>
          </cell>
        </row>
        <row r="433">
          <cell r="D433">
            <v>2615.83</v>
          </cell>
          <cell r="E433">
            <v>-2747.15</v>
          </cell>
          <cell r="K433" t="str">
            <v>Transfert de charges d'exploitation</v>
          </cell>
          <cell r="L433" t="str">
            <v>Transfert de charges d'exploitation</v>
          </cell>
        </row>
        <row r="434">
          <cell r="D434">
            <v>-14605.81</v>
          </cell>
          <cell r="E434">
            <v>-6943.79</v>
          </cell>
          <cell r="K434" t="str">
            <v>Transfert de charges d'exploitation</v>
          </cell>
          <cell r="L434" t="str">
            <v>Transfert de charges d'exploitation</v>
          </cell>
        </row>
        <row r="435">
          <cell r="D435">
            <v>-14544.45</v>
          </cell>
          <cell r="E435">
            <v>-2444.44</v>
          </cell>
          <cell r="K435" t="str">
            <v>Transfert de charges d'exploitation</v>
          </cell>
          <cell r="L435" t="str">
            <v>Transfert de charges d'exploitation</v>
          </cell>
        </row>
        <row r="436">
          <cell r="D436">
            <v>0</v>
          </cell>
          <cell r="E436">
            <v>-39</v>
          </cell>
          <cell r="K436" t="str">
            <v>Transfert de charges d'exploitation</v>
          </cell>
          <cell r="L436" t="str">
            <v>Transfert de charges d'exploitation</v>
          </cell>
        </row>
        <row r="437">
          <cell r="D437">
            <v>-261.72000000000003</v>
          </cell>
          <cell r="E437">
            <v>-1165.6500000000001</v>
          </cell>
          <cell r="K437" t="str">
            <v>Transfert de charges d'exploitation</v>
          </cell>
          <cell r="L437" t="str">
            <v>Transfert de charges d'exploitation</v>
          </cell>
        </row>
        <row r="438">
          <cell r="D438">
            <v>-11161.71</v>
          </cell>
          <cell r="E438">
            <v>-8441.15</v>
          </cell>
          <cell r="K438" t="str">
            <v>Transfert de charges d'exploitation</v>
          </cell>
          <cell r="L438" t="str">
            <v>Transfert de charges d'exploitation</v>
          </cell>
        </row>
        <row r="439">
          <cell r="D439">
            <v>-14349.28</v>
          </cell>
          <cell r="E439">
            <v>418.70000000000005</v>
          </cell>
          <cell r="K439" t="str">
            <v>Transfert de charges d'exploitation</v>
          </cell>
          <cell r="L439" t="str">
            <v>Transfert de charges d'exploitation</v>
          </cell>
        </row>
        <row r="440">
          <cell r="D440">
            <v>-1848</v>
          </cell>
          <cell r="E440">
            <v>0</v>
          </cell>
          <cell r="K440" t="str">
            <v>Transfert de charges d'exploitation</v>
          </cell>
          <cell r="L440" t="str">
            <v>Transfert de charges d'exploitation</v>
          </cell>
        </row>
        <row r="441">
          <cell r="D441">
            <v>-299702.81</v>
          </cell>
          <cell r="E441">
            <v>0</v>
          </cell>
          <cell r="K441" t="str">
            <v>Transfert de charges d'exploitation</v>
          </cell>
          <cell r="L441" t="str">
            <v>Transfert de charges d'exploitation</v>
          </cell>
        </row>
        <row r="444">
          <cell r="D444">
            <v>10737355.76</v>
          </cell>
          <cell r="E444">
            <v>10071374.630000005</v>
          </cell>
        </row>
        <row r="451">
          <cell r="D451">
            <v>60292.179999999702</v>
          </cell>
          <cell r="E451">
            <v>89410.030000012368</v>
          </cell>
        </row>
      </sheetData>
      <sheetData sheetId="2"/>
      <sheetData sheetId="3"/>
      <sheetData sheetId="4">
        <row r="10">
          <cell r="B10" t="str">
            <v>Capital souscrit non appelé</v>
          </cell>
          <cell r="D10">
            <v>0</v>
          </cell>
          <cell r="E10">
            <v>0</v>
          </cell>
        </row>
        <row r="12">
          <cell r="B12" t="str">
            <v>Frais d'établissement</v>
          </cell>
          <cell r="D12">
            <v>0</v>
          </cell>
          <cell r="E12">
            <v>0</v>
          </cell>
        </row>
        <row r="13">
          <cell r="B13" t="str">
            <v>Frais de recherche et développement</v>
          </cell>
          <cell r="D13">
            <v>0</v>
          </cell>
          <cell r="E13">
            <v>0</v>
          </cell>
        </row>
        <row r="14">
          <cell r="B14" t="str">
            <v>Concessions, brvts, licences, logiciels, drts &amp; val. similaire</v>
          </cell>
          <cell r="D14">
            <v>1182.1900000000023</v>
          </cell>
          <cell r="E14">
            <v>1343.4000000000015</v>
          </cell>
        </row>
        <row r="15">
          <cell r="B15" t="str">
            <v>Droit au bail</v>
          </cell>
          <cell r="D15">
            <v>0</v>
          </cell>
          <cell r="E15">
            <v>0</v>
          </cell>
        </row>
        <row r="16">
          <cell r="B16" t="str">
            <v>Fonds commercial</v>
          </cell>
          <cell r="D16">
            <v>12424.59</v>
          </cell>
          <cell r="E16">
            <v>12424.59</v>
          </cell>
        </row>
        <row r="17">
          <cell r="B17" t="str">
            <v>Autres immobilisations incorporelles</v>
          </cell>
          <cell r="D17">
            <v>0</v>
          </cell>
          <cell r="E17">
            <v>0</v>
          </cell>
        </row>
        <row r="18">
          <cell r="B18" t="str">
            <v>Immobilisations incorporelles en cours</v>
          </cell>
          <cell r="D18">
            <v>0</v>
          </cell>
          <cell r="E18">
            <v>0</v>
          </cell>
        </row>
        <row r="19">
          <cell r="B19" t="str">
            <v>Avances et acomptes sur immobilisations incorporelles</v>
          </cell>
          <cell r="D19">
            <v>0</v>
          </cell>
          <cell r="E19">
            <v>0</v>
          </cell>
        </row>
        <row r="20">
          <cell r="B20" t="str">
            <v>Immobilisations incorporelles</v>
          </cell>
          <cell r="D20">
            <v>13606.780000000002</v>
          </cell>
          <cell r="E20">
            <v>13767.990000000002</v>
          </cell>
        </row>
        <row r="22">
          <cell r="B22" t="str">
            <v>Terrains</v>
          </cell>
          <cell r="D22">
            <v>0</v>
          </cell>
          <cell r="E22">
            <v>0</v>
          </cell>
        </row>
        <row r="23">
          <cell r="B23" t="str">
            <v>Constructions</v>
          </cell>
          <cell r="D23">
            <v>318224.03000000003</v>
          </cell>
          <cell r="E23">
            <v>359368.61</v>
          </cell>
        </row>
        <row r="24">
          <cell r="B24" t="str">
            <v>Installations techniques, matériel et outillage industriels</v>
          </cell>
          <cell r="D24">
            <v>69458.170000000042</v>
          </cell>
          <cell r="E24">
            <v>46408.709999999985</v>
          </cell>
        </row>
        <row r="25">
          <cell r="B25" t="str">
            <v>Autres immobilisations corporelles</v>
          </cell>
          <cell r="D25">
            <v>392135.14999999991</v>
          </cell>
          <cell r="E25">
            <v>412578.69000000024</v>
          </cell>
        </row>
        <row r="26">
          <cell r="B26" t="str">
            <v>Immobilisations corporelles en cours</v>
          </cell>
          <cell r="D26">
            <v>310260.7</v>
          </cell>
          <cell r="E26">
            <v>8350</v>
          </cell>
        </row>
        <row r="27">
          <cell r="B27" t="str">
            <v>Avances et acomptes sur immobilisations corporelles</v>
          </cell>
          <cell r="D27">
            <v>0</v>
          </cell>
          <cell r="E27">
            <v>0</v>
          </cell>
        </row>
        <row r="28">
          <cell r="B28" t="str">
            <v>Immobilisations corporelles</v>
          </cell>
          <cell r="D28">
            <v>1090078.05</v>
          </cell>
          <cell r="E28">
            <v>826706.01000000024</v>
          </cell>
        </row>
        <row r="30">
          <cell r="B30" t="str">
            <v>Participations</v>
          </cell>
          <cell r="D30">
            <v>4300</v>
          </cell>
          <cell r="E30">
            <v>4300</v>
          </cell>
        </row>
        <row r="31">
          <cell r="B31" t="str">
            <v>Créances rattachées à des participations</v>
          </cell>
          <cell r="D31">
            <v>0</v>
          </cell>
          <cell r="E31">
            <v>0</v>
          </cell>
        </row>
        <row r="32">
          <cell r="B32" t="str">
            <v>Autres titres immobilisés</v>
          </cell>
          <cell r="D32">
            <v>0</v>
          </cell>
          <cell r="E32">
            <v>0</v>
          </cell>
        </row>
        <row r="33">
          <cell r="B33" t="str">
            <v>Prêts</v>
          </cell>
          <cell r="D33">
            <v>0</v>
          </cell>
          <cell r="E33">
            <v>0</v>
          </cell>
        </row>
        <row r="34">
          <cell r="B34" t="str">
            <v>Dépôts et cautionnements versés</v>
          </cell>
          <cell r="D34">
            <v>2095.79</v>
          </cell>
          <cell r="E34">
            <v>2095.79</v>
          </cell>
        </row>
        <row r="35">
          <cell r="B35" t="str">
            <v>Autres créances immobilisées</v>
          </cell>
          <cell r="D35">
            <v>0</v>
          </cell>
          <cell r="E35">
            <v>0</v>
          </cell>
        </row>
        <row r="36">
          <cell r="B36" t="str">
            <v>Immobilisations financières</v>
          </cell>
          <cell r="D36">
            <v>6395.79</v>
          </cell>
          <cell r="E36">
            <v>6395.79</v>
          </cell>
        </row>
        <row r="38">
          <cell r="B38" t="str">
            <v>Actif immobilisé net</v>
          </cell>
          <cell r="D38">
            <v>1110080.6200000001</v>
          </cell>
          <cell r="E38">
            <v>846869.79000000027</v>
          </cell>
        </row>
        <row r="40">
          <cell r="B40" t="str">
            <v>Matières premières et autres approvisionnements</v>
          </cell>
          <cell r="D40">
            <v>0</v>
          </cell>
          <cell r="E40">
            <v>0</v>
          </cell>
        </row>
        <row r="41">
          <cell r="B41" t="str">
            <v>En-cours de production (biens et services)</v>
          </cell>
          <cell r="D41">
            <v>10989.9</v>
          </cell>
          <cell r="E41">
            <v>3576.29</v>
          </cell>
        </row>
        <row r="42">
          <cell r="B42" t="str">
            <v>Produits intermédiaires et finis</v>
          </cell>
          <cell r="D42">
            <v>0</v>
          </cell>
          <cell r="E42">
            <v>0</v>
          </cell>
        </row>
        <row r="43">
          <cell r="B43" t="str">
            <v>Marchandises</v>
          </cell>
          <cell r="D43">
            <v>6904958.6100000013</v>
          </cell>
          <cell r="E43">
            <v>6818848.870000001</v>
          </cell>
        </row>
        <row r="44">
          <cell r="B44" t="str">
            <v>Stocks et en-cours</v>
          </cell>
          <cell r="D44">
            <v>6915948.5100000016</v>
          </cell>
          <cell r="E44">
            <v>6822425.1600000011</v>
          </cell>
        </row>
        <row r="46">
          <cell r="B46" t="str">
            <v>Avances et acomptes versés sur commandes</v>
          </cell>
          <cell r="D46">
            <v>473841.88</v>
          </cell>
          <cell r="E46">
            <v>538222.72</v>
          </cell>
        </row>
        <row r="48">
          <cell r="B48" t="str">
            <v>Clients et comptes rattachés</v>
          </cell>
          <cell r="D48">
            <v>1211463.6000000001</v>
          </cell>
          <cell r="E48">
            <v>911605.3600000001</v>
          </cell>
        </row>
        <row r="50">
          <cell r="B50" t="str">
            <v>Fournisseurs débiteurs</v>
          </cell>
          <cell r="D50">
            <v>471798.29</v>
          </cell>
          <cell r="E50">
            <v>456740.95</v>
          </cell>
        </row>
        <row r="51">
          <cell r="B51" t="str">
            <v>Créances sociales</v>
          </cell>
          <cell r="D51">
            <v>23.03</v>
          </cell>
          <cell r="E51">
            <v>6781.5300000000007</v>
          </cell>
        </row>
        <row r="52">
          <cell r="B52" t="str">
            <v>Créances fiscales</v>
          </cell>
          <cell r="D52">
            <v>325936.43</v>
          </cell>
          <cell r="E52">
            <v>70251.09</v>
          </cell>
        </row>
        <row r="53">
          <cell r="B53" t="str">
            <v>Comptes courants débiteurs</v>
          </cell>
          <cell r="D53">
            <v>24070.54</v>
          </cell>
          <cell r="E53">
            <v>150605.35</v>
          </cell>
        </row>
        <row r="54">
          <cell r="B54" t="str">
            <v>Créances diverses</v>
          </cell>
          <cell r="D54">
            <v>46501.899999999994</v>
          </cell>
          <cell r="E54">
            <v>38578.21</v>
          </cell>
        </row>
        <row r="55">
          <cell r="B55" t="str">
            <v>Autres créances</v>
          </cell>
          <cell r="D55">
            <v>868330.19000000006</v>
          </cell>
          <cell r="E55">
            <v>722957.13</v>
          </cell>
        </row>
        <row r="56">
          <cell r="B56" t="str">
            <v>Capital souscrit - appelé, non versé</v>
          </cell>
          <cell r="D56">
            <v>0</v>
          </cell>
          <cell r="E56">
            <v>0</v>
          </cell>
        </row>
        <row r="57">
          <cell r="B57" t="str">
            <v>Créances</v>
          </cell>
          <cell r="D57">
            <v>2079793.79</v>
          </cell>
          <cell r="E57">
            <v>1634562.4900000002</v>
          </cell>
        </row>
        <row r="59">
          <cell r="B59" t="str">
            <v>Valeurs mobilières de placement</v>
          </cell>
          <cell r="D59">
            <v>0</v>
          </cell>
          <cell r="E59">
            <v>0</v>
          </cell>
        </row>
        <row r="60">
          <cell r="B60" t="str">
            <v>Disponibilités</v>
          </cell>
          <cell r="D60">
            <v>129448.84</v>
          </cell>
          <cell r="E60">
            <v>218972.88</v>
          </cell>
        </row>
        <row r="61">
          <cell r="B61" t="str">
            <v>Trésorerie</v>
          </cell>
          <cell r="D61">
            <v>129448.84</v>
          </cell>
          <cell r="E61">
            <v>218972.88</v>
          </cell>
        </row>
        <row r="63">
          <cell r="B63" t="str">
            <v>Actif circulant</v>
          </cell>
          <cell r="D63">
            <v>9599033.0199999996</v>
          </cell>
          <cell r="E63">
            <v>9214183.2500000019</v>
          </cell>
        </row>
        <row r="65">
          <cell r="B65" t="str">
            <v>Charges constatées d'avance</v>
          </cell>
          <cell r="D65">
            <v>28242.12</v>
          </cell>
          <cell r="E65">
            <v>10321.59</v>
          </cell>
        </row>
        <row r="66">
          <cell r="B66" t="str">
            <v>Charges à répartir sur plusieurs exercices</v>
          </cell>
          <cell r="D66">
            <v>0</v>
          </cell>
          <cell r="E66">
            <v>0</v>
          </cell>
        </row>
        <row r="67">
          <cell r="B67" t="str">
            <v>Primes de remboursement des emprunts</v>
          </cell>
          <cell r="D67">
            <v>0</v>
          </cell>
          <cell r="E67">
            <v>0</v>
          </cell>
        </row>
        <row r="68">
          <cell r="B68" t="str">
            <v>Ecarts de conversion Actif</v>
          </cell>
          <cell r="D68">
            <v>0</v>
          </cell>
          <cell r="E68">
            <v>0</v>
          </cell>
        </row>
        <row r="69">
          <cell r="B69" t="str">
            <v>Comptes de régularisation</v>
          </cell>
          <cell r="D69">
            <v>28242.12</v>
          </cell>
          <cell r="E69">
            <v>10321.59</v>
          </cell>
        </row>
        <row r="71">
          <cell r="B71" t="str">
            <v>TOTAL ACTIF</v>
          </cell>
          <cell r="D71">
            <v>10737355.759999998</v>
          </cell>
          <cell r="E71">
            <v>10071374.630000001</v>
          </cell>
        </row>
      </sheetData>
      <sheetData sheetId="5">
        <row r="10">
          <cell r="B10" t="str">
            <v>Capital social</v>
          </cell>
          <cell r="D10">
            <v>1067144</v>
          </cell>
          <cell r="E10">
            <v>1067144</v>
          </cell>
        </row>
        <row r="11">
          <cell r="B11" t="str">
            <v>Primes d'émission, de fusion, d'apport</v>
          </cell>
          <cell r="D11">
            <v>0</v>
          </cell>
          <cell r="E11">
            <v>0</v>
          </cell>
        </row>
        <row r="12">
          <cell r="B12" t="str">
            <v>Ecarts de réévaluation</v>
          </cell>
          <cell r="D12">
            <v>0</v>
          </cell>
          <cell r="E12">
            <v>0</v>
          </cell>
        </row>
        <row r="13">
          <cell r="B13" t="str">
            <v>Ecart d'équivalence</v>
          </cell>
          <cell r="D13">
            <v>0</v>
          </cell>
          <cell r="E13">
            <v>0</v>
          </cell>
        </row>
        <row r="14">
          <cell r="B14" t="str">
            <v>Réserves</v>
          </cell>
          <cell r="D14">
            <v>938853.49</v>
          </cell>
          <cell r="E14">
            <v>919443.46</v>
          </cell>
        </row>
        <row r="15">
          <cell r="B15" t="str">
            <v>Report à nouveau</v>
          </cell>
          <cell r="D15">
            <v>0</v>
          </cell>
          <cell r="E15">
            <v>0</v>
          </cell>
        </row>
        <row r="16">
          <cell r="B16" t="str">
            <v>Résultat de l'exercice</v>
          </cell>
          <cell r="D16">
            <v>60292.179999999702</v>
          </cell>
          <cell r="E16">
            <v>89410.030000012368</v>
          </cell>
        </row>
        <row r="17">
          <cell r="B17" t="str">
            <v>Subventions d'investissement</v>
          </cell>
          <cell r="D17">
            <v>131720.59</v>
          </cell>
          <cell r="E17">
            <v>165529.93</v>
          </cell>
        </row>
        <row r="18">
          <cell r="B18" t="str">
            <v>Provisions réglementées</v>
          </cell>
          <cell r="D18">
            <v>0</v>
          </cell>
          <cell r="E18">
            <v>0</v>
          </cell>
        </row>
        <row r="19">
          <cell r="B19" t="str">
            <v>Capitaux propres</v>
          </cell>
          <cell r="D19">
            <v>2198010.2599999998</v>
          </cell>
          <cell r="E19">
            <v>2241527.4200000125</v>
          </cell>
        </row>
        <row r="21">
          <cell r="B21" t="str">
            <v>Produits des émissions de titres participatifs</v>
          </cell>
          <cell r="D21">
            <v>0</v>
          </cell>
          <cell r="E21">
            <v>0</v>
          </cell>
        </row>
        <row r="22">
          <cell r="B22" t="str">
            <v>Avances conditionnées</v>
          </cell>
          <cell r="D22">
            <v>0</v>
          </cell>
          <cell r="E22">
            <v>0</v>
          </cell>
        </row>
        <row r="23">
          <cell r="B23" t="str">
            <v>Autres fonds propres</v>
          </cell>
          <cell r="D23">
            <v>0</v>
          </cell>
          <cell r="E23">
            <v>0</v>
          </cell>
        </row>
        <row r="25">
          <cell r="B25" t="str">
            <v>Provisions pour risques</v>
          </cell>
          <cell r="D25">
            <v>80000</v>
          </cell>
          <cell r="E25">
            <v>275145.09000000003</v>
          </cell>
        </row>
        <row r="26">
          <cell r="B26" t="str">
            <v>Provisions pour charges</v>
          </cell>
          <cell r="D26">
            <v>0</v>
          </cell>
          <cell r="E26">
            <v>0</v>
          </cell>
        </row>
        <row r="27">
          <cell r="B27" t="str">
            <v>Provisions pour risques et charges</v>
          </cell>
          <cell r="D27">
            <v>80000</v>
          </cell>
          <cell r="E27">
            <v>275145.09000000003</v>
          </cell>
        </row>
        <row r="29">
          <cell r="B29" t="str">
            <v>Emprunts obligataires convertibles</v>
          </cell>
          <cell r="D29">
            <v>0</v>
          </cell>
          <cell r="E29">
            <v>0</v>
          </cell>
        </row>
        <row r="30">
          <cell r="B30" t="str">
            <v>Autres emprunts obligataires</v>
          </cell>
          <cell r="D30">
            <v>0</v>
          </cell>
          <cell r="E30">
            <v>0</v>
          </cell>
        </row>
        <row r="31">
          <cell r="B31" t="str">
            <v>Emprunts et dettes auprès d'établissements de crédit</v>
          </cell>
          <cell r="D31">
            <v>1658779.4000000001</v>
          </cell>
          <cell r="E31">
            <v>407434.09</v>
          </cell>
        </row>
        <row r="32">
          <cell r="B32" t="str">
            <v>Emprunts et dettes financières</v>
          </cell>
          <cell r="D32">
            <v>1304254.71</v>
          </cell>
          <cell r="E32">
            <v>654251.05000000005</v>
          </cell>
        </row>
        <row r="33">
          <cell r="B33" t="str">
            <v>Avances et acomptes reçus sur commandes en cours</v>
          </cell>
          <cell r="D33">
            <v>92754.14</v>
          </cell>
          <cell r="E33">
            <v>187704.63</v>
          </cell>
        </row>
        <row r="34">
          <cell r="B34" t="str">
            <v>Fournisseurs et comptes rattachés</v>
          </cell>
          <cell r="D34">
            <v>4906102.4799999995</v>
          </cell>
          <cell r="E34">
            <v>5717523.1099999994</v>
          </cell>
        </row>
        <row r="36">
          <cell r="B36" t="str">
            <v>Dettes sociales</v>
          </cell>
          <cell r="D36">
            <v>395493.82999999996</v>
          </cell>
          <cell r="E36">
            <v>444592.2</v>
          </cell>
        </row>
        <row r="37">
          <cell r="B37" t="str">
            <v>Dettes fiscales</v>
          </cell>
          <cell r="D37">
            <v>75597.239999999991</v>
          </cell>
          <cell r="E37">
            <v>87718.16</v>
          </cell>
        </row>
        <row r="38">
          <cell r="B38" t="str">
            <v>Dettes fiscales et sociales</v>
          </cell>
          <cell r="D38">
            <v>471091.06999999995</v>
          </cell>
          <cell r="E38">
            <v>532310.36</v>
          </cell>
        </row>
        <row r="39">
          <cell r="B39" t="str">
            <v>Dettes sur immobilisations et comptes rattachés</v>
          </cell>
          <cell r="D39">
            <v>0</v>
          </cell>
          <cell r="E39">
            <v>0</v>
          </cell>
        </row>
        <row r="41">
          <cell r="B41" t="str">
            <v>Clients créditeurs</v>
          </cell>
          <cell r="D41">
            <v>0</v>
          </cell>
          <cell r="E41">
            <v>0</v>
          </cell>
        </row>
        <row r="42">
          <cell r="B42" t="str">
            <v>Versements restant sur immobilisations financières</v>
          </cell>
          <cell r="D42">
            <v>0</v>
          </cell>
          <cell r="E42">
            <v>0</v>
          </cell>
        </row>
        <row r="43">
          <cell r="B43" t="str">
            <v>Dividendes à payer</v>
          </cell>
          <cell r="D43">
            <v>0</v>
          </cell>
          <cell r="E43">
            <v>0</v>
          </cell>
        </row>
        <row r="44">
          <cell r="B44" t="str">
            <v>Dettes diverses</v>
          </cell>
          <cell r="D44">
            <v>19504.7</v>
          </cell>
          <cell r="E44">
            <v>32622.44</v>
          </cell>
        </row>
        <row r="45">
          <cell r="B45" t="str">
            <v>Autres dettes</v>
          </cell>
          <cell r="D45">
            <v>19504.7</v>
          </cell>
          <cell r="E45">
            <v>32622.44</v>
          </cell>
        </row>
        <row r="46">
          <cell r="B46" t="str">
            <v>Dettes</v>
          </cell>
          <cell r="D46">
            <v>8452486.5</v>
          </cell>
          <cell r="E46">
            <v>7531845.6799999997</v>
          </cell>
        </row>
        <row r="48">
          <cell r="B48" t="str">
            <v>Produits constatés d'avance</v>
          </cell>
          <cell r="D48">
            <v>6859</v>
          </cell>
          <cell r="E48">
            <v>22856.440000000002</v>
          </cell>
        </row>
        <row r="49">
          <cell r="B49" t="str">
            <v>Ecarts de conversion Passif</v>
          </cell>
          <cell r="D49">
            <v>0</v>
          </cell>
          <cell r="E49">
            <v>0</v>
          </cell>
        </row>
        <row r="50">
          <cell r="B50" t="str">
            <v>Comptes de régularisation</v>
          </cell>
          <cell r="D50">
            <v>6859</v>
          </cell>
          <cell r="E50">
            <v>22856.440000000002</v>
          </cell>
        </row>
        <row r="52">
          <cell r="B52" t="str">
            <v>TOTAL PASSIF</v>
          </cell>
          <cell r="D52">
            <v>10737355.759999998</v>
          </cell>
          <cell r="E52">
            <v>10071374.63000001</v>
          </cell>
        </row>
      </sheetData>
      <sheetData sheetId="6">
        <row r="10">
          <cell r="B10" t="str">
            <v>Ventes de marchandises</v>
          </cell>
          <cell r="D10">
            <v>21926646.519999996</v>
          </cell>
          <cell r="E10">
            <v>26161583.580000002</v>
          </cell>
        </row>
        <row r="11">
          <cell r="B11" t="str">
            <v>Production vendue (Biens et Services)</v>
          </cell>
          <cell r="D11">
            <v>2150689.3699999992</v>
          </cell>
          <cell r="E11">
            <v>1941230.07</v>
          </cell>
        </row>
        <row r="12">
          <cell r="B12" t="str">
            <v>Chiffre d'affaires</v>
          </cell>
          <cell r="D12">
            <v>24077335.889999993</v>
          </cell>
          <cell r="E12">
            <v>28102813.650000002</v>
          </cell>
        </row>
        <row r="13">
          <cell r="B13" t="str">
            <v>Production stockée</v>
          </cell>
          <cell r="D13">
            <v>7413.61</v>
          </cell>
          <cell r="E13">
            <v>-9600.57</v>
          </cell>
        </row>
        <row r="14">
          <cell r="B14" t="str">
            <v>Production immobilisée</v>
          </cell>
          <cell r="D14">
            <v>39287.15</v>
          </cell>
          <cell r="E14">
            <v>12298.67</v>
          </cell>
        </row>
        <row r="15">
          <cell r="B15" t="str">
            <v>Produits nets partiels sur opérations à long terme</v>
          </cell>
          <cell r="D15">
            <v>0</v>
          </cell>
          <cell r="E15">
            <v>0</v>
          </cell>
        </row>
        <row r="16">
          <cell r="B16" t="str">
            <v>Subventions d'exploitation</v>
          </cell>
          <cell r="D16">
            <v>33809.339999999997</v>
          </cell>
          <cell r="E16">
            <v>38438.400000000001</v>
          </cell>
        </row>
        <row r="18">
          <cell r="B18" t="str">
            <v>Reprises sur provisions d'exploitation</v>
          </cell>
          <cell r="D18">
            <v>89203.180000000008</v>
          </cell>
          <cell r="E18">
            <v>67419</v>
          </cell>
        </row>
        <row r="19">
          <cell r="B19" t="str">
            <v>Transfert de charges d'exploitation</v>
          </cell>
          <cell r="D19">
            <v>448559.05</v>
          </cell>
          <cell r="E19">
            <v>86547.51999999999</v>
          </cell>
        </row>
        <row r="20">
          <cell r="B20" t="str">
            <v>Reprises sur provisions et transfert de charges</v>
          </cell>
          <cell r="D20">
            <v>537762.23</v>
          </cell>
          <cell r="E20">
            <v>153966.51999999999</v>
          </cell>
        </row>
        <row r="21">
          <cell r="B21" t="str">
            <v>Autres produits</v>
          </cell>
          <cell r="D21">
            <v>3225.65</v>
          </cell>
          <cell r="E21">
            <v>7791.92</v>
          </cell>
        </row>
        <row r="22">
          <cell r="B22" t="str">
            <v>Produits d'exploitation</v>
          </cell>
          <cell r="D22">
            <v>24698833.86999999</v>
          </cell>
          <cell r="E22">
            <v>28305708.590000004</v>
          </cell>
        </row>
        <row r="24">
          <cell r="B24" t="str">
            <v>Achats de marchandises</v>
          </cell>
          <cell r="D24">
            <v>-20266503.379999999</v>
          </cell>
          <cell r="E24">
            <v>-22987867.640000001</v>
          </cell>
        </row>
        <row r="25">
          <cell r="B25" t="str">
            <v>Variation de stocks de marchandises</v>
          </cell>
          <cell r="D25">
            <v>62931.329999999987</v>
          </cell>
          <cell r="E25">
            <v>-692972.05</v>
          </cell>
        </row>
        <row r="26">
          <cell r="B26" t="str">
            <v>Achat de matières premières et autres approvisionnements</v>
          </cell>
          <cell r="D26">
            <v>-35283.08</v>
          </cell>
          <cell r="E26">
            <v>-31214.170000000002</v>
          </cell>
        </row>
        <row r="27">
          <cell r="B27" t="str">
            <v>Variation de stocks</v>
          </cell>
          <cell r="D27">
            <v>0</v>
          </cell>
          <cell r="E27">
            <v>0</v>
          </cell>
        </row>
        <row r="28">
          <cell r="B28" t="str">
            <v>Autres achats et charges externes</v>
          </cell>
          <cell r="D28">
            <v>-1763659.6900000004</v>
          </cell>
          <cell r="E28">
            <v>-1642112.7799999998</v>
          </cell>
        </row>
        <row r="29">
          <cell r="B29" t="str">
            <v>Impôts, taxes et versements assimilés</v>
          </cell>
          <cell r="D29">
            <v>-178466.25999999998</v>
          </cell>
          <cell r="E29">
            <v>-189044.58</v>
          </cell>
        </row>
        <row r="31">
          <cell r="B31" t="str">
            <v>Salaires et traitements</v>
          </cell>
          <cell r="D31">
            <v>-1599807.32</v>
          </cell>
          <cell r="E31">
            <v>-1622857.0500000003</v>
          </cell>
        </row>
        <row r="32">
          <cell r="B32" t="str">
            <v>Charges sociales</v>
          </cell>
          <cell r="D32">
            <v>-818137.63999999966</v>
          </cell>
          <cell r="E32">
            <v>-717565.4600000002</v>
          </cell>
        </row>
        <row r="33">
          <cell r="B33" t="str">
            <v>Charges de personnel</v>
          </cell>
          <cell r="D33">
            <v>-2417944.96</v>
          </cell>
          <cell r="E33">
            <v>-2340422.5100000007</v>
          </cell>
        </row>
        <row r="35">
          <cell r="B35" t="str">
            <v>Dotations aux amortissements sur Immobilisations</v>
          </cell>
          <cell r="D35">
            <v>-203663.38</v>
          </cell>
          <cell r="E35">
            <v>-224184.25</v>
          </cell>
        </row>
        <row r="36">
          <cell r="B36" t="str">
            <v>Dotations aux dépréciations sur Immobilisations</v>
          </cell>
          <cell r="D36">
            <v>0</v>
          </cell>
          <cell r="E36">
            <v>0</v>
          </cell>
        </row>
        <row r="37">
          <cell r="B37" t="str">
            <v>Dotations aux dépréciations sur Actif circulant</v>
          </cell>
          <cell r="D37">
            <v>-66282.209999999992</v>
          </cell>
          <cell r="E37">
            <v>-89332.05</v>
          </cell>
        </row>
        <row r="38">
          <cell r="B38" t="str">
            <v>Dotations aux provisions pour risques et charges</v>
          </cell>
          <cell r="D38">
            <v>-80000</v>
          </cell>
          <cell r="E38">
            <v>0</v>
          </cell>
        </row>
        <row r="39">
          <cell r="B39" t="str">
            <v xml:space="preserve">Dotations aux amortissements, dépréciations et provisions </v>
          </cell>
          <cell r="D39">
            <v>-349945.58999999997</v>
          </cell>
          <cell r="E39">
            <v>-313516.3</v>
          </cell>
        </row>
        <row r="40">
          <cell r="B40" t="str">
            <v>Autres charges d'exploitation</v>
          </cell>
          <cell r="D40">
            <v>-5622.03</v>
          </cell>
          <cell r="E40">
            <v>-9077.880000000001</v>
          </cell>
        </row>
        <row r="41">
          <cell r="B41" t="str">
            <v>Charges d'exploitation</v>
          </cell>
          <cell r="D41">
            <v>-24954493.660000004</v>
          </cell>
          <cell r="E41">
            <v>-28206227.910000004</v>
          </cell>
        </row>
        <row r="43">
          <cell r="B43" t="str">
            <v>Résultat d'exploitation</v>
          </cell>
          <cell r="D43">
            <v>-255659.790000009</v>
          </cell>
          <cell r="E43">
            <v>99480.680000002889</v>
          </cell>
        </row>
        <row r="45">
          <cell r="B45" t="str">
            <v>Quotes-parts de résultat sur opérations faites en commun</v>
          </cell>
          <cell r="D45">
            <v>0</v>
          </cell>
          <cell r="E45">
            <v>0</v>
          </cell>
        </row>
        <row r="47">
          <cell r="B47" t="str">
            <v>Produits des participations</v>
          </cell>
          <cell r="D47">
            <v>0</v>
          </cell>
          <cell r="E47">
            <v>0</v>
          </cell>
        </row>
        <row r="48">
          <cell r="B48" t="str">
            <v>Produits d'autres valeurs mobilières et créances de l'actif immobilisé</v>
          </cell>
          <cell r="D48">
            <v>0</v>
          </cell>
          <cell r="E48">
            <v>0</v>
          </cell>
        </row>
        <row r="49">
          <cell r="B49" t="str">
            <v>Autres intérêts et produits assimilés</v>
          </cell>
          <cell r="D49">
            <v>13433.51</v>
          </cell>
          <cell r="E49">
            <v>2861.84</v>
          </cell>
        </row>
        <row r="51">
          <cell r="B51" t="str">
            <v>Reprises sur dépréciations, provisions financières</v>
          </cell>
          <cell r="D51">
            <v>0</v>
          </cell>
          <cell r="E51">
            <v>0</v>
          </cell>
        </row>
        <row r="52">
          <cell r="B52" t="str">
            <v>Tranfert de charges financières</v>
          </cell>
          <cell r="D52">
            <v>0</v>
          </cell>
          <cell r="E52">
            <v>0</v>
          </cell>
        </row>
        <row r="53">
          <cell r="B53" t="str">
            <v>Reprises sur dépréciations, provisions et tranfert de charges financières</v>
          </cell>
          <cell r="D53">
            <v>0</v>
          </cell>
          <cell r="E53">
            <v>0</v>
          </cell>
        </row>
        <row r="54">
          <cell r="B54" t="str">
            <v>Différences positives de change</v>
          </cell>
          <cell r="D54">
            <v>0</v>
          </cell>
          <cell r="E54">
            <v>0</v>
          </cell>
        </row>
        <row r="55">
          <cell r="B55" t="str">
            <v>Produits nets sur cessions de valeurs mobilières de placement</v>
          </cell>
          <cell r="D55">
            <v>0</v>
          </cell>
          <cell r="E55">
            <v>0</v>
          </cell>
        </row>
        <row r="56">
          <cell r="B56" t="str">
            <v>Produits financiers</v>
          </cell>
          <cell r="D56">
            <v>13433.51</v>
          </cell>
          <cell r="E56">
            <v>2861.84</v>
          </cell>
        </row>
        <row r="58">
          <cell r="B58" t="str">
            <v>Dotations aux amortissements, dépréciations et provisions financières</v>
          </cell>
          <cell r="D58">
            <v>0</v>
          </cell>
          <cell r="E58">
            <v>0</v>
          </cell>
        </row>
        <row r="59">
          <cell r="B59" t="str">
            <v>Intérêts et charges assimilées</v>
          </cell>
          <cell r="D59">
            <v>-23340.170000000002</v>
          </cell>
          <cell r="E59">
            <v>-51382.100000000006</v>
          </cell>
        </row>
        <row r="60">
          <cell r="B60" t="str">
            <v>Différences négatives de change</v>
          </cell>
          <cell r="D60">
            <v>0</v>
          </cell>
          <cell r="E60">
            <v>0</v>
          </cell>
        </row>
        <row r="61">
          <cell r="B61" t="str">
            <v>Charges nettes sur cessions de valeurs mobilières de placement</v>
          </cell>
          <cell r="D61">
            <v>0</v>
          </cell>
          <cell r="E61">
            <v>0</v>
          </cell>
        </row>
        <row r="62">
          <cell r="B62" t="str">
            <v>Charges financières</v>
          </cell>
          <cell r="D62">
            <v>-23340.170000000002</v>
          </cell>
          <cell r="E62">
            <v>-51382.100000000006</v>
          </cell>
        </row>
        <row r="64">
          <cell r="B64" t="str">
            <v>Résultat financier</v>
          </cell>
          <cell r="D64">
            <v>-9906.6600000000017</v>
          </cell>
          <cell r="E64">
            <v>-48520.260000000009</v>
          </cell>
        </row>
        <row r="66">
          <cell r="B66" t="str">
            <v>Résultat courant avant impôts</v>
          </cell>
          <cell r="D66">
            <v>-265566.45000000898</v>
          </cell>
          <cell r="E66">
            <v>50960.42000000288</v>
          </cell>
        </row>
        <row r="68">
          <cell r="B68" t="str">
            <v>Produits sur opérations de gestion</v>
          </cell>
          <cell r="D68">
            <v>0</v>
          </cell>
          <cell r="E68">
            <v>0</v>
          </cell>
        </row>
        <row r="69">
          <cell r="B69" t="str">
            <v>Produits sur opérations en capital</v>
          </cell>
          <cell r="D69">
            <v>90593.239999999991</v>
          </cell>
          <cell r="E69">
            <v>51681.09</v>
          </cell>
        </row>
        <row r="71">
          <cell r="B71" t="str">
            <v>Reprises sur dépréciations, provisions exceptionnelles</v>
          </cell>
          <cell r="D71">
            <v>275145.09000000003</v>
          </cell>
          <cell r="E71">
            <v>0</v>
          </cell>
        </row>
        <row r="72">
          <cell r="B72" t="str">
            <v>Tranfert de charges exceptionnelles</v>
          </cell>
          <cell r="D72">
            <v>0</v>
          </cell>
          <cell r="E72">
            <v>0</v>
          </cell>
        </row>
        <row r="73">
          <cell r="B73" t="str">
            <v>Reprises sur dépréciations, provisions et tranfert de charges financières</v>
          </cell>
          <cell r="D73">
            <v>275145.09000000003</v>
          </cell>
          <cell r="E73">
            <v>0</v>
          </cell>
        </row>
        <row r="74">
          <cell r="B74" t="str">
            <v xml:space="preserve">Produits exceptionnels </v>
          </cell>
          <cell r="D74">
            <v>365738.33</v>
          </cell>
          <cell r="E74">
            <v>51681.09</v>
          </cell>
        </row>
        <row r="76">
          <cell r="B76" t="str">
            <v>Charges sur opérations de gestion</v>
          </cell>
          <cell r="D76">
            <v>0</v>
          </cell>
          <cell r="E76">
            <v>-135</v>
          </cell>
        </row>
        <row r="77">
          <cell r="B77" t="str">
            <v>Charges sur opérations en capital</v>
          </cell>
          <cell r="D77">
            <v>-39879.699999999997</v>
          </cell>
          <cell r="E77">
            <v>-17561.8</v>
          </cell>
        </row>
        <row r="78">
          <cell r="B78" t="str">
            <v>Dotations aux amortissements, dépréciations et provisions exceptionnelles</v>
          </cell>
          <cell r="D78">
            <v>0</v>
          </cell>
          <cell r="E78">
            <v>0</v>
          </cell>
        </row>
        <row r="79">
          <cell r="B79" t="str">
            <v xml:space="preserve">Charges exceptionnelles </v>
          </cell>
          <cell r="D79">
            <v>-39879.699999999997</v>
          </cell>
          <cell r="E79">
            <v>-17696.8</v>
          </cell>
        </row>
        <row r="81">
          <cell r="B81" t="str">
            <v>Résultat exceptionnel</v>
          </cell>
          <cell r="D81">
            <v>325858.63</v>
          </cell>
          <cell r="E81">
            <v>33984.289999999994</v>
          </cell>
        </row>
        <row r="83">
          <cell r="B83" t="str">
            <v>Participation des salariés aux résultats</v>
          </cell>
          <cell r="D83">
            <v>0</v>
          </cell>
          <cell r="E83">
            <v>0</v>
          </cell>
        </row>
        <row r="84">
          <cell r="B84" t="str">
            <v>Impôts sur les bénéfices</v>
          </cell>
          <cell r="D84">
            <v>0</v>
          </cell>
          <cell r="E84">
            <v>4465.32</v>
          </cell>
        </row>
        <row r="86">
          <cell r="B86" t="str">
            <v>Résultat net</v>
          </cell>
          <cell r="D86">
            <v>60292.179999991044</v>
          </cell>
          <cell r="E86">
            <v>89410.03000000288</v>
          </cell>
        </row>
      </sheetData>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de Garde"/>
      <sheetName val="Dossier Annuel"/>
      <sheetName val="Programme de travail"/>
      <sheetName val="Seuils de signification"/>
      <sheetName val="Quest Lutte contre blanchiment"/>
      <sheetName val="Quest Maintien mission"/>
      <sheetName val="Quest Fin de mission"/>
      <sheetName val="Quest Evènements post."/>
      <sheetName val="Quest Continuité exploi"/>
      <sheetName val="Quest Fraudes"/>
      <sheetName val="Quest Text légaux"/>
      <sheetName val="Quest Expert compt."/>
      <sheetName val="Quest Dirigeant"/>
      <sheetName val="Prépa. Décalration act."/>
      <sheetName val="Contrôle Annexe"/>
      <sheetName val="Contrôle Juridique (SAS)"/>
      <sheetName val="Contrôle Juridique (SA)"/>
      <sheetName val="Synthèse des ajustements"/>
      <sheetName val="B synth"/>
      <sheetName val="b10 quest"/>
      <sheetName val="B20"/>
      <sheetName val="B30"/>
      <sheetName val="B 40"/>
      <sheetName val="B 50"/>
      <sheetName val="B 60"/>
      <sheetName val="C synth"/>
      <sheetName val="C 10"/>
      <sheetName val="C 20"/>
      <sheetName val="D synth"/>
      <sheetName val="D.10 quest"/>
      <sheetName val="D15"/>
      <sheetName val="D 20"/>
      <sheetName val="D 30"/>
      <sheetName val="D 40"/>
      <sheetName val="D 50 "/>
      <sheetName val="D 55"/>
      <sheetName val="D60"/>
      <sheetName val="E synthèse"/>
      <sheetName val="E10 quest"/>
      <sheetName val="E 20"/>
      <sheetName val="E 30"/>
      <sheetName val="E 35"/>
      <sheetName val="E 40"/>
      <sheetName val="E 50"/>
      <sheetName val="E 60"/>
      <sheetName val="E 70"/>
      <sheetName val="E 75"/>
      <sheetName val="E80"/>
      <sheetName val="E85"/>
      <sheetName val="E 90"/>
      <sheetName val="F synthèse"/>
      <sheetName val="F10 quest"/>
      <sheetName val="F 20"/>
      <sheetName val="F 30"/>
      <sheetName val="F 40"/>
      <sheetName val="F50"/>
      <sheetName val="F60"/>
      <sheetName val="G synthèse"/>
      <sheetName val="H synthèse"/>
      <sheetName val="H10 quest"/>
      <sheetName val=" J synthèse"/>
      <sheetName val="K synthèse"/>
      <sheetName val="K 10"/>
      <sheetName val="L synthèse"/>
      <sheetName val="M synthèse"/>
      <sheetName val="M.10 quest"/>
      <sheetName val="M 20"/>
      <sheetName val="M 30"/>
      <sheetName val="M 35"/>
      <sheetName val="M 40"/>
      <sheetName val="M 50"/>
      <sheetName val="M 60"/>
      <sheetName val="M 65"/>
      <sheetName val="M70"/>
      <sheetName val="M75"/>
      <sheetName val="N synthèse"/>
      <sheetName val="N.10 quest"/>
      <sheetName val="N 01"/>
      <sheetName val="N 20"/>
      <sheetName val="N 30"/>
      <sheetName val="N 40"/>
      <sheetName val="N 50"/>
      <sheetName val="N 60"/>
      <sheetName val="P synth"/>
      <sheetName val="P10 quest"/>
      <sheetName val="P 20"/>
      <sheetName val="P 301"/>
      <sheetName val="P 302"/>
      <sheetName val="P 40"/>
      <sheetName val="P 50"/>
      <sheetName val="P 55"/>
      <sheetName val="P 60"/>
      <sheetName val="P 70"/>
      <sheetName val="P 80"/>
      <sheetName val="S synth"/>
      <sheetName val="T synth"/>
      <sheetName val="Tableau pour NDS"/>
      <sheetName val="BILAN ACTIF"/>
      <sheetName val="BILAN PASSIF"/>
      <sheetName val="SIG"/>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ow r="24">
          <cell r="F24">
            <v>0</v>
          </cell>
          <cell r="H24">
            <v>0</v>
          </cell>
        </row>
        <row r="29">
          <cell r="F29">
            <v>0</v>
          </cell>
          <cell r="H29">
            <v>0</v>
          </cell>
        </row>
        <row r="34">
          <cell r="F34">
            <v>0</v>
          </cell>
          <cell r="H34">
            <v>0</v>
          </cell>
        </row>
        <row r="54">
          <cell r="F54">
            <v>0</v>
          </cell>
          <cell r="H54">
            <v>0</v>
          </cell>
        </row>
        <row r="56">
          <cell r="F56" t="str">
            <v>#DC{£AED=1}</v>
          </cell>
          <cell r="H56" t="str">
            <v>#DC{£AED_1=1}</v>
          </cell>
        </row>
        <row r="58">
          <cell r="F58" t="e">
            <v>#VALUE!</v>
          </cell>
          <cell r="H58" t="e">
            <v>#VALUE!</v>
          </cell>
        </row>
      </sheetData>
      <sheetData sheetId="99">
        <row r="8">
          <cell r="B8" t="str">
            <v>#DC{£DS1=1}</v>
          </cell>
          <cell r="D8" t="str">
            <v>#DC{£DS1_1=1}</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EXCEL"/>
      <sheetName val="Feuil2"/>
      <sheetName val="Feuil1"/>
      <sheetName val="Feuil5"/>
      <sheetName val="Feuil3"/>
      <sheetName val="Feuil4"/>
    </sheetNames>
    <sheetDataSet>
      <sheetData sheetId="0" refreshError="1"/>
      <sheetData sheetId="1" refreshError="1"/>
      <sheetData sheetId="2" refreshError="1"/>
      <sheetData sheetId="3">
        <row r="1">
          <cell r="A1">
            <v>101300</v>
          </cell>
          <cell r="B1" t="str">
            <v>CAPITAL VERSE            </v>
          </cell>
        </row>
        <row r="2">
          <cell r="A2">
            <v>106100</v>
          </cell>
          <cell r="B2" t="str">
            <v>RESERVE LEGALE           </v>
          </cell>
        </row>
        <row r="3">
          <cell r="A3">
            <v>106800</v>
          </cell>
          <cell r="B3" t="str">
            <v>RESERVE FACULTATIVE      </v>
          </cell>
        </row>
        <row r="4">
          <cell r="A4">
            <v>120000</v>
          </cell>
          <cell r="B4" t="str">
            <v>BENEFICE DE L'EXERCICE   </v>
          </cell>
        </row>
        <row r="5">
          <cell r="A5">
            <v>131000</v>
          </cell>
          <cell r="B5" t="str">
            <v>SUBVENTION D'INVESTISSEME</v>
          </cell>
        </row>
        <row r="6">
          <cell r="A6">
            <v>139000</v>
          </cell>
          <cell r="B6" t="str">
            <v>PART SUBV INVEST AU BILAN</v>
          </cell>
        </row>
        <row r="7">
          <cell r="A7">
            <v>151000</v>
          </cell>
          <cell r="B7" t="str">
            <v>PROVISION POUR LITIGES   </v>
          </cell>
        </row>
        <row r="8">
          <cell r="A8">
            <v>164000</v>
          </cell>
          <cell r="B8" t="str">
            <v>PRET BANQUE RHONE ALPES  </v>
          </cell>
        </row>
        <row r="9">
          <cell r="A9">
            <v>164002</v>
          </cell>
          <cell r="B9" t="str">
            <v>PRET SOFIB               </v>
          </cell>
        </row>
        <row r="10">
          <cell r="A10">
            <v>166000</v>
          </cell>
          <cell r="B10" t="str">
            <v>PARTICIPATION DES SALARIE</v>
          </cell>
        </row>
        <row r="11">
          <cell r="A11">
            <v>168000</v>
          </cell>
          <cell r="B11" t="str">
            <v>PRET A COURT TERME       </v>
          </cell>
        </row>
        <row r="12">
          <cell r="A12">
            <v>168100</v>
          </cell>
          <cell r="B12" t="str">
            <v>INTERETS COURUS          </v>
          </cell>
        </row>
        <row r="13">
          <cell r="A13">
            <v>168700</v>
          </cell>
          <cell r="B13" t="str">
            <v>AVANCE COMMISSIONS TOTAL </v>
          </cell>
        </row>
        <row r="14">
          <cell r="A14">
            <v>168860</v>
          </cell>
          <cell r="B14" t="str">
            <v>INTERETS COURUS/PART SAL </v>
          </cell>
        </row>
        <row r="15">
          <cell r="A15">
            <v>205000</v>
          </cell>
          <cell r="B15" t="str">
            <v>CONCESSIONS DROITS SIMIL.</v>
          </cell>
        </row>
        <row r="16">
          <cell r="A16">
            <v>205000</v>
          </cell>
          <cell r="B16" t="str">
            <v>CONCESSIONS LICENCES     </v>
          </cell>
        </row>
        <row r="17">
          <cell r="A17">
            <v>205000</v>
          </cell>
          <cell r="B17" t="str">
            <v>CONCESSIONS LICENCES     </v>
          </cell>
        </row>
        <row r="18">
          <cell r="A18">
            <v>207000</v>
          </cell>
          <cell r="B18" t="str">
            <v>FONDS DE COMMERCE        </v>
          </cell>
        </row>
        <row r="19">
          <cell r="A19">
            <v>213500</v>
          </cell>
          <cell r="B19" t="str">
            <v>AGENC.AMENAG.CONSTRUCTION</v>
          </cell>
        </row>
        <row r="20">
          <cell r="A20">
            <v>213500</v>
          </cell>
          <cell r="B20" t="str">
            <v>AGENC.AMENAG.CONSTRUCTION</v>
          </cell>
        </row>
        <row r="21">
          <cell r="A21">
            <v>213500</v>
          </cell>
          <cell r="B21" t="str">
            <v>AGENC.AMENAG.CONSTRUCTION</v>
          </cell>
        </row>
        <row r="22">
          <cell r="A22">
            <v>214500</v>
          </cell>
          <cell r="B22" t="str">
            <v>CONSTRUCT/SOL THIVOLLE SA</v>
          </cell>
        </row>
        <row r="23">
          <cell r="A23">
            <v>214500</v>
          </cell>
          <cell r="B23" t="str">
            <v>CONSTRUCT./SOL THIVOLLE  </v>
          </cell>
        </row>
        <row r="24">
          <cell r="A24">
            <v>215000</v>
          </cell>
          <cell r="B24" t="str">
            <v>MATERIEL ET OUTILLAGE    </v>
          </cell>
        </row>
        <row r="25">
          <cell r="A25">
            <v>215000</v>
          </cell>
          <cell r="B25" t="str">
            <v>MATERIEL ET OUTILLAGE    </v>
          </cell>
        </row>
        <row r="26">
          <cell r="A26">
            <v>215000</v>
          </cell>
          <cell r="B26" t="str">
            <v>MATERIEL ET OUTILLAGE    </v>
          </cell>
        </row>
        <row r="27">
          <cell r="A27">
            <v>215100</v>
          </cell>
          <cell r="B27" t="str">
            <v>INSTAL.COMPLEX.SPECIALIS.</v>
          </cell>
        </row>
        <row r="28">
          <cell r="A28">
            <v>215100</v>
          </cell>
          <cell r="B28" t="str">
            <v>INSTAL.COMPLEX.SPECIALIS.</v>
          </cell>
        </row>
        <row r="29">
          <cell r="A29">
            <v>215100</v>
          </cell>
          <cell r="B29" t="str">
            <v>INSTAL.COMPLEX.SPECIALIS.</v>
          </cell>
        </row>
        <row r="30">
          <cell r="A30">
            <v>218100</v>
          </cell>
          <cell r="B30" t="str">
            <v>AGENC.AMENAG.INST.GENERAL</v>
          </cell>
        </row>
        <row r="31">
          <cell r="A31">
            <v>218100</v>
          </cell>
          <cell r="B31" t="str">
            <v>AMENAGEMENT INST. GALE EX</v>
          </cell>
        </row>
        <row r="32">
          <cell r="A32">
            <v>218100</v>
          </cell>
          <cell r="B32" t="str">
            <v>AGENC.AMENAG.INST.GENERAL</v>
          </cell>
        </row>
        <row r="33">
          <cell r="A33">
            <v>218100</v>
          </cell>
          <cell r="B33" t="str">
            <v>AGENC.AMENAG.INST GENERAL</v>
          </cell>
        </row>
        <row r="34">
          <cell r="A34">
            <v>218100</v>
          </cell>
          <cell r="B34" t="str">
            <v>AGENC.AMENAG.INST.GENERAL</v>
          </cell>
        </row>
        <row r="35">
          <cell r="A35">
            <v>218200</v>
          </cell>
          <cell r="B35" t="str">
            <v>MATERIEL DE TRANSPORT    </v>
          </cell>
        </row>
        <row r="36">
          <cell r="A36">
            <v>218200</v>
          </cell>
          <cell r="B36" t="str">
            <v>MATERIEL TRANSPORT       </v>
          </cell>
        </row>
        <row r="37">
          <cell r="A37">
            <v>218250</v>
          </cell>
          <cell r="B37" t="str">
            <v>VEHICULES DE LOCATION    </v>
          </cell>
        </row>
        <row r="38">
          <cell r="A38">
            <v>218250</v>
          </cell>
          <cell r="B38" t="str">
            <v>VEHICULES DE LOCATION    </v>
          </cell>
        </row>
        <row r="39">
          <cell r="A39">
            <v>218250</v>
          </cell>
          <cell r="B39" t="str">
            <v>VEHICULES DE LOCATION    </v>
          </cell>
        </row>
        <row r="40">
          <cell r="A40">
            <v>218300</v>
          </cell>
          <cell r="B40" t="str">
            <v>MATERIEL BUREAU &amp; INFORM.</v>
          </cell>
        </row>
        <row r="41">
          <cell r="A41">
            <v>218300</v>
          </cell>
          <cell r="B41" t="str">
            <v>MATERIEL BUREAU ET INFORM</v>
          </cell>
        </row>
        <row r="42">
          <cell r="A42">
            <v>218300</v>
          </cell>
          <cell r="B42" t="str">
            <v>MATERIEL BUREAU ET INFORM</v>
          </cell>
        </row>
        <row r="43">
          <cell r="A43">
            <v>218400</v>
          </cell>
          <cell r="B43" t="str">
            <v>MOBILIER                 </v>
          </cell>
        </row>
        <row r="44">
          <cell r="A44">
            <v>218400</v>
          </cell>
          <cell r="B44" t="str">
            <v>MOBILIER                 </v>
          </cell>
        </row>
        <row r="45">
          <cell r="A45">
            <v>218400</v>
          </cell>
          <cell r="B45" t="str">
            <v>MOBILIER                 </v>
          </cell>
        </row>
        <row r="46">
          <cell r="A46">
            <v>231100</v>
          </cell>
          <cell r="B46" t="str">
            <v>TRAVAUX IMMO.EN COURS 20%</v>
          </cell>
        </row>
        <row r="47">
          <cell r="A47">
            <v>261000</v>
          </cell>
          <cell r="B47" t="str">
            <v>TITRES DE PARTICIPATION  </v>
          </cell>
        </row>
        <row r="48">
          <cell r="A48">
            <v>275100</v>
          </cell>
          <cell r="B48" t="str">
            <v>DEPOTS ET CAUTIONNEMENTS </v>
          </cell>
        </row>
        <row r="49">
          <cell r="A49">
            <v>280500</v>
          </cell>
          <cell r="B49" t="str">
            <v>AMORT PROCEDE INFORMATIQ </v>
          </cell>
        </row>
        <row r="50">
          <cell r="A50">
            <v>281350</v>
          </cell>
          <cell r="B50" t="str">
            <v>AMORT.AGENC.AMENAG.CONST.</v>
          </cell>
        </row>
        <row r="51">
          <cell r="A51">
            <v>281450</v>
          </cell>
          <cell r="B51" t="str">
            <v>AMORT.AGENC/SOL THIVOL.SA</v>
          </cell>
        </row>
        <row r="52">
          <cell r="A52">
            <v>281500</v>
          </cell>
          <cell r="B52" t="str">
            <v>AMORTIS.MATERIEL &amp; OUTIL.</v>
          </cell>
        </row>
        <row r="53">
          <cell r="A53">
            <v>281510</v>
          </cell>
          <cell r="B53" t="str">
            <v>AMORT.INST.COMPLEX.SPEC. </v>
          </cell>
        </row>
        <row r="54">
          <cell r="A54">
            <v>281810</v>
          </cell>
          <cell r="B54" t="str">
            <v>AMORT.AGENCEMENTS INSTAL.</v>
          </cell>
        </row>
        <row r="55">
          <cell r="A55">
            <v>281820</v>
          </cell>
          <cell r="B55" t="str">
            <v>AMORT.MATERIEL TRANSPORT </v>
          </cell>
        </row>
        <row r="56">
          <cell r="A56">
            <v>281825</v>
          </cell>
          <cell r="B56" t="str">
            <v>AMORT.VEHICULES LOCATION </v>
          </cell>
        </row>
        <row r="57">
          <cell r="A57">
            <v>281830</v>
          </cell>
          <cell r="B57" t="str">
            <v>AMORT.MAT.BUREAU &amp; INFORM</v>
          </cell>
        </row>
        <row r="58">
          <cell r="A58">
            <v>281840</v>
          </cell>
          <cell r="B58" t="str">
            <v>AMORTISSEMENT DU MOBILIER</v>
          </cell>
        </row>
        <row r="59">
          <cell r="A59">
            <v>341610</v>
          </cell>
          <cell r="B59" t="str">
            <v>ENCOURS M.O. ATELIER     </v>
          </cell>
        </row>
        <row r="60">
          <cell r="A60">
            <v>341620</v>
          </cell>
          <cell r="B60" t="str">
            <v>ENCOURS PIECES ATELIER   </v>
          </cell>
        </row>
        <row r="61">
          <cell r="A61">
            <v>341660</v>
          </cell>
          <cell r="B61" t="str">
            <v>EN-COURS LUB ATELIER     </v>
          </cell>
        </row>
        <row r="62">
          <cell r="A62">
            <v>371110</v>
          </cell>
          <cell r="B62" t="str">
            <v>STOCK VEHICULES NEUFS    </v>
          </cell>
        </row>
        <row r="63">
          <cell r="A63">
            <v>371120</v>
          </cell>
          <cell r="B63" t="str">
            <v>STOCK VN VD              </v>
          </cell>
        </row>
        <row r="64">
          <cell r="A64">
            <v>371130</v>
          </cell>
          <cell r="B64" t="str">
            <v>STOCK TRANSFO VEH NEUFS  </v>
          </cell>
        </row>
        <row r="65">
          <cell r="A65">
            <v>371210</v>
          </cell>
          <cell r="B65" t="str">
            <v>STOCK VEHICULES OCCASION </v>
          </cell>
        </row>
        <row r="66">
          <cell r="A66">
            <v>371211</v>
          </cell>
          <cell r="B66" t="str">
            <v>STOCK VO TVA RECUPERABLE </v>
          </cell>
        </row>
        <row r="67">
          <cell r="A67">
            <v>371220</v>
          </cell>
          <cell r="B67" t="str">
            <v>STOCK PREPARATION VO     </v>
          </cell>
        </row>
        <row r="68">
          <cell r="A68">
            <v>371510</v>
          </cell>
          <cell r="B68" t="str">
            <v>STOCK PIECES CITROEN     </v>
          </cell>
        </row>
        <row r="69">
          <cell r="A69">
            <v>371550</v>
          </cell>
          <cell r="B69" t="str">
            <v>STOCK PNEUS              </v>
          </cell>
        </row>
        <row r="70">
          <cell r="A70">
            <v>371560</v>
          </cell>
          <cell r="B70" t="str">
            <v>STOCK HUILES             </v>
          </cell>
        </row>
        <row r="71">
          <cell r="A71">
            <v>371730</v>
          </cell>
          <cell r="B71" t="str">
            <v>STOCK BOUTIQUE           </v>
          </cell>
        </row>
        <row r="72">
          <cell r="A72">
            <v>397130</v>
          </cell>
          <cell r="B72" t="str">
            <v>PROVISION DEP. VN        </v>
          </cell>
        </row>
        <row r="73">
          <cell r="A73">
            <v>397210</v>
          </cell>
          <cell r="B73" t="str">
            <v>PROVISION DEP. VO        </v>
          </cell>
        </row>
        <row r="74">
          <cell r="A74">
            <v>397510</v>
          </cell>
          <cell r="B74" t="str">
            <v>PROV.DEP. PIECES CITROEN </v>
          </cell>
        </row>
        <row r="75">
          <cell r="A75">
            <v>401100</v>
          </cell>
          <cell r="B75" t="str">
            <v>FOURNISSEURS DIVERS      </v>
          </cell>
        </row>
        <row r="76">
          <cell r="A76">
            <v>401101</v>
          </cell>
          <cell r="B76" t="str">
            <v>FOURN.INTERMEDIAIRES     </v>
          </cell>
        </row>
        <row r="77">
          <cell r="A77">
            <v>401102</v>
          </cell>
          <cell r="B77" t="str">
            <v>FOURNISSEURS  VO         </v>
          </cell>
        </row>
        <row r="78">
          <cell r="A78">
            <v>401103</v>
          </cell>
          <cell r="B78" t="str">
            <v>FOURN.NEUILLY PR         </v>
          </cell>
        </row>
        <row r="79">
          <cell r="A79">
            <v>401104</v>
          </cell>
          <cell r="B79" t="str">
            <v>FOURN.^NEUILLY VN        </v>
          </cell>
        </row>
        <row r="80">
          <cell r="A80">
            <v>401105</v>
          </cell>
          <cell r="B80" t="str">
            <v>FOURN.^NEUILLY COMPTE C. </v>
          </cell>
        </row>
        <row r="81">
          <cell r="A81">
            <v>401108</v>
          </cell>
          <cell r="B81" t="str">
            <v>FOURN.GROUPE THIVOLLE    </v>
          </cell>
        </row>
        <row r="82">
          <cell r="A82">
            <v>403000</v>
          </cell>
          <cell r="B82" t="str">
            <v>VIRT A PAYER             </v>
          </cell>
        </row>
        <row r="83">
          <cell r="A83">
            <v>408000</v>
          </cell>
          <cell r="B83" t="str">
            <v>** FOURN. FACT NON PARVEN</v>
          </cell>
        </row>
        <row r="84">
          <cell r="A84">
            <v>408100</v>
          </cell>
          <cell r="B84" t="str">
            <v>FOURNIS.FACT.NON PARVEN. </v>
          </cell>
        </row>
        <row r="85">
          <cell r="A85">
            <v>408199</v>
          </cell>
          <cell r="B85" t="str">
            <v>FACT A RECEVOIR GROUPE   </v>
          </cell>
        </row>
        <row r="86">
          <cell r="A86">
            <v>409800</v>
          </cell>
          <cell r="B86" t="str">
            <v>FOURN.AVOIRS/RIST.A OBTEN</v>
          </cell>
        </row>
        <row r="87">
          <cell r="A87">
            <v>409899</v>
          </cell>
          <cell r="B87" t="str">
            <v>AVOIR A RECEVOIR GROUPE  </v>
          </cell>
        </row>
        <row r="88">
          <cell r="A88">
            <v>411000</v>
          </cell>
          <cell r="B88" t="str">
            <v>CLIENTS AUTRES           </v>
          </cell>
        </row>
        <row r="89">
          <cell r="A89">
            <v>411010</v>
          </cell>
          <cell r="B89" t="str">
            <v>CLIENTS EN COMPTE MAGASIN</v>
          </cell>
        </row>
        <row r="90">
          <cell r="A90">
            <v>411020</v>
          </cell>
          <cell r="B90" t="str">
            <v>CLIENTS COMPTANT NON REGL</v>
          </cell>
        </row>
        <row r="91">
          <cell r="A91">
            <v>411030</v>
          </cell>
          <cell r="B91" t="str">
            <v>CLIENTS VN               </v>
          </cell>
        </row>
        <row r="92">
          <cell r="A92">
            <v>411040</v>
          </cell>
          <cell r="B92" t="str">
            <v>CLIENTS VO               </v>
          </cell>
        </row>
        <row r="93">
          <cell r="A93">
            <v>411050</v>
          </cell>
          <cell r="B93" t="str">
            <v>CLIENTS EN COMPTE ATELIER</v>
          </cell>
        </row>
        <row r="94">
          <cell r="A94">
            <v>411060</v>
          </cell>
          <cell r="B94" t="str">
            <v>CLT APV ASSURANCES       </v>
          </cell>
        </row>
        <row r="95">
          <cell r="A95">
            <v>411080</v>
          </cell>
          <cell r="B95" t="str">
            <v>CLIENTS GROUPE THIVOLLE  </v>
          </cell>
        </row>
        <row r="96">
          <cell r="A96">
            <v>411090</v>
          </cell>
          <cell r="B96" t="str">
            <v>CLIENTS DOUTEUX          </v>
          </cell>
        </row>
        <row r="97">
          <cell r="A97">
            <v>413000</v>
          </cell>
          <cell r="B97" t="str">
            <v>CLIENTS EFFETS A RECEVOIR</v>
          </cell>
        </row>
        <row r="98">
          <cell r="A98">
            <v>418100</v>
          </cell>
          <cell r="B98" t="str">
            <v>CLIENTS FACT.A ETABLIR   </v>
          </cell>
        </row>
        <row r="99">
          <cell r="A99">
            <v>418199</v>
          </cell>
          <cell r="B99" t="str">
            <v>FACT A ETABLIR GROUPE    </v>
          </cell>
        </row>
        <row r="100">
          <cell r="A100">
            <v>419800</v>
          </cell>
          <cell r="B100" t="str">
            <v>CLIENTS AVOIRS A ETABLIR </v>
          </cell>
        </row>
        <row r="101">
          <cell r="A101">
            <v>421000</v>
          </cell>
          <cell r="B101" t="str">
            <v>REMUNERATIONS DUES       </v>
          </cell>
        </row>
        <row r="102">
          <cell r="A102">
            <v>422100</v>
          </cell>
          <cell r="B102" t="str">
            <v>COMITE D'ENTREPRISE      </v>
          </cell>
        </row>
        <row r="103">
          <cell r="A103">
            <v>425000</v>
          </cell>
          <cell r="B103" t="str">
            <v>ACOMPTES PERSONNELS      </v>
          </cell>
        </row>
        <row r="104">
          <cell r="A104">
            <v>425100</v>
          </cell>
          <cell r="B104" t="str">
            <v>AVANCE AU PERSONNEL      </v>
          </cell>
        </row>
        <row r="105">
          <cell r="A105">
            <v>427000</v>
          </cell>
          <cell r="B105" t="str">
            <v>SAISIE-ARRET SUR SALAIRES</v>
          </cell>
        </row>
        <row r="106">
          <cell r="A106">
            <v>428200</v>
          </cell>
          <cell r="B106" t="str">
            <v>PROVISIONS CONGES PAYES  </v>
          </cell>
        </row>
        <row r="107">
          <cell r="A107">
            <v>428300</v>
          </cell>
          <cell r="B107" t="str">
            <v>PROVISION RTT            </v>
          </cell>
        </row>
        <row r="108">
          <cell r="A108">
            <v>428400</v>
          </cell>
          <cell r="B108" t="str">
            <v>DETTES PROV.PARTICIP.SAL.</v>
          </cell>
        </row>
        <row r="109">
          <cell r="A109">
            <v>428600</v>
          </cell>
          <cell r="B109" t="str">
            <v>AUTRES CHARGES A PAYER   </v>
          </cell>
        </row>
        <row r="110">
          <cell r="A110">
            <v>428700</v>
          </cell>
          <cell r="B110" t="str">
            <v>PRESONNEL PRODUIT A RECEV</v>
          </cell>
        </row>
        <row r="111">
          <cell r="A111">
            <v>431000</v>
          </cell>
          <cell r="B111" t="str">
            <v>URSSAF                   </v>
          </cell>
        </row>
        <row r="112">
          <cell r="A112">
            <v>432000</v>
          </cell>
          <cell r="B112" t="str">
            <v>INDEMN.CPAM IPSA IRP AUTO</v>
          </cell>
        </row>
        <row r="113">
          <cell r="A113">
            <v>437010</v>
          </cell>
          <cell r="B113" t="str">
            <v>MEDECINE DU TRAVAIL      </v>
          </cell>
        </row>
        <row r="114">
          <cell r="A114">
            <v>437010</v>
          </cell>
          <cell r="B114" t="str">
            <v>MEDECINE DU TRAVAIL      </v>
          </cell>
        </row>
        <row r="115">
          <cell r="A115">
            <v>437200</v>
          </cell>
          <cell r="B115" t="str">
            <v>IRP AUTO.                </v>
          </cell>
        </row>
        <row r="116">
          <cell r="A116">
            <v>437245</v>
          </cell>
          <cell r="B116" t="str">
            <v>AXA                      </v>
          </cell>
        </row>
        <row r="117">
          <cell r="A117">
            <v>437260</v>
          </cell>
          <cell r="B117" t="str">
            <v>GAN RETRAITE             </v>
          </cell>
        </row>
        <row r="118">
          <cell r="A118">
            <v>437300</v>
          </cell>
          <cell r="B118" t="str">
            <v>ORGANISMES DE FORMATION  </v>
          </cell>
        </row>
        <row r="119">
          <cell r="A119">
            <v>437500</v>
          </cell>
          <cell r="B119" t="str">
            <v>EFFORT CONSTRUCTION      </v>
          </cell>
        </row>
        <row r="120">
          <cell r="A120">
            <v>437800</v>
          </cell>
          <cell r="B120" t="str">
            <v>APICIL MUTUELLE          </v>
          </cell>
        </row>
        <row r="121">
          <cell r="A121">
            <v>437820</v>
          </cell>
          <cell r="B121" t="str">
            <v>CHEQUES DEJEUNERS        </v>
          </cell>
        </row>
        <row r="122">
          <cell r="A122">
            <v>437830</v>
          </cell>
          <cell r="B122" t="str">
            <v>AGEFIPH - HANDICAPES     </v>
          </cell>
        </row>
        <row r="123">
          <cell r="A123">
            <v>437910</v>
          </cell>
          <cell r="B123" t="str">
            <v>TAXE APPRENTISSAGE       </v>
          </cell>
        </row>
        <row r="124">
          <cell r="A124">
            <v>438000</v>
          </cell>
          <cell r="B124" t="str">
            <v>CHARGES SUR CONGES PAYES </v>
          </cell>
        </row>
        <row r="125">
          <cell r="A125">
            <v>438300</v>
          </cell>
          <cell r="B125" t="str">
            <v>PROVISION CHARGES RTT    </v>
          </cell>
        </row>
        <row r="126">
          <cell r="A126">
            <v>438600</v>
          </cell>
          <cell r="B126" t="str">
            <v>AUTRES CHARGES A PAYER   </v>
          </cell>
        </row>
        <row r="127">
          <cell r="A127">
            <v>444569</v>
          </cell>
          <cell r="B127" t="str">
            <v>TVA DEDUCT SUR SERVICES  </v>
          </cell>
        </row>
        <row r="128">
          <cell r="A128">
            <v>445510</v>
          </cell>
          <cell r="B128" t="str">
            <v>TVA A DECAISSER          </v>
          </cell>
        </row>
        <row r="129">
          <cell r="A129">
            <v>445620</v>
          </cell>
          <cell r="B129" t="str">
            <v>TVA DED / IMMO 10%       </v>
          </cell>
        </row>
        <row r="130">
          <cell r="A130">
            <v>445620</v>
          </cell>
          <cell r="B130" t="str">
            <v>TVA DEDUCTIBLE/IMMO.     </v>
          </cell>
        </row>
        <row r="131">
          <cell r="A131">
            <v>445660</v>
          </cell>
          <cell r="B131" t="str">
            <v>TVA DED./AUT.BIENS &amp; SERV</v>
          </cell>
        </row>
        <row r="132">
          <cell r="A132">
            <v>445660</v>
          </cell>
          <cell r="B132" t="str">
            <v>TVA DEDUCTIBLE 2,1       </v>
          </cell>
        </row>
        <row r="133">
          <cell r="A133">
            <v>445660</v>
          </cell>
          <cell r="B133" t="str">
            <v>TVA DEDUCT / ABS 5,5%    </v>
          </cell>
        </row>
        <row r="134">
          <cell r="A134">
            <v>445660</v>
          </cell>
          <cell r="B134" t="str">
            <v>TVA DED./AUT.BIENS &amp; SERV</v>
          </cell>
        </row>
        <row r="135">
          <cell r="A135">
            <v>445660</v>
          </cell>
          <cell r="B135" t="str">
            <v>TVA DED./AUT.BIENS &amp; SERV</v>
          </cell>
        </row>
        <row r="136">
          <cell r="A136">
            <v>445667</v>
          </cell>
          <cell r="B136" t="str">
            <v>TVA DED.DEDUITE A TORT   </v>
          </cell>
        </row>
        <row r="137">
          <cell r="A137">
            <v>445670</v>
          </cell>
          <cell r="B137" t="str">
            <v>CREDIT DE TVA            </v>
          </cell>
        </row>
        <row r="138">
          <cell r="A138">
            <v>445680</v>
          </cell>
          <cell r="B138" t="str">
            <v>ANFA 0,75%               </v>
          </cell>
        </row>
        <row r="139">
          <cell r="A139">
            <v>445710</v>
          </cell>
          <cell r="B139" t="str">
            <v>TVA COLLECT/VENTES 19,60%</v>
          </cell>
        </row>
        <row r="140">
          <cell r="A140">
            <v>445710</v>
          </cell>
          <cell r="B140" t="str">
            <v>TVA COLLECT/VENTES 5,5 % </v>
          </cell>
        </row>
        <row r="141">
          <cell r="A141">
            <v>445710</v>
          </cell>
          <cell r="B141" t="str">
            <v>TVA COLLECTEE 10 %       </v>
          </cell>
        </row>
        <row r="142">
          <cell r="A142">
            <v>445710</v>
          </cell>
          <cell r="B142" t="str">
            <v>TVA COLLECT/VENTES 20%   </v>
          </cell>
        </row>
        <row r="143">
          <cell r="A143">
            <v>445800</v>
          </cell>
          <cell r="B143" t="str">
            <v>TVA A REGULARISER/VO     </v>
          </cell>
        </row>
        <row r="144">
          <cell r="A144">
            <v>445860</v>
          </cell>
          <cell r="B144" t="str">
            <v>TVA / FACT NON-PARV 19,6%</v>
          </cell>
        </row>
        <row r="145">
          <cell r="A145">
            <v>445860</v>
          </cell>
          <cell r="B145" t="str">
            <v>TVA/FACT.NON PARVENUES   </v>
          </cell>
        </row>
        <row r="146">
          <cell r="A146">
            <v>445860</v>
          </cell>
          <cell r="B146" t="str">
            <v>TVA / FACT NON-PARV 20%  </v>
          </cell>
        </row>
        <row r="147">
          <cell r="A147">
            <v>445870</v>
          </cell>
          <cell r="B147" t="str">
            <v>TVA/FACT A ETABLIR       </v>
          </cell>
        </row>
        <row r="148">
          <cell r="A148">
            <v>445870</v>
          </cell>
          <cell r="B148" t="str">
            <v>TVA A REGUL / VTES 5,5%  </v>
          </cell>
        </row>
        <row r="149">
          <cell r="A149">
            <v>445870</v>
          </cell>
          <cell r="B149" t="str">
            <v>TVA A REGUL / VTE 10 %   </v>
          </cell>
        </row>
        <row r="150">
          <cell r="A150">
            <v>445870</v>
          </cell>
          <cell r="B150" t="str">
            <v>TVA/FACT A ETABLIR       </v>
          </cell>
        </row>
        <row r="151">
          <cell r="A151">
            <v>448600</v>
          </cell>
          <cell r="B151" t="str">
            <v>PROVIS.CHARGES FISCALES  </v>
          </cell>
        </row>
        <row r="152">
          <cell r="A152">
            <v>448602</v>
          </cell>
          <cell r="B152" t="str">
            <v>ORGANIC                  </v>
          </cell>
        </row>
        <row r="153">
          <cell r="A153">
            <v>448700</v>
          </cell>
          <cell r="B153" t="str">
            <v>ETAT, PRODUITS A RECEVOIR</v>
          </cell>
        </row>
        <row r="154">
          <cell r="A154">
            <v>448710</v>
          </cell>
          <cell r="B154" t="str">
            <v>CICE                     </v>
          </cell>
        </row>
        <row r="155">
          <cell r="A155">
            <v>451000</v>
          </cell>
          <cell r="B155" t="str">
            <v>C/C Cie FINANCIERE THIVOL</v>
          </cell>
        </row>
        <row r="156">
          <cell r="A156">
            <v>451100</v>
          </cell>
          <cell r="B156" t="str">
            <v>C.F.T. IMPOT/SOCIETES    </v>
          </cell>
        </row>
        <row r="157">
          <cell r="A157">
            <v>451500</v>
          </cell>
          <cell r="B157" t="str">
            <v>C.A.T DIVIDENDES         </v>
          </cell>
        </row>
        <row r="158">
          <cell r="A158">
            <v>451510</v>
          </cell>
          <cell r="B158" t="str">
            <v>CARROSSERIE AUTO THIVOLLE</v>
          </cell>
        </row>
        <row r="159">
          <cell r="A159">
            <v>452000</v>
          </cell>
          <cell r="B159" t="str">
            <v>C/C CFT IS               </v>
          </cell>
        </row>
        <row r="160">
          <cell r="A160">
            <v>467000</v>
          </cell>
          <cell r="B160" t="str">
            <v>DEBITEUR-CREDITEUR DIVERS</v>
          </cell>
        </row>
        <row r="161">
          <cell r="A161">
            <v>467100</v>
          </cell>
          <cell r="B161" t="str">
            <v>DEBITEUR VN - FRAIS BBACK</v>
          </cell>
        </row>
        <row r="162">
          <cell r="A162">
            <v>467630</v>
          </cell>
          <cell r="B162" t="str">
            <v>DEBOURS CARTES GRISES    </v>
          </cell>
        </row>
        <row r="163">
          <cell r="A163">
            <v>467650</v>
          </cell>
          <cell r="B163" t="str">
            <v>CONTRATS SERVICES CITROEN</v>
          </cell>
        </row>
        <row r="164">
          <cell r="A164">
            <v>470000</v>
          </cell>
          <cell r="B164" t="str">
            <v>CPTE ATTENTE ^1113#1115  </v>
          </cell>
        </row>
        <row r="165">
          <cell r="A165">
            <v>470900</v>
          </cell>
          <cell r="B165" t="str">
            <v>COMPTE ATTENTE FORMATION </v>
          </cell>
        </row>
        <row r="166">
          <cell r="A166">
            <v>470900</v>
          </cell>
          <cell r="B166" t="str">
            <v>ATTENTE VENTIL.FORMATION </v>
          </cell>
        </row>
        <row r="167">
          <cell r="A167">
            <v>471000</v>
          </cell>
          <cell r="B167" t="str">
            <v>CPTE ATTENTE A REGUL.    </v>
          </cell>
        </row>
        <row r="168">
          <cell r="A168">
            <v>471000</v>
          </cell>
          <cell r="B168" t="str">
            <v>CPTE ATTENTE VENTES DIV  </v>
          </cell>
        </row>
        <row r="169">
          <cell r="A169">
            <v>471000</v>
          </cell>
          <cell r="B169" t="str">
            <v>COMPTE D'ATTENTE 20%     </v>
          </cell>
        </row>
        <row r="170">
          <cell r="A170">
            <v>471001</v>
          </cell>
          <cell r="B170" t="str">
            <v>CPTE ATTENTE VENTES 20%  </v>
          </cell>
        </row>
        <row r="171">
          <cell r="A171">
            <v>471400</v>
          </cell>
          <cell r="B171" t="str">
            <v>COMMISSIONS VENDEURS     </v>
          </cell>
        </row>
        <row r="172">
          <cell r="A172">
            <v>472000</v>
          </cell>
          <cell r="B172" t="str">
            <v>CPTE ATTENTE VENTIL BRUTE</v>
          </cell>
        </row>
        <row r="173">
          <cell r="A173">
            <v>472100</v>
          </cell>
          <cell r="B173" t="str">
            <v>CPTE ATTENTE REMISES     </v>
          </cell>
        </row>
        <row r="174">
          <cell r="A174">
            <v>472200</v>
          </cell>
          <cell r="B174" t="str">
            <v>CPTE ATTENTE TVA         </v>
          </cell>
        </row>
        <row r="175">
          <cell r="A175">
            <v>478000</v>
          </cell>
          <cell r="B175" t="str">
            <v>CAT -  COMPTE ATTENTE    </v>
          </cell>
        </row>
        <row r="176">
          <cell r="A176">
            <v>478100</v>
          </cell>
          <cell r="B176" t="str">
            <v>VILLEFRANCHE AUTO CPTE AT</v>
          </cell>
        </row>
        <row r="177">
          <cell r="A177">
            <v>478200</v>
          </cell>
          <cell r="B177" t="str">
            <v>ASIA - COMPTE ATTENTE    </v>
          </cell>
        </row>
        <row r="178">
          <cell r="A178">
            <v>478300</v>
          </cell>
          <cell r="B178" t="str">
            <v>DAT NISSAN - CPTE ATTENTE</v>
          </cell>
        </row>
        <row r="179">
          <cell r="A179">
            <v>486000</v>
          </cell>
          <cell r="B179" t="str">
            <v>CHARGE D'AVANCE TVA 20%  </v>
          </cell>
        </row>
        <row r="180">
          <cell r="A180">
            <v>487000</v>
          </cell>
          <cell r="B180" t="str">
            <v>PRODUITS CONSTAT.D'AVANCE</v>
          </cell>
        </row>
        <row r="181">
          <cell r="A181">
            <v>487000</v>
          </cell>
          <cell r="B181" t="str">
            <v>PROD D'AVANCE 20%        </v>
          </cell>
        </row>
        <row r="182">
          <cell r="A182">
            <v>487000</v>
          </cell>
          <cell r="B182" t="str">
            <v>PRODUITS D'AVANCE TVA REC</v>
          </cell>
        </row>
        <row r="183">
          <cell r="A183">
            <v>487000</v>
          </cell>
          <cell r="B183" t="str">
            <v>PRODUITS D'AVANCE TVA REC</v>
          </cell>
        </row>
        <row r="184">
          <cell r="A184">
            <v>488611</v>
          </cell>
          <cell r="B184" t="str">
            <v>COTISATION GIE PLACE NETT</v>
          </cell>
        </row>
        <row r="185">
          <cell r="A185">
            <v>488614</v>
          </cell>
          <cell r="B185" t="str">
            <v>PRIMES RESEAU RAC        </v>
          </cell>
        </row>
        <row r="186">
          <cell r="A186">
            <v>488615</v>
          </cell>
          <cell r="B186" t="str">
            <v>ACHATS GRAVAGES EXO      </v>
          </cell>
        </row>
        <row r="187">
          <cell r="A187">
            <v>488615</v>
          </cell>
          <cell r="B187" t="str">
            <v>ACHATS GRAVAGES          </v>
          </cell>
        </row>
        <row r="188">
          <cell r="A188">
            <v>488615</v>
          </cell>
          <cell r="B188" t="str">
            <v>ENTRETIEN MATERIEL STATIO</v>
          </cell>
        </row>
        <row r="189">
          <cell r="A189">
            <v>488623</v>
          </cell>
          <cell r="B189" t="str">
            <v>PUBLICITE VN             </v>
          </cell>
        </row>
        <row r="190">
          <cell r="A190">
            <v>488623</v>
          </cell>
          <cell r="B190" t="str">
            <v>PUBLICITE APV            </v>
          </cell>
        </row>
        <row r="191">
          <cell r="A191">
            <v>488644</v>
          </cell>
          <cell r="B191" t="str">
            <v>PRIMES RESEAU PR         </v>
          </cell>
        </row>
        <row r="192">
          <cell r="A192">
            <v>488644</v>
          </cell>
          <cell r="B192" t="str">
            <v>PRIME RESEAU PR          </v>
          </cell>
        </row>
        <row r="193">
          <cell r="A193">
            <v>488651</v>
          </cell>
          <cell r="B193" t="str">
            <v>ETAI A ETALER            </v>
          </cell>
        </row>
        <row r="194">
          <cell r="A194">
            <v>488651</v>
          </cell>
          <cell r="B194" t="str">
            <v>ETAI A ETALER APV        </v>
          </cell>
        </row>
        <row r="195">
          <cell r="A195">
            <v>488652</v>
          </cell>
          <cell r="B195" t="str">
            <v>COUTS INFO DCS           </v>
          </cell>
        </row>
        <row r="196">
          <cell r="A196">
            <v>488653</v>
          </cell>
          <cell r="B196" t="str">
            <v>CONTRATS MAINTENANCE DIVE</v>
          </cell>
        </row>
        <row r="197">
          <cell r="A197">
            <v>488654</v>
          </cell>
          <cell r="B197" t="str">
            <v>Frais de Photocopies     </v>
          </cell>
        </row>
        <row r="198">
          <cell r="A198">
            <v>488655</v>
          </cell>
          <cell r="B198" t="str">
            <v>FRAIS INFORMATIQUES ^    </v>
          </cell>
        </row>
        <row r="199">
          <cell r="A199">
            <v>488656</v>
          </cell>
          <cell r="B199" t="str">
            <v>INFORMATIQUE GROUPE      </v>
          </cell>
        </row>
        <row r="200">
          <cell r="A200">
            <v>488658</v>
          </cell>
          <cell r="B200" t="str">
            <v>PAGES JAUNES             </v>
          </cell>
        </row>
        <row r="201">
          <cell r="A201">
            <v>488659</v>
          </cell>
          <cell r="B201" t="str">
            <v>FRAIS ACTES              </v>
          </cell>
        </row>
        <row r="202">
          <cell r="A202">
            <v>488659</v>
          </cell>
          <cell r="B202" t="str">
            <v>HONORAIRES+JURIDIQUE STR.</v>
          </cell>
        </row>
        <row r="203">
          <cell r="A203">
            <v>488660</v>
          </cell>
          <cell r="B203" t="str">
            <v>CREDIT BAIL DEPANNEUSES  </v>
          </cell>
        </row>
        <row r="204">
          <cell r="A204">
            <v>488663</v>
          </cell>
          <cell r="B204" t="str">
            <v>GIE CITROEN PUB.REGION   </v>
          </cell>
        </row>
        <row r="205">
          <cell r="A205">
            <v>488666</v>
          </cell>
          <cell r="B205" t="str">
            <v>ASSURANCES               </v>
          </cell>
        </row>
        <row r="206">
          <cell r="A206">
            <v>488668</v>
          </cell>
          <cell r="B206" t="str">
            <v>EDF                      </v>
          </cell>
        </row>
        <row r="207">
          <cell r="A207">
            <v>488668</v>
          </cell>
          <cell r="B207" t="str">
            <v>ELECTRICITE              </v>
          </cell>
        </row>
        <row r="208">
          <cell r="A208">
            <v>488669</v>
          </cell>
          <cell r="B208" t="str">
            <v>EAU TVA 5,5%             </v>
          </cell>
        </row>
        <row r="209">
          <cell r="A209">
            <v>488669</v>
          </cell>
          <cell r="B209" t="str">
            <v>EAU TVA 10%              </v>
          </cell>
        </row>
        <row r="210">
          <cell r="A210">
            <v>488670</v>
          </cell>
          <cell r="B210" t="str">
            <v>CHAUFFAGE TVA 5,5%       </v>
          </cell>
        </row>
        <row r="211">
          <cell r="A211">
            <v>488670</v>
          </cell>
          <cell r="B211" t="str">
            <v>CHAUFFAGE                </v>
          </cell>
        </row>
        <row r="212">
          <cell r="A212">
            <v>488681</v>
          </cell>
          <cell r="B212" t="str">
            <v>FRAIS CONSULT ARGUS VN   </v>
          </cell>
        </row>
        <row r="213">
          <cell r="A213">
            <v>488681</v>
          </cell>
          <cell r="B213" t="str">
            <v>FRAIS CONSULT ARGUS VO   </v>
          </cell>
        </row>
        <row r="214">
          <cell r="A214">
            <v>488683</v>
          </cell>
          <cell r="B214" t="str">
            <v>PUB CITROEN GENERALE+SPOR</v>
          </cell>
        </row>
        <row r="215">
          <cell r="A215">
            <v>488688</v>
          </cell>
          <cell r="B215" t="str">
            <v>COTIS SYNDICALES -DT CNPA</v>
          </cell>
        </row>
        <row r="216">
          <cell r="A216">
            <v>488689</v>
          </cell>
          <cell r="B216" t="str">
            <v>COTISATION GROUPEMENT    </v>
          </cell>
        </row>
        <row r="217">
          <cell r="A217">
            <v>488689</v>
          </cell>
          <cell r="B217" t="str">
            <v>CET = CET + CVAE         </v>
          </cell>
        </row>
        <row r="218">
          <cell r="A218">
            <v>488689</v>
          </cell>
          <cell r="B218" t="str">
            <v>TAXE VEHICULES SOCIETES  </v>
          </cell>
        </row>
        <row r="219">
          <cell r="A219">
            <v>488689</v>
          </cell>
          <cell r="B219" t="str">
            <v>ORGANIC                  </v>
          </cell>
        </row>
        <row r="220">
          <cell r="A220">
            <v>488689</v>
          </cell>
          <cell r="B220" t="str">
            <v>COTISATION GROUPEMENT 20%</v>
          </cell>
        </row>
        <row r="221">
          <cell r="A221">
            <v>488689</v>
          </cell>
          <cell r="B221" t="str">
            <v>TAXE FONCIERE 20 %       </v>
          </cell>
        </row>
        <row r="222">
          <cell r="A222">
            <v>488741</v>
          </cell>
          <cell r="B222" t="str">
            <v>PRIME CITROEN/VTES EXTERN</v>
          </cell>
        </row>
        <row r="223">
          <cell r="A223">
            <v>488742</v>
          </cell>
          <cell r="B223" t="str">
            <v>PRIME PLACQUE/VTES EXTERN</v>
          </cell>
        </row>
        <row r="224">
          <cell r="A224">
            <v>488743</v>
          </cell>
          <cell r="B224" t="str">
            <v>PRIMES PNEUS A REC -MICHE</v>
          </cell>
        </row>
        <row r="225">
          <cell r="A225">
            <v>491000</v>
          </cell>
          <cell r="B225" t="str">
            <v>PROVIS. CLIENTS DOUTEUX  </v>
          </cell>
        </row>
        <row r="226">
          <cell r="A226">
            <v>510000</v>
          </cell>
          <cell r="B226" t="str">
            <v>CHQ CLIENT DIFFERE       </v>
          </cell>
        </row>
        <row r="227">
          <cell r="A227">
            <v>511000</v>
          </cell>
          <cell r="B227" t="str">
            <v>CPTE CHEQUES A ENCAISSER </v>
          </cell>
        </row>
        <row r="228">
          <cell r="A228">
            <v>511100</v>
          </cell>
          <cell r="B228" t="str">
            <v>CARTES BLEUES A ENCAISSER</v>
          </cell>
        </row>
        <row r="229">
          <cell r="A229">
            <v>511110</v>
          </cell>
          <cell r="B229" t="str">
            <v>CARTES ROUGES A ENCAISSER</v>
          </cell>
        </row>
        <row r="230">
          <cell r="A230">
            <v>512000</v>
          </cell>
          <cell r="B230" t="str">
            <v>BANQUE RHONE-ALPES       </v>
          </cell>
        </row>
        <row r="231">
          <cell r="A231">
            <v>512200</v>
          </cell>
          <cell r="B231" t="str">
            <v>SOFIB                    </v>
          </cell>
        </row>
        <row r="232">
          <cell r="A232">
            <v>512300</v>
          </cell>
          <cell r="B232" t="str">
            <v>CREDIPAR                 </v>
          </cell>
        </row>
        <row r="233">
          <cell r="A233">
            <v>518600</v>
          </cell>
          <cell r="B233" t="str">
            <v>INTERETS COURUS A PAYER  </v>
          </cell>
        </row>
        <row r="234">
          <cell r="A234">
            <v>519000</v>
          </cell>
          <cell r="B234" t="str">
            <v>BILLET A ORDRE SOFIB     </v>
          </cell>
        </row>
        <row r="235">
          <cell r="A235">
            <v>531000</v>
          </cell>
          <cell r="B235" t="str">
            <v>CAISSE CENTRALE          </v>
          </cell>
        </row>
        <row r="236">
          <cell r="A236">
            <v>531100</v>
          </cell>
          <cell r="B236" t="str">
            <v>CAISSE                   </v>
          </cell>
        </row>
        <row r="237">
          <cell r="A237">
            <v>536100</v>
          </cell>
          <cell r="B237" t="str">
            <v>FONDS D.CAISSE STATION   </v>
          </cell>
        </row>
        <row r="238">
          <cell r="A238">
            <v>580000</v>
          </cell>
          <cell r="B238" t="str">
            <v>VIREMENT INTERNE         </v>
          </cell>
        </row>
        <row r="239">
          <cell r="A239">
            <v>602100</v>
          </cell>
          <cell r="B239" t="str">
            <v>ACH.PETITES FOURNIT.VN   </v>
          </cell>
        </row>
        <row r="240">
          <cell r="A240">
            <v>602100</v>
          </cell>
          <cell r="B240" t="str">
            <v>ACH.PETITES FOURNIT.VO   </v>
          </cell>
        </row>
        <row r="241">
          <cell r="A241">
            <v>602100</v>
          </cell>
          <cell r="B241" t="str">
            <v>ACH.PETITES FOURNIT.APV  </v>
          </cell>
        </row>
        <row r="242">
          <cell r="A242">
            <v>602100</v>
          </cell>
          <cell r="B242" t="str">
            <v>ACH.PETITES FOURNIT.STRUC</v>
          </cell>
        </row>
        <row r="243">
          <cell r="A243">
            <v>602200</v>
          </cell>
          <cell r="B243" t="str">
            <v>FOURNITURE CHAUFFAGE     </v>
          </cell>
        </row>
        <row r="244">
          <cell r="A244">
            <v>602210</v>
          </cell>
          <cell r="B244" t="str">
            <v>CHAUFFAGE 5,5%           </v>
          </cell>
        </row>
        <row r="245">
          <cell r="A245">
            <v>603710</v>
          </cell>
          <cell r="B245" t="str">
            <v>VARIATION STOCK VN       </v>
          </cell>
        </row>
        <row r="246">
          <cell r="A246">
            <v>603710</v>
          </cell>
          <cell r="B246" t="str">
            <v>VARIATION STOCK VN VD    </v>
          </cell>
        </row>
        <row r="247">
          <cell r="A247">
            <v>603710</v>
          </cell>
          <cell r="B247" t="str">
            <v>VARIATION TRANSFO VN     </v>
          </cell>
        </row>
        <row r="248">
          <cell r="A248">
            <v>603710</v>
          </cell>
          <cell r="B248" t="str">
            <v>VARIATION STOCK VO       </v>
          </cell>
        </row>
        <row r="249">
          <cell r="A249">
            <v>603710</v>
          </cell>
          <cell r="B249" t="str">
            <v>VARIATION STOCK VO TVA RE</v>
          </cell>
        </row>
        <row r="250">
          <cell r="A250">
            <v>603710</v>
          </cell>
          <cell r="B250" t="str">
            <v>VARIATION STOCK PREP VO  </v>
          </cell>
        </row>
        <row r="251">
          <cell r="A251">
            <v>603710</v>
          </cell>
          <cell r="B251" t="str">
            <v>VARIATION STOCK PR CITROE</v>
          </cell>
        </row>
        <row r="252">
          <cell r="A252">
            <v>603710</v>
          </cell>
          <cell r="B252" t="str">
            <v>VARIATION STOCK PNEUS    </v>
          </cell>
        </row>
        <row r="253">
          <cell r="A253">
            <v>603710</v>
          </cell>
          <cell r="B253" t="str">
            <v>VARIATION STOCK BOUTIQUE </v>
          </cell>
        </row>
        <row r="254">
          <cell r="A254">
            <v>603710</v>
          </cell>
          <cell r="B254" t="str">
            <v>VARIATION STOCK LUBRIFIAN</v>
          </cell>
        </row>
        <row r="255">
          <cell r="A255">
            <v>604000</v>
          </cell>
          <cell r="B255" t="str">
            <v>PREP.VN ET TVX EXT.EXO   </v>
          </cell>
        </row>
        <row r="256">
          <cell r="A256">
            <v>604000</v>
          </cell>
          <cell r="B256" t="str">
            <v>FREVO TIERS EXO.         </v>
          </cell>
        </row>
        <row r="257">
          <cell r="A257">
            <v>604000</v>
          </cell>
          <cell r="B257" t="str">
            <v>TVX EXT. APV EXO.        </v>
          </cell>
        </row>
        <row r="258">
          <cell r="A258">
            <v>604000</v>
          </cell>
          <cell r="B258" t="str">
            <v>PREP.VN ET TVX EXT.      </v>
          </cell>
        </row>
        <row r="259">
          <cell r="A259">
            <v>604000</v>
          </cell>
          <cell r="B259" t="str">
            <v>FREVO PAR TIERS          </v>
          </cell>
        </row>
        <row r="260">
          <cell r="A260">
            <v>604000</v>
          </cell>
          <cell r="B260" t="str">
            <v>TRAV.EXT.PAR TIERS APV   </v>
          </cell>
        </row>
        <row r="261">
          <cell r="A261">
            <v>604099</v>
          </cell>
          <cell r="B261" t="str">
            <v>TEX GROUPE EXO           </v>
          </cell>
        </row>
        <row r="262">
          <cell r="A262">
            <v>604099</v>
          </cell>
          <cell r="B262" t="str">
            <v>PREPARATION VN EXT.GROUP.</v>
          </cell>
        </row>
        <row r="263">
          <cell r="A263">
            <v>604099</v>
          </cell>
          <cell r="B263" t="str">
            <v>ACHAT FREVO EXT / GROUPE </v>
          </cell>
        </row>
        <row r="264">
          <cell r="A264">
            <v>604099</v>
          </cell>
          <cell r="B264" t="str">
            <v>ACHAT MO MECA GROUP.     </v>
          </cell>
        </row>
        <row r="265">
          <cell r="A265">
            <v>604099</v>
          </cell>
          <cell r="B265" t="str">
            <v>ACHAT TEX GROUP.APV      </v>
          </cell>
        </row>
        <row r="266">
          <cell r="A266">
            <v>604100</v>
          </cell>
          <cell r="B266" t="str">
            <v>GRAVAGES VEH OCCASION    </v>
          </cell>
        </row>
        <row r="267">
          <cell r="A267">
            <v>604111</v>
          </cell>
          <cell r="B267" t="str">
            <v>CONTRATS SERVICES VO     </v>
          </cell>
        </row>
        <row r="268">
          <cell r="A268">
            <v>604111</v>
          </cell>
          <cell r="B268" t="str">
            <v>CONTRATS SERVICES VO     </v>
          </cell>
        </row>
        <row r="269">
          <cell r="A269">
            <v>604400</v>
          </cell>
          <cell r="B269" t="str">
            <v>ACHAT MO EXTERIEURE      </v>
          </cell>
        </row>
        <row r="270">
          <cell r="A270">
            <v>606100</v>
          </cell>
          <cell r="B270" t="str">
            <v>EAU                      </v>
          </cell>
        </row>
        <row r="271">
          <cell r="A271">
            <v>606100</v>
          </cell>
          <cell r="B271" t="str">
            <v>EDF - GDF A 5,5%         </v>
          </cell>
        </row>
        <row r="272">
          <cell r="A272">
            <v>606100</v>
          </cell>
          <cell r="B272" t="str">
            <v>EAU 10%                  </v>
          </cell>
        </row>
        <row r="273">
          <cell r="A273">
            <v>606100</v>
          </cell>
          <cell r="B273" t="str">
            <v>ELECTRICITE EDF          </v>
          </cell>
        </row>
        <row r="274">
          <cell r="A274">
            <v>606200</v>
          </cell>
          <cell r="B274" t="str">
            <v>CARB./VENTES VN&amp;VD       </v>
          </cell>
        </row>
        <row r="275">
          <cell r="A275">
            <v>606200</v>
          </cell>
          <cell r="B275" t="str">
            <v>CARB./VENTES VO          </v>
          </cell>
        </row>
        <row r="276">
          <cell r="A276">
            <v>606300</v>
          </cell>
          <cell r="B276" t="str">
            <v>OUTILLAGE APV EXO.       </v>
          </cell>
        </row>
        <row r="277">
          <cell r="A277">
            <v>606300</v>
          </cell>
          <cell r="B277" t="str">
            <v>Outillage Petit Equipem. </v>
          </cell>
        </row>
        <row r="278">
          <cell r="A278">
            <v>606300</v>
          </cell>
          <cell r="B278" t="str">
            <v>OUTIL.PETIT EQUIPEM.VN   </v>
          </cell>
        </row>
        <row r="279">
          <cell r="A279">
            <v>606300</v>
          </cell>
          <cell r="B279" t="str">
            <v>OUTIL.PETIT EQUIPEM.VO   </v>
          </cell>
        </row>
        <row r="280">
          <cell r="A280">
            <v>606300</v>
          </cell>
          <cell r="B280" t="str">
            <v>OUTIL.PETIT EQUIPEM.APV  </v>
          </cell>
        </row>
        <row r="281">
          <cell r="A281">
            <v>606300</v>
          </cell>
          <cell r="B281" t="str">
            <v>OUTIL.PETIT EQUIPEM.STRUC</v>
          </cell>
        </row>
        <row r="282">
          <cell r="A282">
            <v>606400</v>
          </cell>
          <cell r="B282" t="str">
            <v>FOURN.ADMINISTRATIVES VN </v>
          </cell>
        </row>
        <row r="283">
          <cell r="A283">
            <v>606400</v>
          </cell>
          <cell r="B283" t="str">
            <v>FOURNITURES ADM.VO       </v>
          </cell>
        </row>
        <row r="284">
          <cell r="A284">
            <v>606400</v>
          </cell>
          <cell r="B284" t="str">
            <v>FOURNITURES ADM.STRUCTURE</v>
          </cell>
        </row>
        <row r="285">
          <cell r="A285">
            <v>606400</v>
          </cell>
          <cell r="B285" t="str">
            <v>FOURNIT.ADMINIST.VN      </v>
          </cell>
        </row>
        <row r="286">
          <cell r="A286">
            <v>606400</v>
          </cell>
          <cell r="B286" t="str">
            <v>FOURNIT.ADMINIST.VO      </v>
          </cell>
        </row>
        <row r="287">
          <cell r="A287">
            <v>606400</v>
          </cell>
          <cell r="B287" t="str">
            <v>FOURNIT.ADMINIST.PR      </v>
          </cell>
        </row>
        <row r="288">
          <cell r="A288">
            <v>606400</v>
          </cell>
          <cell r="B288" t="str">
            <v>FOURNIT.ADMINIST.APV     </v>
          </cell>
        </row>
        <row r="289">
          <cell r="A289">
            <v>606400</v>
          </cell>
          <cell r="B289" t="str">
            <v>FOURN.ADMINIST.BOUTIQU   </v>
          </cell>
        </row>
        <row r="290">
          <cell r="A290">
            <v>606400</v>
          </cell>
          <cell r="B290" t="str">
            <v>FOURNIT.ADMINIST.STRUCTUR</v>
          </cell>
        </row>
        <row r="291">
          <cell r="A291">
            <v>606450</v>
          </cell>
          <cell r="B291" t="str">
            <v>PETIT MATERIEL BUREAU APV</v>
          </cell>
        </row>
        <row r="292">
          <cell r="A292">
            <v>606499</v>
          </cell>
          <cell r="B292" t="str">
            <v>FOURN.ADM.GROUPE         </v>
          </cell>
        </row>
        <row r="293">
          <cell r="A293">
            <v>606500</v>
          </cell>
          <cell r="B293" t="str">
            <v>VET. TRAVAIL VN          </v>
          </cell>
        </row>
        <row r="294">
          <cell r="A294">
            <v>606500</v>
          </cell>
          <cell r="B294" t="str">
            <v>VET. TRAVAIL VO          </v>
          </cell>
        </row>
        <row r="295">
          <cell r="A295">
            <v>606500</v>
          </cell>
          <cell r="B295" t="str">
            <v>VETEMENT TRAVAIL PR      </v>
          </cell>
        </row>
        <row r="296">
          <cell r="A296">
            <v>606500</v>
          </cell>
          <cell r="B296" t="str">
            <v>VETEMENTS TRAVAIL APV    </v>
          </cell>
        </row>
        <row r="297">
          <cell r="A297">
            <v>606500</v>
          </cell>
          <cell r="B297" t="str">
            <v>VETEMENTS TRAVAIL STRUCT.</v>
          </cell>
        </row>
        <row r="298">
          <cell r="A298">
            <v>607000</v>
          </cell>
          <cell r="B298" t="str">
            <v>GRAVAGES VN SS TVA       </v>
          </cell>
        </row>
        <row r="299">
          <cell r="A299">
            <v>607000</v>
          </cell>
          <cell r="B299" t="str">
            <v>ACHAT TATOUAGES          </v>
          </cell>
        </row>
        <row r="300">
          <cell r="A300">
            <v>607100</v>
          </cell>
          <cell r="B300" t="str">
            <v>ACHATS VN                </v>
          </cell>
        </row>
        <row r="301">
          <cell r="A301">
            <v>607100</v>
          </cell>
          <cell r="B301" t="str">
            <v>ACHATS VN - GTIES PRIX   </v>
          </cell>
        </row>
        <row r="302">
          <cell r="A302">
            <v>607100</v>
          </cell>
          <cell r="B302" t="str">
            <v>ACHATS/VTES VD           </v>
          </cell>
        </row>
        <row r="303">
          <cell r="A303">
            <v>607100</v>
          </cell>
          <cell r="B303" t="str">
            <v>ACHATS RETRO.VN          </v>
          </cell>
        </row>
        <row r="304">
          <cell r="A304">
            <v>607110</v>
          </cell>
          <cell r="B304" t="str">
            <v>TRANSFORMATIONS VN       </v>
          </cell>
        </row>
        <row r="305">
          <cell r="A305">
            <v>607120</v>
          </cell>
          <cell r="B305" t="str">
            <v>ACH.POSE ACCESSOIRES EXT.</v>
          </cell>
        </row>
        <row r="306">
          <cell r="A306">
            <v>607400</v>
          </cell>
          <cell r="B306" t="str">
            <v>ACH VO EXTER TVA MARGE   </v>
          </cell>
        </row>
        <row r="307">
          <cell r="A307">
            <v>607400</v>
          </cell>
          <cell r="B307" t="str">
            <v>ACH VO/VN TVA / MARGE    </v>
          </cell>
        </row>
        <row r="308">
          <cell r="A308">
            <v>607400</v>
          </cell>
          <cell r="B308" t="str">
            <v>ACH VO/VO TVA / MARGE    </v>
          </cell>
        </row>
        <row r="309">
          <cell r="A309">
            <v>607400</v>
          </cell>
          <cell r="B309" t="str">
            <v>ACHATS VO EXTERIEUR.     </v>
          </cell>
        </row>
        <row r="310">
          <cell r="A310">
            <v>607400</v>
          </cell>
          <cell r="B310" t="str">
            <v>ACHATS VO/VN             </v>
          </cell>
        </row>
        <row r="311">
          <cell r="A311">
            <v>607400</v>
          </cell>
          <cell r="B311" t="str">
            <v>ACHATS VO/VO             </v>
          </cell>
        </row>
        <row r="312">
          <cell r="A312">
            <v>607400</v>
          </cell>
          <cell r="B312" t="str">
            <v>ACHAT VO BUY BACK TVA REC</v>
          </cell>
        </row>
        <row r="313">
          <cell r="A313">
            <v>607499</v>
          </cell>
          <cell r="B313" t="str">
            <v>ACHAT VO TVA MG-INTRA GRO</v>
          </cell>
        </row>
        <row r="314">
          <cell r="A314">
            <v>607499</v>
          </cell>
          <cell r="B314" t="str">
            <v>ACH VO TVA DED GROUPE    </v>
          </cell>
        </row>
        <row r="315">
          <cell r="A315">
            <v>607600</v>
          </cell>
          <cell r="B315" t="str">
            <v>ACHATS PR CITROEN EXO.   </v>
          </cell>
        </row>
        <row r="316">
          <cell r="A316">
            <v>607600</v>
          </cell>
          <cell r="B316" t="str">
            <v>ACHATS BOUTIQUE STATION 5</v>
          </cell>
        </row>
        <row r="317">
          <cell r="A317">
            <v>607600</v>
          </cell>
          <cell r="B317" t="str">
            <v>ACHATS PIECES DIVERS.    </v>
          </cell>
        </row>
        <row r="318">
          <cell r="A318">
            <v>607600</v>
          </cell>
          <cell r="B318" t="str">
            <v>ACHATS PR CITROEN        </v>
          </cell>
        </row>
        <row r="319">
          <cell r="A319">
            <v>607600</v>
          </cell>
          <cell r="B319" t="str">
            <v>ACHATS PNEUS             </v>
          </cell>
        </row>
        <row r="320">
          <cell r="A320">
            <v>607600</v>
          </cell>
          <cell r="B320" t="str">
            <v>ACHATS PR CITROEN CONSTRU</v>
          </cell>
        </row>
        <row r="321">
          <cell r="A321">
            <v>607600</v>
          </cell>
          <cell r="B321" t="str">
            <v>PIECES EXT.APV           </v>
          </cell>
        </row>
        <row r="322">
          <cell r="A322">
            <v>607600</v>
          </cell>
          <cell r="B322" t="str">
            <v>ACHATS BOUTIQUE STATION  </v>
          </cell>
        </row>
        <row r="323">
          <cell r="A323">
            <v>607600</v>
          </cell>
          <cell r="B323" t="str">
            <v>ACHATS LUBRIFIANTS       </v>
          </cell>
        </row>
        <row r="324">
          <cell r="A324">
            <v>607699</v>
          </cell>
          <cell r="B324" t="str">
            <v>ACHATS PIECES DIV.GROUPE </v>
          </cell>
        </row>
        <row r="325">
          <cell r="A325">
            <v>607699</v>
          </cell>
          <cell r="B325" t="str">
            <v>ACHATS PIECES ^ GROUPE   </v>
          </cell>
        </row>
        <row r="326">
          <cell r="A326">
            <v>609700</v>
          </cell>
          <cell r="B326" t="str">
            <v>PRIME PERFORMANCE CITROEN</v>
          </cell>
        </row>
        <row r="327">
          <cell r="A327">
            <v>609700</v>
          </cell>
          <cell r="B327" t="str">
            <v>RFA LUBRIFIANTS          </v>
          </cell>
        </row>
        <row r="328">
          <cell r="A328">
            <v>609701</v>
          </cell>
          <cell r="B328" t="str">
            <v>PRIME QUALITE CITROEN    </v>
          </cell>
        </row>
        <row r="329">
          <cell r="A329">
            <v>609701</v>
          </cell>
          <cell r="B329" t="str">
            <v>PRIME QUALITE RESEAU APV </v>
          </cell>
        </row>
        <row r="330">
          <cell r="A330">
            <v>609710</v>
          </cell>
          <cell r="B330" t="str">
            <v>RRO / VD CONCESSION      </v>
          </cell>
        </row>
        <row r="331">
          <cell r="A331">
            <v>609710</v>
          </cell>
          <cell r="B331" t="str">
            <v>PRIMES PLAN ACTION COMMER</v>
          </cell>
        </row>
        <row r="332">
          <cell r="A332">
            <v>609710</v>
          </cell>
          <cell r="B332" t="str">
            <v>PARTICIP COMMERCIALES    </v>
          </cell>
        </row>
        <row r="333">
          <cell r="A333">
            <v>609710</v>
          </cell>
          <cell r="B333" t="str">
            <v>PARTICIPATION GDES STES  </v>
          </cell>
        </row>
        <row r="334">
          <cell r="A334">
            <v>609710</v>
          </cell>
          <cell r="B334" t="str">
            <v>PRIMES LOC COURTES DUREES</v>
          </cell>
        </row>
        <row r="335">
          <cell r="A335">
            <v>609710</v>
          </cell>
          <cell r="B335" t="str">
            <v>PRIMES AUTO-ECOLE        </v>
          </cell>
        </row>
        <row r="336">
          <cell r="A336">
            <v>609710</v>
          </cell>
          <cell r="B336" t="str">
            <v>RRO / VD CONCESSION      </v>
          </cell>
        </row>
        <row r="337">
          <cell r="A337">
            <v>609710</v>
          </cell>
          <cell r="B337" t="str">
            <v>RRO / VD AGENTS          </v>
          </cell>
        </row>
        <row r="338">
          <cell r="A338">
            <v>609710</v>
          </cell>
          <cell r="B338" t="str">
            <v>PRIME ^ PTO - PEO        </v>
          </cell>
        </row>
        <row r="339">
          <cell r="A339">
            <v>609710</v>
          </cell>
          <cell r="B339" t="str">
            <v>PRIME CONJONCTURELLE PR  </v>
          </cell>
        </row>
        <row r="340">
          <cell r="A340">
            <v>609710</v>
          </cell>
          <cell r="B340" t="str">
            <v>REMISES PROMO PR CITRO   </v>
          </cell>
        </row>
        <row r="341">
          <cell r="A341">
            <v>609710</v>
          </cell>
          <cell r="B341" t="str">
            <v>PRIME PR/MICHELIN CITROEN</v>
          </cell>
        </row>
        <row r="342">
          <cell r="A342">
            <v>609710</v>
          </cell>
          <cell r="B342" t="str">
            <v>PARTICIPATION PUB.APV    </v>
          </cell>
        </row>
        <row r="343">
          <cell r="A343">
            <v>609710</v>
          </cell>
          <cell r="B343" t="str">
            <v>PROMOS PR POUR APV       </v>
          </cell>
        </row>
        <row r="344">
          <cell r="A344">
            <v>609799</v>
          </cell>
          <cell r="B344" t="str">
            <v>PRIME PNEUS ACCORD GROUPE</v>
          </cell>
        </row>
        <row r="345">
          <cell r="A345">
            <v>611000</v>
          </cell>
          <cell r="B345" t="str">
            <v>GTIES VO PAR TIERS EXO.  </v>
          </cell>
        </row>
        <row r="346">
          <cell r="A346">
            <v>611000</v>
          </cell>
          <cell r="B346" t="str">
            <v>COUT.EXT.TRAIT.INFO.VN   </v>
          </cell>
        </row>
        <row r="347">
          <cell r="A347">
            <v>611000</v>
          </cell>
          <cell r="B347" t="str">
            <v>GARANTIE VO PAR TIERS    </v>
          </cell>
        </row>
        <row r="348">
          <cell r="A348">
            <v>611000</v>
          </cell>
          <cell r="B348" t="str">
            <v>COUT EXT. TRAIT. INFORM. </v>
          </cell>
        </row>
        <row r="349">
          <cell r="A349">
            <v>611099</v>
          </cell>
          <cell r="B349" t="str">
            <v>PREST.EXT.VN BDD CRM GROU</v>
          </cell>
        </row>
        <row r="350">
          <cell r="A350">
            <v>611099</v>
          </cell>
          <cell r="B350" t="str">
            <v>PREST.EXT.VO BDD CRM GROU</v>
          </cell>
        </row>
        <row r="351">
          <cell r="A351">
            <v>611099</v>
          </cell>
          <cell r="B351" t="str">
            <v>PREST.EX.APV BDD CRM GROU</v>
          </cell>
        </row>
        <row r="352">
          <cell r="A352">
            <v>611099</v>
          </cell>
          <cell r="B352" t="str">
            <v>PREST.EXT.VN.BDD.CRM GROU</v>
          </cell>
        </row>
        <row r="353">
          <cell r="A353">
            <v>611100</v>
          </cell>
          <cell r="B353" t="str">
            <v>PRESTATION EXT.APV       </v>
          </cell>
        </row>
        <row r="354">
          <cell r="A354">
            <v>611200</v>
          </cell>
          <cell r="B354" t="str">
            <v>RETRO.LOCATION EXT.PR    </v>
          </cell>
        </row>
        <row r="355">
          <cell r="A355">
            <v>611299</v>
          </cell>
          <cell r="B355" t="str">
            <v>LOCATION/MAINTENANCE TPE </v>
          </cell>
        </row>
        <row r="356">
          <cell r="A356">
            <v>611299</v>
          </cell>
          <cell r="B356" t="str">
            <v>LOCATION/MAINTENANCE TPE </v>
          </cell>
        </row>
        <row r="357">
          <cell r="A357">
            <v>611900</v>
          </cell>
          <cell r="B357" t="str">
            <v>COUTS TRAITEMENT DECHETS </v>
          </cell>
        </row>
        <row r="358">
          <cell r="A358">
            <v>611999</v>
          </cell>
          <cell r="B358" t="str">
            <v>COUT TRAIT.DECHETS GROUPE</v>
          </cell>
        </row>
        <row r="359">
          <cell r="A359">
            <v>613299</v>
          </cell>
          <cell r="B359" t="str">
            <v>LOYER IMMOB. GROUPE      </v>
          </cell>
        </row>
        <row r="360">
          <cell r="A360">
            <v>613500</v>
          </cell>
          <cell r="B360" t="str">
            <v>LOCATION MOBILIERE       </v>
          </cell>
        </row>
        <row r="361">
          <cell r="A361">
            <v>613500</v>
          </cell>
          <cell r="B361" t="str">
            <v>LOCATION MATERIEL VN     </v>
          </cell>
        </row>
        <row r="362">
          <cell r="A362">
            <v>613500</v>
          </cell>
          <cell r="B362" t="str">
            <v>LOCATION VEH. PAR VN     </v>
          </cell>
        </row>
        <row r="363">
          <cell r="A363">
            <v>613500</v>
          </cell>
          <cell r="B363" t="str">
            <v>LOCATION VEH PAR PR      </v>
          </cell>
        </row>
        <row r="364">
          <cell r="A364">
            <v>613500</v>
          </cell>
          <cell r="B364" t="str">
            <v>LOCATION MAT-OUTILLAG.APV</v>
          </cell>
        </row>
        <row r="365">
          <cell r="A365">
            <v>613500</v>
          </cell>
          <cell r="B365" t="str">
            <v>REDEVANCE ENSEIGN.AGENC. </v>
          </cell>
        </row>
        <row r="366">
          <cell r="A366">
            <v>613500</v>
          </cell>
          <cell r="B366" t="str">
            <v>LOCATION MOBILIERE       </v>
          </cell>
        </row>
        <row r="367">
          <cell r="A367">
            <v>613560</v>
          </cell>
          <cell r="B367" t="str">
            <v>CREDIT BAIL DEPANEUSE APV</v>
          </cell>
        </row>
        <row r="368">
          <cell r="A368">
            <v>615200</v>
          </cell>
          <cell r="B368" t="str">
            <v>ENT.REPARATION LOCAUX EXO</v>
          </cell>
        </row>
        <row r="369">
          <cell r="A369">
            <v>615200</v>
          </cell>
          <cell r="B369" t="str">
            <v>ENT.REP.LOCAUX VN        </v>
          </cell>
        </row>
        <row r="370">
          <cell r="A370">
            <v>615200</v>
          </cell>
          <cell r="B370" t="str">
            <v>ENT.REP.LOCAUX VO        </v>
          </cell>
        </row>
        <row r="371">
          <cell r="A371">
            <v>615200</v>
          </cell>
          <cell r="B371" t="str">
            <v>ENT.REP.LOCAUX APV       </v>
          </cell>
        </row>
        <row r="372">
          <cell r="A372">
            <v>615200</v>
          </cell>
          <cell r="B372" t="str">
            <v>ENT.REP.LOCAUX STATION   </v>
          </cell>
        </row>
        <row r="373">
          <cell r="A373">
            <v>615200</v>
          </cell>
          <cell r="B373" t="str">
            <v>ENT.REP.LOCAUX STRUCTURE </v>
          </cell>
        </row>
        <row r="374">
          <cell r="A374">
            <v>615500</v>
          </cell>
          <cell r="B374" t="str">
            <v>ENT.REP.MATERIEL STRUCTUR</v>
          </cell>
        </row>
        <row r="375">
          <cell r="A375">
            <v>615500</v>
          </cell>
          <cell r="B375" t="str">
            <v>ENT.REP.MATERIEL VN      </v>
          </cell>
        </row>
        <row r="376">
          <cell r="A376">
            <v>615500</v>
          </cell>
          <cell r="B376" t="str">
            <v>ENT.REP.MATERIEL VO      </v>
          </cell>
        </row>
        <row r="377">
          <cell r="A377">
            <v>615500</v>
          </cell>
          <cell r="B377" t="str">
            <v>ENT.REP.MATERIEL PR      </v>
          </cell>
        </row>
        <row r="378">
          <cell r="A378">
            <v>615500</v>
          </cell>
          <cell r="B378" t="str">
            <v>ENT.REP.MATERIEL APV     </v>
          </cell>
        </row>
        <row r="379">
          <cell r="A379">
            <v>615500</v>
          </cell>
          <cell r="B379" t="str">
            <v>ENT.REP.MATERIEL STATION </v>
          </cell>
        </row>
        <row r="380">
          <cell r="A380">
            <v>615500</v>
          </cell>
          <cell r="B380" t="str">
            <v>ENT.REP.MATERIEL STRUCTUR</v>
          </cell>
        </row>
        <row r="381">
          <cell r="A381">
            <v>615510</v>
          </cell>
          <cell r="B381" t="str">
            <v>ENTRETIEN REPAR VEH ATELI</v>
          </cell>
        </row>
        <row r="382">
          <cell r="A382">
            <v>615550</v>
          </cell>
          <cell r="B382" t="str">
            <v>ENT.MAT.BUREAU STRUCTURE </v>
          </cell>
        </row>
        <row r="383">
          <cell r="A383">
            <v>615599</v>
          </cell>
          <cell r="B383" t="str">
            <v>SINIST.VOLS DEGRAD.APV GR</v>
          </cell>
        </row>
        <row r="384">
          <cell r="A384">
            <v>615599</v>
          </cell>
          <cell r="B384" t="str">
            <v>ENT.REP.MAT.GROUPE STR.  </v>
          </cell>
        </row>
        <row r="385">
          <cell r="A385">
            <v>615600</v>
          </cell>
          <cell r="B385" t="str">
            <v>MAITENANCE APV           </v>
          </cell>
        </row>
        <row r="386">
          <cell r="A386">
            <v>615600</v>
          </cell>
          <cell r="B386" t="str">
            <v>MAINTENANCE GENERALE     </v>
          </cell>
        </row>
        <row r="387">
          <cell r="A387">
            <v>615700</v>
          </cell>
          <cell r="B387" t="str">
            <v>ENTRETIEN VET.TRAVAIL VN </v>
          </cell>
        </row>
        <row r="388">
          <cell r="A388">
            <v>615700</v>
          </cell>
          <cell r="B388" t="str">
            <v>ENTRETIEN VET.TRAVAIL VO </v>
          </cell>
        </row>
        <row r="389">
          <cell r="A389">
            <v>615700</v>
          </cell>
          <cell r="B389" t="str">
            <v>ENTRETIEN VET.TRAVAIL APV</v>
          </cell>
        </row>
        <row r="390">
          <cell r="A390">
            <v>616100</v>
          </cell>
          <cell r="B390" t="str">
            <v>ASSUR ET FRANCH VN       </v>
          </cell>
        </row>
        <row r="391">
          <cell r="A391">
            <v>616199</v>
          </cell>
          <cell r="B391" t="str">
            <v>ASSURANCE AVEC TVA       </v>
          </cell>
        </row>
        <row r="392">
          <cell r="A392">
            <v>618100</v>
          </cell>
          <cell r="B392" t="str">
            <v>DOCUMENTION GENERALE VN  </v>
          </cell>
        </row>
        <row r="393">
          <cell r="A393">
            <v>618100</v>
          </cell>
          <cell r="B393" t="str">
            <v>DOCUMENTATION GENERALE PR</v>
          </cell>
        </row>
        <row r="394">
          <cell r="A394">
            <v>618100</v>
          </cell>
          <cell r="B394" t="str">
            <v>DOCUMENTATION GENERAL.APV</v>
          </cell>
        </row>
        <row r="395">
          <cell r="A395">
            <v>618101</v>
          </cell>
          <cell r="B395" t="str">
            <v>ABONNEMENT EXPRESSPAD    </v>
          </cell>
        </row>
        <row r="396">
          <cell r="A396">
            <v>618199</v>
          </cell>
          <cell r="B396" t="str">
            <v>FRAIS DE CONSULT ARGUS   </v>
          </cell>
        </row>
        <row r="397">
          <cell r="A397">
            <v>618199</v>
          </cell>
          <cell r="B397" t="str">
            <v>FRAIS DE CONSULT ARGUS   </v>
          </cell>
        </row>
        <row r="398">
          <cell r="A398">
            <v>621499</v>
          </cell>
          <cell r="B398" t="str">
            <v>PERSON.EXT.ENT.VO GROUPE </v>
          </cell>
        </row>
        <row r="399">
          <cell r="A399">
            <v>621499</v>
          </cell>
          <cell r="B399" t="str">
            <v>PERSON.EXT.ENT.APV GROUPE</v>
          </cell>
        </row>
        <row r="400">
          <cell r="A400">
            <v>621499</v>
          </cell>
          <cell r="B400" t="str">
            <v>SOUS TRAITANCE GROUPE    </v>
          </cell>
        </row>
        <row r="401">
          <cell r="A401">
            <v>622200</v>
          </cell>
          <cell r="B401" t="str">
            <v>PRIMES RESEAU PR A REVERS</v>
          </cell>
        </row>
        <row r="402">
          <cell r="A402">
            <v>622200</v>
          </cell>
          <cell r="B402" t="str">
            <v>INTERMEDIAIRES DIVERS EXO</v>
          </cell>
        </row>
        <row r="403">
          <cell r="A403">
            <v>622200</v>
          </cell>
          <cell r="B403" t="str">
            <v>COMMISSIONS /VENTES VN   </v>
          </cell>
        </row>
        <row r="404">
          <cell r="A404">
            <v>622200</v>
          </cell>
          <cell r="B404" t="str">
            <v>COMM.^OBJECT.VN AGTS     </v>
          </cell>
        </row>
        <row r="405">
          <cell r="A405">
            <v>622200</v>
          </cell>
          <cell r="B405" t="str">
            <v>COMMISSIONS/VENTES VO    </v>
          </cell>
        </row>
        <row r="406">
          <cell r="A406">
            <v>622200</v>
          </cell>
          <cell r="B406" t="str">
            <v>PRIMES RESEAU A REVERSER </v>
          </cell>
        </row>
        <row r="407">
          <cell r="A407">
            <v>622600</v>
          </cell>
          <cell r="B407" t="str">
            <v>HONORAIRES VN            </v>
          </cell>
        </row>
        <row r="408">
          <cell r="A408">
            <v>622600</v>
          </cell>
          <cell r="B408" t="str">
            <v>HONORAIRES VO            </v>
          </cell>
        </row>
        <row r="409">
          <cell r="A409">
            <v>622600</v>
          </cell>
          <cell r="B409" t="str">
            <v>HONORAIRES APV           </v>
          </cell>
        </row>
        <row r="410">
          <cell r="A410">
            <v>622600</v>
          </cell>
          <cell r="B410" t="str">
            <v>HONORAIRES STRUCTURE     </v>
          </cell>
        </row>
        <row r="411">
          <cell r="A411">
            <v>622700</v>
          </cell>
          <cell r="B411" t="str">
            <v>FRAIS ACTE ET CONTENTIEUX</v>
          </cell>
        </row>
        <row r="412">
          <cell r="A412">
            <v>622700</v>
          </cell>
          <cell r="B412" t="str">
            <v>FRAIS ACTES &amp; CONTENTIEUX</v>
          </cell>
        </row>
        <row r="413">
          <cell r="A413">
            <v>623000</v>
          </cell>
          <cell r="B413" t="str">
            <v>PUBLICITE VN EXO.        </v>
          </cell>
        </row>
        <row r="414">
          <cell r="A414">
            <v>623000</v>
          </cell>
          <cell r="B414" t="str">
            <v>LANCEMENT NOUVEAU MODELE </v>
          </cell>
        </row>
        <row r="415">
          <cell r="A415">
            <v>623000</v>
          </cell>
          <cell r="B415" t="str">
            <v>PUBLICITE STRUCTURE EXO. </v>
          </cell>
        </row>
        <row r="416">
          <cell r="A416">
            <v>623000</v>
          </cell>
          <cell r="B416" t="str">
            <v>PUBLICITE VN             </v>
          </cell>
        </row>
        <row r="417">
          <cell r="A417">
            <v>623000</v>
          </cell>
          <cell r="B417" t="str">
            <v>LANCEMENT NOUVEAU MODELE </v>
          </cell>
        </row>
        <row r="418">
          <cell r="A418">
            <v>623000</v>
          </cell>
          <cell r="B418" t="str">
            <v>PUBLICITE VN             </v>
          </cell>
        </row>
        <row r="419">
          <cell r="A419">
            <v>623000</v>
          </cell>
          <cell r="B419" t="str">
            <v>LANCEMENT NOUVEAU MODELE </v>
          </cell>
        </row>
        <row r="420">
          <cell r="A420">
            <v>623000</v>
          </cell>
          <cell r="B420" t="str">
            <v>PUBLICITE VO             </v>
          </cell>
        </row>
        <row r="421">
          <cell r="A421">
            <v>623000</v>
          </cell>
          <cell r="B421" t="str">
            <v>PUBLICITE PR             </v>
          </cell>
        </row>
        <row r="422">
          <cell r="A422">
            <v>623000</v>
          </cell>
          <cell r="B422" t="str">
            <v>PUBLICITE APV            </v>
          </cell>
        </row>
        <row r="423">
          <cell r="A423">
            <v>623000</v>
          </cell>
          <cell r="B423" t="str">
            <v>PUBLICITE STATION        </v>
          </cell>
        </row>
        <row r="424">
          <cell r="A424">
            <v>623000</v>
          </cell>
          <cell r="B424" t="str">
            <v>PUBLICITE STRUCTURE      </v>
          </cell>
        </row>
        <row r="425">
          <cell r="A425">
            <v>623000</v>
          </cell>
          <cell r="B425" t="str">
            <v>PUB.NATIONALE ^          </v>
          </cell>
        </row>
        <row r="426">
          <cell r="A426">
            <v>623000</v>
          </cell>
          <cell r="B426" t="str">
            <v>PUBLICITE GIE CITROEN    </v>
          </cell>
        </row>
        <row r="427">
          <cell r="A427">
            <v>623099</v>
          </cell>
          <cell r="B427" t="str">
            <v>PUB.VN GROUPE            </v>
          </cell>
        </row>
        <row r="428">
          <cell r="A428">
            <v>623099</v>
          </cell>
          <cell r="B428" t="str">
            <v>PUB.VO GROUPE            </v>
          </cell>
        </row>
        <row r="429">
          <cell r="A429">
            <v>623099</v>
          </cell>
          <cell r="B429" t="str">
            <v>PUB. APV GROUPE          </v>
          </cell>
        </row>
        <row r="430">
          <cell r="A430">
            <v>623400</v>
          </cell>
          <cell r="B430" t="str">
            <v>CADEAUX VO EXO.          </v>
          </cell>
        </row>
        <row r="431">
          <cell r="A431">
            <v>623400</v>
          </cell>
          <cell r="B431" t="str">
            <v>CADEAUX 10 % VN          </v>
          </cell>
        </row>
        <row r="432">
          <cell r="A432">
            <v>623400</v>
          </cell>
          <cell r="B432" t="str">
            <v>CADEAUX VO 20 %          </v>
          </cell>
        </row>
        <row r="433">
          <cell r="A433">
            <v>623800</v>
          </cell>
          <cell r="B433" t="str">
            <v>DONS POURBOIRES STRUCTURE</v>
          </cell>
        </row>
        <row r="434">
          <cell r="A434">
            <v>623850</v>
          </cell>
          <cell r="B434" t="str">
            <v>OPERATION CIALE APV      </v>
          </cell>
        </row>
        <row r="435">
          <cell r="A435">
            <v>624100</v>
          </cell>
          <cell r="B435" t="str">
            <v>DEBOURS/ACHATS PR        </v>
          </cell>
        </row>
        <row r="436">
          <cell r="A436">
            <v>624100</v>
          </cell>
          <cell r="B436" t="str">
            <v>PORT CONVOYAGE VN        </v>
          </cell>
        </row>
        <row r="437">
          <cell r="A437">
            <v>624100</v>
          </cell>
          <cell r="B437" t="str">
            <v>PORT CONVOYAGE VO        </v>
          </cell>
        </row>
        <row r="438">
          <cell r="A438">
            <v>624100</v>
          </cell>
          <cell r="B438" t="str">
            <v>TRANSPORT/ACHATS PR      </v>
          </cell>
        </row>
        <row r="439">
          <cell r="A439">
            <v>625100</v>
          </cell>
          <cell r="B439" t="str">
            <v>INDEMN.DEPLACEMENTS VN   </v>
          </cell>
        </row>
        <row r="440">
          <cell r="A440">
            <v>625100</v>
          </cell>
          <cell r="B440" t="str">
            <v>INDEMN.DEPLACEMENTS VO   </v>
          </cell>
        </row>
        <row r="441">
          <cell r="A441">
            <v>625100</v>
          </cell>
          <cell r="B441" t="str">
            <v>INDEMN.DEPLACEMENTS PR   </v>
          </cell>
        </row>
        <row r="442">
          <cell r="A442">
            <v>625100</v>
          </cell>
          <cell r="B442" t="str">
            <v>INDEMN.DEPLACEMENTS APV  </v>
          </cell>
        </row>
        <row r="443">
          <cell r="A443">
            <v>625100</v>
          </cell>
          <cell r="B443" t="str">
            <v>DEPL DEPANNAGES APV EXO  </v>
          </cell>
        </row>
        <row r="444">
          <cell r="A444">
            <v>625100</v>
          </cell>
          <cell r="B444" t="str">
            <v>INDEMN.DEPLACEMENTS STRUT</v>
          </cell>
        </row>
        <row r="445">
          <cell r="A445">
            <v>625100</v>
          </cell>
          <cell r="B445" t="str">
            <v>IND.DEPLACEM.VO 10%      </v>
          </cell>
        </row>
        <row r="446">
          <cell r="A446">
            <v>625100</v>
          </cell>
          <cell r="B446" t="str">
            <v>DEPLCT 10 % STRUCTURE    </v>
          </cell>
        </row>
        <row r="447">
          <cell r="A447">
            <v>625100</v>
          </cell>
          <cell r="B447" t="str">
            <v>INDEMN DEPLACT VN 20%    </v>
          </cell>
        </row>
        <row r="448">
          <cell r="A448">
            <v>625100</v>
          </cell>
          <cell r="B448" t="str">
            <v>INDMN DEPLACT VO 20%     </v>
          </cell>
        </row>
        <row r="449">
          <cell r="A449">
            <v>625100</v>
          </cell>
          <cell r="B449" t="str">
            <v>INDEMN DEPLACT PR 20%    </v>
          </cell>
        </row>
        <row r="450">
          <cell r="A450">
            <v>625100</v>
          </cell>
          <cell r="B450" t="str">
            <v>INDEMN DEPLACT APV 20%   </v>
          </cell>
        </row>
        <row r="451">
          <cell r="A451">
            <v>625100</v>
          </cell>
          <cell r="B451" t="str">
            <v>DEPLACEM.DEPANNAGES APV  </v>
          </cell>
        </row>
        <row r="452">
          <cell r="A452">
            <v>625100</v>
          </cell>
          <cell r="B452" t="str">
            <v>INDEMN DEPLT STUCT 20%   </v>
          </cell>
        </row>
        <row r="453">
          <cell r="A453">
            <v>625600</v>
          </cell>
          <cell r="B453" t="str">
            <v>MISSIONS APV             </v>
          </cell>
        </row>
        <row r="454">
          <cell r="A454">
            <v>625600</v>
          </cell>
          <cell r="B454" t="str">
            <v>MISSIONS STRUCTURE       </v>
          </cell>
        </row>
        <row r="455">
          <cell r="A455">
            <v>625600</v>
          </cell>
          <cell r="B455" t="str">
            <v>MISSION VN 5,5 %         </v>
          </cell>
        </row>
        <row r="456">
          <cell r="A456">
            <v>625600</v>
          </cell>
          <cell r="B456" t="str">
            <v>MISSIONS VO 5,5 %        </v>
          </cell>
        </row>
        <row r="457">
          <cell r="A457">
            <v>625600</v>
          </cell>
          <cell r="B457" t="str">
            <v>MISSION APV 5,5 %        </v>
          </cell>
        </row>
        <row r="458">
          <cell r="A458">
            <v>625600</v>
          </cell>
          <cell r="B458" t="str">
            <v>MISSION STRUCTURE 5,5 %  </v>
          </cell>
        </row>
        <row r="459">
          <cell r="A459">
            <v>625600</v>
          </cell>
          <cell r="B459" t="str">
            <v>MISSIONS VN 10 %         </v>
          </cell>
        </row>
        <row r="460">
          <cell r="A460">
            <v>625600</v>
          </cell>
          <cell r="B460" t="str">
            <v>MISSIONS VO 10 %         </v>
          </cell>
        </row>
        <row r="461">
          <cell r="A461">
            <v>625600</v>
          </cell>
          <cell r="B461" t="str">
            <v>MISSIONS APV 10 %        </v>
          </cell>
        </row>
        <row r="462">
          <cell r="A462">
            <v>625600</v>
          </cell>
          <cell r="B462" t="str">
            <v>MISSIONS STRUCT 10%      </v>
          </cell>
        </row>
        <row r="463">
          <cell r="A463">
            <v>625600</v>
          </cell>
          <cell r="B463" t="str">
            <v>MISSIONS VN 20%          </v>
          </cell>
        </row>
        <row r="464">
          <cell r="A464">
            <v>625600</v>
          </cell>
          <cell r="B464" t="str">
            <v>MISSIONS VO 20%          </v>
          </cell>
        </row>
        <row r="465">
          <cell r="A465">
            <v>625600</v>
          </cell>
          <cell r="B465" t="str">
            <v>MISSIONS APV 20%         </v>
          </cell>
        </row>
        <row r="466">
          <cell r="A466">
            <v>625600</v>
          </cell>
          <cell r="B466" t="str">
            <v>MISSIONS STRUCTURE 20%   </v>
          </cell>
        </row>
        <row r="467">
          <cell r="A467">
            <v>625699</v>
          </cell>
          <cell r="B467" t="str">
            <v>MISSIONS VO GROUPE       </v>
          </cell>
        </row>
        <row r="468">
          <cell r="A468">
            <v>625699</v>
          </cell>
          <cell r="B468" t="str">
            <v>MISSIONS PR GROUPE       </v>
          </cell>
        </row>
        <row r="469">
          <cell r="A469">
            <v>625700</v>
          </cell>
          <cell r="B469" t="str">
            <v>RECEPTIONS APV           </v>
          </cell>
        </row>
        <row r="470">
          <cell r="A470">
            <v>625700</v>
          </cell>
          <cell r="B470" t="str">
            <v>RECEPTIONS STRUCTURE     </v>
          </cell>
        </row>
        <row r="471">
          <cell r="A471">
            <v>625700</v>
          </cell>
          <cell r="B471" t="str">
            <v>RECEPTION VN 5,5 %       </v>
          </cell>
        </row>
        <row r="472">
          <cell r="A472">
            <v>625700</v>
          </cell>
          <cell r="B472" t="str">
            <v>RECEPTION VO 5,5 %       </v>
          </cell>
        </row>
        <row r="473">
          <cell r="A473">
            <v>625700</v>
          </cell>
          <cell r="B473" t="str">
            <v>RECEPTION APV 5,50 %     </v>
          </cell>
        </row>
        <row r="474">
          <cell r="A474">
            <v>625700</v>
          </cell>
          <cell r="B474" t="str">
            <v>RECPTION.STRUCTURE 5,5%  </v>
          </cell>
        </row>
        <row r="475">
          <cell r="A475">
            <v>625700</v>
          </cell>
          <cell r="B475" t="str">
            <v>RECEPTION APV 10%        </v>
          </cell>
        </row>
        <row r="476">
          <cell r="A476">
            <v>625700</v>
          </cell>
          <cell r="B476" t="str">
            <v>RECEPTIONS VN 20%        </v>
          </cell>
        </row>
        <row r="477">
          <cell r="A477">
            <v>625700</v>
          </cell>
          <cell r="B477" t="str">
            <v>RECEPTIONS APV 20%       </v>
          </cell>
        </row>
        <row r="478">
          <cell r="A478">
            <v>625700</v>
          </cell>
          <cell r="B478" t="str">
            <v>RECEPTIONS STRUCT 20%    </v>
          </cell>
        </row>
        <row r="479">
          <cell r="A479">
            <v>625799</v>
          </cell>
          <cell r="B479" t="str">
            <v>RECEPTION APV GROUPE     </v>
          </cell>
        </row>
        <row r="480">
          <cell r="A480">
            <v>626000</v>
          </cell>
          <cell r="B480" t="str">
            <v>AFFRANCHISSEMENT VN      </v>
          </cell>
        </row>
        <row r="481">
          <cell r="A481">
            <v>626000</v>
          </cell>
          <cell r="B481" t="str">
            <v>FRAIS POST. AFFRANCHIS.  </v>
          </cell>
        </row>
        <row r="482">
          <cell r="A482">
            <v>626000</v>
          </cell>
          <cell r="B482" t="str">
            <v>AFFRANCHISSEMENT VN 20%  </v>
          </cell>
        </row>
        <row r="483">
          <cell r="A483">
            <v>626000</v>
          </cell>
          <cell r="B483" t="str">
            <v>FRAIS POST ARRFANCH 20%  </v>
          </cell>
        </row>
        <row r="484">
          <cell r="A484">
            <v>626099</v>
          </cell>
          <cell r="B484" t="str">
            <v>AFFRANCHISSEMENT VN GROUP</v>
          </cell>
        </row>
        <row r="485">
          <cell r="A485">
            <v>626100</v>
          </cell>
          <cell r="B485" t="str">
            <v>TELEPHONE FAX 19,6%      </v>
          </cell>
        </row>
        <row r="486">
          <cell r="A486">
            <v>626100</v>
          </cell>
          <cell r="B486" t="str">
            <v>TELEPHONE FAX 20%        </v>
          </cell>
        </row>
        <row r="487">
          <cell r="A487">
            <v>627800</v>
          </cell>
          <cell r="B487" t="str">
            <v>SERVICES BANCAIRES       </v>
          </cell>
        </row>
        <row r="488">
          <cell r="A488">
            <v>627800</v>
          </cell>
          <cell r="B488" t="str">
            <v>SERVICES BANCAIRES 20%   </v>
          </cell>
        </row>
        <row r="489">
          <cell r="A489">
            <v>627899</v>
          </cell>
          <cell r="B489" t="str">
            <v>FRAIS BANCAIRES GROUPE   </v>
          </cell>
        </row>
        <row r="490">
          <cell r="A490">
            <v>628000</v>
          </cell>
          <cell r="B490" t="str">
            <v>PRESTATIONS EXT. VN      </v>
          </cell>
        </row>
        <row r="491">
          <cell r="A491">
            <v>628000</v>
          </cell>
          <cell r="B491" t="str">
            <v>PRESTATION EXTERIEURE DIV</v>
          </cell>
        </row>
        <row r="492">
          <cell r="A492">
            <v>628000</v>
          </cell>
          <cell r="B492" t="str">
            <v>SERV.EXTERIEURS          </v>
          </cell>
        </row>
        <row r="493">
          <cell r="A493">
            <v>628099</v>
          </cell>
          <cell r="B493" t="str">
            <v>PRESTATIONS EXT.DIV.GROUP</v>
          </cell>
        </row>
        <row r="494">
          <cell r="A494">
            <v>628099</v>
          </cell>
          <cell r="B494" t="str">
            <v>FRAIS SIEGE              </v>
          </cell>
        </row>
        <row r="495">
          <cell r="A495">
            <v>628100</v>
          </cell>
          <cell r="B495" t="str">
            <v>COTISATIONS PLACE NETT   </v>
          </cell>
        </row>
        <row r="496">
          <cell r="A496">
            <v>628110</v>
          </cell>
          <cell r="B496" t="str">
            <v>COTIS. PROF. CNPA        </v>
          </cell>
        </row>
        <row r="497">
          <cell r="A497">
            <v>628120</v>
          </cell>
          <cell r="B497" t="str">
            <v>COTISATIONS PROF.DIVERS. </v>
          </cell>
        </row>
        <row r="498">
          <cell r="A498">
            <v>628120</v>
          </cell>
          <cell r="B498" t="str">
            <v>COT PROFESSION DIV 20%   </v>
          </cell>
        </row>
        <row r="499">
          <cell r="A499">
            <v>628400</v>
          </cell>
          <cell r="B499" t="str">
            <v>FRAIS RECRUT.PERSONNEL VN</v>
          </cell>
        </row>
        <row r="500">
          <cell r="A500">
            <v>628400</v>
          </cell>
          <cell r="B500" t="str">
            <v>FRAIS RECRUT. PERSONNEL  </v>
          </cell>
        </row>
        <row r="501">
          <cell r="A501">
            <v>628499</v>
          </cell>
          <cell r="B501" t="str">
            <v>FRAIS RECRUTEMENT GPE VN </v>
          </cell>
        </row>
        <row r="502">
          <cell r="A502">
            <v>628499</v>
          </cell>
          <cell r="B502" t="str">
            <v>FRAIS RECRUT.PERS.APV GR </v>
          </cell>
        </row>
        <row r="503">
          <cell r="A503">
            <v>633300</v>
          </cell>
          <cell r="B503" t="str">
            <v>TAXE FORMATION VENDEUR VN</v>
          </cell>
        </row>
        <row r="504">
          <cell r="A504">
            <v>633300</v>
          </cell>
          <cell r="B504" t="str">
            <v>TAXE FORMATION PREP VN   </v>
          </cell>
        </row>
        <row r="505">
          <cell r="A505">
            <v>633300</v>
          </cell>
          <cell r="B505" t="str">
            <v>TAXE FORMATION SECRET VN </v>
          </cell>
        </row>
        <row r="506">
          <cell r="A506">
            <v>633300</v>
          </cell>
          <cell r="B506" t="str">
            <v>TAXE FORMATION VENDEUR VO</v>
          </cell>
        </row>
        <row r="507">
          <cell r="A507">
            <v>633300</v>
          </cell>
          <cell r="B507" t="str">
            <v>TAXE FORMATION EQ FREVO  </v>
          </cell>
        </row>
        <row r="508">
          <cell r="A508">
            <v>633300</v>
          </cell>
          <cell r="B508" t="str">
            <v>TAXE FORMATION SECRET VO </v>
          </cell>
        </row>
        <row r="509">
          <cell r="A509">
            <v>633300</v>
          </cell>
          <cell r="B509" t="str">
            <v>TAXE FORMATION MPR       </v>
          </cell>
        </row>
        <row r="510">
          <cell r="A510">
            <v>633300</v>
          </cell>
          <cell r="B510" t="str">
            <v>TAXE FORMATION SECR PR   </v>
          </cell>
        </row>
        <row r="511">
          <cell r="A511">
            <v>633300</v>
          </cell>
          <cell r="B511" t="str">
            <v>TAXE FORM PROD MECA      </v>
          </cell>
        </row>
        <row r="512">
          <cell r="A512">
            <v>633300</v>
          </cell>
          <cell r="B512" t="str">
            <v>TAXE FORMATION SECR APV  </v>
          </cell>
        </row>
        <row r="513">
          <cell r="A513">
            <v>633300</v>
          </cell>
          <cell r="B513" t="str">
            <v>TAXE FORM IMPROD MECA    </v>
          </cell>
        </row>
        <row r="514">
          <cell r="A514">
            <v>633300</v>
          </cell>
          <cell r="B514" t="str">
            <v>TAXE FORMATION PROD DEPAN</v>
          </cell>
        </row>
        <row r="515">
          <cell r="A515">
            <v>633300</v>
          </cell>
          <cell r="B515" t="str">
            <v>TAXE FORM APPRENTIS MECA </v>
          </cell>
        </row>
        <row r="516">
          <cell r="A516">
            <v>633300</v>
          </cell>
          <cell r="B516" t="str">
            <v>TAXE FORMATION STATION   </v>
          </cell>
        </row>
        <row r="517">
          <cell r="A517">
            <v>633300</v>
          </cell>
          <cell r="B517" t="str">
            <v>TAXE FORMATION PROD CHRON</v>
          </cell>
        </row>
        <row r="518">
          <cell r="A518">
            <v>633300</v>
          </cell>
          <cell r="B518" t="str">
            <v>TAXE FORMATION DIRECTION </v>
          </cell>
        </row>
        <row r="519">
          <cell r="A519">
            <v>633300</v>
          </cell>
          <cell r="B519" t="str">
            <v>TAXE FORMATION ADMINISTRA</v>
          </cell>
        </row>
        <row r="520">
          <cell r="A520">
            <v>633300</v>
          </cell>
          <cell r="B520" t="str">
            <v>CHARGE FORMAT REMB ANFA  </v>
          </cell>
        </row>
        <row r="521">
          <cell r="A521">
            <v>633300</v>
          </cell>
          <cell r="B521" t="str">
            <v>FORMATION VENDEUR VN     </v>
          </cell>
        </row>
        <row r="522">
          <cell r="A522">
            <v>633300</v>
          </cell>
          <cell r="B522" t="str">
            <v>FORMATION SECRET.VN      </v>
          </cell>
        </row>
        <row r="523">
          <cell r="A523">
            <v>633300</v>
          </cell>
          <cell r="B523" t="str">
            <v>FORMATION VENDEUR VO     </v>
          </cell>
        </row>
        <row r="524">
          <cell r="A524">
            <v>633300</v>
          </cell>
          <cell r="B524" t="str">
            <v>FORM.SECRET.VO           </v>
          </cell>
        </row>
        <row r="525">
          <cell r="A525">
            <v>633300</v>
          </cell>
          <cell r="B525" t="str">
            <v>FORMATION PROD.MECA.     </v>
          </cell>
        </row>
        <row r="526">
          <cell r="A526">
            <v>633300</v>
          </cell>
          <cell r="B526" t="str">
            <v>FORMATION IMPROD.APV     </v>
          </cell>
        </row>
        <row r="527">
          <cell r="A527">
            <v>633300</v>
          </cell>
          <cell r="B527" t="str">
            <v>TAXE FORMATION DIRECTION </v>
          </cell>
        </row>
        <row r="528">
          <cell r="A528">
            <v>633300</v>
          </cell>
          <cell r="B528" t="str">
            <v>FORMATION PERS.STRUCTURE </v>
          </cell>
        </row>
        <row r="529">
          <cell r="A529">
            <v>633300</v>
          </cell>
          <cell r="B529" t="str">
            <v>FORMATION-APPELS DE FONDS</v>
          </cell>
        </row>
        <row r="530">
          <cell r="A530">
            <v>633400</v>
          </cell>
          <cell r="B530" t="str">
            <v>EFFORT CONST EQ VENTE VN </v>
          </cell>
        </row>
        <row r="531">
          <cell r="A531">
            <v>633400</v>
          </cell>
          <cell r="B531" t="str">
            <v>EFFORT CONST PREP VN     </v>
          </cell>
        </row>
        <row r="532">
          <cell r="A532">
            <v>633400</v>
          </cell>
          <cell r="B532" t="str">
            <v>EFFORT CONST SEC CIAL VN </v>
          </cell>
        </row>
        <row r="533">
          <cell r="A533">
            <v>633400</v>
          </cell>
          <cell r="B533" t="str">
            <v>EFFORT CONST EQ VENTE VO </v>
          </cell>
        </row>
        <row r="534">
          <cell r="A534">
            <v>633400</v>
          </cell>
          <cell r="B534" t="str">
            <v>EFFORT CONST EQ FREVO    </v>
          </cell>
        </row>
        <row r="535">
          <cell r="A535">
            <v>633400</v>
          </cell>
          <cell r="B535" t="str">
            <v>EFFORT CONST SEC CIAL VO </v>
          </cell>
        </row>
        <row r="536">
          <cell r="A536">
            <v>633400</v>
          </cell>
          <cell r="B536" t="str">
            <v>EFFORT CONST PERS MPR    </v>
          </cell>
        </row>
        <row r="537">
          <cell r="A537">
            <v>633400</v>
          </cell>
          <cell r="B537" t="str">
            <v>EFFORT CONST SEC PR      </v>
          </cell>
        </row>
        <row r="538">
          <cell r="A538">
            <v>633400</v>
          </cell>
          <cell r="B538" t="str">
            <v>EFFORT CONST PROD MECA   </v>
          </cell>
        </row>
        <row r="539">
          <cell r="A539">
            <v>633400</v>
          </cell>
          <cell r="B539" t="str">
            <v>EFFORT CONST SEC APV     </v>
          </cell>
        </row>
        <row r="540">
          <cell r="A540">
            <v>633400</v>
          </cell>
          <cell r="B540" t="str">
            <v>EFFORT CONST IMPRO MECA  </v>
          </cell>
        </row>
        <row r="541">
          <cell r="A541">
            <v>633400</v>
          </cell>
          <cell r="B541" t="str">
            <v>EFFORT CONST PROD DEPAN  </v>
          </cell>
        </row>
        <row r="542">
          <cell r="A542">
            <v>633400</v>
          </cell>
          <cell r="B542" t="str">
            <v>EFF CONST APPRENTIS MECA </v>
          </cell>
        </row>
        <row r="543">
          <cell r="A543">
            <v>633400</v>
          </cell>
          <cell r="B543" t="str">
            <v>EFFORT CONST STATION     </v>
          </cell>
        </row>
        <row r="544">
          <cell r="A544">
            <v>633400</v>
          </cell>
          <cell r="B544" t="str">
            <v>EFFORT CONST PROD CHRONO </v>
          </cell>
        </row>
        <row r="545">
          <cell r="A545">
            <v>633400</v>
          </cell>
          <cell r="B545" t="str">
            <v>EFFORT CONST DIRECTION   </v>
          </cell>
        </row>
        <row r="546">
          <cell r="A546">
            <v>633400</v>
          </cell>
          <cell r="B546" t="str">
            <v>EFFORT CONST PERS ADM    </v>
          </cell>
        </row>
        <row r="547">
          <cell r="A547">
            <v>633500</v>
          </cell>
          <cell r="B547" t="str">
            <v>TAXE APPRENT EQ VENTE VN </v>
          </cell>
        </row>
        <row r="548">
          <cell r="A548">
            <v>633500</v>
          </cell>
          <cell r="B548" t="str">
            <v>TAXE APPRENT PREP VN     </v>
          </cell>
        </row>
        <row r="549">
          <cell r="A549">
            <v>633500</v>
          </cell>
          <cell r="B549" t="str">
            <v>TAXE APPRENT SEC CIAL VN </v>
          </cell>
        </row>
        <row r="550">
          <cell r="A550">
            <v>633500</v>
          </cell>
          <cell r="B550" t="str">
            <v>TAXE APPRENT EQ VENTE VO </v>
          </cell>
        </row>
        <row r="551">
          <cell r="A551">
            <v>633500</v>
          </cell>
          <cell r="B551" t="str">
            <v>TAXE APPRENT  EQ FREVO   </v>
          </cell>
        </row>
        <row r="552">
          <cell r="A552">
            <v>633500</v>
          </cell>
          <cell r="B552" t="str">
            <v>TAXE APPRENT SEC CIAL VO </v>
          </cell>
        </row>
        <row r="553">
          <cell r="A553">
            <v>633500</v>
          </cell>
          <cell r="B553" t="str">
            <v>TAXE APPRENT PERS MPR    </v>
          </cell>
        </row>
        <row r="554">
          <cell r="A554">
            <v>633500</v>
          </cell>
          <cell r="B554" t="str">
            <v>TAXE APPRENT SEC PR      </v>
          </cell>
        </row>
        <row r="555">
          <cell r="A555">
            <v>633500</v>
          </cell>
          <cell r="B555" t="str">
            <v>TAXE APPRENT PROD MECA   </v>
          </cell>
        </row>
        <row r="556">
          <cell r="A556">
            <v>633500</v>
          </cell>
          <cell r="B556" t="str">
            <v>TAXE APPRENT SEC APV     </v>
          </cell>
        </row>
        <row r="557">
          <cell r="A557">
            <v>633500</v>
          </cell>
          <cell r="B557" t="str">
            <v>TAXE APPRENT IMPRO MECA  </v>
          </cell>
        </row>
        <row r="558">
          <cell r="A558">
            <v>633500</v>
          </cell>
          <cell r="B558" t="str">
            <v>TAXE APPRENT PROD DEPAN  </v>
          </cell>
        </row>
        <row r="559">
          <cell r="A559">
            <v>633500</v>
          </cell>
          <cell r="B559" t="str">
            <v>TAXE APPRENT APPRENT MECA</v>
          </cell>
        </row>
        <row r="560">
          <cell r="A560">
            <v>633500</v>
          </cell>
          <cell r="B560" t="str">
            <v>TAXE APPRENT STATION     </v>
          </cell>
        </row>
        <row r="561">
          <cell r="A561">
            <v>633500</v>
          </cell>
          <cell r="B561" t="str">
            <v>TAXE APPRENT PROD CHRONO </v>
          </cell>
        </row>
        <row r="562">
          <cell r="A562">
            <v>633500</v>
          </cell>
          <cell r="B562" t="str">
            <v>TAXE APPRENT DIRECTION   </v>
          </cell>
        </row>
        <row r="563">
          <cell r="A563">
            <v>633500</v>
          </cell>
          <cell r="B563" t="str">
            <v>TAXE APPRENT PERS ADM    </v>
          </cell>
        </row>
        <row r="564">
          <cell r="A564">
            <v>635110</v>
          </cell>
          <cell r="B564" t="str">
            <v>CFE - CVAE               </v>
          </cell>
        </row>
        <row r="565">
          <cell r="A565">
            <v>635120</v>
          </cell>
          <cell r="B565" t="str">
            <v>TAXES FONCIERES TVA 20%  </v>
          </cell>
        </row>
        <row r="566">
          <cell r="A566">
            <v>635140</v>
          </cell>
          <cell r="B566" t="str">
            <v>TAXE/VEHICULES SOCIETE   </v>
          </cell>
        </row>
        <row r="567">
          <cell r="A567">
            <v>635400</v>
          </cell>
          <cell r="B567" t="str">
            <v>CARTES GRISES &amp; WW VN    </v>
          </cell>
        </row>
        <row r="568">
          <cell r="A568">
            <v>635400</v>
          </cell>
          <cell r="B568" t="str">
            <v>CARTES GRISES &amp; WW VO    </v>
          </cell>
        </row>
        <row r="569">
          <cell r="A569">
            <v>635400</v>
          </cell>
          <cell r="B569" t="str">
            <v>CARTES GRISES &amp; WW APV   </v>
          </cell>
        </row>
        <row r="570">
          <cell r="A570">
            <v>635400</v>
          </cell>
          <cell r="B570" t="str">
            <v>CG ET WW FRAIS STRUCTURE </v>
          </cell>
        </row>
        <row r="571">
          <cell r="A571">
            <v>637100</v>
          </cell>
          <cell r="B571" t="str">
            <v>ORGANIC  STRUCTURE       </v>
          </cell>
        </row>
        <row r="572">
          <cell r="A572">
            <v>637200</v>
          </cell>
          <cell r="B572" t="str">
            <v>TASCOM                   </v>
          </cell>
        </row>
        <row r="573">
          <cell r="A573">
            <v>637300</v>
          </cell>
          <cell r="B573" t="str">
            <v>TAXE PUB - TLPE          </v>
          </cell>
        </row>
        <row r="574">
          <cell r="A574">
            <v>641100</v>
          </cell>
          <cell r="B574" t="str">
            <v>SALAIRES EQ VENTE VN     </v>
          </cell>
        </row>
        <row r="575">
          <cell r="A575">
            <v>641100</v>
          </cell>
          <cell r="B575" t="str">
            <v>SALAIRES PREP VN         </v>
          </cell>
        </row>
        <row r="576">
          <cell r="A576">
            <v>641100</v>
          </cell>
          <cell r="B576" t="str">
            <v>APPOINT. SECRETARIAT VN  </v>
          </cell>
        </row>
        <row r="577">
          <cell r="A577">
            <v>641100</v>
          </cell>
          <cell r="B577" t="str">
            <v>SALAIRES EQ VENTE VO     </v>
          </cell>
        </row>
        <row r="578">
          <cell r="A578">
            <v>641100</v>
          </cell>
          <cell r="B578" t="str">
            <v>SALAIRES EQ FREVO        </v>
          </cell>
        </row>
        <row r="579">
          <cell r="A579">
            <v>641100</v>
          </cell>
          <cell r="B579" t="str">
            <v>SALAIRES SEC CIAL VO     </v>
          </cell>
        </row>
        <row r="580">
          <cell r="A580">
            <v>641100</v>
          </cell>
          <cell r="B580" t="str">
            <v>SALAIRES PERS MPR        </v>
          </cell>
        </row>
        <row r="581">
          <cell r="A581">
            <v>641100</v>
          </cell>
          <cell r="B581" t="str">
            <v>SALAIRES SECRET PR       </v>
          </cell>
        </row>
        <row r="582">
          <cell r="A582">
            <v>641100</v>
          </cell>
          <cell r="B582" t="str">
            <v>SALAIRES PROD MECA       </v>
          </cell>
        </row>
        <row r="583">
          <cell r="A583">
            <v>641100</v>
          </cell>
          <cell r="B583" t="str">
            <v>SALAIRES SECRET APV      </v>
          </cell>
        </row>
        <row r="584">
          <cell r="A584">
            <v>641100</v>
          </cell>
          <cell r="B584" t="str">
            <v>SALAIRES IMPRO APV       </v>
          </cell>
        </row>
        <row r="585">
          <cell r="A585">
            <v>641100</v>
          </cell>
          <cell r="B585" t="str">
            <v>SALAIRES PROD DEPAN      </v>
          </cell>
        </row>
        <row r="586">
          <cell r="A586">
            <v>641100</v>
          </cell>
          <cell r="B586" t="str">
            <v>SALAIRES APPRENT APV     </v>
          </cell>
        </row>
        <row r="587">
          <cell r="A587">
            <v>641100</v>
          </cell>
          <cell r="B587" t="str">
            <v>SALAIRES STATION         </v>
          </cell>
        </row>
        <row r="588">
          <cell r="A588">
            <v>641100</v>
          </cell>
          <cell r="B588" t="str">
            <v>SALAIRES PROD ET AP CHRON</v>
          </cell>
        </row>
        <row r="589">
          <cell r="A589">
            <v>641100</v>
          </cell>
          <cell r="B589" t="str">
            <v>SALAIRES DIRECTION       </v>
          </cell>
        </row>
        <row r="590">
          <cell r="A590">
            <v>641100</v>
          </cell>
          <cell r="B590" t="str">
            <v>SALAIRES PERS ADM        </v>
          </cell>
        </row>
        <row r="591">
          <cell r="A591">
            <v>641190</v>
          </cell>
          <cell r="B591" t="str">
            <v>INDEMNIT.JOURNALIERES    </v>
          </cell>
        </row>
        <row r="592">
          <cell r="A592">
            <v>641200</v>
          </cell>
          <cell r="B592" t="str">
            <v>CONGES PAYES EQ VENTE VN </v>
          </cell>
        </row>
        <row r="593">
          <cell r="A593">
            <v>641200</v>
          </cell>
          <cell r="B593" t="str">
            <v>CONGES PAYES PREP VN     </v>
          </cell>
        </row>
        <row r="594">
          <cell r="A594">
            <v>641200</v>
          </cell>
          <cell r="B594" t="str">
            <v>CONGES PAYES SEC CIAL VN </v>
          </cell>
        </row>
        <row r="595">
          <cell r="A595">
            <v>641200</v>
          </cell>
          <cell r="B595" t="str">
            <v>CONGES PAYES EQ VENTE VO </v>
          </cell>
        </row>
        <row r="596">
          <cell r="A596">
            <v>641200</v>
          </cell>
          <cell r="B596" t="str">
            <v>CONGES PAYES EQ FREVO    </v>
          </cell>
        </row>
        <row r="597">
          <cell r="A597">
            <v>641200</v>
          </cell>
          <cell r="B597" t="str">
            <v>CONGES PAYES SEC CIAL VO </v>
          </cell>
        </row>
        <row r="598">
          <cell r="A598">
            <v>641200</v>
          </cell>
          <cell r="B598" t="str">
            <v>CONGES PAYES PERS MPR    </v>
          </cell>
        </row>
        <row r="599">
          <cell r="A599">
            <v>641200</v>
          </cell>
          <cell r="B599" t="str">
            <v>CONGES PAYES SEC PR      </v>
          </cell>
        </row>
        <row r="600">
          <cell r="A600">
            <v>641200</v>
          </cell>
          <cell r="B600" t="str">
            <v>CONGES PAYES PROD MECA   </v>
          </cell>
        </row>
        <row r="601">
          <cell r="A601">
            <v>641200</v>
          </cell>
          <cell r="B601" t="str">
            <v>CONGES PAYES SEC APV     </v>
          </cell>
        </row>
        <row r="602">
          <cell r="A602">
            <v>641200</v>
          </cell>
          <cell r="B602" t="str">
            <v>CONGES PAYES IMPRO  MECA </v>
          </cell>
        </row>
        <row r="603">
          <cell r="A603">
            <v>641200</v>
          </cell>
          <cell r="B603" t="str">
            <v>CONGES PAYES PROD DEPAN  </v>
          </cell>
        </row>
        <row r="604">
          <cell r="A604">
            <v>641200</v>
          </cell>
          <cell r="B604" t="str">
            <v>CONGES P APRENTIS MECA   </v>
          </cell>
        </row>
        <row r="605">
          <cell r="A605">
            <v>641200</v>
          </cell>
          <cell r="B605" t="str">
            <v>CONGES PAYES STATION     </v>
          </cell>
        </row>
        <row r="606">
          <cell r="A606">
            <v>641200</v>
          </cell>
          <cell r="B606" t="str">
            <v>CONGES PAYES PROD CHRONO </v>
          </cell>
        </row>
        <row r="607">
          <cell r="A607">
            <v>641200</v>
          </cell>
          <cell r="B607" t="str">
            <v>CONGES PAYES DIRECTION   </v>
          </cell>
        </row>
        <row r="608">
          <cell r="A608">
            <v>641200</v>
          </cell>
          <cell r="B608" t="str">
            <v>CONGES PAYES ADM         </v>
          </cell>
        </row>
        <row r="609">
          <cell r="A609">
            <v>641210</v>
          </cell>
          <cell r="B609" t="str">
            <v>PROVISION RTT            </v>
          </cell>
        </row>
        <row r="610">
          <cell r="A610">
            <v>641220</v>
          </cell>
          <cell r="B610" t="str">
            <v>PROV CONGES PAYEES       </v>
          </cell>
        </row>
        <row r="611">
          <cell r="A611">
            <v>641300</v>
          </cell>
          <cell r="B611" t="str">
            <v>COMMISSIONS SUR VENTES VN</v>
          </cell>
        </row>
        <row r="612">
          <cell r="A612">
            <v>641300</v>
          </cell>
          <cell r="B612" t="str">
            <v>PRIMES PREPARATION VN    </v>
          </cell>
        </row>
        <row r="613">
          <cell r="A613">
            <v>641300</v>
          </cell>
          <cell r="B613" t="str">
            <v>PRIMES SECRETARIAT VN    </v>
          </cell>
        </row>
        <row r="614">
          <cell r="A614">
            <v>641300</v>
          </cell>
          <cell r="B614" t="str">
            <v>PRIMES DE VENTES VO      </v>
          </cell>
        </row>
        <row r="615">
          <cell r="A615">
            <v>641300</v>
          </cell>
          <cell r="B615" t="str">
            <v>PRIMES EQ FREVO          </v>
          </cell>
        </row>
        <row r="616">
          <cell r="A616">
            <v>641300</v>
          </cell>
          <cell r="B616" t="str">
            <v>PRIMES SECRETARIAT VO    </v>
          </cell>
        </row>
        <row r="617">
          <cell r="A617">
            <v>641300</v>
          </cell>
          <cell r="B617" t="str">
            <v>COMMISSIONS S/VENTES MPR </v>
          </cell>
        </row>
        <row r="618">
          <cell r="A618">
            <v>641300</v>
          </cell>
          <cell r="B618" t="str">
            <v>PRIMES SECRETARIAT PR    </v>
          </cell>
        </row>
        <row r="619">
          <cell r="A619">
            <v>641300</v>
          </cell>
          <cell r="B619" t="str">
            <v>PRIMES PROD MECA         </v>
          </cell>
        </row>
        <row r="620">
          <cell r="A620">
            <v>641300</v>
          </cell>
          <cell r="B620" t="str">
            <v>PRIMES SECRETARIAT APV   </v>
          </cell>
        </row>
        <row r="621">
          <cell r="A621">
            <v>641300</v>
          </cell>
          <cell r="B621" t="str">
            <v>PRIMES IMPRO MECA        </v>
          </cell>
        </row>
        <row r="622">
          <cell r="A622">
            <v>641300</v>
          </cell>
          <cell r="B622" t="str">
            <v>PRIMES PROD DEPAN        </v>
          </cell>
        </row>
        <row r="623">
          <cell r="A623">
            <v>641300</v>
          </cell>
          <cell r="B623" t="str">
            <v>PRIMES ET GRATIF STATION </v>
          </cell>
        </row>
        <row r="624">
          <cell r="A624">
            <v>641300</v>
          </cell>
          <cell r="B624" t="str">
            <v>PRIMES PROD CHRONO       </v>
          </cell>
        </row>
        <row r="625">
          <cell r="A625">
            <v>641300</v>
          </cell>
          <cell r="B625" t="str">
            <v>PRIME PERS ADMINISTRATIF </v>
          </cell>
        </row>
        <row r="626">
          <cell r="A626">
            <v>641350</v>
          </cell>
          <cell r="B626" t="str">
            <v>INTERESSEMENT CHEFS SERV.</v>
          </cell>
        </row>
        <row r="627">
          <cell r="A627">
            <v>641700</v>
          </cell>
          <cell r="B627" t="str">
            <v>AVANT NATURE EQ VENTE VN </v>
          </cell>
        </row>
        <row r="628">
          <cell r="A628">
            <v>641700</v>
          </cell>
          <cell r="B628" t="str">
            <v>AVANT NATURE EQ VENTE VO </v>
          </cell>
        </row>
        <row r="629">
          <cell r="A629">
            <v>641700</v>
          </cell>
          <cell r="B629" t="str">
            <v>AVANT NATURE PERS MPR    </v>
          </cell>
        </row>
        <row r="630">
          <cell r="A630">
            <v>641700</v>
          </cell>
          <cell r="B630" t="str">
            <v>AV NATURE IMPRO MECA     </v>
          </cell>
        </row>
        <row r="631">
          <cell r="A631">
            <v>641700</v>
          </cell>
          <cell r="B631" t="str">
            <v>AV NATURE DIRECTION      </v>
          </cell>
        </row>
        <row r="632">
          <cell r="A632">
            <v>641700</v>
          </cell>
          <cell r="B632" t="str">
            <v>AV NATURE PERS ADM       </v>
          </cell>
        </row>
        <row r="633">
          <cell r="A633">
            <v>641900</v>
          </cell>
          <cell r="B633" t="str">
            <v>CICE EQ VENTE VN         </v>
          </cell>
        </row>
        <row r="634">
          <cell r="A634">
            <v>641900</v>
          </cell>
          <cell r="B634" t="str">
            <v>CICE PREP VN             </v>
          </cell>
        </row>
        <row r="635">
          <cell r="A635">
            <v>641900</v>
          </cell>
          <cell r="B635" t="str">
            <v>CICE SECRET VN           </v>
          </cell>
        </row>
        <row r="636">
          <cell r="A636">
            <v>641900</v>
          </cell>
          <cell r="B636" t="str">
            <v>CICE EQ VENTE VO         </v>
          </cell>
        </row>
        <row r="637">
          <cell r="A637">
            <v>641900</v>
          </cell>
          <cell r="B637" t="str">
            <v>CICE EQ FREVO            </v>
          </cell>
        </row>
        <row r="638">
          <cell r="A638">
            <v>641900</v>
          </cell>
          <cell r="B638" t="str">
            <v>CICE SECRET VO           </v>
          </cell>
        </row>
        <row r="639">
          <cell r="A639">
            <v>641900</v>
          </cell>
          <cell r="B639" t="str">
            <v>CICE PERS MPR            </v>
          </cell>
        </row>
        <row r="640">
          <cell r="A640">
            <v>641900</v>
          </cell>
          <cell r="B640" t="str">
            <v>CICE SECRET PR           </v>
          </cell>
        </row>
        <row r="641">
          <cell r="A641">
            <v>641900</v>
          </cell>
          <cell r="B641" t="str">
            <v>CICE PROD MECA           </v>
          </cell>
        </row>
        <row r="642">
          <cell r="A642">
            <v>641900</v>
          </cell>
          <cell r="B642" t="str">
            <v>CICE SECRET APV          </v>
          </cell>
        </row>
        <row r="643">
          <cell r="A643">
            <v>641900</v>
          </cell>
          <cell r="B643" t="str">
            <v>CICE IMPROD APV          </v>
          </cell>
        </row>
        <row r="644">
          <cell r="A644">
            <v>641900</v>
          </cell>
          <cell r="B644" t="str">
            <v>CICE APPRENTIS APV       </v>
          </cell>
        </row>
        <row r="645">
          <cell r="A645">
            <v>641900</v>
          </cell>
          <cell r="B645" t="str">
            <v>CICE PERS STATION        </v>
          </cell>
        </row>
        <row r="646">
          <cell r="A646">
            <v>641900</v>
          </cell>
          <cell r="B646" t="str">
            <v>CICE PERS CHRONO         </v>
          </cell>
        </row>
        <row r="647">
          <cell r="A647">
            <v>641900</v>
          </cell>
          <cell r="B647" t="str">
            <v>CICE PERS ADMINITRATIF   </v>
          </cell>
        </row>
        <row r="648">
          <cell r="A648">
            <v>645100</v>
          </cell>
          <cell r="B648" t="str">
            <v>URSSAF EQ VENTE VN       </v>
          </cell>
        </row>
        <row r="649">
          <cell r="A649">
            <v>645100</v>
          </cell>
          <cell r="B649" t="str">
            <v>URSSAF PREP VN           </v>
          </cell>
        </row>
        <row r="650">
          <cell r="A650">
            <v>645100</v>
          </cell>
          <cell r="B650" t="str">
            <v>URSSAF SEC CIAL VN       </v>
          </cell>
        </row>
        <row r="651">
          <cell r="A651">
            <v>645100</v>
          </cell>
          <cell r="B651" t="str">
            <v>URSSAF EQ VENTE VO       </v>
          </cell>
        </row>
        <row r="652">
          <cell r="A652">
            <v>645100</v>
          </cell>
          <cell r="B652" t="str">
            <v>URSSAF EQUIPE  EQ FREVO  </v>
          </cell>
        </row>
        <row r="653">
          <cell r="A653">
            <v>645100</v>
          </cell>
          <cell r="B653" t="str">
            <v>URSSAF SEC CIAL VO       </v>
          </cell>
        </row>
        <row r="654">
          <cell r="A654">
            <v>645100</v>
          </cell>
          <cell r="B654" t="str">
            <v>URSSAF PERS MPR          </v>
          </cell>
        </row>
        <row r="655">
          <cell r="A655">
            <v>645100</v>
          </cell>
          <cell r="B655" t="str">
            <v>URSSAF SEC PR            </v>
          </cell>
        </row>
        <row r="656">
          <cell r="A656">
            <v>645100</v>
          </cell>
          <cell r="B656" t="str">
            <v>URSSAF PROD MECA         </v>
          </cell>
        </row>
        <row r="657">
          <cell r="A657">
            <v>645100</v>
          </cell>
          <cell r="B657" t="str">
            <v>URSSAF SEC APV           </v>
          </cell>
        </row>
        <row r="658">
          <cell r="A658">
            <v>645100</v>
          </cell>
          <cell r="B658" t="str">
            <v>URSSAF IMPRO MECA        </v>
          </cell>
        </row>
        <row r="659">
          <cell r="A659">
            <v>645100</v>
          </cell>
          <cell r="B659" t="str">
            <v>URSSAF PROD DEPAN        </v>
          </cell>
        </row>
        <row r="660">
          <cell r="A660">
            <v>645100</v>
          </cell>
          <cell r="B660" t="str">
            <v>URSSAF APPRENTIS MECA    </v>
          </cell>
        </row>
        <row r="661">
          <cell r="A661">
            <v>645100</v>
          </cell>
          <cell r="B661" t="str">
            <v>URSSAF STATION           </v>
          </cell>
        </row>
        <row r="662">
          <cell r="A662">
            <v>645100</v>
          </cell>
          <cell r="B662" t="str">
            <v>URSSAF PROD CHRONO       </v>
          </cell>
        </row>
        <row r="663">
          <cell r="A663">
            <v>645100</v>
          </cell>
          <cell r="B663" t="str">
            <v>URSSAF DIRECTION         </v>
          </cell>
        </row>
        <row r="664">
          <cell r="A664">
            <v>645100</v>
          </cell>
          <cell r="B664" t="str">
            <v>URSSAF PERS ADM          </v>
          </cell>
        </row>
        <row r="665">
          <cell r="A665">
            <v>645200</v>
          </cell>
          <cell r="B665" t="str">
            <v>MUTUELLE EQ VENTE VN     </v>
          </cell>
        </row>
        <row r="666">
          <cell r="A666">
            <v>645200</v>
          </cell>
          <cell r="B666" t="str">
            <v>MUTUELLE PREPA VN        </v>
          </cell>
        </row>
        <row r="667">
          <cell r="A667">
            <v>645200</v>
          </cell>
          <cell r="B667" t="str">
            <v>MUTUELLE SEC CIAL VN     </v>
          </cell>
        </row>
        <row r="668">
          <cell r="A668">
            <v>645200</v>
          </cell>
          <cell r="B668" t="str">
            <v>MUTUELLE EQ VENTE VO     </v>
          </cell>
        </row>
        <row r="669">
          <cell r="A669">
            <v>645200</v>
          </cell>
          <cell r="B669" t="str">
            <v>MUTUELLE EQ FREVO        </v>
          </cell>
        </row>
        <row r="670">
          <cell r="A670">
            <v>645200</v>
          </cell>
          <cell r="B670" t="str">
            <v>MUTUELLE SEC CIAL VO     </v>
          </cell>
        </row>
        <row r="671">
          <cell r="A671">
            <v>645200</v>
          </cell>
          <cell r="B671" t="str">
            <v>MUTUELLE PERS MPR        </v>
          </cell>
        </row>
        <row r="672">
          <cell r="A672">
            <v>645200</v>
          </cell>
          <cell r="B672" t="str">
            <v>MUTUELLE PROD MECA       </v>
          </cell>
        </row>
        <row r="673">
          <cell r="A673">
            <v>645200</v>
          </cell>
          <cell r="B673" t="str">
            <v>MUTUELLE SEC APV         </v>
          </cell>
        </row>
        <row r="674">
          <cell r="A674">
            <v>645200</v>
          </cell>
          <cell r="B674" t="str">
            <v>MUTUELLE IMPRO MECA      </v>
          </cell>
        </row>
        <row r="675">
          <cell r="A675">
            <v>645200</v>
          </cell>
          <cell r="B675" t="str">
            <v>MUTUELLE PROD  DEPAN     </v>
          </cell>
        </row>
        <row r="676">
          <cell r="A676">
            <v>645200</v>
          </cell>
          <cell r="B676" t="str">
            <v>MUTUELLE APRENTIS MECA   </v>
          </cell>
        </row>
        <row r="677">
          <cell r="A677">
            <v>645200</v>
          </cell>
          <cell r="B677" t="str">
            <v>MUTUELLE STATION         </v>
          </cell>
        </row>
        <row r="678">
          <cell r="A678">
            <v>645200</v>
          </cell>
          <cell r="B678" t="str">
            <v>MUTUELLE PROD CHRONO     </v>
          </cell>
        </row>
        <row r="679">
          <cell r="A679">
            <v>645200</v>
          </cell>
          <cell r="B679" t="str">
            <v>MUTUELLE DIRECTION       </v>
          </cell>
        </row>
        <row r="680">
          <cell r="A680">
            <v>645200</v>
          </cell>
          <cell r="B680" t="str">
            <v>MUTUELLE PERS ADM        </v>
          </cell>
        </row>
        <row r="681">
          <cell r="A681">
            <v>645300</v>
          </cell>
          <cell r="B681" t="str">
            <v>C RETRAITE EQ VENTE VN   </v>
          </cell>
        </row>
        <row r="682">
          <cell r="A682">
            <v>645300</v>
          </cell>
          <cell r="B682" t="str">
            <v>C RETRAITE PREP VN       </v>
          </cell>
        </row>
        <row r="683">
          <cell r="A683">
            <v>645300</v>
          </cell>
          <cell r="B683" t="str">
            <v>C RETRAIT SEC CIAL VN    </v>
          </cell>
        </row>
        <row r="684">
          <cell r="A684">
            <v>645300</v>
          </cell>
          <cell r="B684" t="str">
            <v>C RETRAITE EQ VENTE VO   </v>
          </cell>
        </row>
        <row r="685">
          <cell r="A685">
            <v>645300</v>
          </cell>
          <cell r="B685" t="str">
            <v>C RETRAITE EQ FREVO      </v>
          </cell>
        </row>
        <row r="686">
          <cell r="A686">
            <v>645300</v>
          </cell>
          <cell r="B686" t="str">
            <v>C RETRAITE SEC CIAL VO   </v>
          </cell>
        </row>
        <row r="687">
          <cell r="A687">
            <v>645300</v>
          </cell>
          <cell r="B687" t="str">
            <v>CAISSE RETRAITE PERS MPR </v>
          </cell>
        </row>
        <row r="688">
          <cell r="A688">
            <v>645300</v>
          </cell>
          <cell r="B688" t="str">
            <v>C RETRAITE SEC PR        </v>
          </cell>
        </row>
        <row r="689">
          <cell r="A689">
            <v>645300</v>
          </cell>
          <cell r="B689" t="str">
            <v>C RETRAITE PROD MECA     </v>
          </cell>
        </row>
        <row r="690">
          <cell r="A690">
            <v>645300</v>
          </cell>
          <cell r="B690" t="str">
            <v>C RETRAITE SEC APV       </v>
          </cell>
        </row>
        <row r="691">
          <cell r="A691">
            <v>645300</v>
          </cell>
          <cell r="B691" t="str">
            <v>C RETRAITE IMPRO MECA    </v>
          </cell>
        </row>
        <row r="692">
          <cell r="A692">
            <v>645300</v>
          </cell>
          <cell r="B692" t="str">
            <v>C RETRAITE PROD DEPAN    </v>
          </cell>
        </row>
        <row r="693">
          <cell r="A693">
            <v>645300</v>
          </cell>
          <cell r="B693" t="str">
            <v>C RETRAITE APPRENT MECA  </v>
          </cell>
        </row>
        <row r="694">
          <cell r="A694">
            <v>645300</v>
          </cell>
          <cell r="B694" t="str">
            <v>C RETRAITE STATION       </v>
          </cell>
        </row>
        <row r="695">
          <cell r="A695">
            <v>645300</v>
          </cell>
          <cell r="B695" t="str">
            <v>C RETRAITE PROD CHRONO   </v>
          </cell>
        </row>
        <row r="696">
          <cell r="A696">
            <v>645300</v>
          </cell>
          <cell r="B696" t="str">
            <v>C RETRAITE DIRECTION     </v>
          </cell>
        </row>
        <row r="697">
          <cell r="A697">
            <v>645300</v>
          </cell>
          <cell r="B697" t="str">
            <v>C RETRAITE PERS ADM      </v>
          </cell>
        </row>
        <row r="698">
          <cell r="A698">
            <v>645400</v>
          </cell>
          <cell r="B698" t="str">
            <v>ASSEDIC EQ VENTE VN      </v>
          </cell>
        </row>
        <row r="699">
          <cell r="A699">
            <v>645400</v>
          </cell>
          <cell r="B699" t="str">
            <v>ASSEDIC EQ VENTE VO      </v>
          </cell>
        </row>
        <row r="700">
          <cell r="A700">
            <v>645400</v>
          </cell>
          <cell r="B700" t="str">
            <v>ASSEDIC PERS MPR         </v>
          </cell>
        </row>
        <row r="701">
          <cell r="A701">
            <v>645400</v>
          </cell>
          <cell r="B701" t="str">
            <v>ASSEDIC PROD MECA        </v>
          </cell>
        </row>
        <row r="702">
          <cell r="A702">
            <v>645400</v>
          </cell>
          <cell r="B702" t="str">
            <v>ASSEDIC SEC APV          </v>
          </cell>
        </row>
        <row r="703">
          <cell r="A703">
            <v>645400</v>
          </cell>
          <cell r="B703" t="str">
            <v>ASSEDIC IMPRO MECA       </v>
          </cell>
        </row>
        <row r="704">
          <cell r="A704">
            <v>645400</v>
          </cell>
          <cell r="B704" t="str">
            <v>ASSEDIC PROD DEPAN       </v>
          </cell>
        </row>
        <row r="705">
          <cell r="A705">
            <v>645400</v>
          </cell>
          <cell r="B705" t="str">
            <v>ASSEDIC APPRENTIS MECA   </v>
          </cell>
        </row>
        <row r="706">
          <cell r="A706">
            <v>645400</v>
          </cell>
          <cell r="B706" t="str">
            <v>ASSEDIC PROD CHRONO      </v>
          </cell>
        </row>
        <row r="707">
          <cell r="A707">
            <v>645400</v>
          </cell>
          <cell r="B707" t="str">
            <v>ASSEDIC DIRECTION        </v>
          </cell>
        </row>
        <row r="708">
          <cell r="A708">
            <v>645400</v>
          </cell>
          <cell r="B708" t="str">
            <v>ASSEDIC PERS ADM         </v>
          </cell>
        </row>
        <row r="709">
          <cell r="A709">
            <v>645500</v>
          </cell>
          <cell r="B709" t="str">
            <v>CHARGES /PRO PRIMES VEND </v>
          </cell>
        </row>
        <row r="710">
          <cell r="A710">
            <v>645500</v>
          </cell>
          <cell r="B710" t="str">
            <v>CHARGES / PROV PRIMES SEC</v>
          </cell>
        </row>
        <row r="711">
          <cell r="A711">
            <v>645500</v>
          </cell>
          <cell r="B711" t="str">
            <v>CHARGES SUR PROV COMM VO </v>
          </cell>
        </row>
        <row r="712">
          <cell r="A712">
            <v>645500</v>
          </cell>
          <cell r="B712" t="str">
            <v>CHARGES / PROV PRIMES PR </v>
          </cell>
        </row>
        <row r="713">
          <cell r="A713">
            <v>645500</v>
          </cell>
          <cell r="B713" t="str">
            <v>CHARGES / PROV PRIMES APV</v>
          </cell>
        </row>
        <row r="714">
          <cell r="A714">
            <v>645500</v>
          </cell>
          <cell r="B714" t="str">
            <v>CHG / PROV PRIMES SEC APV</v>
          </cell>
        </row>
        <row r="715">
          <cell r="A715">
            <v>645500</v>
          </cell>
          <cell r="B715" t="str">
            <v>CHARGES / PROV PRIMES IMP</v>
          </cell>
        </row>
        <row r="716">
          <cell r="A716">
            <v>645500</v>
          </cell>
          <cell r="B716" t="str">
            <v>CHARGES / PROV P DEPANNAG</v>
          </cell>
        </row>
        <row r="717">
          <cell r="A717">
            <v>645500</v>
          </cell>
          <cell r="B717" t="str">
            <v>CHARGES / PROV COMM STATI</v>
          </cell>
        </row>
        <row r="718">
          <cell r="A718">
            <v>645500</v>
          </cell>
          <cell r="B718" t="str">
            <v>CHARGES/INTERESSEMENT    </v>
          </cell>
        </row>
        <row r="719">
          <cell r="A719">
            <v>645501</v>
          </cell>
          <cell r="B719" t="str">
            <v>CHEQUES DEJEUNERS VEND VN</v>
          </cell>
        </row>
        <row r="720">
          <cell r="A720">
            <v>645501</v>
          </cell>
          <cell r="B720" t="str">
            <v>CHEQUES DEJEUNERS PREP VN</v>
          </cell>
        </row>
        <row r="721">
          <cell r="A721">
            <v>645501</v>
          </cell>
          <cell r="B721" t="str">
            <v>CHEQUES DEJEUNERS SEC VN </v>
          </cell>
        </row>
        <row r="722">
          <cell r="A722">
            <v>645501</v>
          </cell>
          <cell r="B722" t="str">
            <v>CHEQUES DEJEUNERS VEND VO</v>
          </cell>
        </row>
        <row r="723">
          <cell r="A723">
            <v>645501</v>
          </cell>
          <cell r="B723" t="str">
            <v>CHEQUES DEJEUNERS FRE VO </v>
          </cell>
        </row>
        <row r="724">
          <cell r="A724">
            <v>645501</v>
          </cell>
          <cell r="B724" t="str">
            <v>CHEQUES DEJEUNERS SEC VO </v>
          </cell>
        </row>
        <row r="725">
          <cell r="A725">
            <v>645501</v>
          </cell>
          <cell r="B725" t="str">
            <v>CHEQUES DEJEUNERS PR     </v>
          </cell>
        </row>
        <row r="726">
          <cell r="A726">
            <v>645501</v>
          </cell>
          <cell r="B726" t="str">
            <v>CHEQUES DEJEUNERS SECR PR</v>
          </cell>
        </row>
        <row r="727">
          <cell r="A727">
            <v>645501</v>
          </cell>
          <cell r="B727" t="str">
            <v>CHEQUES DEJEUNERS PROD ME</v>
          </cell>
        </row>
        <row r="728">
          <cell r="A728">
            <v>645501</v>
          </cell>
          <cell r="B728" t="str">
            <v>CHEQUES DEJEUNERS SEC APV</v>
          </cell>
        </row>
        <row r="729">
          <cell r="A729">
            <v>645501</v>
          </cell>
          <cell r="B729" t="str">
            <v>CHEQUES DEJEUNERS IMPRO M</v>
          </cell>
        </row>
        <row r="730">
          <cell r="A730">
            <v>645501</v>
          </cell>
          <cell r="B730" t="str">
            <v>CHEQUES DEJEUNERS PROD DE</v>
          </cell>
        </row>
        <row r="731">
          <cell r="A731">
            <v>645501</v>
          </cell>
          <cell r="B731" t="str">
            <v>CHEQUES DEJEUNERS APP MEC</v>
          </cell>
        </row>
        <row r="732">
          <cell r="A732">
            <v>645501</v>
          </cell>
          <cell r="B732" t="str">
            <v>CHEQUES DEJEUNERS STATION</v>
          </cell>
        </row>
        <row r="733">
          <cell r="A733">
            <v>645501</v>
          </cell>
          <cell r="B733" t="str">
            <v>CHEQUES DEJEUNERS CHRONO </v>
          </cell>
        </row>
        <row r="734">
          <cell r="A734">
            <v>645501</v>
          </cell>
          <cell r="B734" t="str">
            <v>CHEQUES DEJEUNERS DIRECTI</v>
          </cell>
        </row>
        <row r="735">
          <cell r="A735">
            <v>645501</v>
          </cell>
          <cell r="B735" t="str">
            <v>CHEQUES DEJEUNERS ADM&amp;COM</v>
          </cell>
        </row>
        <row r="736">
          <cell r="A736">
            <v>645510</v>
          </cell>
          <cell r="B736" t="str">
            <v>CHARGES / PROV SALAIRES  </v>
          </cell>
        </row>
        <row r="737">
          <cell r="A737">
            <v>645600</v>
          </cell>
          <cell r="B737" t="str">
            <v>CHARGES/CONGES PAYES     </v>
          </cell>
        </row>
        <row r="738">
          <cell r="A738">
            <v>645610</v>
          </cell>
          <cell r="B738" t="str">
            <v>CHARGES / PROVISION RTT  </v>
          </cell>
        </row>
        <row r="739">
          <cell r="A739">
            <v>647200</v>
          </cell>
          <cell r="B739" t="str">
            <v>COMITE ENT EQ VENTE VN   </v>
          </cell>
        </row>
        <row r="740">
          <cell r="A740">
            <v>647200</v>
          </cell>
          <cell r="B740" t="str">
            <v>COMITE ENT PREP VN       </v>
          </cell>
        </row>
        <row r="741">
          <cell r="A741">
            <v>647200</v>
          </cell>
          <cell r="B741" t="str">
            <v>COMITE ENT SEC CIAL VN   </v>
          </cell>
        </row>
        <row r="742">
          <cell r="A742">
            <v>647200</v>
          </cell>
          <cell r="B742" t="str">
            <v>COMITE ENT EQ VENTE VO   </v>
          </cell>
        </row>
        <row r="743">
          <cell r="A743">
            <v>647200</v>
          </cell>
          <cell r="B743" t="str">
            <v>COMITE ENT EQ FREVO      </v>
          </cell>
        </row>
        <row r="744">
          <cell r="A744">
            <v>647200</v>
          </cell>
          <cell r="B744" t="str">
            <v>COMITE ENT SEC CIAL VO   </v>
          </cell>
        </row>
        <row r="745">
          <cell r="A745">
            <v>647200</v>
          </cell>
          <cell r="B745" t="str">
            <v>COMITE ENT PERS MPR      </v>
          </cell>
        </row>
        <row r="746">
          <cell r="A746">
            <v>647200</v>
          </cell>
          <cell r="B746" t="str">
            <v>COMITE ENT SEC PR        </v>
          </cell>
        </row>
        <row r="747">
          <cell r="A747">
            <v>647200</v>
          </cell>
          <cell r="B747" t="str">
            <v>COMITE ENT PROD MECA     </v>
          </cell>
        </row>
        <row r="748">
          <cell r="A748">
            <v>647200</v>
          </cell>
          <cell r="B748" t="str">
            <v>COMITE ENT SEC APV       </v>
          </cell>
        </row>
        <row r="749">
          <cell r="A749">
            <v>647200</v>
          </cell>
          <cell r="B749" t="str">
            <v>COMITE ENT IMPRO MECA    </v>
          </cell>
        </row>
        <row r="750">
          <cell r="A750">
            <v>647200</v>
          </cell>
          <cell r="B750" t="str">
            <v>COMITE ENT PROD DEPAN    </v>
          </cell>
        </row>
        <row r="751">
          <cell r="A751">
            <v>647200</v>
          </cell>
          <cell r="B751" t="str">
            <v>COMITE ENT APPRENT MECA  </v>
          </cell>
        </row>
        <row r="752">
          <cell r="A752">
            <v>647200</v>
          </cell>
          <cell r="B752" t="str">
            <v>COMITE ENT STATION       </v>
          </cell>
        </row>
        <row r="753">
          <cell r="A753">
            <v>647200</v>
          </cell>
          <cell r="B753" t="str">
            <v>COMITE ENT PROD CHRONO   </v>
          </cell>
        </row>
        <row r="754">
          <cell r="A754">
            <v>647200</v>
          </cell>
          <cell r="B754" t="str">
            <v>COMITE ENT DIRECTION     </v>
          </cell>
        </row>
        <row r="755">
          <cell r="A755">
            <v>647200</v>
          </cell>
          <cell r="B755" t="str">
            <v>COMITE ENT PERS ADM      </v>
          </cell>
        </row>
        <row r="756">
          <cell r="A756">
            <v>647300</v>
          </cell>
          <cell r="B756" t="str">
            <v>PHARMACIE 2,1 %          </v>
          </cell>
        </row>
        <row r="757">
          <cell r="A757">
            <v>647300</v>
          </cell>
          <cell r="B757" t="str">
            <v>PHARMACIE 10%            </v>
          </cell>
        </row>
        <row r="758">
          <cell r="A758">
            <v>647300</v>
          </cell>
          <cell r="B758" t="str">
            <v>MEDECINE DU TRAVAIL TVA 1</v>
          </cell>
        </row>
        <row r="759">
          <cell r="A759">
            <v>647300</v>
          </cell>
          <cell r="B759" t="str">
            <v>PHARMACIE 20 %           </v>
          </cell>
        </row>
        <row r="760">
          <cell r="A760">
            <v>647500</v>
          </cell>
          <cell r="B760" t="str">
            <v>MED TRAVAIL EQ VENTE VN  </v>
          </cell>
        </row>
        <row r="761">
          <cell r="A761">
            <v>647500</v>
          </cell>
          <cell r="B761" t="str">
            <v>MED TRAVAIL PREP VN      </v>
          </cell>
        </row>
        <row r="762">
          <cell r="A762">
            <v>647500</v>
          </cell>
          <cell r="B762" t="str">
            <v>MED TRAVAIL SEC CIAL VN  </v>
          </cell>
        </row>
        <row r="763">
          <cell r="A763">
            <v>647500</v>
          </cell>
          <cell r="B763" t="str">
            <v>MED TRAVAIL EQ VENTE VO  </v>
          </cell>
        </row>
        <row r="764">
          <cell r="A764">
            <v>647500</v>
          </cell>
          <cell r="B764" t="str">
            <v>MED TRAVAIL EQ FEVO      </v>
          </cell>
        </row>
        <row r="765">
          <cell r="A765">
            <v>647500</v>
          </cell>
          <cell r="B765" t="str">
            <v>MED TRAVAIL SEC CIAL VO  </v>
          </cell>
        </row>
        <row r="766">
          <cell r="A766">
            <v>647500</v>
          </cell>
          <cell r="B766" t="str">
            <v>MED TRAVAIL PERS MPR     </v>
          </cell>
        </row>
        <row r="767">
          <cell r="A767">
            <v>647500</v>
          </cell>
          <cell r="B767" t="str">
            <v>MED TRAVAIL SEC PR       </v>
          </cell>
        </row>
        <row r="768">
          <cell r="A768">
            <v>647500</v>
          </cell>
          <cell r="B768" t="str">
            <v>MED TRAVAIL PROD MECA    </v>
          </cell>
        </row>
        <row r="769">
          <cell r="A769">
            <v>647500</v>
          </cell>
          <cell r="B769" t="str">
            <v>MED TRAVAIL SEC APV      </v>
          </cell>
        </row>
        <row r="770">
          <cell r="A770">
            <v>647500</v>
          </cell>
          <cell r="B770" t="str">
            <v>MED TRAVAIL IMPRO MECA   </v>
          </cell>
        </row>
        <row r="771">
          <cell r="A771">
            <v>647500</v>
          </cell>
          <cell r="B771" t="str">
            <v>MED TRAVAIL PROD DEPAN   </v>
          </cell>
        </row>
        <row r="772">
          <cell r="A772">
            <v>647500</v>
          </cell>
          <cell r="B772" t="str">
            <v>MED TRAVAIL APPRENT MECA </v>
          </cell>
        </row>
        <row r="773">
          <cell r="A773">
            <v>647500</v>
          </cell>
          <cell r="B773" t="str">
            <v>MED TRAVAIL STATION      </v>
          </cell>
        </row>
        <row r="774">
          <cell r="A774">
            <v>647500</v>
          </cell>
          <cell r="B774" t="str">
            <v>MED TRAVAIL PROD CHRONO  </v>
          </cell>
        </row>
        <row r="775">
          <cell r="A775">
            <v>647500</v>
          </cell>
          <cell r="B775" t="str">
            <v>MED TRAVAIL DIRECTION    </v>
          </cell>
        </row>
        <row r="776">
          <cell r="A776">
            <v>647500</v>
          </cell>
          <cell r="B776" t="str">
            <v>MED TRAVAIL PERS ADM     </v>
          </cell>
        </row>
        <row r="777">
          <cell r="A777">
            <v>647500</v>
          </cell>
          <cell r="B777" t="str">
            <v>MED TRAVAIL DIRECTION    </v>
          </cell>
        </row>
        <row r="778">
          <cell r="A778">
            <v>648100</v>
          </cell>
          <cell r="B778" t="str">
            <v>INDEMN LICENC VENDEURS VN</v>
          </cell>
        </row>
        <row r="779">
          <cell r="A779">
            <v>648100</v>
          </cell>
          <cell r="B779" t="str">
            <v>INDEMN LICENCT PREPA VN  </v>
          </cell>
        </row>
        <row r="780">
          <cell r="A780">
            <v>648100</v>
          </cell>
          <cell r="B780" t="str">
            <v>INDEMNITE LICENC MPR     </v>
          </cell>
        </row>
        <row r="781">
          <cell r="A781">
            <v>648100</v>
          </cell>
          <cell r="B781" t="str">
            <v>INDEMN LICENC SECRET PR  </v>
          </cell>
        </row>
        <row r="782">
          <cell r="A782">
            <v>648100</v>
          </cell>
          <cell r="B782" t="str">
            <v>INDEMN LICENC SECRET APV </v>
          </cell>
        </row>
        <row r="783">
          <cell r="A783">
            <v>648100</v>
          </cell>
          <cell r="B783" t="str">
            <v>INDEMN LICEN IMPROD ATELI</v>
          </cell>
        </row>
        <row r="784">
          <cell r="A784">
            <v>649000</v>
          </cell>
          <cell r="B784" t="str">
            <v>CICE EQ VENTE VN         </v>
          </cell>
        </row>
        <row r="785">
          <cell r="A785">
            <v>649000</v>
          </cell>
          <cell r="B785" t="str">
            <v>CICE PREP VN             </v>
          </cell>
        </row>
        <row r="786">
          <cell r="A786">
            <v>649000</v>
          </cell>
          <cell r="B786" t="str">
            <v>CICE SECRET VN           </v>
          </cell>
        </row>
        <row r="787">
          <cell r="A787">
            <v>649000</v>
          </cell>
          <cell r="B787" t="str">
            <v>CICE EQ VENTE VO         </v>
          </cell>
        </row>
        <row r="788">
          <cell r="A788">
            <v>649000</v>
          </cell>
          <cell r="B788" t="str">
            <v>CICE EQ FREVO            </v>
          </cell>
        </row>
        <row r="789">
          <cell r="A789">
            <v>649000</v>
          </cell>
          <cell r="B789" t="str">
            <v>CICE SECRET VO           </v>
          </cell>
        </row>
        <row r="790">
          <cell r="A790">
            <v>649000</v>
          </cell>
          <cell r="B790" t="str">
            <v>CICE PERS MPR            </v>
          </cell>
        </row>
        <row r="791">
          <cell r="A791">
            <v>649000</v>
          </cell>
          <cell r="B791" t="str">
            <v>CICE SECRET PR           </v>
          </cell>
        </row>
        <row r="792">
          <cell r="A792">
            <v>649000</v>
          </cell>
          <cell r="B792" t="str">
            <v>CICE PROD MECANIQUE      </v>
          </cell>
        </row>
        <row r="793">
          <cell r="A793">
            <v>649000</v>
          </cell>
          <cell r="B793" t="str">
            <v>CICE SECRET APV          </v>
          </cell>
        </row>
        <row r="794">
          <cell r="A794">
            <v>649000</v>
          </cell>
          <cell r="B794" t="str">
            <v>CICE IMPROD APV          </v>
          </cell>
        </row>
        <row r="795">
          <cell r="A795">
            <v>649000</v>
          </cell>
          <cell r="B795" t="str">
            <v>CICE APPRENTI APV        </v>
          </cell>
        </row>
        <row r="796">
          <cell r="A796">
            <v>649000</v>
          </cell>
          <cell r="B796" t="str">
            <v>CICE PERS STATION        </v>
          </cell>
        </row>
        <row r="797">
          <cell r="A797">
            <v>649000</v>
          </cell>
          <cell r="B797" t="str">
            <v>CICE PERS CHRONO         </v>
          </cell>
        </row>
        <row r="798">
          <cell r="A798">
            <v>649000</v>
          </cell>
          <cell r="B798" t="str">
            <v>CICE PERS ADMINISTRATIF  </v>
          </cell>
        </row>
        <row r="799">
          <cell r="A799">
            <v>651000</v>
          </cell>
          <cell r="B799" t="str">
            <v>REDEVANCE - LICENCE APV  </v>
          </cell>
        </row>
        <row r="800">
          <cell r="A800">
            <v>654100</v>
          </cell>
          <cell r="B800" t="str">
            <v>PERTE/CREANCE IRRECOUV/EX</v>
          </cell>
        </row>
        <row r="801">
          <cell r="A801">
            <v>654100</v>
          </cell>
          <cell r="B801" t="str">
            <v>PRETE / CREANCE IRREC 19.</v>
          </cell>
        </row>
        <row r="802">
          <cell r="A802">
            <v>654100</v>
          </cell>
          <cell r="B802" t="str">
            <v>PRETE / CREANCE IRREC 19.</v>
          </cell>
        </row>
        <row r="803">
          <cell r="A803">
            <v>658000</v>
          </cell>
          <cell r="B803" t="str">
            <v>CH.DIV.GEST.COURANTE VN  </v>
          </cell>
        </row>
        <row r="804">
          <cell r="A804">
            <v>658000</v>
          </cell>
          <cell r="B804" t="str">
            <v>CH.DIV.GEST.COURANTE VO  </v>
          </cell>
        </row>
        <row r="805">
          <cell r="A805">
            <v>658000</v>
          </cell>
          <cell r="B805" t="str">
            <v>CH.DIV.GEST.COURANTE PR  </v>
          </cell>
        </row>
        <row r="806">
          <cell r="A806">
            <v>658000</v>
          </cell>
          <cell r="B806" t="str">
            <v>CH.DIV.GEST.COURANTE APV </v>
          </cell>
        </row>
        <row r="807">
          <cell r="A807">
            <v>658000</v>
          </cell>
          <cell r="B807" t="str">
            <v>CH.DIV.GEST.COURANTE BOUT</v>
          </cell>
        </row>
        <row r="808">
          <cell r="A808">
            <v>658000</v>
          </cell>
          <cell r="B808" t="str">
            <v>CHARGES DIV.GEST.COURANTE</v>
          </cell>
        </row>
        <row r="809">
          <cell r="A809">
            <v>658000</v>
          </cell>
          <cell r="B809" t="str">
            <v>CH.DIV. S/GEST. COURANTE </v>
          </cell>
        </row>
        <row r="810">
          <cell r="A810">
            <v>658100</v>
          </cell>
          <cell r="B810" t="str">
            <v>FR.REM.ETAT/B.B.CENTRAUX </v>
          </cell>
        </row>
        <row r="811">
          <cell r="A811">
            <v>661100</v>
          </cell>
          <cell r="B811" t="str">
            <v>INTERETS DES EMPRUNTS    </v>
          </cell>
        </row>
        <row r="812">
          <cell r="A812">
            <v>661180</v>
          </cell>
          <cell r="B812" t="str">
            <v>INTERET PARTICIP.SALARIES</v>
          </cell>
        </row>
        <row r="813">
          <cell r="A813">
            <v>661599</v>
          </cell>
          <cell r="B813" t="str">
            <v>INT.CPTE COUR.DEP.GROUP. </v>
          </cell>
        </row>
        <row r="814">
          <cell r="A814">
            <v>661600</v>
          </cell>
          <cell r="B814" t="str">
            <v>INTERETS ET DECOUV.BANC. </v>
          </cell>
        </row>
        <row r="815">
          <cell r="A815">
            <v>661610</v>
          </cell>
          <cell r="B815" t="str">
            <v>AGIOS PR &amp; VEHICULES     </v>
          </cell>
        </row>
        <row r="816">
          <cell r="A816">
            <v>661620</v>
          </cell>
          <cell r="B816" t="str">
            <v>INTERETS SUR BILLETS SOFI</v>
          </cell>
        </row>
        <row r="817">
          <cell r="A817">
            <v>661699</v>
          </cell>
          <cell r="B817" t="str">
            <v>AGIOS DEBITEURS POOL TRES</v>
          </cell>
        </row>
        <row r="818">
          <cell r="A818">
            <v>664000</v>
          </cell>
          <cell r="B818" t="str">
            <v>PERTE FINANCIERE S/PARTIC</v>
          </cell>
        </row>
        <row r="819">
          <cell r="A819">
            <v>665000</v>
          </cell>
          <cell r="B819" t="str">
            <v>FRAIS D'ESCOMPTE         </v>
          </cell>
        </row>
        <row r="820">
          <cell r="A820">
            <v>671200</v>
          </cell>
          <cell r="B820" t="str">
            <v>PENALITES ET AMENDES FISC</v>
          </cell>
        </row>
        <row r="821">
          <cell r="A821">
            <v>675000</v>
          </cell>
          <cell r="B821" t="str">
            <v>VAL.COMPT.VEH.LOC.CEDES  </v>
          </cell>
        </row>
        <row r="822">
          <cell r="A822">
            <v>681110</v>
          </cell>
          <cell r="B822" t="str">
            <v>DOT.AMORTIS.IMMO.INCORP. </v>
          </cell>
        </row>
        <row r="823">
          <cell r="A823">
            <v>681120</v>
          </cell>
          <cell r="B823" t="str">
            <v>DOT.AMORTIS.IMMO.CORPOREL</v>
          </cell>
        </row>
        <row r="824">
          <cell r="A824">
            <v>681130</v>
          </cell>
          <cell r="B824" t="str">
            <v>Dot.Amort.V.Loc pr       </v>
          </cell>
        </row>
        <row r="825">
          <cell r="A825">
            <v>681130</v>
          </cell>
          <cell r="B825" t="str">
            <v>DOT.AMORTIS.V.LOC.       </v>
          </cell>
        </row>
        <row r="826">
          <cell r="A826">
            <v>681730</v>
          </cell>
          <cell r="B826" t="str">
            <v>DOT.PROV.DEP.STOCKS VN   </v>
          </cell>
        </row>
        <row r="827">
          <cell r="A827">
            <v>681730</v>
          </cell>
          <cell r="B827" t="str">
            <v>DOT.PROV.DEP.STOCKS VO   </v>
          </cell>
        </row>
        <row r="828">
          <cell r="A828">
            <v>681730</v>
          </cell>
          <cell r="B828" t="str">
            <v>DOT.PROV.DEP.STOCKS PR   </v>
          </cell>
        </row>
        <row r="829">
          <cell r="A829">
            <v>681750</v>
          </cell>
          <cell r="B829" t="str">
            <v>DEPRE CLIENT VN          </v>
          </cell>
        </row>
        <row r="830">
          <cell r="A830">
            <v>681750</v>
          </cell>
          <cell r="B830" t="str">
            <v>PROV DEPRE CLIENT PR     </v>
          </cell>
        </row>
        <row r="831">
          <cell r="A831">
            <v>681750</v>
          </cell>
          <cell r="B831" t="str">
            <v>PROV DEPRE CLIENT APV    </v>
          </cell>
        </row>
        <row r="832">
          <cell r="A832">
            <v>695000</v>
          </cell>
          <cell r="B832" t="str">
            <v>IMPOTS SUR LES BENEFICES </v>
          </cell>
        </row>
        <row r="833">
          <cell r="A833">
            <v>703000</v>
          </cell>
          <cell r="B833" t="str">
            <v>PRODUITS ELIM DECHETS    </v>
          </cell>
        </row>
        <row r="834">
          <cell r="A834">
            <v>703000</v>
          </cell>
          <cell r="B834" t="str">
            <v>PRODUITS ELIM DECHETS    </v>
          </cell>
        </row>
        <row r="835">
          <cell r="A835">
            <v>706000</v>
          </cell>
          <cell r="B835" t="str">
            <v>VTES MO MECAN.EXON.      </v>
          </cell>
        </row>
        <row r="836">
          <cell r="A836">
            <v>706000</v>
          </cell>
          <cell r="B836" t="str">
            <v>VTES DEPAN.EXO PDT HEURES</v>
          </cell>
        </row>
        <row r="837">
          <cell r="A837">
            <v>706000</v>
          </cell>
          <cell r="B837" t="str">
            <v>VTES DEPANNAGES EXO AP HE</v>
          </cell>
        </row>
        <row r="838">
          <cell r="A838">
            <v>706000</v>
          </cell>
          <cell r="B838" t="str">
            <v>REMBOURST FORFAITS PONDER</v>
          </cell>
        </row>
        <row r="839">
          <cell r="A839">
            <v>706000</v>
          </cell>
          <cell r="B839" t="str">
            <v>VENTES MO PAR PREPA VO   </v>
          </cell>
        </row>
        <row r="840">
          <cell r="A840">
            <v>706000</v>
          </cell>
          <cell r="B840" t="str">
            <v>VTES MAIN D'OEUVRE 20%   </v>
          </cell>
        </row>
        <row r="841">
          <cell r="A841">
            <v>706000</v>
          </cell>
          <cell r="B841" t="str">
            <v>VTES TVX EXT.APV 20%     </v>
          </cell>
        </row>
        <row r="842">
          <cell r="A842">
            <v>706000</v>
          </cell>
          <cell r="B842" t="str">
            <v>VTES INGR.PROD.PEINT,20  </v>
          </cell>
        </row>
        <row r="843">
          <cell r="A843">
            <v>706000</v>
          </cell>
          <cell r="B843" t="str">
            <v>VTES DEPAN.PDT HEURES    </v>
          </cell>
        </row>
        <row r="844">
          <cell r="A844">
            <v>706000</v>
          </cell>
          <cell r="B844" t="str">
            <v>VTES DEPAN.APRES HEURES  </v>
          </cell>
        </row>
        <row r="845">
          <cell r="A845">
            <v>706010</v>
          </cell>
          <cell r="B845" t="str">
            <v>VTES M.O FORFAITS        </v>
          </cell>
        </row>
        <row r="846">
          <cell r="A846">
            <v>706010</v>
          </cell>
          <cell r="B846" t="str">
            <v>VTES PR ^ FORFAITS APV   </v>
          </cell>
        </row>
        <row r="847">
          <cell r="A847">
            <v>706010</v>
          </cell>
          <cell r="B847" t="str">
            <v>VTES HUILES FORFAITS     </v>
          </cell>
        </row>
        <row r="848">
          <cell r="A848">
            <v>706099</v>
          </cell>
          <cell r="B848" t="str">
            <v>VTES MO MECA GROUP       </v>
          </cell>
        </row>
        <row r="849">
          <cell r="A849">
            <v>706099</v>
          </cell>
          <cell r="B849" t="str">
            <v>DEPANNAGE GROUPE HEURES  </v>
          </cell>
        </row>
        <row r="850">
          <cell r="A850">
            <v>706099</v>
          </cell>
          <cell r="B850" t="str">
            <v>DEPANNAGE GROUPE HORS HOR</v>
          </cell>
        </row>
        <row r="851">
          <cell r="A851">
            <v>706099</v>
          </cell>
          <cell r="B851" t="str">
            <v>VTES MO CARROSS GR       </v>
          </cell>
        </row>
        <row r="852">
          <cell r="A852">
            <v>706110</v>
          </cell>
          <cell r="B852" t="str">
            <v>CA MO MECA.INDUIT DEPAN. </v>
          </cell>
        </row>
        <row r="853">
          <cell r="A853">
            <v>706111</v>
          </cell>
          <cell r="B853" t="str">
            <v>LOYERS LSC - 3 mois 20   </v>
          </cell>
        </row>
        <row r="854">
          <cell r="A854">
            <v>706123</v>
          </cell>
          <cell r="B854" t="str">
            <v>CA DIVERS INDUIT DEPAN.  </v>
          </cell>
        </row>
        <row r="855">
          <cell r="A855">
            <v>706200</v>
          </cell>
          <cell r="B855" t="str">
            <v>VTES MO CARROSSERIE EXON.</v>
          </cell>
        </row>
        <row r="856">
          <cell r="A856">
            <v>706200</v>
          </cell>
          <cell r="B856" t="str">
            <v>FRAIS PARKIN RESTIT.VN   </v>
          </cell>
        </row>
        <row r="857">
          <cell r="A857">
            <v>706200</v>
          </cell>
          <cell r="B857" t="str">
            <v>VTES MO CARROSSERIE 20   </v>
          </cell>
        </row>
        <row r="858">
          <cell r="A858">
            <v>706300</v>
          </cell>
          <cell r="B858" t="str">
            <v>VTES MO PEINTURE 20%     </v>
          </cell>
        </row>
        <row r="859">
          <cell r="A859">
            <v>706400</v>
          </cell>
          <cell r="B859" t="str">
            <v>VTES LAVAG.BOUT,20%      </v>
          </cell>
        </row>
        <row r="860">
          <cell r="A860">
            <v>707000</v>
          </cell>
          <cell r="B860" t="str">
            <v>VTES VN 20% A PART.      </v>
          </cell>
        </row>
        <row r="861">
          <cell r="A861">
            <v>707000</v>
          </cell>
          <cell r="B861" t="str">
            <v>VTES VN 20% A AGENTS     </v>
          </cell>
        </row>
        <row r="862">
          <cell r="A862">
            <v>707000</v>
          </cell>
          <cell r="B862" t="str">
            <v>VTES VN STE-GF 20%       </v>
          </cell>
        </row>
        <row r="863">
          <cell r="A863">
            <v>707000</v>
          </cell>
          <cell r="B863" t="str">
            <v>VTES VD 20% PRIX NET     </v>
          </cell>
        </row>
        <row r="864">
          <cell r="A864">
            <v>707000</v>
          </cell>
          <cell r="B864" t="str">
            <v>VTES RETRO.VN 20%        </v>
          </cell>
        </row>
        <row r="865">
          <cell r="A865">
            <v>707001</v>
          </cell>
          <cell r="B865" t="str">
            <v>VENTE CARB VN TVA 20ù    </v>
          </cell>
        </row>
        <row r="866">
          <cell r="A866">
            <v>707001</v>
          </cell>
          <cell r="B866" t="str">
            <v>VENTE CARB VO TVA 20%    </v>
          </cell>
        </row>
        <row r="867">
          <cell r="A867">
            <v>707100</v>
          </cell>
          <cell r="B867" t="str">
            <v>VTES COMPLEMENT./VN 20   </v>
          </cell>
        </row>
        <row r="868">
          <cell r="A868">
            <v>707200</v>
          </cell>
          <cell r="B868" t="str">
            <v>VTES CONVOYAG.PREP.VN    </v>
          </cell>
        </row>
        <row r="869">
          <cell r="A869">
            <v>707400</v>
          </cell>
          <cell r="B869" t="str">
            <v>VENTES VO TOTAL.EXON.REM </v>
          </cell>
        </row>
        <row r="870">
          <cell r="A870">
            <v>707400</v>
          </cell>
          <cell r="B870" t="str">
            <v>VTES VO PARTIE EXO.      </v>
          </cell>
        </row>
        <row r="871">
          <cell r="A871">
            <v>707400</v>
          </cell>
          <cell r="B871" t="str">
            <v>VTES VO TOTAL. 20 %      </v>
          </cell>
        </row>
        <row r="872">
          <cell r="A872">
            <v>707400</v>
          </cell>
          <cell r="B872" t="str">
            <v>VTS VO MARGE TAXABLE 20  </v>
          </cell>
        </row>
        <row r="873">
          <cell r="A873">
            <v>707410</v>
          </cell>
          <cell r="B873" t="str">
            <v>VTES VO MARCHAND MARGE EX</v>
          </cell>
        </row>
        <row r="874">
          <cell r="A874">
            <v>707410</v>
          </cell>
          <cell r="B874" t="str">
            <v>VTES VO MARCHAND TAXABLE </v>
          </cell>
        </row>
        <row r="875">
          <cell r="A875">
            <v>707420</v>
          </cell>
          <cell r="B875" t="str">
            <v>VENTES FRAIS MISE A LA RO</v>
          </cell>
        </row>
        <row r="876">
          <cell r="A876">
            <v>707490</v>
          </cell>
          <cell r="B876" t="str">
            <v>VTES VO EPAVE            </v>
          </cell>
        </row>
        <row r="877">
          <cell r="A877">
            <v>707499</v>
          </cell>
          <cell r="B877" t="str">
            <v>VTES VO TVA COLL GROUPE  </v>
          </cell>
        </row>
        <row r="878">
          <cell r="A878">
            <v>707500</v>
          </cell>
          <cell r="B878" t="str">
            <v>GRAVAGES VN- PART ASSUR  </v>
          </cell>
        </row>
        <row r="879">
          <cell r="A879">
            <v>707500</v>
          </cell>
          <cell r="B879" t="str">
            <v>GRAVAGE VO EXO-PART ASSUR</v>
          </cell>
        </row>
        <row r="880">
          <cell r="A880">
            <v>707500</v>
          </cell>
          <cell r="B880" t="str">
            <v>VTES ACCESSOIRES 20 %    </v>
          </cell>
        </row>
        <row r="881">
          <cell r="A881">
            <v>707500</v>
          </cell>
          <cell r="B881" t="str">
            <v>TATOUAGES &amp; GRAVAGES VN  </v>
          </cell>
        </row>
        <row r="882">
          <cell r="A882">
            <v>707500</v>
          </cell>
          <cell r="B882" t="str">
            <v>VENTES ACCESSOIRES VO    </v>
          </cell>
        </row>
        <row r="883">
          <cell r="A883">
            <v>707500</v>
          </cell>
          <cell r="B883" t="str">
            <v>TATOUAGES ET GRAVAGES VO </v>
          </cell>
        </row>
        <row r="884">
          <cell r="A884">
            <v>707600</v>
          </cell>
          <cell r="B884" t="str">
            <v>VTES PIECES DIV.APV EXON.</v>
          </cell>
        </row>
        <row r="885">
          <cell r="A885">
            <v>707600</v>
          </cell>
          <cell r="B885" t="str">
            <v>VTES PR ^ APV EXON.      </v>
          </cell>
        </row>
        <row r="886">
          <cell r="A886">
            <v>707600</v>
          </cell>
          <cell r="B886" t="str">
            <v>VTES PNEUS CHRONO EXO    </v>
          </cell>
        </row>
        <row r="887">
          <cell r="A887">
            <v>707600</v>
          </cell>
          <cell r="B887" t="str">
            <v>VTES PIECES ^ PR 19,60%  </v>
          </cell>
        </row>
        <row r="888">
          <cell r="A888">
            <v>707600</v>
          </cell>
          <cell r="B888" t="str">
            <v>VTES BOUTIQ.STATION 5,5% </v>
          </cell>
        </row>
        <row r="889">
          <cell r="A889">
            <v>707600</v>
          </cell>
          <cell r="B889" t="str">
            <v>VTES PIECES DIV.PR 20%   </v>
          </cell>
        </row>
        <row r="890">
          <cell r="A890">
            <v>707600</v>
          </cell>
          <cell r="B890" t="str">
            <v>VTES PIECES ^ PR 20%     </v>
          </cell>
        </row>
        <row r="891">
          <cell r="A891">
            <v>707600</v>
          </cell>
          <cell r="B891" t="str">
            <v>VTES PNEUS PR 20 %       </v>
          </cell>
        </row>
        <row r="892">
          <cell r="A892">
            <v>707600</v>
          </cell>
          <cell r="B892" t="str">
            <v>VTES PIECES DIV.APV 20   </v>
          </cell>
        </row>
        <row r="893">
          <cell r="A893">
            <v>707600</v>
          </cell>
          <cell r="B893" t="str">
            <v>CA PR^ INDUIT DEPANNAGE  </v>
          </cell>
        </row>
        <row r="894">
          <cell r="A894">
            <v>707600</v>
          </cell>
          <cell r="B894" t="str">
            <v>VTES BOUTIQ.STATION 20%  </v>
          </cell>
        </row>
        <row r="895">
          <cell r="A895">
            <v>707600</v>
          </cell>
          <cell r="B895" t="str">
            <v>VTES PNEUS CHRONO 20 %   </v>
          </cell>
        </row>
        <row r="896">
          <cell r="A896">
            <v>707610</v>
          </cell>
          <cell r="B896" t="str">
            <v>CA PNEUS INDUIT DEPAN.   </v>
          </cell>
        </row>
        <row r="897">
          <cell r="A897">
            <v>707699</v>
          </cell>
          <cell r="B897" t="str">
            <v>VTES PORT/PIECES G       </v>
          </cell>
        </row>
        <row r="898">
          <cell r="A898">
            <v>707699</v>
          </cell>
          <cell r="B898" t="str">
            <v>VTES PIECES GROUPE       </v>
          </cell>
        </row>
        <row r="899">
          <cell r="A899">
            <v>707699</v>
          </cell>
          <cell r="B899" t="str">
            <v>VTES PNEUS GROUPE        </v>
          </cell>
        </row>
        <row r="900">
          <cell r="A900">
            <v>707699</v>
          </cell>
          <cell r="B900" t="str">
            <v>VTES LUB GROUPE CO       </v>
          </cell>
        </row>
        <row r="901">
          <cell r="A901">
            <v>707700</v>
          </cell>
          <cell r="B901" t="str">
            <v>VENTES LUBRIF.STATION EXO</v>
          </cell>
        </row>
        <row r="902">
          <cell r="A902">
            <v>707700</v>
          </cell>
          <cell r="B902" t="str">
            <v>VTES CARBURANT APV 20%   </v>
          </cell>
        </row>
        <row r="903">
          <cell r="A903">
            <v>707700</v>
          </cell>
          <cell r="B903" t="str">
            <v>VTES PR BOUTIQ,20%       </v>
          </cell>
        </row>
        <row r="904">
          <cell r="A904">
            <v>707700</v>
          </cell>
          <cell r="B904" t="str">
            <v>VTES LUB/PR STATION 20   </v>
          </cell>
        </row>
        <row r="905">
          <cell r="A905">
            <v>707799</v>
          </cell>
          <cell r="B905" t="str">
            <v>VTES PIECES ATEL G       </v>
          </cell>
        </row>
        <row r="906">
          <cell r="A906">
            <v>708200</v>
          </cell>
          <cell r="B906" t="str">
            <v>COMMISSION COURTAGE EXO. </v>
          </cell>
        </row>
        <row r="907">
          <cell r="A907">
            <v>708200</v>
          </cell>
          <cell r="B907" t="str">
            <v>CONTRAT + VN EXO         </v>
          </cell>
        </row>
        <row r="908">
          <cell r="A908">
            <v>708200</v>
          </cell>
          <cell r="B908" t="str">
            <v>COMMIS.COURT.REC.VO EXO. </v>
          </cell>
        </row>
        <row r="909">
          <cell r="A909">
            <v>708200</v>
          </cell>
          <cell r="B909" t="str">
            <v>COMMISSION/CREDIT VN 20  </v>
          </cell>
        </row>
        <row r="910">
          <cell r="A910">
            <v>708200</v>
          </cell>
          <cell r="B910" t="str">
            <v>COM.STE CREDIT VN20      </v>
          </cell>
        </row>
        <row r="911">
          <cell r="A911">
            <v>708200</v>
          </cell>
          <cell r="B911" t="str">
            <v>COMMIS./CONTRATS SERV.^  </v>
          </cell>
        </row>
        <row r="912">
          <cell r="A912">
            <v>708200</v>
          </cell>
          <cell r="B912" t="str">
            <v>COMMISSION/CREDIT VO 20  </v>
          </cell>
        </row>
        <row r="913">
          <cell r="A913">
            <v>708200</v>
          </cell>
          <cell r="B913" t="str">
            <v>COMMISSIONS VO FELIX FAUR</v>
          </cell>
        </row>
        <row r="914">
          <cell r="A914">
            <v>708200</v>
          </cell>
          <cell r="B914" t="str">
            <v>COMMIS.RECUES/CA TOTAL   </v>
          </cell>
        </row>
        <row r="915">
          <cell r="A915">
            <v>708300</v>
          </cell>
          <cell r="B915" t="str">
            <v>FRAIS DE GARDIENNAGE EXO </v>
          </cell>
        </row>
        <row r="916">
          <cell r="A916">
            <v>708300</v>
          </cell>
          <cell r="B916" t="str">
            <v>FRAIS DE GARDIENNAGE     </v>
          </cell>
        </row>
        <row r="917">
          <cell r="A917">
            <v>708499</v>
          </cell>
          <cell r="B917" t="str">
            <v>VTES PRESTAT COMPT       </v>
          </cell>
        </row>
        <row r="918">
          <cell r="A918">
            <v>708500</v>
          </cell>
          <cell r="B918" t="str">
            <v>PRODUITS DIVERS VN 20%   </v>
          </cell>
        </row>
        <row r="919">
          <cell r="A919">
            <v>708500</v>
          </cell>
          <cell r="B919" t="str">
            <v>REFAC.FRAIS S/B.BACK CENT</v>
          </cell>
        </row>
        <row r="920">
          <cell r="A920">
            <v>708500</v>
          </cell>
          <cell r="B920" t="str">
            <v>PRODUITS DIVERS VO 20%   </v>
          </cell>
        </row>
        <row r="921">
          <cell r="A921">
            <v>708500</v>
          </cell>
          <cell r="B921" t="str">
            <v>VTES PORT PR 20 %        </v>
          </cell>
        </row>
        <row r="922">
          <cell r="A922">
            <v>708800</v>
          </cell>
          <cell r="B922" t="str">
            <v>RETROCESSION PUB VN      </v>
          </cell>
        </row>
        <row r="923">
          <cell r="A923">
            <v>708800</v>
          </cell>
          <cell r="B923" t="str">
            <v>PUB VN SUR CESSIONS      </v>
          </cell>
        </row>
        <row r="924">
          <cell r="A924">
            <v>708800</v>
          </cell>
          <cell r="B924" t="str">
            <v>REFACTURATION DIV.PR 20% </v>
          </cell>
        </row>
        <row r="925">
          <cell r="A925">
            <v>708800</v>
          </cell>
          <cell r="B925" t="str">
            <v>REFACTURATION PUB PR     </v>
          </cell>
        </row>
        <row r="926">
          <cell r="A926">
            <v>708800</v>
          </cell>
          <cell r="B926" t="str">
            <v>PRIME S/VENTES LUB. PR   </v>
          </cell>
        </row>
        <row r="927">
          <cell r="A927">
            <v>708800</v>
          </cell>
          <cell r="B927" t="str">
            <v>REMB.GIE THIVOL,20%      </v>
          </cell>
        </row>
        <row r="928">
          <cell r="A928">
            <v>708800</v>
          </cell>
          <cell r="B928" t="str">
            <v>AUTRES PROD.ANNEXES 20%  </v>
          </cell>
        </row>
        <row r="929">
          <cell r="A929">
            <v>708810</v>
          </cell>
          <cell r="B929" t="str">
            <v>REFACTURATION PUB. VN    </v>
          </cell>
        </row>
        <row r="930">
          <cell r="A930">
            <v>709600</v>
          </cell>
          <cell r="B930" t="str">
            <v>REM/VTES MO FORFAITS     </v>
          </cell>
        </row>
        <row r="931">
          <cell r="A931">
            <v>709600</v>
          </cell>
          <cell r="B931" t="str">
            <v>REMISE/VTES HUILE FORFAIT</v>
          </cell>
        </row>
        <row r="932">
          <cell r="A932">
            <v>709600</v>
          </cell>
          <cell r="B932" t="str">
            <v>REM/P.EXT.FORFAIT CHRONO </v>
          </cell>
        </row>
        <row r="933">
          <cell r="A933">
            <v>709610</v>
          </cell>
          <cell r="B933" t="str">
            <v>REMISE/VTES PR ^ FORFAIT </v>
          </cell>
        </row>
        <row r="934">
          <cell r="A934">
            <v>709610</v>
          </cell>
          <cell r="B934" t="str">
            <v>RABAIS R.R.ACC./^EXP,20  </v>
          </cell>
        </row>
        <row r="935">
          <cell r="A935">
            <v>709690</v>
          </cell>
          <cell r="B935" t="str">
            <v>RRR ATELIER EXO.         </v>
          </cell>
        </row>
        <row r="936">
          <cell r="A936">
            <v>709690</v>
          </cell>
          <cell r="B936" t="str">
            <v>RRR ATELIER              </v>
          </cell>
        </row>
        <row r="937">
          <cell r="A937">
            <v>709699</v>
          </cell>
          <cell r="B937" t="str">
            <v>RABAIS/VTES PIECES       </v>
          </cell>
        </row>
        <row r="938">
          <cell r="A938">
            <v>709699</v>
          </cell>
          <cell r="B938" t="str">
            <v>RAB/VTES MO MECA G       </v>
          </cell>
        </row>
        <row r="939">
          <cell r="A939">
            <v>709699</v>
          </cell>
          <cell r="B939" t="str">
            <v>REM / DEPANN GROUPE      </v>
          </cell>
        </row>
        <row r="940">
          <cell r="A940">
            <v>709699</v>
          </cell>
          <cell r="B940" t="str">
            <v>RAB/VTES MO CARRO        </v>
          </cell>
        </row>
        <row r="941">
          <cell r="A941">
            <v>709700</v>
          </cell>
          <cell r="B941" t="str">
            <v>RRR/PIECE DIV. APV EXO   </v>
          </cell>
        </row>
        <row r="942">
          <cell r="A942">
            <v>709700</v>
          </cell>
          <cell r="B942" t="str">
            <v>RRR ACCORD/VN 20%        </v>
          </cell>
        </row>
        <row r="943">
          <cell r="A943">
            <v>709700</v>
          </cell>
          <cell r="B943" t="str">
            <v>RRR ACCORD/VN AGTS 20%   </v>
          </cell>
        </row>
        <row r="944">
          <cell r="A944">
            <v>709700</v>
          </cell>
          <cell r="B944" t="str">
            <v>REMISE RLC VN 20 %       </v>
          </cell>
        </row>
        <row r="945">
          <cell r="A945">
            <v>709700</v>
          </cell>
          <cell r="B945" t="str">
            <v>RRR ACCORD/VN GF 20%     </v>
          </cell>
        </row>
        <row r="946">
          <cell r="A946">
            <v>709700</v>
          </cell>
          <cell r="B946" t="str">
            <v>RRR ACCORD/VD 20 %       </v>
          </cell>
        </row>
        <row r="947">
          <cell r="A947">
            <v>709700</v>
          </cell>
          <cell r="B947" t="str">
            <v>RRR ACCORD/PR CITROEN    </v>
          </cell>
        </row>
        <row r="948">
          <cell r="A948">
            <v>709700</v>
          </cell>
          <cell r="B948" t="str">
            <v>RRR ACCORD/PR CONCUR 20  </v>
          </cell>
        </row>
        <row r="949">
          <cell r="A949">
            <v>709700</v>
          </cell>
          <cell r="B949" t="str">
            <v>RIST FIN ANNEE PR/AGT20  </v>
          </cell>
        </row>
        <row r="950">
          <cell r="A950">
            <v>709700</v>
          </cell>
          <cell r="B950" t="str">
            <v>RRR ACCORD./APV 20 %     </v>
          </cell>
        </row>
        <row r="951">
          <cell r="A951">
            <v>709700</v>
          </cell>
          <cell r="B951" t="str">
            <v>REMISE S/CA INDUIT DEPAN.</v>
          </cell>
        </row>
        <row r="952">
          <cell r="A952">
            <v>709700</v>
          </cell>
          <cell r="B952" t="str">
            <v>RABAIS/HUILES STATIO,20  </v>
          </cell>
        </row>
        <row r="953">
          <cell r="A953">
            <v>709799</v>
          </cell>
          <cell r="B953" t="str">
            <v>RAB/VTES PIECES AT       </v>
          </cell>
        </row>
        <row r="954">
          <cell r="A954">
            <v>709799</v>
          </cell>
          <cell r="B954" t="str">
            <v>RABAIS PNEUS ATEL GROUPE </v>
          </cell>
        </row>
        <row r="955">
          <cell r="A955">
            <v>709799</v>
          </cell>
          <cell r="B955" t="str">
            <v>RAB/VTES LUB ATEL        </v>
          </cell>
        </row>
        <row r="956">
          <cell r="A956">
            <v>709800</v>
          </cell>
          <cell r="B956" t="str">
            <v>CHQ PTS FIDELITE C.R. PR </v>
          </cell>
        </row>
        <row r="957">
          <cell r="A957">
            <v>709800</v>
          </cell>
          <cell r="B957" t="str">
            <v>RRR/CHQ PTS FIDELITE C.R.</v>
          </cell>
        </row>
        <row r="958">
          <cell r="A958">
            <v>713461</v>
          </cell>
          <cell r="B958" t="str">
            <v>VARIATION MAIN OEUVRE APV</v>
          </cell>
        </row>
        <row r="959">
          <cell r="A959">
            <v>713462</v>
          </cell>
          <cell r="B959" t="str">
            <v>VARIATION EN COURS PR APV</v>
          </cell>
        </row>
        <row r="960">
          <cell r="A960">
            <v>713465</v>
          </cell>
          <cell r="B960" t="str">
            <v>VARIATION EN COURS LUB AP</v>
          </cell>
        </row>
        <row r="961">
          <cell r="A961">
            <v>722000</v>
          </cell>
          <cell r="B961" t="str">
            <v>PRODUCTION A SOI-MEME    </v>
          </cell>
        </row>
        <row r="962">
          <cell r="A962">
            <v>722100</v>
          </cell>
          <cell r="B962" t="str">
            <v>LIVRAISON A SOI-MEME VO  </v>
          </cell>
        </row>
        <row r="963">
          <cell r="A963">
            <v>740000</v>
          </cell>
          <cell r="B963" t="str">
            <v>SUBVENTIONS RECUES       </v>
          </cell>
        </row>
        <row r="964">
          <cell r="A964">
            <v>740000</v>
          </cell>
          <cell r="B964" t="str">
            <v>SUBVENTIONS TVA 20%      </v>
          </cell>
        </row>
        <row r="965">
          <cell r="A965">
            <v>751800</v>
          </cell>
          <cell r="B965" t="str">
            <v>VTES CG+VIGNET.+WW       </v>
          </cell>
        </row>
        <row r="966">
          <cell r="A966">
            <v>758000</v>
          </cell>
          <cell r="B966" t="str">
            <v>PDTS DIV.GEST.COURANTE VN</v>
          </cell>
        </row>
        <row r="967">
          <cell r="A967">
            <v>758000</v>
          </cell>
          <cell r="B967" t="str">
            <v>PDTS DIV.GEST.COURANTE VO</v>
          </cell>
        </row>
        <row r="968">
          <cell r="A968">
            <v>758000</v>
          </cell>
          <cell r="B968" t="str">
            <v>PDTS DIV.GEST.COURANTE PR</v>
          </cell>
        </row>
        <row r="969">
          <cell r="A969">
            <v>758000</v>
          </cell>
          <cell r="B969" t="str">
            <v>PDTS DIV.GEST.COURANT.APV</v>
          </cell>
        </row>
        <row r="970">
          <cell r="A970">
            <v>758000</v>
          </cell>
          <cell r="B970" t="str">
            <v>PDTS DIV.GEST.COURANT.STA</v>
          </cell>
        </row>
        <row r="971">
          <cell r="A971">
            <v>758000</v>
          </cell>
          <cell r="B971" t="str">
            <v>PDTS DIV.GEST.COURANTE   </v>
          </cell>
        </row>
        <row r="972">
          <cell r="A972">
            <v>758000</v>
          </cell>
          <cell r="B972" t="str">
            <v>PRODUIT DE GESTION STATIO</v>
          </cell>
        </row>
        <row r="973">
          <cell r="A973">
            <v>768000</v>
          </cell>
          <cell r="B973" t="str">
            <v>AUT.PDTS FINANC.INT.RET. </v>
          </cell>
        </row>
        <row r="974">
          <cell r="A974">
            <v>768100</v>
          </cell>
          <cell r="B974" t="str">
            <v>INT GEFCO ET SOFIRA VN   </v>
          </cell>
        </row>
        <row r="975">
          <cell r="A975">
            <v>768200</v>
          </cell>
          <cell r="B975" t="str">
            <v>PROD.FIN/LCR IMPAYEE     </v>
          </cell>
        </row>
        <row r="976">
          <cell r="A976">
            <v>768699</v>
          </cell>
          <cell r="B976" t="str">
            <v>AGIOS CREDITEURS POOL TRE</v>
          </cell>
        </row>
        <row r="977">
          <cell r="A977">
            <v>775000</v>
          </cell>
          <cell r="B977" t="str">
            <v>PDT EL. ACTIF CEDE PR    </v>
          </cell>
        </row>
        <row r="978">
          <cell r="A978">
            <v>775000</v>
          </cell>
          <cell r="B978" t="str">
            <v>PDTS EL.ACTIF.CEDES V.LOC</v>
          </cell>
        </row>
        <row r="979">
          <cell r="A979">
            <v>781510</v>
          </cell>
          <cell r="B979" t="str">
            <v>REP PROV RISQUE ET CHARGE</v>
          </cell>
        </row>
        <row r="980">
          <cell r="A980">
            <v>781730</v>
          </cell>
          <cell r="B980" t="str">
            <v>REPRIS.DEPREC.STOCK VN   </v>
          </cell>
        </row>
        <row r="981">
          <cell r="A981">
            <v>781730</v>
          </cell>
          <cell r="B981" t="str">
            <v>REPRIS.DEPREC.STOCK VO   </v>
          </cell>
        </row>
        <row r="982">
          <cell r="A982">
            <v>781730</v>
          </cell>
          <cell r="B982" t="str">
            <v>REPRIS.DEPREC.STOCK PR   </v>
          </cell>
        </row>
        <row r="983">
          <cell r="A983">
            <v>781750</v>
          </cell>
          <cell r="B983" t="str">
            <v>REPRISE DEPRE CLT APV    </v>
          </cell>
        </row>
        <row r="984">
          <cell r="A984">
            <v>791000</v>
          </cell>
          <cell r="B984" t="str">
            <v>AVANT NATURE EQ VENTE VN </v>
          </cell>
        </row>
        <row r="985">
          <cell r="A985">
            <v>791000</v>
          </cell>
          <cell r="B985" t="str">
            <v>AVANT NATURE EQ VENTE VO </v>
          </cell>
        </row>
        <row r="986">
          <cell r="A986">
            <v>791000</v>
          </cell>
          <cell r="B986" t="str">
            <v>AVANT NATURE MPR         </v>
          </cell>
        </row>
        <row r="987">
          <cell r="A987">
            <v>791000</v>
          </cell>
          <cell r="B987" t="str">
            <v>AV NATURE IMPRO MECA     </v>
          </cell>
        </row>
        <row r="988">
          <cell r="A988">
            <v>791000</v>
          </cell>
          <cell r="B988" t="str">
            <v>AV NATURE DIRECTION      </v>
          </cell>
        </row>
        <row r="989">
          <cell r="A989">
            <v>791000</v>
          </cell>
          <cell r="B989" t="str">
            <v>AV NATURE  PERS ADM      </v>
          </cell>
        </row>
        <row r="990">
          <cell r="A990">
            <v>791004</v>
          </cell>
          <cell r="B990" t="str">
            <v>TRANSF.CH. EAU DEPAN,5,5%</v>
          </cell>
        </row>
        <row r="991">
          <cell r="A991">
            <v>791004</v>
          </cell>
          <cell r="B991" t="str">
            <v>TRANSF.CH.EAU DEPAN,10%  </v>
          </cell>
        </row>
        <row r="992">
          <cell r="A992">
            <v>791005</v>
          </cell>
          <cell r="B992" t="str">
            <v>TRANSF.CH/CHAUFFAG.      </v>
          </cell>
        </row>
        <row r="993">
          <cell r="A993">
            <v>791006</v>
          </cell>
          <cell r="B993" t="str">
            <v>DEPASSEMENT QUOTA CARB VN</v>
          </cell>
        </row>
        <row r="994">
          <cell r="A994">
            <v>791061</v>
          </cell>
          <cell r="B994" t="str">
            <v>TRANSF.CH/LOYERS         </v>
          </cell>
        </row>
        <row r="995">
          <cell r="A995">
            <v>791061</v>
          </cell>
          <cell r="B995" t="str">
            <v>TRANSF.CHARGES LOYERS    </v>
          </cell>
        </row>
        <row r="996">
          <cell r="A996">
            <v>791062</v>
          </cell>
          <cell r="B996" t="str">
            <v>TRANSF.CHARGES PORT PR   </v>
          </cell>
        </row>
        <row r="997">
          <cell r="A997">
            <v>791099</v>
          </cell>
          <cell r="B997" t="str">
            <v>TRANSF.CH/POSTE-TEL.GROUP</v>
          </cell>
        </row>
        <row r="998">
          <cell r="A998">
            <v>791099</v>
          </cell>
          <cell r="B998" t="str">
            <v>FOURN.ADMINIST.VN GROUPE </v>
          </cell>
        </row>
        <row r="999">
          <cell r="A999">
            <v>791099</v>
          </cell>
          <cell r="B999" t="str">
            <v>TRANSF CH COMM VO        </v>
          </cell>
        </row>
        <row r="1000">
          <cell r="A1000">
            <v>791099</v>
          </cell>
          <cell r="B1000" t="str">
            <v>TRANSF.CH/POSTE TEL.GROUP</v>
          </cell>
        </row>
        <row r="1001">
          <cell r="A1001">
            <v>791099</v>
          </cell>
          <cell r="B1001" t="str">
            <v>TRANSF.CH.FOURN.ADM.GROUP</v>
          </cell>
        </row>
        <row r="1002">
          <cell r="A1002">
            <v>791100</v>
          </cell>
          <cell r="B1002" t="str">
            <v>INDEMNIT REC SEC CIAL VN </v>
          </cell>
        </row>
        <row r="1003">
          <cell r="A1003">
            <v>791100</v>
          </cell>
          <cell r="B1003" t="str">
            <v>INDEMNIT REC EQ VENTE VO </v>
          </cell>
        </row>
        <row r="1004">
          <cell r="A1004">
            <v>791100</v>
          </cell>
          <cell r="B1004" t="str">
            <v>INDEMNIT REC SEC VO      </v>
          </cell>
        </row>
        <row r="1005">
          <cell r="A1005">
            <v>791100</v>
          </cell>
          <cell r="B1005" t="str">
            <v>INDEMNITES PERS MPR      </v>
          </cell>
        </row>
        <row r="1006">
          <cell r="A1006">
            <v>791100</v>
          </cell>
          <cell r="B1006" t="str">
            <v>INDEMNIT REC SEC APV     </v>
          </cell>
        </row>
        <row r="1007">
          <cell r="A1007">
            <v>791100</v>
          </cell>
          <cell r="B1007" t="str">
            <v>IND REC APPRENTIS MECA   </v>
          </cell>
        </row>
        <row r="1008">
          <cell r="A1008">
            <v>791100</v>
          </cell>
          <cell r="B1008" t="str">
            <v>TRANSFERT CHARGES DIV    </v>
          </cell>
        </row>
        <row r="1009">
          <cell r="A1009">
            <v>791100</v>
          </cell>
          <cell r="B1009" t="str">
            <v>TRANSF CHARGES FORM ANFA </v>
          </cell>
        </row>
        <row r="1010">
          <cell r="A1010">
            <v>791110</v>
          </cell>
          <cell r="B1010" t="str">
            <v>TRANSF/FOURN.ADMINIS STRU</v>
          </cell>
        </row>
        <row r="1011">
          <cell r="A1011">
            <v>791199</v>
          </cell>
          <cell r="B1011" t="str">
            <v>TRANSF.CH.PUB.STRUCT.GROU</v>
          </cell>
        </row>
        <row r="1012">
          <cell r="A1012">
            <v>791199</v>
          </cell>
          <cell r="B1012" t="str">
            <v>TRANSF.CH./ENT.LOCAUX GRO</v>
          </cell>
        </row>
        <row r="1013">
          <cell r="A1013">
            <v>791200</v>
          </cell>
          <cell r="B1013" t="str">
            <v>PART CLIENTS / FRAIS REMI</v>
          </cell>
        </row>
        <row r="1014">
          <cell r="A1014">
            <v>791210</v>
          </cell>
          <cell r="B1014" t="str">
            <v>AIDE A L'EMBAUCHE PREP VN</v>
          </cell>
        </row>
        <row r="1015">
          <cell r="A1015">
            <v>791210</v>
          </cell>
          <cell r="B1015" t="str">
            <v>AIDE A L'EMBAUCHE SEC. PR</v>
          </cell>
        </row>
        <row r="1016">
          <cell r="A1016">
            <v>791210</v>
          </cell>
          <cell r="B1016" t="str">
            <v>AIDE A L'EMBAUCHE MECA   </v>
          </cell>
        </row>
        <row r="1017">
          <cell r="A1017">
            <v>791230</v>
          </cell>
          <cell r="B1017" t="str">
            <v>TRANSF.CHARG.PUB.VN      </v>
          </cell>
        </row>
        <row r="1018">
          <cell r="A1018">
            <v>791299</v>
          </cell>
          <cell r="B1018" t="str">
            <v>TRANSF CHARGES DIV HT    </v>
          </cell>
        </row>
        <row r="1019">
          <cell r="A1019">
            <v>791299</v>
          </cell>
          <cell r="B1019" t="str">
            <v>TRANSF.CHARGES FRAIS DEPL</v>
          </cell>
        </row>
        <row r="1020">
          <cell r="A1020">
            <v>791299</v>
          </cell>
          <cell r="B1020" t="str">
            <v>TRANSF PUB VN GROUPE     </v>
          </cell>
        </row>
        <row r="1021">
          <cell r="A1021">
            <v>791299</v>
          </cell>
          <cell r="B1021" t="str">
            <v>TRANSF.CHARGES FRAIS DEPL</v>
          </cell>
        </row>
        <row r="1022">
          <cell r="A1022">
            <v>791300</v>
          </cell>
          <cell r="B1022" t="str">
            <v>TRANSF.CHARGES.FORM.VN   </v>
          </cell>
        </row>
        <row r="1023">
          <cell r="A1023">
            <v>791300</v>
          </cell>
          <cell r="B1023" t="str">
            <v>TRANSF.CHARG.FORM.VO     </v>
          </cell>
        </row>
        <row r="1024">
          <cell r="A1024">
            <v>791300</v>
          </cell>
          <cell r="B1024" t="str">
            <v>TRANSF.CHARGES FORM.APV  </v>
          </cell>
        </row>
        <row r="1025">
          <cell r="A1025">
            <v>791300</v>
          </cell>
          <cell r="B1025" t="str">
            <v>TRANSF CHARGE DECHETS-CAT</v>
          </cell>
        </row>
        <row r="1026">
          <cell r="A1026">
            <v>791300</v>
          </cell>
          <cell r="B1026" t="str">
            <v>TRANSF CH. FORM PERS ADM </v>
          </cell>
        </row>
        <row r="1027">
          <cell r="A1027">
            <v>791500</v>
          </cell>
          <cell r="B1027" t="str">
            <v>REMBT ASSURANCE VD-VN    </v>
          </cell>
        </row>
        <row r="1028">
          <cell r="A1028">
            <v>791500</v>
          </cell>
          <cell r="B1028" t="str">
            <v>REMB. SINISTRE VO        </v>
          </cell>
        </row>
        <row r="1029">
          <cell r="A1029">
            <v>791500</v>
          </cell>
          <cell r="B1029" t="str">
            <v>TRANSF CHARGE ASSUR APV  </v>
          </cell>
        </row>
        <row r="1030">
          <cell r="A1030">
            <v>791500</v>
          </cell>
          <cell r="B1030" t="str">
            <v>TRANSF CHARGES ASSURANCE </v>
          </cell>
        </row>
        <row r="1031">
          <cell r="A1031">
            <v>869000</v>
          </cell>
          <cell r="B1031" t="str">
            <v>ACHAT ACCESSOIRES VN     </v>
          </cell>
        </row>
        <row r="1032">
          <cell r="A1032">
            <v>869000</v>
          </cell>
          <cell r="B1032" t="str">
            <v>CES.RECUES FREVO         </v>
          </cell>
        </row>
        <row r="1033">
          <cell r="A1033">
            <v>869000</v>
          </cell>
          <cell r="B1033" t="str">
            <v>CES.R.PROD.PEINT.FOURN AT</v>
          </cell>
        </row>
        <row r="1034">
          <cell r="A1034">
            <v>869000</v>
          </cell>
          <cell r="B1034" t="str">
            <v>CES.REC.ENT.REP.BAT.STRUC</v>
          </cell>
        </row>
        <row r="1035">
          <cell r="A1035">
            <v>869001</v>
          </cell>
          <cell r="B1035" t="str">
            <v>CES.RECUES GARANTIE VO   </v>
          </cell>
        </row>
        <row r="1036">
          <cell r="A1036">
            <v>869001</v>
          </cell>
          <cell r="B1036" t="str">
            <v>CES.REC.ENT.REPAR.VS STR.</v>
          </cell>
        </row>
        <row r="1037">
          <cell r="A1037">
            <v>869002</v>
          </cell>
          <cell r="B1037" t="str">
            <v>CES.RECUES PREP.CONV.VN  </v>
          </cell>
        </row>
        <row r="1038">
          <cell r="A1038">
            <v>869002</v>
          </cell>
          <cell r="B1038" t="str">
            <v>CES.REC.PETIT.FOURN.STATI</v>
          </cell>
        </row>
        <row r="1039">
          <cell r="A1039">
            <v>869003</v>
          </cell>
          <cell r="B1039" t="str">
            <v>CES.REC.ENT.REPAR.VS PR  </v>
          </cell>
        </row>
        <row r="1040">
          <cell r="A1040">
            <v>869003</v>
          </cell>
          <cell r="B1040" t="str">
            <v>CES RECUE GTIES C+       </v>
          </cell>
        </row>
        <row r="1041">
          <cell r="A1041">
            <v>869003</v>
          </cell>
          <cell r="B1041" t="str">
            <v>CES.REC.GARANTIES VN     </v>
          </cell>
        </row>
        <row r="1042">
          <cell r="A1042">
            <v>869003</v>
          </cell>
          <cell r="B1042" t="str">
            <v>CES.PETITES FOURNITURES  </v>
          </cell>
        </row>
        <row r="1043">
          <cell r="A1043">
            <v>869004</v>
          </cell>
          <cell r="B1043" t="str">
            <v>CES.REC.PREPARATION VO   </v>
          </cell>
        </row>
        <row r="1044">
          <cell r="A1044">
            <v>869006</v>
          </cell>
          <cell r="B1044" t="str">
            <v>CES.REC.ENT.REPAR. VS VN </v>
          </cell>
        </row>
        <row r="1045">
          <cell r="A1045">
            <v>869006</v>
          </cell>
          <cell r="B1045" t="str">
            <v>CES.REC.PETIT OUT.APV    </v>
          </cell>
        </row>
        <row r="1046">
          <cell r="A1046">
            <v>869008</v>
          </cell>
          <cell r="B1046" t="str">
            <v>CES.REC.LAVAGE VN        </v>
          </cell>
        </row>
        <row r="1047">
          <cell r="A1047">
            <v>869008</v>
          </cell>
          <cell r="B1047" t="str">
            <v>CES.REC.LAVAGE VO        </v>
          </cell>
        </row>
        <row r="1048">
          <cell r="A1048">
            <v>869008</v>
          </cell>
          <cell r="B1048" t="str">
            <v>CES.REC.FRAIS DEPAN.APV  </v>
          </cell>
        </row>
        <row r="1049">
          <cell r="A1049">
            <v>869009</v>
          </cell>
          <cell r="B1049" t="str">
            <v>CES.PETITES FOURNITURES  </v>
          </cell>
        </row>
        <row r="1050">
          <cell r="A1050">
            <v>869009</v>
          </cell>
          <cell r="B1050" t="str">
            <v>CES. PETITES FOURNITURES </v>
          </cell>
        </row>
        <row r="1051">
          <cell r="A1051">
            <v>869011</v>
          </cell>
          <cell r="B1051" t="str">
            <v>CESSION VN A VO          </v>
          </cell>
        </row>
        <row r="1052">
          <cell r="A1052">
            <v>869011</v>
          </cell>
          <cell r="B1052" t="str">
            <v>CES.REC.PETIT.FOURN.APV  </v>
          </cell>
        </row>
        <row r="1053">
          <cell r="A1053">
            <v>869012</v>
          </cell>
          <cell r="B1053" t="str">
            <v>CES.CONTRAT MAINTENANCE  </v>
          </cell>
        </row>
        <row r="1054">
          <cell r="A1054">
            <v>869012</v>
          </cell>
          <cell r="B1054" t="str">
            <v>CES. CONTRANT MAINT. BTOB</v>
          </cell>
        </row>
        <row r="1055">
          <cell r="A1055">
            <v>869013</v>
          </cell>
          <cell r="B1055" t="str">
            <v>CES.REC.LAVAGE ATELIER   </v>
          </cell>
        </row>
        <row r="1056">
          <cell r="A1056">
            <v>869014</v>
          </cell>
          <cell r="B1056" t="str">
            <v>CESSION MALFACON APV     </v>
          </cell>
        </row>
        <row r="1057">
          <cell r="A1057">
            <v>869016</v>
          </cell>
          <cell r="B1057" t="str">
            <v>FOURN ADMINISTRATIVES VN </v>
          </cell>
        </row>
        <row r="1058">
          <cell r="A1058">
            <v>869016</v>
          </cell>
          <cell r="B1058" t="str">
            <v>FOURN ADMINISTRATIVES VO </v>
          </cell>
        </row>
        <row r="1059">
          <cell r="A1059">
            <v>869016</v>
          </cell>
          <cell r="B1059" t="str">
            <v>FOURN ADMINISTRATIVES APV</v>
          </cell>
        </row>
        <row r="1060">
          <cell r="A1060">
            <v>869018</v>
          </cell>
          <cell r="B1060" t="str">
            <v>ENTRETIEN REPAR VEH COURT</v>
          </cell>
        </row>
        <row r="1061">
          <cell r="A1061">
            <v>869020</v>
          </cell>
          <cell r="B1061" t="str">
            <v>PRE CONTROLE GRATUIT     </v>
          </cell>
        </row>
        <row r="1062">
          <cell r="A1062">
            <v>869041</v>
          </cell>
          <cell r="B1062" t="str">
            <v>CONC COMMERCIALES VN     </v>
          </cell>
        </row>
        <row r="1063">
          <cell r="A1063">
            <v>869041</v>
          </cell>
          <cell r="B1063" t="str">
            <v>CONC COMMERCIALES VO     </v>
          </cell>
        </row>
        <row r="1064">
          <cell r="A1064">
            <v>869041</v>
          </cell>
          <cell r="B1064" t="str">
            <v>CONC COMMERCIALES PR     </v>
          </cell>
        </row>
        <row r="1065">
          <cell r="A1065">
            <v>869041</v>
          </cell>
          <cell r="B1065" t="str">
            <v>CONC COMMERCIALES APV    </v>
          </cell>
        </row>
        <row r="1066">
          <cell r="A1066">
            <v>869100</v>
          </cell>
          <cell r="B1066" t="str">
            <v>CESSION M.O FORFAITS     </v>
          </cell>
        </row>
        <row r="1067">
          <cell r="A1067">
            <v>869100</v>
          </cell>
          <cell r="B1067" t="str">
            <v>CESSION PR ^ FORFAIT APV </v>
          </cell>
        </row>
        <row r="1068">
          <cell r="A1068">
            <v>869100</v>
          </cell>
          <cell r="B1068" t="str">
            <v>CESSION HUILES FORFAITS  </v>
          </cell>
        </row>
        <row r="1069">
          <cell r="A1069">
            <v>879000</v>
          </cell>
          <cell r="B1069" t="str">
            <v>CES.DON.PIECES PR ^      </v>
          </cell>
        </row>
        <row r="1070">
          <cell r="A1070">
            <v>879000</v>
          </cell>
          <cell r="B1070" t="str">
            <v>CES.DON.PIECES PR DIVERS </v>
          </cell>
        </row>
        <row r="1071">
          <cell r="A1071">
            <v>879000</v>
          </cell>
          <cell r="B1071" t="str">
            <v>CES.DON.PNEUS PR         </v>
          </cell>
        </row>
        <row r="1072">
          <cell r="A1072">
            <v>879000</v>
          </cell>
          <cell r="B1072" t="str">
            <v>CES.DON. MO APV          </v>
          </cell>
        </row>
        <row r="1073">
          <cell r="A1073">
            <v>879000</v>
          </cell>
          <cell r="B1073" t="str">
            <v>CES.DON.TVX EXT.APV      </v>
          </cell>
        </row>
        <row r="1074">
          <cell r="A1074">
            <v>879000</v>
          </cell>
          <cell r="B1074" t="str">
            <v>CES.DON.VTES DEP.PT H.   </v>
          </cell>
        </row>
        <row r="1075">
          <cell r="A1075">
            <v>879000</v>
          </cell>
          <cell r="B1075" t="str">
            <v>CES.DON.GIE PROD PEINT.AT</v>
          </cell>
        </row>
        <row r="1076">
          <cell r="A1076">
            <v>879000</v>
          </cell>
          <cell r="B1076" t="str">
            <v>CES.DON. MO GARANTIE     </v>
          </cell>
        </row>
        <row r="1077">
          <cell r="A1077">
            <v>879000</v>
          </cell>
          <cell r="B1077" t="str">
            <v>CES.DON. MO CARROSSERIE  </v>
          </cell>
        </row>
        <row r="1078">
          <cell r="A1078">
            <v>879000</v>
          </cell>
          <cell r="B1078" t="str">
            <v>CES.GARANTIE LOCATION LSC</v>
          </cell>
        </row>
        <row r="1079">
          <cell r="A1079">
            <v>879000</v>
          </cell>
          <cell r="B1079" t="str">
            <v>CES.DON.BOUTIQUE STATION </v>
          </cell>
        </row>
        <row r="1080">
          <cell r="A1080">
            <v>879000</v>
          </cell>
          <cell r="B1080" t="str">
            <v>CES.DON.LUB/PR STATION   </v>
          </cell>
        </row>
        <row r="1081">
          <cell r="A1081">
            <v>879000</v>
          </cell>
          <cell r="B1081" t="str">
            <v>CES.DONS.LUB/APV STATION </v>
          </cell>
        </row>
        <row r="1082">
          <cell r="A1082">
            <v>879000</v>
          </cell>
          <cell r="B1082" t="str">
            <v>CES.DON.CARBUR/APV STATIO</v>
          </cell>
        </row>
        <row r="1083">
          <cell r="A1083">
            <v>879001</v>
          </cell>
          <cell r="B1083" t="str">
            <v>FORFAIT GARANTIE         </v>
          </cell>
        </row>
        <row r="1084">
          <cell r="A1084">
            <v>879100</v>
          </cell>
          <cell r="B1084" t="str">
            <v>VENTE MO / EQUIPE REE VO </v>
          </cell>
        </row>
        <row r="1085">
          <cell r="A1085">
            <v>879100</v>
          </cell>
          <cell r="B1085" t="str">
            <v>CESSION FRAIS DE PORT    </v>
          </cell>
        </row>
        <row r="1086">
          <cell r="A1086">
            <v>879100</v>
          </cell>
          <cell r="B1086" t="str">
            <v>CESSION PR^ FORFAIT APV  </v>
          </cell>
        </row>
        <row r="1087">
          <cell r="A1087">
            <v>879100</v>
          </cell>
          <cell r="B1087" t="str">
            <v>CESSION HUILES FORFAITS  </v>
          </cell>
        </row>
        <row r="1088">
          <cell r="A1088">
            <v>879100</v>
          </cell>
          <cell r="B1088" t="str">
            <v>REM/CESS.PR ^ FORFAIT APV</v>
          </cell>
        </row>
        <row r="1089">
          <cell r="A1089">
            <v>879101</v>
          </cell>
          <cell r="B1089" t="str">
            <v>CESSION HUILE FORFAITS   </v>
          </cell>
        </row>
        <row r="1090">
          <cell r="A1090">
            <v>879101</v>
          </cell>
          <cell r="B1090" t="str">
            <v>CES DON MO CONTRAT MAINTE</v>
          </cell>
        </row>
        <row r="1091">
          <cell r="A1091">
            <v>879102</v>
          </cell>
          <cell r="B1091" t="str">
            <v>CES DONNEE MO C+         </v>
          </cell>
        </row>
        <row r="1092">
          <cell r="A1092">
            <v>879200</v>
          </cell>
          <cell r="B1092" t="str">
            <v>CES.DON.PR ^ GARANTIE    </v>
          </cell>
        </row>
        <row r="1093">
          <cell r="A1093">
            <v>879200</v>
          </cell>
          <cell r="B1093" t="str">
            <v>CESSION M..O FORFAITS    </v>
          </cell>
        </row>
        <row r="1094">
          <cell r="A1094">
            <v>879200</v>
          </cell>
          <cell r="B1094" t="str">
            <v>CES DON PR CONT MAINTENAN</v>
          </cell>
        </row>
        <row r="1095">
          <cell r="A1095">
            <v>879202</v>
          </cell>
          <cell r="B1095" t="str">
            <v>CES DONNEE PR CONT +     </v>
          </cell>
        </row>
        <row r="1096">
          <cell r="A1096">
            <v>879800</v>
          </cell>
          <cell r="B1096" t="str">
            <v>RABAIS/CESSIONS PR DIV.  </v>
          </cell>
        </row>
        <row r="1097">
          <cell r="A1097">
            <v>879800</v>
          </cell>
          <cell r="B1097" t="str">
            <v>RABAIS/CESSIONS MO APV   </v>
          </cell>
        </row>
        <row r="1098">
          <cell r="A1098">
            <v>879800</v>
          </cell>
          <cell r="B1098" t="str">
            <v>RAB/CES.LUB.PR STATION   </v>
          </cell>
        </row>
        <row r="1099">
          <cell r="A1099">
            <v>879800</v>
          </cell>
          <cell r="B1099" t="str">
            <v>RAB/CES.LUB.APV STATION  </v>
          </cell>
        </row>
        <row r="1100">
          <cell r="A1100">
            <v>879820</v>
          </cell>
          <cell r="B1100" t="str">
            <v>RABAIS/CESSIONS PR ^     </v>
          </cell>
        </row>
        <row r="1101">
          <cell r="A1101">
            <v>879822</v>
          </cell>
          <cell r="B1101" t="str">
            <v>REM / CESS CONT +        </v>
          </cell>
        </row>
        <row r="1102">
          <cell r="A1102">
            <v>879830</v>
          </cell>
          <cell r="B1102" t="str">
            <v>RRR/CESS.PNEUS           </v>
          </cell>
        </row>
        <row r="1103">
          <cell r="A1103">
            <v>879901</v>
          </cell>
          <cell r="B1103" t="str">
            <v>REMISE PR CONTRAT MAINTEN</v>
          </cell>
        </row>
      </sheetData>
      <sheetData sheetId="4" refreshError="1"/>
      <sheetData sheetId="5" refreshError="1"/>
    </sheetDataSet>
  </externalBook>
</externalLink>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29"/>
  <sheetViews>
    <sheetView showGridLines="0" tabSelected="1" view="pageBreakPreview" zoomScaleNormal="100" zoomScaleSheetLayoutView="100" workbookViewId="0">
      <selection activeCell="M8" sqref="M8"/>
    </sheetView>
  </sheetViews>
  <sheetFormatPr baseColWidth="10" defaultColWidth="11.42578125" defaultRowHeight="15.75"/>
  <cols>
    <col min="1" max="16" width="14.7109375" style="7" customWidth="1"/>
    <col min="17" max="17" width="4.7109375" style="7" customWidth="1"/>
    <col min="18" max="18" width="9.28515625" style="7" hidden="1" customWidth="1"/>
    <col min="19" max="16384" width="11.42578125" style="7"/>
  </cols>
  <sheetData>
    <row r="1" spans="1:24" s="1" customFormat="1" ht="15" customHeight="1">
      <c r="A1" s="10"/>
      <c r="B1" s="11"/>
      <c r="C1" s="11"/>
      <c r="D1" s="515"/>
      <c r="E1" s="516"/>
      <c r="F1" s="516"/>
      <c r="G1" s="516"/>
      <c r="H1" s="516"/>
      <c r="I1" s="516"/>
      <c r="J1" s="516"/>
      <c r="K1" s="516"/>
      <c r="L1" s="516"/>
      <c r="M1" s="517"/>
      <c r="N1" s="11"/>
      <c r="O1" s="11"/>
      <c r="P1" s="12"/>
      <c r="R1" s="27" t="s">
        <v>1</v>
      </c>
    </row>
    <row r="2" spans="1:24" s="1" customFormat="1" ht="15" customHeight="1" thickBot="1">
      <c r="A2" s="13"/>
      <c r="B2" s="14"/>
      <c r="C2" s="14"/>
      <c r="D2" s="518"/>
      <c r="E2" s="519"/>
      <c r="F2" s="519"/>
      <c r="G2" s="519"/>
      <c r="H2" s="519"/>
      <c r="I2" s="519"/>
      <c r="J2" s="519"/>
      <c r="K2" s="519"/>
      <c r="L2" s="519"/>
      <c r="M2" s="520"/>
      <c r="N2" s="14"/>
      <c r="O2" s="14"/>
      <c r="P2" s="15"/>
      <c r="R2" s="27" t="s">
        <v>2</v>
      </c>
    </row>
    <row r="3" spans="1:24" ht="15" customHeight="1">
      <c r="A3" s="481" t="s">
        <v>86</v>
      </c>
      <c r="B3" s="482"/>
      <c r="C3" s="482"/>
      <c r="D3" s="482"/>
      <c r="E3" s="482"/>
      <c r="F3" s="482"/>
      <c r="G3" s="482"/>
      <c r="H3" s="482"/>
      <c r="I3" s="482"/>
      <c r="J3" s="482"/>
      <c r="K3" s="482"/>
      <c r="L3" s="482"/>
      <c r="M3" s="482"/>
      <c r="N3" s="482"/>
      <c r="O3" s="482"/>
      <c r="P3" s="483"/>
      <c r="R3" s="28"/>
      <c r="U3" s="3"/>
      <c r="W3" s="5"/>
      <c r="X3" s="6"/>
    </row>
    <row r="4" spans="1:24" ht="15" customHeight="1">
      <c r="A4" s="481"/>
      <c r="B4" s="482"/>
      <c r="C4" s="482"/>
      <c r="D4" s="482"/>
      <c r="E4" s="482"/>
      <c r="F4" s="482"/>
      <c r="G4" s="482"/>
      <c r="H4" s="482"/>
      <c r="I4" s="482"/>
      <c r="J4" s="482"/>
      <c r="K4" s="482"/>
      <c r="L4" s="482"/>
      <c r="M4" s="482"/>
      <c r="N4" s="482"/>
      <c r="O4" s="482"/>
      <c r="P4" s="483"/>
      <c r="R4" s="27" t="s">
        <v>22</v>
      </c>
      <c r="S4" s="2"/>
      <c r="U4" s="3"/>
      <c r="W4" s="5"/>
      <c r="X4" s="6"/>
    </row>
    <row r="5" spans="1:24" ht="15" customHeight="1" thickBot="1">
      <c r="A5" s="484"/>
      <c r="B5" s="485"/>
      <c r="C5" s="485"/>
      <c r="D5" s="485"/>
      <c r="E5" s="485"/>
      <c r="F5" s="485"/>
      <c r="G5" s="485"/>
      <c r="H5" s="485"/>
      <c r="I5" s="485"/>
      <c r="J5" s="485"/>
      <c r="K5" s="485"/>
      <c r="L5" s="485"/>
      <c r="M5" s="485"/>
      <c r="N5" s="485"/>
      <c r="O5" s="485"/>
      <c r="P5" s="486"/>
      <c r="R5" s="27" t="s">
        <v>23</v>
      </c>
      <c r="T5" s="8"/>
      <c r="U5" s="4"/>
      <c r="V5" s="23"/>
      <c r="W5" s="23"/>
      <c r="X5" s="23"/>
    </row>
    <row r="6" spans="1:24" ht="15" customHeight="1">
      <c r="A6" s="17" t="s">
        <v>9</v>
      </c>
      <c r="B6" s="304" t="s">
        <v>268</v>
      </c>
      <c r="C6" s="17" t="s">
        <v>212</v>
      </c>
      <c r="D6" s="304"/>
      <c r="E6" s="487" t="s">
        <v>14</v>
      </c>
      <c r="F6" s="488"/>
      <c r="G6" s="488"/>
      <c r="H6" s="488"/>
      <c r="I6" s="488"/>
      <c r="J6" s="488"/>
      <c r="K6" s="488"/>
      <c r="L6" s="489"/>
      <c r="M6" s="313" t="s">
        <v>13</v>
      </c>
      <c r="N6" s="314"/>
      <c r="O6" s="493" t="s">
        <v>12</v>
      </c>
      <c r="P6" s="494"/>
      <c r="R6" s="28" t="s">
        <v>17</v>
      </c>
      <c r="S6" s="9"/>
      <c r="U6" s="1"/>
      <c r="V6" s="1"/>
    </row>
    <row r="7" spans="1:24" ht="15" customHeight="1" thickBot="1">
      <c r="A7" s="18" t="s">
        <v>10</v>
      </c>
      <c r="B7" s="305"/>
      <c r="C7" s="18" t="s">
        <v>10</v>
      </c>
      <c r="D7" s="305"/>
      <c r="E7" s="490"/>
      <c r="F7" s="491"/>
      <c r="G7" s="491"/>
      <c r="H7" s="491"/>
      <c r="I7" s="491"/>
      <c r="J7" s="491"/>
      <c r="K7" s="491"/>
      <c r="L7" s="492"/>
      <c r="M7" s="311" t="s">
        <v>64</v>
      </c>
      <c r="N7" s="312"/>
      <c r="O7" s="495" t="s">
        <v>60</v>
      </c>
      <c r="P7" s="496"/>
      <c r="R7" s="27" t="s">
        <v>24</v>
      </c>
    </row>
    <row r="8" spans="1:24" ht="21" customHeight="1" thickBot="1">
      <c r="A8" s="19"/>
      <c r="B8" s="16"/>
      <c r="C8" s="20"/>
      <c r="D8" s="20"/>
      <c r="E8" s="21"/>
      <c r="F8" s="21"/>
      <c r="G8" s="21"/>
      <c r="H8" s="21"/>
      <c r="I8" s="21"/>
      <c r="J8" s="21"/>
      <c r="K8" s="21"/>
      <c r="L8" s="21"/>
      <c r="M8" s="22"/>
      <c r="N8" s="20"/>
      <c r="O8" s="306"/>
      <c r="P8" s="306"/>
      <c r="R8" s="27" t="s">
        <v>25</v>
      </c>
    </row>
    <row r="9" spans="1:24" s="20" customFormat="1" ht="31.5" customHeight="1" thickBot="1">
      <c r="A9" s="497" t="s">
        <v>15</v>
      </c>
      <c r="B9" s="498"/>
      <c r="C9" s="498"/>
      <c r="D9" s="315" t="s">
        <v>17</v>
      </c>
      <c r="E9" s="316"/>
      <c r="F9" s="499" t="s">
        <v>3</v>
      </c>
      <c r="G9" s="500"/>
      <c r="H9" s="500"/>
      <c r="I9" s="500"/>
      <c r="J9" s="318">
        <f>98*0.15</f>
        <v>14.7</v>
      </c>
      <c r="K9" s="319"/>
      <c r="L9" s="499" t="s">
        <v>16</v>
      </c>
      <c r="M9" s="500"/>
      <c r="N9" s="500"/>
      <c r="O9" s="309" t="s">
        <v>25</v>
      </c>
      <c r="P9" s="310"/>
      <c r="R9" s="28" t="s">
        <v>18</v>
      </c>
    </row>
    <row r="10" spans="1:24" s="26" customFormat="1" ht="21" customHeight="1" thickBot="1">
      <c r="A10" s="24"/>
      <c r="B10" s="24"/>
      <c r="C10" s="24"/>
      <c r="D10" s="24"/>
      <c r="E10" s="24"/>
      <c r="F10" s="24"/>
      <c r="G10" s="24"/>
      <c r="H10" s="24"/>
      <c r="I10" s="24"/>
      <c r="J10" s="24"/>
      <c r="K10" s="24"/>
      <c r="L10" s="24"/>
      <c r="M10" s="24"/>
      <c r="N10" s="24"/>
      <c r="O10" s="24"/>
      <c r="P10" s="24"/>
    </row>
    <row r="11" spans="1:24" ht="15" customHeight="1">
      <c r="A11" s="501" t="s">
        <v>11</v>
      </c>
      <c r="B11" s="502"/>
      <c r="C11" s="24" t="s">
        <v>19</v>
      </c>
      <c r="D11" s="24"/>
      <c r="E11" s="24"/>
      <c r="F11" s="24"/>
      <c r="G11" s="24"/>
      <c r="H11" s="24"/>
      <c r="I11" s="24"/>
      <c r="J11" s="24"/>
      <c r="K11" s="24"/>
      <c r="L11" s="24"/>
      <c r="M11" s="503" t="s">
        <v>224</v>
      </c>
      <c r="N11" s="504"/>
      <c r="O11" s="505" t="s">
        <v>213</v>
      </c>
      <c r="P11" s="506"/>
    </row>
    <row r="12" spans="1:24" s="1" customFormat="1" ht="15" customHeight="1">
      <c r="A12" s="507" t="s">
        <v>194</v>
      </c>
      <c r="B12" s="508"/>
      <c r="C12" s="320" t="s">
        <v>29</v>
      </c>
      <c r="D12" s="317"/>
      <c r="E12" s="317"/>
      <c r="F12" s="317"/>
      <c r="G12" s="317"/>
      <c r="H12" s="317"/>
      <c r="I12" s="317"/>
      <c r="J12" s="317"/>
      <c r="K12" s="317"/>
      <c r="L12" s="317"/>
      <c r="M12" s="509" t="s">
        <v>1</v>
      </c>
      <c r="N12" s="510"/>
      <c r="O12" s="511" t="s">
        <v>214</v>
      </c>
      <c r="P12" s="512"/>
      <c r="Q12" s="307" t="s">
        <v>200</v>
      </c>
      <c r="R12" s="7"/>
      <c r="S12" s="7" t="s">
        <v>201</v>
      </c>
    </row>
    <row r="13" spans="1:24" s="1" customFormat="1" ht="15" customHeight="1">
      <c r="A13" s="507" t="s">
        <v>195</v>
      </c>
      <c r="B13" s="508"/>
      <c r="C13" s="320" t="s">
        <v>87</v>
      </c>
      <c r="D13" s="320"/>
      <c r="E13" s="320"/>
      <c r="F13" s="320"/>
      <c r="G13" s="320"/>
      <c r="H13" s="320"/>
      <c r="I13" s="320"/>
      <c r="J13" s="320"/>
      <c r="K13" s="320"/>
      <c r="L13" s="320"/>
      <c r="M13" s="509" t="s">
        <v>1</v>
      </c>
      <c r="N13" s="510"/>
      <c r="O13" s="511" t="s">
        <v>215</v>
      </c>
      <c r="P13" s="512"/>
      <c r="Q13" s="307" t="s">
        <v>202</v>
      </c>
      <c r="S13" s="1" t="s">
        <v>203</v>
      </c>
    </row>
    <row r="14" spans="1:24" s="1" customFormat="1" ht="15" customHeight="1">
      <c r="A14" s="507" t="s">
        <v>196</v>
      </c>
      <c r="B14" s="508"/>
      <c r="C14" s="320" t="s">
        <v>231</v>
      </c>
      <c r="D14" s="320"/>
      <c r="E14" s="320"/>
      <c r="F14" s="320"/>
      <c r="G14" s="320"/>
      <c r="H14" s="320"/>
      <c r="I14" s="320"/>
      <c r="J14" s="320"/>
      <c r="K14" s="320"/>
      <c r="L14" s="320"/>
      <c r="M14" s="509" t="s">
        <v>1</v>
      </c>
      <c r="N14" s="510"/>
      <c r="O14" s="511" t="s">
        <v>254</v>
      </c>
      <c r="P14" s="512"/>
      <c r="Q14" s="307" t="s">
        <v>206</v>
      </c>
      <c r="S14" s="1" t="s">
        <v>207</v>
      </c>
    </row>
    <row r="15" spans="1:24" s="1" customFormat="1" ht="15" customHeight="1">
      <c r="A15" s="507" t="s">
        <v>197</v>
      </c>
      <c r="B15" s="508"/>
      <c r="C15" s="320" t="s">
        <v>30</v>
      </c>
      <c r="D15" s="320"/>
      <c r="E15" s="320"/>
      <c r="F15" s="320"/>
      <c r="G15" s="320"/>
      <c r="H15" s="320"/>
      <c r="I15" s="320"/>
      <c r="J15" s="320"/>
      <c r="K15" s="320"/>
      <c r="L15" s="320"/>
      <c r="M15" s="509" t="s">
        <v>1</v>
      </c>
      <c r="N15" s="510"/>
      <c r="O15" s="511" t="s">
        <v>216</v>
      </c>
      <c r="P15" s="512"/>
      <c r="Q15" s="307" t="s">
        <v>208</v>
      </c>
      <c r="S15" s="1" t="s">
        <v>207</v>
      </c>
    </row>
    <row r="16" spans="1:24" s="1" customFormat="1" ht="15" customHeight="1">
      <c r="A16" s="507" t="s">
        <v>219</v>
      </c>
      <c r="B16" s="508"/>
      <c r="C16" s="320" t="s">
        <v>89</v>
      </c>
      <c r="D16" s="320"/>
      <c r="E16" s="320"/>
      <c r="F16" s="320"/>
      <c r="G16" s="320"/>
      <c r="H16" s="320"/>
      <c r="I16" s="320"/>
      <c r="J16" s="320"/>
      <c r="K16" s="320"/>
      <c r="L16" s="320"/>
      <c r="M16" s="509" t="s">
        <v>1</v>
      </c>
      <c r="N16" s="510"/>
      <c r="O16" s="511" t="s">
        <v>225</v>
      </c>
      <c r="P16" s="512"/>
      <c r="Q16" s="307" t="s">
        <v>210</v>
      </c>
      <c r="S16" s="1" t="s">
        <v>211</v>
      </c>
    </row>
    <row r="17" spans="1:19" s="1" customFormat="1" ht="15" customHeight="1">
      <c r="A17" s="507" t="s">
        <v>220</v>
      </c>
      <c r="B17" s="508"/>
      <c r="C17" s="320" t="s">
        <v>90</v>
      </c>
      <c r="D17" s="320"/>
      <c r="E17" s="320"/>
      <c r="F17" s="320"/>
      <c r="G17" s="320"/>
      <c r="H17" s="320"/>
      <c r="I17" s="320"/>
      <c r="J17" s="320"/>
      <c r="K17" s="320"/>
      <c r="L17" s="320"/>
      <c r="M17" s="513" t="s">
        <v>1</v>
      </c>
      <c r="N17" s="514"/>
      <c r="O17" s="511" t="s">
        <v>226</v>
      </c>
      <c r="P17" s="512"/>
      <c r="Q17" s="307" t="s">
        <v>204</v>
      </c>
      <c r="S17" s="1" t="s">
        <v>205</v>
      </c>
    </row>
    <row r="18" spans="1:19" s="1" customFormat="1" ht="15" customHeight="1">
      <c r="A18" s="507" t="s">
        <v>220</v>
      </c>
      <c r="B18" s="508"/>
      <c r="C18" s="320" t="s">
        <v>255</v>
      </c>
      <c r="D18" s="320"/>
      <c r="E18" s="320"/>
      <c r="F18" s="320"/>
      <c r="G18" s="320"/>
      <c r="H18" s="320"/>
      <c r="I18" s="320"/>
      <c r="J18" s="320"/>
      <c r="K18" s="320"/>
      <c r="L18" s="320"/>
      <c r="M18" s="513" t="s">
        <v>1</v>
      </c>
      <c r="N18" s="514"/>
      <c r="O18" s="712" t="s">
        <v>256</v>
      </c>
      <c r="P18" s="713"/>
      <c r="Q18" s="307" t="s">
        <v>209</v>
      </c>
      <c r="S18" s="1" t="s">
        <v>207</v>
      </c>
    </row>
    <row r="19" spans="1:19" s="1" customFormat="1" ht="15" customHeight="1">
      <c r="A19" s="507" t="s">
        <v>222</v>
      </c>
      <c r="B19" s="508"/>
      <c r="C19" s="320" t="s">
        <v>91</v>
      </c>
      <c r="D19" s="320"/>
      <c r="E19" s="320"/>
      <c r="F19" s="320"/>
      <c r="G19" s="320"/>
      <c r="H19" s="320"/>
      <c r="I19" s="320"/>
      <c r="J19" s="320"/>
      <c r="K19" s="320"/>
      <c r="L19" s="320"/>
      <c r="M19" s="513" t="s">
        <v>1</v>
      </c>
      <c r="N19" s="514"/>
      <c r="O19" s="511" t="s">
        <v>227</v>
      </c>
      <c r="P19" s="512"/>
    </row>
    <row r="20" spans="1:19" s="1" customFormat="1" ht="15" customHeight="1">
      <c r="A20" s="507" t="s">
        <v>223</v>
      </c>
      <c r="B20" s="508"/>
      <c r="C20" s="320" t="s">
        <v>31</v>
      </c>
      <c r="D20" s="320"/>
      <c r="E20" s="320"/>
      <c r="F20" s="320"/>
      <c r="G20" s="320"/>
      <c r="H20" s="320"/>
      <c r="I20" s="320"/>
      <c r="J20" s="320"/>
      <c r="K20" s="320"/>
      <c r="L20" s="320"/>
      <c r="M20" s="513" t="s">
        <v>1</v>
      </c>
      <c r="N20" s="514"/>
      <c r="O20" s="511" t="s">
        <v>228</v>
      </c>
      <c r="P20" s="512"/>
    </row>
    <row r="21" spans="1:19" s="1" customFormat="1" ht="15" customHeight="1">
      <c r="A21" s="507" t="s">
        <v>198</v>
      </c>
      <c r="B21" s="508"/>
      <c r="C21" s="320" t="s">
        <v>92</v>
      </c>
      <c r="D21" s="320"/>
      <c r="E21" s="320"/>
      <c r="F21" s="320"/>
      <c r="G21" s="320"/>
      <c r="H21" s="320"/>
      <c r="I21" s="320"/>
      <c r="J21" s="320"/>
      <c r="K21" s="320"/>
      <c r="L21" s="320"/>
      <c r="M21" s="509" t="s">
        <v>1</v>
      </c>
      <c r="N21" s="510"/>
      <c r="O21" s="511" t="s">
        <v>229</v>
      </c>
      <c r="P21" s="512"/>
    </row>
    <row r="22" spans="1:19" s="1" customFormat="1" ht="15" customHeight="1">
      <c r="A22" s="507"/>
      <c r="B22" s="508"/>
      <c r="C22" s="320" t="s">
        <v>88</v>
      </c>
      <c r="D22" s="320"/>
      <c r="E22" s="320"/>
      <c r="F22" s="320"/>
      <c r="G22" s="320"/>
      <c r="H22" s="320"/>
      <c r="I22" s="320"/>
      <c r="J22" s="320"/>
      <c r="K22" s="320"/>
      <c r="L22" s="320"/>
      <c r="M22" s="509" t="s">
        <v>2</v>
      </c>
      <c r="N22" s="510"/>
      <c r="O22" s="712" t="s">
        <v>230</v>
      </c>
      <c r="P22" s="713"/>
    </row>
    <row r="23" spans="1:19" s="1" customFormat="1" ht="15" customHeight="1" thickBot="1">
      <c r="A23" s="535"/>
      <c r="B23" s="536"/>
      <c r="C23" s="321"/>
      <c r="D23" s="321"/>
      <c r="E23" s="321"/>
      <c r="F23" s="321"/>
      <c r="G23" s="321"/>
      <c r="H23" s="321"/>
      <c r="I23" s="321"/>
      <c r="J23" s="321"/>
      <c r="K23" s="321"/>
      <c r="L23" s="321"/>
      <c r="M23" s="537"/>
      <c r="N23" s="538"/>
      <c r="O23" s="533"/>
      <c r="P23" s="534"/>
    </row>
    <row r="24" spans="1:19" s="25" customFormat="1" ht="21" customHeight="1" thickBot="1"/>
    <row r="25" spans="1:19" s="25" customFormat="1" ht="15">
      <c r="A25" s="530" t="s">
        <v>166</v>
      </c>
      <c r="B25" s="531"/>
      <c r="C25" s="531"/>
      <c r="D25" s="531"/>
      <c r="E25" s="531"/>
      <c r="F25" s="531"/>
      <c r="G25" s="531"/>
      <c r="H25" s="531"/>
      <c r="I25" s="531"/>
      <c r="J25" s="531"/>
      <c r="K25" s="531"/>
      <c r="L25" s="531"/>
      <c r="M25" s="531"/>
      <c r="N25" s="531"/>
      <c r="O25" s="531"/>
      <c r="P25" s="532"/>
    </row>
    <row r="26" spans="1:19" s="25" customFormat="1" thickBot="1">
      <c r="A26" s="521" t="s">
        <v>269</v>
      </c>
      <c r="B26" s="522"/>
      <c r="C26" s="522"/>
      <c r="D26" s="522"/>
      <c r="E26" s="522"/>
      <c r="F26" s="522"/>
      <c r="G26" s="522"/>
      <c r="H26" s="522"/>
      <c r="I26" s="522"/>
      <c r="J26" s="522"/>
      <c r="K26" s="522"/>
      <c r="L26" s="522"/>
      <c r="M26" s="522"/>
      <c r="N26" s="522"/>
      <c r="O26" s="522"/>
      <c r="P26" s="523"/>
    </row>
    <row r="27" spans="1:19" s="25" customFormat="1" ht="21" customHeight="1" thickBot="1"/>
    <row r="28" spans="1:19" s="25" customFormat="1" ht="15">
      <c r="A28" s="524" t="s">
        <v>26</v>
      </c>
      <c r="B28" s="525"/>
      <c r="C28" s="525"/>
      <c r="D28" s="525"/>
      <c r="E28" s="525"/>
      <c r="F28" s="525"/>
      <c r="G28" s="525"/>
      <c r="H28" s="525"/>
      <c r="I28" s="525"/>
      <c r="J28" s="525"/>
      <c r="K28" s="525"/>
      <c r="L28" s="525"/>
      <c r="M28" s="525"/>
      <c r="N28" s="525"/>
      <c r="O28" s="525"/>
      <c r="P28" s="526"/>
    </row>
    <row r="29" spans="1:19" s="25" customFormat="1" ht="48.6" customHeight="1" thickBot="1">
      <c r="A29" s="527" t="s">
        <v>275</v>
      </c>
      <c r="B29" s="528"/>
      <c r="C29" s="528"/>
      <c r="D29" s="528"/>
      <c r="E29" s="528"/>
      <c r="F29" s="528"/>
      <c r="G29" s="528"/>
      <c r="H29" s="528"/>
      <c r="I29" s="528"/>
      <c r="J29" s="528"/>
      <c r="K29" s="528"/>
      <c r="L29" s="528"/>
      <c r="M29" s="528"/>
      <c r="N29" s="528"/>
      <c r="O29" s="528"/>
      <c r="P29" s="529"/>
    </row>
  </sheetData>
  <sheetProtection formatCells="0" formatColumns="0" formatRows="0" insertColumns="0" insertRows="0" insertHyperlinks="0" deleteColumns="0" deleteRows="0" sort="0" autoFilter="0" pivotTables="0"/>
  <dataConsolidate/>
  <mergeCells count="51">
    <mergeCell ref="D1:M2"/>
    <mergeCell ref="A26:P26"/>
    <mergeCell ref="A28:P28"/>
    <mergeCell ref="A29:P29"/>
    <mergeCell ref="A25:P25"/>
    <mergeCell ref="O23:P23"/>
    <mergeCell ref="A21:B21"/>
    <mergeCell ref="M21:N21"/>
    <mergeCell ref="O21:P21"/>
    <mergeCell ref="A23:B23"/>
    <mergeCell ref="M23:N23"/>
    <mergeCell ref="A18:B18"/>
    <mergeCell ref="M18:N18"/>
    <mergeCell ref="A19:B19"/>
    <mergeCell ref="M19:N19"/>
    <mergeCell ref="O20:P20"/>
    <mergeCell ref="A16:B16"/>
    <mergeCell ref="M16:N16"/>
    <mergeCell ref="O16:P16"/>
    <mergeCell ref="A17:B17"/>
    <mergeCell ref="M17:N17"/>
    <mergeCell ref="O17:P17"/>
    <mergeCell ref="A13:B13"/>
    <mergeCell ref="M13:N13"/>
    <mergeCell ref="O13:P13"/>
    <mergeCell ref="A22:B22"/>
    <mergeCell ref="M22:N22"/>
    <mergeCell ref="O22:P22"/>
    <mergeCell ref="A14:B14"/>
    <mergeCell ref="M14:N14"/>
    <mergeCell ref="O14:P14"/>
    <mergeCell ref="A15:B15"/>
    <mergeCell ref="M15:N15"/>
    <mergeCell ref="O15:P15"/>
    <mergeCell ref="O18:P18"/>
    <mergeCell ref="O19:P19"/>
    <mergeCell ref="A20:B20"/>
    <mergeCell ref="M20:N20"/>
    <mergeCell ref="A11:B11"/>
    <mergeCell ref="M11:N11"/>
    <mergeCell ref="O11:P11"/>
    <mergeCell ref="A12:B12"/>
    <mergeCell ref="M12:N12"/>
    <mergeCell ref="O12:P12"/>
    <mergeCell ref="A3:P5"/>
    <mergeCell ref="E6:L7"/>
    <mergeCell ref="O6:P6"/>
    <mergeCell ref="O7:P7"/>
    <mergeCell ref="A9:C9"/>
    <mergeCell ref="F9:I9"/>
    <mergeCell ref="L9:N9"/>
  </mergeCells>
  <dataValidations count="4">
    <dataValidation type="list" showInputMessage="1" showErrorMessage="1" sqref="D9:E9" xr:uid="{00000000-0002-0000-0100-000000000000}">
      <formula1>$R$4:$R$6</formula1>
    </dataValidation>
    <dataValidation type="list" allowBlank="1" showInputMessage="1" showErrorMessage="1" sqref="O9:P9" xr:uid="{00000000-0002-0000-0100-000001000000}">
      <formula1>$R$7:$R$9</formula1>
    </dataValidation>
    <dataValidation type="list" allowBlank="1" showInputMessage="1" showErrorMessage="1" sqref="M23:N23" xr:uid="{00000000-0002-0000-0100-000002000000}">
      <formula1>Etat</formula1>
    </dataValidation>
    <dataValidation type="list" allowBlank="1" showInputMessage="1" showErrorMessage="1" sqref="M12:N22" xr:uid="{00000000-0002-0000-0100-000003000000}">
      <formula1>$R$1:$R$2</formula1>
    </dataValidation>
  </dataValidations>
  <hyperlinks>
    <hyperlink ref="O12:P12" location="'A100 Rappro BA-BG'!Zone_d_impression" display="A100 Rappro BA-BG" xr:uid="{00000000-0004-0000-0100-000000000000}"/>
    <hyperlink ref="O13:P13" location="'A110 Revue frs débiteurs'!Zone_d_impression" display="A110 Revue frs débiteurs" xr:uid="{00000000-0004-0000-0100-000001000000}"/>
    <hyperlink ref="O22:P22" location="'A700 Revue EAP'!Zone_d_impression" display="A700 Revue EAP" xr:uid="{00000000-0004-0000-0100-000002000000}"/>
    <hyperlink ref="O14:P14" location="'A200 Rappro constructeur'!A1" display="A200 Rappro constructeur" xr:uid="{00000000-0004-0000-0100-000003000000}"/>
    <hyperlink ref="O15:P15" location="'A300 Réciprocité intragroupe'!Zone_d_impression" display="A300 Réciprocité intragroupe" xr:uid="{00000000-0004-0000-0100-000004000000}"/>
    <hyperlink ref="O16:P16" location="'A410 Revue FNP'!Zone_d_impression" display="A410 Revue FNP" xr:uid="{00000000-0004-0000-0100-000005000000}"/>
    <hyperlink ref="O17:P17" location="'A420 Revue AAR'!Zone_d_impression" display="A420 Revue AAR" xr:uid="{00000000-0004-0000-0100-000006000000}"/>
    <hyperlink ref="O18:P18" location="'A430 Revue Primes const'!A1" display="A430 Revue primes const" xr:uid="{00000000-0004-0000-0100-000007000000}"/>
    <hyperlink ref="O19:P19" location="'A440 Revue CCA'!Zone_d_impression" display="A440 Revue CCA" xr:uid="{00000000-0004-0000-0100-000008000000}"/>
    <hyperlink ref="O20:P20" location="'A500 Circularisations'!Zone_d_impression" display="A500 Circularisations" xr:uid="{00000000-0004-0000-0100-000009000000}"/>
    <hyperlink ref="O21:P21" location="'A600 Revue AACE'!Zone_d_impression" display="A600 Revue AACE" xr:uid="{00000000-0004-0000-0100-00000A000000}"/>
  </hyperlinks>
  <printOptions horizontalCentered="1"/>
  <pageMargins left="0.27559055118110237" right="0.27559055118110237" top="0.39370078740157483" bottom="0.39370078740157483" header="0.51181102362204722" footer="0.51181102362204722"/>
  <pageSetup paperSize="9" scale="42"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48"/>
  <sheetViews>
    <sheetView showGridLines="0" topLeftCell="B1" zoomScaleNormal="100" workbookViewId="0">
      <selection activeCell="J10" sqref="J10"/>
    </sheetView>
  </sheetViews>
  <sheetFormatPr baseColWidth="10" defaultColWidth="11.42578125" defaultRowHeight="15.75"/>
  <cols>
    <col min="1" max="16" width="14.7109375" style="7" customWidth="1"/>
    <col min="17" max="17" width="11.42578125" style="7"/>
    <col min="18" max="18" width="11.42578125" style="7" hidden="1" customWidth="1"/>
    <col min="19" max="16384" width="11.42578125" style="7"/>
  </cols>
  <sheetData>
    <row r="1" spans="1:24" s="1" customFormat="1" ht="15" customHeight="1">
      <c r="A1" s="10"/>
      <c r="B1" s="11"/>
      <c r="C1" s="11"/>
      <c r="D1" s="541">
        <f>'A Synthèse'!D1:M2</f>
        <v>0</v>
      </c>
      <c r="E1" s="542"/>
      <c r="F1" s="542"/>
      <c r="G1" s="542"/>
      <c r="H1" s="542"/>
      <c r="I1" s="542"/>
      <c r="J1" s="542"/>
      <c r="K1" s="542"/>
      <c r="L1" s="542"/>
      <c r="M1" s="543"/>
      <c r="N1" s="11"/>
      <c r="O1" s="11"/>
      <c r="P1" s="12"/>
      <c r="R1" s="27" t="s">
        <v>0</v>
      </c>
    </row>
    <row r="2" spans="1:24" s="1" customFormat="1" ht="15" customHeight="1" thickBot="1">
      <c r="A2" s="13"/>
      <c r="B2" s="14"/>
      <c r="C2" s="14"/>
      <c r="D2" s="544"/>
      <c r="E2" s="545"/>
      <c r="F2" s="545"/>
      <c r="G2" s="545"/>
      <c r="H2" s="545"/>
      <c r="I2" s="545"/>
      <c r="J2" s="545"/>
      <c r="K2" s="545"/>
      <c r="L2" s="545"/>
      <c r="M2" s="546"/>
      <c r="N2" s="14"/>
      <c r="O2" s="14"/>
      <c r="P2" s="15"/>
      <c r="R2" s="27" t="s">
        <v>20</v>
      </c>
    </row>
    <row r="3" spans="1:24" ht="15" customHeight="1">
      <c r="A3" s="481" t="s">
        <v>86</v>
      </c>
      <c r="B3" s="482"/>
      <c r="C3" s="482"/>
      <c r="D3" s="482"/>
      <c r="E3" s="482"/>
      <c r="F3" s="482"/>
      <c r="G3" s="482"/>
      <c r="H3" s="482"/>
      <c r="I3" s="482"/>
      <c r="J3" s="482"/>
      <c r="K3" s="482"/>
      <c r="L3" s="482"/>
      <c r="M3" s="482"/>
      <c r="N3" s="482"/>
      <c r="O3" s="482"/>
      <c r="P3" s="483"/>
      <c r="R3" s="28" t="s">
        <v>21</v>
      </c>
      <c r="U3" s="3"/>
      <c r="W3" s="5"/>
      <c r="X3" s="6"/>
    </row>
    <row r="4" spans="1:24" ht="15" customHeight="1">
      <c r="A4" s="481"/>
      <c r="B4" s="482"/>
      <c r="C4" s="482"/>
      <c r="D4" s="482"/>
      <c r="E4" s="482"/>
      <c r="F4" s="482"/>
      <c r="G4" s="482"/>
      <c r="H4" s="482"/>
      <c r="I4" s="482"/>
      <c r="J4" s="482"/>
      <c r="K4" s="482"/>
      <c r="L4" s="482"/>
      <c r="M4" s="482"/>
      <c r="N4" s="482"/>
      <c r="O4" s="482"/>
      <c r="P4" s="483"/>
      <c r="R4" s="27" t="s">
        <v>22</v>
      </c>
      <c r="S4" s="2"/>
      <c r="U4" s="3"/>
      <c r="W4" s="5"/>
      <c r="X4" s="6"/>
    </row>
    <row r="5" spans="1:24" ht="15" customHeight="1" thickBot="1">
      <c r="A5" s="484"/>
      <c r="B5" s="485"/>
      <c r="C5" s="485"/>
      <c r="D5" s="485"/>
      <c r="E5" s="485"/>
      <c r="F5" s="485"/>
      <c r="G5" s="485"/>
      <c r="H5" s="485"/>
      <c r="I5" s="485"/>
      <c r="J5" s="485"/>
      <c r="K5" s="485"/>
      <c r="L5" s="485"/>
      <c r="M5" s="485"/>
      <c r="N5" s="485"/>
      <c r="O5" s="485"/>
      <c r="P5" s="486"/>
      <c r="R5" s="27" t="s">
        <v>23</v>
      </c>
      <c r="T5" s="8"/>
      <c r="U5" s="4"/>
      <c r="V5" s="23"/>
      <c r="W5" s="23"/>
      <c r="X5" s="23"/>
    </row>
    <row r="6" spans="1:24" ht="15" customHeight="1">
      <c r="A6" s="17" t="s">
        <v>9</v>
      </c>
      <c r="B6" s="304" t="str">
        <f>'A Synthèse'!B6</f>
        <v>BRA</v>
      </c>
      <c r="C6" s="17" t="s">
        <v>212</v>
      </c>
      <c r="D6" s="304">
        <f>'A Synthèse'!D6</f>
        <v>0</v>
      </c>
      <c r="E6" s="487" t="s">
        <v>27</v>
      </c>
      <c r="F6" s="488"/>
      <c r="G6" s="488"/>
      <c r="H6" s="488"/>
      <c r="I6" s="488"/>
      <c r="J6" s="488"/>
      <c r="K6" s="488"/>
      <c r="L6" s="489"/>
      <c r="M6" s="547" t="s">
        <v>13</v>
      </c>
      <c r="N6" s="548"/>
      <c r="O6" s="493" t="s">
        <v>12</v>
      </c>
      <c r="P6" s="494"/>
      <c r="R6" s="28" t="s">
        <v>17</v>
      </c>
      <c r="S6" s="9"/>
      <c r="U6" s="1"/>
      <c r="V6" s="1"/>
    </row>
    <row r="7" spans="1:24" ht="15" customHeight="1" thickBot="1">
      <c r="A7" s="18" t="s">
        <v>10</v>
      </c>
      <c r="B7" s="305">
        <f>'A Synthèse'!B7</f>
        <v>0</v>
      </c>
      <c r="C7" s="18" t="s">
        <v>10</v>
      </c>
      <c r="D7" s="305">
        <f>'A Synthèse'!D7</f>
        <v>0</v>
      </c>
      <c r="E7" s="490"/>
      <c r="F7" s="491"/>
      <c r="G7" s="491"/>
      <c r="H7" s="491"/>
      <c r="I7" s="491"/>
      <c r="J7" s="491"/>
      <c r="K7" s="491"/>
      <c r="L7" s="492"/>
      <c r="M7" s="549" t="str">
        <f>'A Synthèse'!M7:N7</f>
        <v>31/12/N</v>
      </c>
      <c r="N7" s="550"/>
      <c r="O7" s="495" t="s">
        <v>60</v>
      </c>
      <c r="P7" s="496"/>
      <c r="R7" s="27" t="s">
        <v>24</v>
      </c>
    </row>
    <row r="8" spans="1:24" ht="21" customHeight="1" thickBot="1">
      <c r="A8" s="19"/>
      <c r="B8" s="16"/>
      <c r="C8" s="20"/>
      <c r="D8" s="20"/>
      <c r="E8" s="21"/>
      <c r="F8" s="21"/>
      <c r="G8" s="21"/>
      <c r="H8" s="21"/>
      <c r="I8" s="21"/>
      <c r="J8" s="21"/>
      <c r="K8" s="21"/>
      <c r="L8" s="21"/>
      <c r="M8" s="22"/>
      <c r="N8" s="20"/>
      <c r="O8" s="553" t="s">
        <v>217</v>
      </c>
      <c r="P8" s="553"/>
      <c r="R8" s="27" t="s">
        <v>25</v>
      </c>
    </row>
    <row r="9" spans="1:24" s="20" customFormat="1" ht="31.5" customHeight="1" thickBot="1">
      <c r="A9" s="497" t="s">
        <v>15</v>
      </c>
      <c r="B9" s="498"/>
      <c r="C9" s="498"/>
      <c r="D9" s="539" t="str">
        <f>'A Synthèse'!D9:E9</f>
        <v>Elevé</v>
      </c>
      <c r="E9" s="540"/>
      <c r="F9" s="499" t="s">
        <v>3</v>
      </c>
      <c r="G9" s="500"/>
      <c r="H9" s="500"/>
      <c r="I9" s="500"/>
      <c r="J9" s="551">
        <f>'A Synthèse'!J9:K9</f>
        <v>14.7</v>
      </c>
      <c r="K9" s="552"/>
      <c r="L9" s="499" t="s">
        <v>16</v>
      </c>
      <c r="M9" s="500"/>
      <c r="N9" s="500"/>
      <c r="O9" s="539" t="str">
        <f>'A Synthèse'!O9:P9</f>
        <v>PE</v>
      </c>
      <c r="P9" s="540"/>
      <c r="R9" s="28" t="s">
        <v>18</v>
      </c>
    </row>
    <row r="10" spans="1:24" s="26" customFormat="1" ht="21" customHeight="1">
      <c r="A10" s="24"/>
      <c r="B10" s="24"/>
      <c r="C10" s="24"/>
      <c r="D10" s="24"/>
      <c r="E10" s="24"/>
      <c r="F10" s="24"/>
      <c r="G10" s="24"/>
      <c r="H10" s="24"/>
      <c r="I10" s="24"/>
      <c r="J10" s="24"/>
      <c r="K10" s="24"/>
      <c r="L10" s="24"/>
      <c r="M10" s="24"/>
      <c r="N10" s="24"/>
      <c r="O10" s="24"/>
      <c r="P10" s="24"/>
    </row>
    <row r="11" spans="1:24" s="29" customFormat="1" ht="28.5" customHeight="1">
      <c r="A11" s="554" t="s">
        <v>4</v>
      </c>
      <c r="B11" s="557"/>
      <c r="C11" s="557"/>
      <c r="D11" s="557"/>
      <c r="E11" s="557"/>
      <c r="F11" s="557"/>
      <c r="G11" s="555"/>
      <c r="H11" s="555"/>
      <c r="I11" s="555"/>
      <c r="J11" s="555"/>
      <c r="K11" s="555"/>
      <c r="L11" s="555"/>
      <c r="M11" s="555"/>
      <c r="N11" s="555"/>
      <c r="O11" s="555"/>
      <c r="P11" s="556"/>
      <c r="T11" s="20"/>
    </row>
    <row r="12" spans="1:24" s="30" customFormat="1" ht="51.75" customHeight="1">
      <c r="A12" s="554" t="s">
        <v>5</v>
      </c>
      <c r="B12" s="555"/>
      <c r="C12" s="555"/>
      <c r="D12" s="555"/>
      <c r="E12" s="555"/>
      <c r="F12" s="555"/>
      <c r="G12" s="556"/>
      <c r="H12" s="54" t="s">
        <v>0</v>
      </c>
      <c r="I12" s="151" t="s">
        <v>1</v>
      </c>
      <c r="J12" s="55" t="s">
        <v>2</v>
      </c>
      <c r="K12" s="554" t="s">
        <v>6</v>
      </c>
      <c r="L12" s="557"/>
      <c r="M12" s="555"/>
      <c r="N12" s="555"/>
      <c r="O12" s="555"/>
      <c r="P12" s="556"/>
    </row>
    <row r="13" spans="1:24" s="30" customFormat="1" ht="39" customHeight="1">
      <c r="A13" s="558" t="s">
        <v>93</v>
      </c>
      <c r="B13" s="559"/>
      <c r="C13" s="559"/>
      <c r="D13" s="559"/>
      <c r="E13" s="559"/>
      <c r="F13" s="559"/>
      <c r="G13" s="560"/>
      <c r="H13" s="56"/>
      <c r="I13" s="56"/>
      <c r="J13" s="55"/>
      <c r="K13" s="558"/>
      <c r="L13" s="559"/>
      <c r="M13" s="559"/>
      <c r="N13" s="559"/>
      <c r="O13" s="559"/>
      <c r="P13" s="560"/>
    </row>
    <row r="14" spans="1:24" s="30" customFormat="1" ht="39" customHeight="1">
      <c r="A14" s="558" t="s">
        <v>94</v>
      </c>
      <c r="B14" s="559"/>
      <c r="C14" s="559"/>
      <c r="D14" s="559"/>
      <c r="E14" s="559"/>
      <c r="F14" s="559"/>
      <c r="G14" s="560"/>
      <c r="H14" s="56"/>
      <c r="I14" s="56"/>
      <c r="J14" s="55"/>
      <c r="K14" s="558"/>
      <c r="L14" s="559"/>
      <c r="M14" s="559"/>
      <c r="N14" s="559"/>
      <c r="O14" s="559"/>
      <c r="P14" s="560"/>
    </row>
    <row r="15" spans="1:24" s="30" customFormat="1" ht="39" customHeight="1">
      <c r="A15" s="561" t="s">
        <v>95</v>
      </c>
      <c r="B15" s="559"/>
      <c r="C15" s="559"/>
      <c r="D15" s="559"/>
      <c r="E15" s="559"/>
      <c r="F15" s="559"/>
      <c r="G15" s="560"/>
      <c r="H15" s="56"/>
      <c r="I15" s="56"/>
      <c r="J15" s="55"/>
      <c r="K15" s="558"/>
      <c r="L15" s="559"/>
      <c r="M15" s="559"/>
      <c r="N15" s="559"/>
      <c r="O15" s="559"/>
      <c r="P15" s="560"/>
    </row>
    <row r="16" spans="1:24" s="30" customFormat="1" ht="39" customHeight="1">
      <c r="A16" s="562" t="s">
        <v>85</v>
      </c>
      <c r="B16" s="563"/>
      <c r="C16" s="563"/>
      <c r="D16" s="563"/>
      <c r="E16" s="563"/>
      <c r="F16" s="563"/>
      <c r="G16" s="563"/>
      <c r="H16" s="563"/>
      <c r="I16" s="563"/>
      <c r="J16" s="563"/>
      <c r="K16" s="563"/>
      <c r="L16" s="563"/>
      <c r="M16" s="563"/>
      <c r="N16" s="563"/>
      <c r="O16" s="563"/>
      <c r="P16" s="564"/>
    </row>
    <row r="17" spans="1:16" s="30" customFormat="1" ht="51" customHeight="1">
      <c r="A17" s="25"/>
      <c r="B17" s="25"/>
      <c r="C17" s="25"/>
      <c r="D17" s="25"/>
      <c r="E17" s="25"/>
      <c r="F17" s="25"/>
      <c r="G17" s="25"/>
      <c r="H17" s="25"/>
      <c r="I17" s="25"/>
      <c r="J17" s="25"/>
      <c r="K17" s="25"/>
      <c r="L17" s="25"/>
      <c r="M17" s="25"/>
      <c r="N17" s="25"/>
      <c r="O17" s="25"/>
      <c r="P17" s="25"/>
    </row>
    <row r="18" spans="1:16" s="30" customFormat="1" ht="28.5" customHeight="1">
      <c r="A18" s="554" t="s">
        <v>7</v>
      </c>
      <c r="B18" s="557"/>
      <c r="C18" s="557"/>
      <c r="D18" s="557"/>
      <c r="E18" s="557"/>
      <c r="F18" s="557"/>
      <c r="G18" s="555"/>
      <c r="H18" s="555"/>
      <c r="I18" s="555"/>
      <c r="J18" s="555"/>
      <c r="K18" s="555"/>
      <c r="L18" s="555"/>
      <c r="M18" s="555"/>
      <c r="N18" s="555"/>
      <c r="O18" s="555"/>
      <c r="P18" s="556"/>
    </row>
    <row r="19" spans="1:16" s="30" customFormat="1" ht="51.75" customHeight="1">
      <c r="A19" s="554" t="s">
        <v>5</v>
      </c>
      <c r="B19" s="555"/>
      <c r="C19" s="555"/>
      <c r="D19" s="555"/>
      <c r="E19" s="555"/>
      <c r="F19" s="555"/>
      <c r="G19" s="556"/>
      <c r="H19" s="54" t="s">
        <v>0</v>
      </c>
      <c r="I19" s="151" t="s">
        <v>1</v>
      </c>
      <c r="J19" s="55" t="s">
        <v>2</v>
      </c>
      <c r="K19" s="554" t="s">
        <v>6</v>
      </c>
      <c r="L19" s="557"/>
      <c r="M19" s="555"/>
      <c r="N19" s="555"/>
      <c r="O19" s="555"/>
      <c r="P19" s="556"/>
    </row>
    <row r="20" spans="1:16" s="30" customFormat="1" ht="39" customHeight="1">
      <c r="A20" s="558" t="s">
        <v>96</v>
      </c>
      <c r="B20" s="559"/>
      <c r="C20" s="559"/>
      <c r="D20" s="559"/>
      <c r="E20" s="559"/>
      <c r="F20" s="559"/>
      <c r="G20" s="560"/>
      <c r="H20" s="56"/>
      <c r="I20" s="56"/>
      <c r="J20" s="55"/>
      <c r="K20" s="558"/>
      <c r="L20" s="559"/>
      <c r="M20" s="559"/>
      <c r="N20" s="559"/>
      <c r="O20" s="559"/>
      <c r="P20" s="560"/>
    </row>
    <row r="21" spans="1:16" s="30" customFormat="1" ht="39" customHeight="1">
      <c r="A21" s="558" t="s">
        <v>97</v>
      </c>
      <c r="B21" s="559"/>
      <c r="C21" s="559"/>
      <c r="D21" s="559"/>
      <c r="E21" s="559"/>
      <c r="F21" s="559"/>
      <c r="G21" s="560"/>
      <c r="H21" s="56"/>
      <c r="I21" s="56"/>
      <c r="J21" s="55"/>
      <c r="K21" s="558"/>
      <c r="L21" s="559"/>
      <c r="M21" s="559"/>
      <c r="N21" s="559"/>
      <c r="O21" s="559"/>
      <c r="P21" s="560"/>
    </row>
    <row r="22" spans="1:16" s="29" customFormat="1" ht="30.6" customHeight="1">
      <c r="A22" s="558" t="s">
        <v>98</v>
      </c>
      <c r="B22" s="559"/>
      <c r="C22" s="559"/>
      <c r="D22" s="559"/>
      <c r="E22" s="559"/>
      <c r="F22" s="559"/>
      <c r="G22" s="560"/>
      <c r="H22" s="56"/>
      <c r="I22" s="56"/>
      <c r="J22" s="55"/>
      <c r="K22" s="558"/>
      <c r="L22" s="559"/>
      <c r="M22" s="559"/>
      <c r="N22" s="559"/>
      <c r="O22" s="559"/>
      <c r="P22" s="560"/>
    </row>
    <row r="23" spans="1:16" s="29" customFormat="1" ht="32.450000000000003" customHeight="1">
      <c r="A23" s="558" t="s">
        <v>99</v>
      </c>
      <c r="B23" s="559"/>
      <c r="C23" s="559"/>
      <c r="D23" s="559"/>
      <c r="E23" s="559"/>
      <c r="F23" s="559"/>
      <c r="G23" s="560"/>
      <c r="H23" s="56"/>
      <c r="I23" s="56"/>
      <c r="J23" s="55"/>
      <c r="K23" s="558"/>
      <c r="L23" s="559"/>
      <c r="M23" s="559"/>
      <c r="N23" s="559"/>
      <c r="O23" s="559"/>
      <c r="P23" s="560"/>
    </row>
    <row r="24" spans="1:16" s="30" customFormat="1" ht="39" customHeight="1">
      <c r="A24" s="558" t="s">
        <v>100</v>
      </c>
      <c r="B24" s="559"/>
      <c r="C24" s="559"/>
      <c r="D24" s="559"/>
      <c r="E24" s="559"/>
      <c r="F24" s="559"/>
      <c r="G24" s="560"/>
      <c r="H24" s="56"/>
      <c r="I24" s="56"/>
      <c r="J24" s="55"/>
      <c r="K24" s="558"/>
      <c r="L24" s="559"/>
      <c r="M24" s="559"/>
      <c r="N24" s="559"/>
      <c r="O24" s="559"/>
      <c r="P24" s="560"/>
    </row>
    <row r="25" spans="1:16" s="30" customFormat="1" ht="39" customHeight="1">
      <c r="A25" s="558" t="s">
        <v>101</v>
      </c>
      <c r="B25" s="559"/>
      <c r="C25" s="559"/>
      <c r="D25" s="559"/>
      <c r="E25" s="559"/>
      <c r="F25" s="559"/>
      <c r="G25" s="560"/>
      <c r="H25" s="56"/>
      <c r="I25" s="56"/>
      <c r="J25" s="55"/>
      <c r="K25" s="558"/>
      <c r="L25" s="559"/>
      <c r="M25" s="559"/>
      <c r="N25" s="559"/>
      <c r="O25" s="559"/>
      <c r="P25" s="560"/>
    </row>
    <row r="26" spans="1:16" s="30" customFormat="1" ht="39" customHeight="1">
      <c r="A26" s="558" t="s">
        <v>102</v>
      </c>
      <c r="B26" s="559"/>
      <c r="C26" s="559"/>
      <c r="D26" s="559"/>
      <c r="E26" s="559"/>
      <c r="F26" s="559"/>
      <c r="G26" s="560"/>
      <c r="H26" s="56"/>
      <c r="I26" s="56"/>
      <c r="J26" s="55"/>
      <c r="K26" s="558"/>
      <c r="L26" s="559"/>
      <c r="M26" s="559"/>
      <c r="N26" s="559"/>
      <c r="O26" s="559"/>
      <c r="P26" s="560"/>
    </row>
    <row r="27" spans="1:16" s="30" customFormat="1" ht="39" customHeight="1">
      <c r="A27" s="558" t="s">
        <v>103</v>
      </c>
      <c r="B27" s="559"/>
      <c r="C27" s="559"/>
      <c r="D27" s="559"/>
      <c r="E27" s="559"/>
      <c r="F27" s="559"/>
      <c r="G27" s="560"/>
      <c r="H27" s="56"/>
      <c r="I27" s="56"/>
      <c r="J27" s="55"/>
      <c r="K27" s="558"/>
      <c r="L27" s="559"/>
      <c r="M27" s="559"/>
      <c r="N27" s="559"/>
      <c r="O27" s="559"/>
      <c r="P27" s="560"/>
    </row>
    <row r="28" spans="1:16" s="30" customFormat="1" ht="39" customHeight="1">
      <c r="A28" s="558" t="s">
        <v>104</v>
      </c>
      <c r="B28" s="559"/>
      <c r="C28" s="559"/>
      <c r="D28" s="559"/>
      <c r="E28" s="559"/>
      <c r="F28" s="559"/>
      <c r="G28" s="560"/>
      <c r="H28" s="56"/>
      <c r="I28" s="56"/>
      <c r="J28" s="55"/>
      <c r="K28" s="558"/>
      <c r="L28" s="559"/>
      <c r="M28" s="559"/>
      <c r="N28" s="559"/>
      <c r="O28" s="559"/>
      <c r="P28" s="560"/>
    </row>
    <row r="29" spans="1:16" s="30" customFormat="1" ht="39" customHeight="1">
      <c r="A29" s="558" t="s">
        <v>105</v>
      </c>
      <c r="B29" s="559"/>
      <c r="C29" s="559"/>
      <c r="D29" s="559"/>
      <c r="E29" s="559"/>
      <c r="F29" s="559"/>
      <c r="G29" s="560"/>
      <c r="H29" s="56"/>
      <c r="I29" s="56"/>
      <c r="J29" s="55"/>
      <c r="K29" s="558"/>
      <c r="L29" s="559"/>
      <c r="M29" s="559"/>
      <c r="N29" s="559"/>
      <c r="O29" s="559"/>
      <c r="P29" s="560"/>
    </row>
    <row r="30" spans="1:16" s="30" customFormat="1" ht="39" customHeight="1">
      <c r="A30" s="558" t="s">
        <v>106</v>
      </c>
      <c r="B30" s="559"/>
      <c r="C30" s="559"/>
      <c r="D30" s="559"/>
      <c r="E30" s="559"/>
      <c r="F30" s="559"/>
      <c r="G30" s="560"/>
      <c r="H30" s="56"/>
      <c r="I30" s="56"/>
      <c r="J30" s="55"/>
      <c r="K30" s="558"/>
      <c r="L30" s="559"/>
      <c r="M30" s="559"/>
      <c r="N30" s="559"/>
      <c r="O30" s="559"/>
      <c r="P30" s="560"/>
    </row>
    <row r="31" spans="1:16" s="30" customFormat="1" ht="59.25" customHeight="1">
      <c r="A31" s="558" t="s">
        <v>107</v>
      </c>
      <c r="B31" s="559"/>
      <c r="C31" s="559"/>
      <c r="D31" s="559"/>
      <c r="E31" s="559"/>
      <c r="F31" s="559"/>
      <c r="G31" s="560"/>
      <c r="H31" s="56"/>
      <c r="I31" s="56"/>
      <c r="J31" s="55"/>
      <c r="K31" s="558"/>
      <c r="L31" s="559"/>
      <c r="M31" s="559"/>
      <c r="N31" s="559"/>
      <c r="O31" s="559"/>
      <c r="P31" s="560"/>
    </row>
    <row r="32" spans="1:16" s="30" customFormat="1" ht="39" customHeight="1">
      <c r="A32" s="558" t="s">
        <v>8</v>
      </c>
      <c r="B32" s="559"/>
      <c r="C32" s="559"/>
      <c r="D32" s="559"/>
      <c r="E32" s="559"/>
      <c r="F32" s="559"/>
      <c r="G32" s="560"/>
      <c r="H32" s="56"/>
      <c r="I32" s="56"/>
      <c r="J32" s="55"/>
      <c r="K32" s="558"/>
      <c r="L32" s="559"/>
      <c r="M32" s="559"/>
      <c r="N32" s="559"/>
      <c r="O32" s="559"/>
      <c r="P32" s="560"/>
    </row>
    <row r="33" spans="1:16" s="30" customFormat="1" ht="39" customHeight="1">
      <c r="A33" s="565" t="s">
        <v>108</v>
      </c>
      <c r="B33" s="566"/>
      <c r="C33" s="566"/>
      <c r="D33" s="566"/>
      <c r="E33" s="566"/>
      <c r="F33" s="566"/>
      <c r="G33" s="566"/>
      <c r="H33" s="566"/>
      <c r="I33" s="566"/>
      <c r="J33" s="566"/>
      <c r="K33" s="566"/>
      <c r="L33" s="566"/>
      <c r="M33" s="566"/>
      <c r="N33" s="566"/>
      <c r="O33" s="566"/>
      <c r="P33" s="567"/>
    </row>
    <row r="34" spans="1:16" s="29" customFormat="1" ht="28.9" customHeight="1">
      <c r="A34" s="568" t="s">
        <v>32</v>
      </c>
      <c r="B34" s="569"/>
      <c r="C34" s="569"/>
      <c r="D34" s="569"/>
      <c r="E34" s="569"/>
      <c r="F34" s="569"/>
      <c r="G34" s="570"/>
      <c r="H34" s="154"/>
      <c r="I34" s="154"/>
      <c r="J34" s="155"/>
      <c r="K34" s="568"/>
      <c r="L34" s="569"/>
      <c r="M34" s="569"/>
      <c r="N34" s="569"/>
      <c r="O34" s="569"/>
      <c r="P34" s="570"/>
    </row>
    <row r="35" spans="1:16" s="30" customFormat="1" ht="39" customHeight="1">
      <c r="A35" s="571" t="s">
        <v>33</v>
      </c>
      <c r="B35" s="569"/>
      <c r="C35" s="569"/>
      <c r="D35" s="569"/>
      <c r="E35" s="569"/>
      <c r="F35" s="569"/>
      <c r="G35" s="570"/>
      <c r="H35" s="154"/>
      <c r="I35" s="154"/>
      <c r="J35" s="155"/>
      <c r="K35" s="568"/>
      <c r="L35" s="569"/>
      <c r="M35" s="569"/>
      <c r="N35" s="569"/>
      <c r="O35" s="569"/>
      <c r="P35" s="570"/>
    </row>
    <row r="36" spans="1:16" s="30" customFormat="1" ht="50.1" customHeight="1">
      <c r="A36" s="568" t="s">
        <v>34</v>
      </c>
      <c r="B36" s="569"/>
      <c r="C36" s="569"/>
      <c r="D36" s="569"/>
      <c r="E36" s="569"/>
      <c r="F36" s="569"/>
      <c r="G36" s="570"/>
      <c r="H36" s="154"/>
      <c r="I36" s="154"/>
      <c r="J36" s="155"/>
      <c r="K36" s="568"/>
      <c r="L36" s="569"/>
      <c r="M36" s="569"/>
      <c r="N36" s="569"/>
      <c r="O36" s="569"/>
      <c r="P36" s="570"/>
    </row>
    <row r="37" spans="1:16" s="30" customFormat="1" ht="50.1" customHeight="1">
      <c r="A37" s="568" t="s">
        <v>8</v>
      </c>
      <c r="B37" s="569"/>
      <c r="C37" s="569"/>
      <c r="D37" s="569"/>
      <c r="E37" s="569"/>
      <c r="F37" s="569"/>
      <c r="G37" s="570"/>
      <c r="H37" s="154"/>
      <c r="I37" s="154"/>
      <c r="J37" s="155"/>
      <c r="K37" s="568"/>
      <c r="L37" s="569"/>
      <c r="M37" s="569"/>
      <c r="N37" s="569"/>
      <c r="O37" s="569"/>
      <c r="P37" s="570"/>
    </row>
    <row r="38" spans="1:16" s="30" customFormat="1" ht="44.25" customHeight="1">
      <c r="A38" s="565" t="s">
        <v>108</v>
      </c>
      <c r="B38" s="566"/>
      <c r="C38" s="566"/>
      <c r="D38" s="566"/>
      <c r="E38" s="566"/>
      <c r="F38" s="566"/>
      <c r="G38" s="566"/>
      <c r="H38" s="566"/>
      <c r="I38" s="566"/>
      <c r="J38" s="566"/>
      <c r="K38" s="566"/>
      <c r="L38" s="566"/>
      <c r="M38" s="566"/>
      <c r="N38" s="566"/>
      <c r="O38" s="566"/>
      <c r="P38" s="567"/>
    </row>
    <row r="39" spans="1:16" s="30" customFormat="1" ht="12.75">
      <c r="A39" s="156"/>
      <c r="B39" s="156"/>
      <c r="C39" s="156"/>
      <c r="D39" s="156"/>
      <c r="E39" s="156"/>
      <c r="F39" s="156"/>
      <c r="G39" s="156"/>
      <c r="H39" s="156"/>
      <c r="I39" s="156"/>
      <c r="J39" s="156"/>
      <c r="K39" s="156"/>
      <c r="L39" s="156"/>
      <c r="M39" s="156"/>
      <c r="N39" s="156"/>
      <c r="O39" s="156"/>
      <c r="P39" s="156"/>
    </row>
    <row r="40" spans="1:16">
      <c r="A40" s="156"/>
      <c r="B40" s="156"/>
      <c r="C40" s="156"/>
      <c r="D40" s="156"/>
      <c r="E40" s="156"/>
      <c r="F40" s="156"/>
      <c r="G40" s="156"/>
      <c r="H40" s="156"/>
      <c r="I40" s="156"/>
      <c r="J40" s="156"/>
      <c r="K40" s="156"/>
      <c r="L40" s="156"/>
      <c r="M40" s="156"/>
      <c r="N40" s="156"/>
      <c r="O40" s="156"/>
      <c r="P40" s="156"/>
    </row>
    <row r="41" spans="1:16" ht="16.5" thickBot="1">
      <c r="A41" s="156"/>
      <c r="B41" s="156"/>
      <c r="C41" s="156"/>
      <c r="D41" s="156"/>
      <c r="E41" s="156"/>
      <c r="F41" s="156"/>
      <c r="G41" s="156"/>
      <c r="H41" s="156"/>
      <c r="I41" s="156"/>
      <c r="J41" s="156"/>
      <c r="K41" s="156"/>
      <c r="L41" s="156"/>
      <c r="M41" s="156"/>
      <c r="N41" s="156"/>
      <c r="O41" s="156"/>
      <c r="P41" s="156"/>
    </row>
    <row r="42" spans="1:16" ht="16.5" thickTop="1">
      <c r="A42" s="572" t="s">
        <v>109</v>
      </c>
      <c r="B42" s="573"/>
      <c r="C42" s="573"/>
      <c r="D42" s="573"/>
      <c r="E42" s="573"/>
      <c r="F42" s="573"/>
      <c r="G42" s="573"/>
      <c r="H42" s="573"/>
      <c r="I42" s="573"/>
      <c r="J42" s="573"/>
      <c r="K42" s="574"/>
      <c r="L42" s="574"/>
      <c r="M42" s="574" t="s">
        <v>110</v>
      </c>
      <c r="N42" s="574"/>
      <c r="O42" s="157"/>
      <c r="P42" s="158"/>
    </row>
    <row r="43" spans="1:16">
      <c r="A43" s="575" t="s">
        <v>35</v>
      </c>
      <c r="B43" s="576"/>
      <c r="C43" s="576"/>
      <c r="D43" s="576"/>
      <c r="E43" s="576"/>
      <c r="F43" s="576"/>
      <c r="G43" s="576"/>
      <c r="H43" s="576"/>
      <c r="I43" s="576"/>
      <c r="J43" s="576"/>
      <c r="K43" s="156"/>
      <c r="L43" s="156"/>
      <c r="M43" s="156"/>
      <c r="N43" s="156"/>
      <c r="O43" s="156"/>
      <c r="P43" s="159"/>
    </row>
    <row r="44" spans="1:16">
      <c r="A44" s="580"/>
      <c r="B44" s="581"/>
      <c r="C44" s="581"/>
      <c r="D44" s="581"/>
      <c r="E44" s="581"/>
      <c r="F44" s="581"/>
      <c r="G44" s="581"/>
      <c r="H44" s="581"/>
      <c r="I44" s="581"/>
      <c r="J44" s="581"/>
      <c r="K44" s="582"/>
      <c r="L44" s="582"/>
      <c r="M44" s="160"/>
      <c r="N44" s="160"/>
      <c r="O44" s="156"/>
      <c r="P44" s="159"/>
    </row>
    <row r="45" spans="1:16">
      <c r="A45" s="583" t="s">
        <v>111</v>
      </c>
      <c r="B45" s="581"/>
      <c r="C45" s="581"/>
      <c r="D45" s="581"/>
      <c r="E45" s="581"/>
      <c r="F45" s="581"/>
      <c r="G45" s="581"/>
      <c r="H45" s="581"/>
      <c r="I45" s="581"/>
      <c r="J45" s="581"/>
      <c r="K45" s="584"/>
      <c r="L45" s="584"/>
      <c r="M45" s="582" t="s">
        <v>110</v>
      </c>
      <c r="N45" s="582"/>
      <c r="O45" s="156"/>
      <c r="P45" s="159"/>
    </row>
    <row r="46" spans="1:16">
      <c r="A46" s="575" t="s">
        <v>35</v>
      </c>
      <c r="B46" s="576"/>
      <c r="C46" s="576"/>
      <c r="D46" s="576"/>
      <c r="E46" s="576"/>
      <c r="F46" s="576"/>
      <c r="G46" s="576"/>
      <c r="H46" s="576"/>
      <c r="I46" s="576"/>
      <c r="J46" s="576"/>
      <c r="K46" s="156"/>
      <c r="L46" s="156"/>
      <c r="M46" s="156"/>
      <c r="N46" s="156"/>
      <c r="O46" s="156"/>
      <c r="P46" s="159"/>
    </row>
    <row r="47" spans="1:16" ht="16.5" thickBot="1">
      <c r="A47" s="577"/>
      <c r="B47" s="578"/>
      <c r="C47" s="578"/>
      <c r="D47" s="578"/>
      <c r="E47" s="578"/>
      <c r="F47" s="578"/>
      <c r="G47" s="578"/>
      <c r="H47" s="578"/>
      <c r="I47" s="578"/>
      <c r="J47" s="578"/>
      <c r="K47" s="578"/>
      <c r="L47" s="578"/>
      <c r="M47" s="578"/>
      <c r="N47" s="578"/>
      <c r="O47" s="578"/>
      <c r="P47" s="579"/>
    </row>
    <row r="48" spans="1:16" ht="16.5" thickTop="1"/>
  </sheetData>
  <sheetProtection formatCells="0" formatColumns="0" formatRows="0" insertColumns="0" insertRows="0" insertHyperlinks="0" deleteColumns="0" deleteRows="0" sort="0" autoFilter="0" pivotTables="0"/>
  <mergeCells count="74">
    <mergeCell ref="A47:P47"/>
    <mergeCell ref="A43:J43"/>
    <mergeCell ref="A44:J44"/>
    <mergeCell ref="K44:L44"/>
    <mergeCell ref="A45:J45"/>
    <mergeCell ref="K45:L45"/>
    <mergeCell ref="M45:N45"/>
    <mergeCell ref="A38:P38"/>
    <mergeCell ref="A42:J42"/>
    <mergeCell ref="K42:L42"/>
    <mergeCell ref="M42:N42"/>
    <mergeCell ref="A46:J46"/>
    <mergeCell ref="A35:G35"/>
    <mergeCell ref="K35:P35"/>
    <mergeCell ref="A36:G36"/>
    <mergeCell ref="K36:P36"/>
    <mergeCell ref="A37:G37"/>
    <mergeCell ref="K37:P37"/>
    <mergeCell ref="A32:G32"/>
    <mergeCell ref="K32:P32"/>
    <mergeCell ref="A33:P33"/>
    <mergeCell ref="A34:G34"/>
    <mergeCell ref="K34:P34"/>
    <mergeCell ref="A29:G29"/>
    <mergeCell ref="K29:P29"/>
    <mergeCell ref="A30:G30"/>
    <mergeCell ref="K30:P30"/>
    <mergeCell ref="A31:G31"/>
    <mergeCell ref="K31:P31"/>
    <mergeCell ref="A26:G26"/>
    <mergeCell ref="K26:P26"/>
    <mergeCell ref="A27:G27"/>
    <mergeCell ref="K27:P27"/>
    <mergeCell ref="A28:G28"/>
    <mergeCell ref="K28:P28"/>
    <mergeCell ref="A23:G23"/>
    <mergeCell ref="K23:P23"/>
    <mergeCell ref="A24:G24"/>
    <mergeCell ref="K24:P24"/>
    <mergeCell ref="A25:G25"/>
    <mergeCell ref="K25:P25"/>
    <mergeCell ref="A20:G20"/>
    <mergeCell ref="K20:P20"/>
    <mergeCell ref="A21:G21"/>
    <mergeCell ref="K21:P21"/>
    <mergeCell ref="A22:G22"/>
    <mergeCell ref="K22:P22"/>
    <mergeCell ref="A19:G19"/>
    <mergeCell ref="K19:P19"/>
    <mergeCell ref="A11:P11"/>
    <mergeCell ref="A12:G12"/>
    <mergeCell ref="K12:P12"/>
    <mergeCell ref="A13:G13"/>
    <mergeCell ref="K13:P13"/>
    <mergeCell ref="A14:G14"/>
    <mergeCell ref="K14:P14"/>
    <mergeCell ref="A15:G15"/>
    <mergeCell ref="K15:P15"/>
    <mergeCell ref="A16:P16"/>
    <mergeCell ref="A18:P18"/>
    <mergeCell ref="O9:P9"/>
    <mergeCell ref="D1:M2"/>
    <mergeCell ref="A3:P5"/>
    <mergeCell ref="E6:L7"/>
    <mergeCell ref="M6:N6"/>
    <mergeCell ref="O6:P6"/>
    <mergeCell ref="M7:N7"/>
    <mergeCell ref="O7:P7"/>
    <mergeCell ref="A9:C9"/>
    <mergeCell ref="D9:E9"/>
    <mergeCell ref="F9:I9"/>
    <mergeCell ref="J9:K9"/>
    <mergeCell ref="L9:N9"/>
    <mergeCell ref="O8:P8"/>
  </mergeCells>
  <dataValidations count="2">
    <dataValidation type="list" allowBlank="1" showInputMessage="1" showErrorMessage="1" sqref="O9:P9" xr:uid="{00000000-0002-0000-0200-000000000000}">
      <formula1>Diligences</formula1>
    </dataValidation>
    <dataValidation type="list" showInputMessage="1" showErrorMessage="1" sqref="D9:E9" xr:uid="{00000000-0002-0000-0200-000001000000}">
      <formula1>RAS</formula1>
    </dataValidation>
  </dataValidations>
  <hyperlinks>
    <hyperlink ref="O8:P8" location="'A Synthèse'!Zone_d_impression" display="A Synthèse" xr:uid="{00000000-0004-0000-0200-000000000000}"/>
  </hyperlinks>
  <printOptions horizontalCentered="1"/>
  <pageMargins left="0.27559055118110237" right="0.27559055118110237" top="0.39370078740157483" bottom="0.39370078740157483" header="0.51181102362204722" footer="0.51181102362204722"/>
  <pageSetup paperSize="9" scale="42"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27"/>
  <sheetViews>
    <sheetView showGridLines="0" topLeftCell="A11" zoomScaleNormal="100" workbookViewId="0">
      <selection activeCell="A15" sqref="A15"/>
    </sheetView>
  </sheetViews>
  <sheetFormatPr baseColWidth="10" defaultColWidth="11.42578125" defaultRowHeight="15"/>
  <cols>
    <col min="1" max="16" width="14.7109375" style="25" customWidth="1"/>
    <col min="17" max="16384" width="11.42578125" style="25"/>
  </cols>
  <sheetData>
    <row r="1" spans="1:21" s="36" customFormat="1" ht="15" customHeight="1">
      <c r="A1" s="10"/>
      <c r="B1" s="11"/>
      <c r="C1" s="11"/>
      <c r="D1" s="541">
        <f>'A Synthèse'!D1:M2</f>
        <v>0</v>
      </c>
      <c r="E1" s="542"/>
      <c r="F1" s="542"/>
      <c r="G1" s="542"/>
      <c r="H1" s="542"/>
      <c r="I1" s="542"/>
      <c r="J1" s="542"/>
      <c r="K1" s="542"/>
      <c r="L1" s="542"/>
      <c r="M1" s="543"/>
      <c r="N1" s="11"/>
      <c r="O1" s="11"/>
      <c r="P1" s="12"/>
    </row>
    <row r="2" spans="1:21" s="36" customFormat="1" ht="15" customHeight="1" thickBot="1">
      <c r="A2" s="13"/>
      <c r="B2" s="14"/>
      <c r="C2" s="14"/>
      <c r="D2" s="544"/>
      <c r="E2" s="545"/>
      <c r="F2" s="545"/>
      <c r="G2" s="545"/>
      <c r="H2" s="545"/>
      <c r="I2" s="545"/>
      <c r="J2" s="545"/>
      <c r="K2" s="545"/>
      <c r="L2" s="545"/>
      <c r="M2" s="546"/>
      <c r="N2" s="14"/>
      <c r="O2" s="14"/>
      <c r="P2" s="15"/>
    </row>
    <row r="3" spans="1:21" ht="15" customHeight="1">
      <c r="A3" s="481" t="s">
        <v>86</v>
      </c>
      <c r="B3" s="482"/>
      <c r="C3" s="482"/>
      <c r="D3" s="482"/>
      <c r="E3" s="482"/>
      <c r="F3" s="482"/>
      <c r="G3" s="482"/>
      <c r="H3" s="482"/>
      <c r="I3" s="482"/>
      <c r="J3" s="482"/>
      <c r="K3" s="482"/>
      <c r="L3" s="482"/>
      <c r="M3" s="482"/>
      <c r="N3" s="482"/>
      <c r="O3" s="482"/>
      <c r="P3" s="483"/>
      <c r="R3" s="3"/>
      <c r="T3" s="5"/>
      <c r="U3" s="5"/>
    </row>
    <row r="4" spans="1:21" ht="15" customHeight="1">
      <c r="A4" s="481"/>
      <c r="B4" s="482"/>
      <c r="C4" s="482"/>
      <c r="D4" s="482"/>
      <c r="E4" s="482"/>
      <c r="F4" s="482"/>
      <c r="G4" s="482"/>
      <c r="H4" s="482"/>
      <c r="I4" s="482"/>
      <c r="J4" s="482"/>
      <c r="K4" s="482"/>
      <c r="L4" s="482"/>
      <c r="M4" s="482"/>
      <c r="N4" s="482"/>
      <c r="O4" s="482"/>
      <c r="P4" s="483"/>
      <c r="R4" s="3"/>
      <c r="T4" s="5"/>
      <c r="U4" s="5"/>
    </row>
    <row r="5" spans="1:21" ht="15" customHeight="1" thickBot="1">
      <c r="A5" s="484"/>
      <c r="B5" s="485"/>
      <c r="C5" s="485"/>
      <c r="D5" s="485"/>
      <c r="E5" s="485"/>
      <c r="F5" s="485"/>
      <c r="G5" s="485"/>
      <c r="H5" s="485"/>
      <c r="I5" s="485"/>
      <c r="J5" s="485"/>
      <c r="K5" s="485"/>
      <c r="L5" s="485"/>
      <c r="M5" s="485"/>
      <c r="N5" s="485"/>
      <c r="O5" s="485"/>
      <c r="P5" s="486"/>
      <c r="Q5" s="3"/>
      <c r="R5" s="37"/>
      <c r="S5" s="38"/>
      <c r="T5" s="38"/>
      <c r="U5" s="38"/>
    </row>
    <row r="6" spans="1:21" ht="15" customHeight="1">
      <c r="A6" s="17" t="s">
        <v>9</v>
      </c>
      <c r="B6" s="304" t="str">
        <f>'A Synthèse'!B6</f>
        <v>BRA</v>
      </c>
      <c r="C6" s="17" t="s">
        <v>212</v>
      </c>
      <c r="D6" s="304">
        <f>'A Synthèse'!D6</f>
        <v>0</v>
      </c>
      <c r="E6" s="487" t="s">
        <v>29</v>
      </c>
      <c r="F6" s="488"/>
      <c r="G6" s="488"/>
      <c r="H6" s="488"/>
      <c r="I6" s="488"/>
      <c r="J6" s="488"/>
      <c r="K6" s="488"/>
      <c r="L6" s="489"/>
      <c r="M6" s="547" t="s">
        <v>13</v>
      </c>
      <c r="N6" s="548"/>
      <c r="O6" s="493" t="s">
        <v>12</v>
      </c>
      <c r="P6" s="494"/>
      <c r="R6" s="36"/>
      <c r="S6" s="36"/>
    </row>
    <row r="7" spans="1:21" ht="15" customHeight="1" thickBot="1">
      <c r="A7" s="18" t="s">
        <v>10</v>
      </c>
      <c r="B7" s="305">
        <f>'A Synthèse'!B7</f>
        <v>0</v>
      </c>
      <c r="C7" s="18" t="s">
        <v>10</v>
      </c>
      <c r="D7" s="305">
        <f>'A Synthèse'!D7</f>
        <v>0</v>
      </c>
      <c r="E7" s="490"/>
      <c r="F7" s="491"/>
      <c r="G7" s="491"/>
      <c r="H7" s="491"/>
      <c r="I7" s="491"/>
      <c r="J7" s="491"/>
      <c r="K7" s="491"/>
      <c r="L7" s="492"/>
      <c r="M7" s="549" t="str">
        <f>'A Synthèse'!M7:N7</f>
        <v>31/12/N</v>
      </c>
      <c r="N7" s="550"/>
      <c r="O7" s="495" t="s">
        <v>194</v>
      </c>
      <c r="P7" s="496"/>
    </row>
    <row r="8" spans="1:21" ht="21" customHeight="1" thickBot="1">
      <c r="A8" s="19"/>
      <c r="B8" s="39"/>
      <c r="C8" s="20"/>
      <c r="D8" s="20"/>
      <c r="E8" s="40"/>
      <c r="F8" s="40"/>
      <c r="G8" s="40"/>
      <c r="H8" s="40"/>
      <c r="I8" s="40"/>
      <c r="J8" s="40"/>
      <c r="K8" s="40"/>
      <c r="L8" s="40"/>
      <c r="M8" s="22"/>
      <c r="N8" s="20"/>
      <c r="O8" s="553" t="s">
        <v>217</v>
      </c>
      <c r="P8" s="553"/>
    </row>
    <row r="9" spans="1:21" s="20" customFormat="1" ht="31.5" customHeight="1" thickBot="1">
      <c r="A9" s="497" t="s">
        <v>15</v>
      </c>
      <c r="B9" s="498"/>
      <c r="C9" s="498"/>
      <c r="D9" s="539" t="str">
        <f>'A Synthèse'!D9:E9</f>
        <v>Elevé</v>
      </c>
      <c r="E9" s="540"/>
      <c r="F9" s="499" t="s">
        <v>3</v>
      </c>
      <c r="G9" s="500"/>
      <c r="H9" s="500"/>
      <c r="I9" s="500"/>
      <c r="J9" s="551">
        <f>'A Synthèse'!J9:K9</f>
        <v>14.7</v>
      </c>
      <c r="K9" s="552"/>
      <c r="L9" s="499" t="s">
        <v>16</v>
      </c>
      <c r="M9" s="500"/>
      <c r="N9" s="500"/>
      <c r="O9" s="539" t="str">
        <f>'A Synthèse'!O9:P9</f>
        <v>PE</v>
      </c>
      <c r="P9" s="540"/>
    </row>
    <row r="10" spans="1:21" s="20" customFormat="1" ht="21" customHeight="1" thickBot="1">
      <c r="A10" s="24"/>
      <c r="B10" s="24"/>
      <c r="C10" s="24"/>
      <c r="D10" s="24"/>
      <c r="E10" s="24"/>
      <c r="F10" s="24"/>
      <c r="G10" s="24"/>
      <c r="H10" s="24"/>
      <c r="I10" s="24"/>
      <c r="J10" s="24"/>
      <c r="K10" s="24"/>
      <c r="L10" s="24"/>
      <c r="M10" s="24"/>
      <c r="N10" s="24"/>
      <c r="O10" s="24"/>
      <c r="P10" s="24"/>
    </row>
    <row r="11" spans="1:21" ht="104.45" customHeight="1" thickBot="1">
      <c r="A11" s="585" t="s">
        <v>112</v>
      </c>
      <c r="B11" s="586"/>
      <c r="C11" s="586"/>
      <c r="D11" s="586"/>
      <c r="E11" s="586"/>
      <c r="F11" s="586"/>
      <c r="G11" s="586"/>
      <c r="H11" s="586"/>
      <c r="I11" s="586"/>
      <c r="J11" s="586"/>
      <c r="K11" s="586"/>
      <c r="L11" s="586"/>
      <c r="M11" s="586"/>
      <c r="N11" s="586"/>
      <c r="O11" s="586"/>
      <c r="P11" s="587"/>
    </row>
    <row r="12" spans="1:21" ht="9" customHeight="1" thickBot="1"/>
    <row r="13" spans="1:21">
      <c r="A13" s="530" t="s">
        <v>28</v>
      </c>
      <c r="B13" s="531"/>
      <c r="C13" s="531"/>
      <c r="D13" s="531"/>
      <c r="E13" s="531"/>
      <c r="F13" s="531"/>
      <c r="G13" s="531"/>
      <c r="H13" s="531"/>
      <c r="I13" s="531"/>
      <c r="J13" s="531"/>
      <c r="K13" s="531"/>
      <c r="L13" s="531"/>
      <c r="M13" s="531"/>
      <c r="N13" s="531"/>
      <c r="O13" s="531"/>
      <c r="P13" s="532"/>
    </row>
    <row r="14" spans="1:21" ht="60" customHeight="1" thickBot="1">
      <c r="A14" s="588" t="s">
        <v>270</v>
      </c>
      <c r="B14" s="528"/>
      <c r="C14" s="528"/>
      <c r="D14" s="528"/>
      <c r="E14" s="528"/>
      <c r="F14" s="528"/>
      <c r="G14" s="528"/>
      <c r="H14" s="528"/>
      <c r="I14" s="528"/>
      <c r="J14" s="528"/>
      <c r="K14" s="528"/>
      <c r="L14" s="528"/>
      <c r="M14" s="528"/>
      <c r="N14" s="528"/>
      <c r="O14" s="528"/>
      <c r="P14" s="529"/>
    </row>
    <row r="15" spans="1:21" ht="15.75" thickBot="1"/>
    <row r="16" spans="1:21">
      <c r="A16" s="57"/>
      <c r="B16" s="58"/>
      <c r="C16" s="58"/>
      <c r="D16" s="58"/>
      <c r="E16" s="58"/>
      <c r="F16" s="58"/>
      <c r="G16" s="58"/>
      <c r="H16" s="58"/>
      <c r="I16" s="58"/>
      <c r="J16" s="58"/>
      <c r="K16" s="58"/>
      <c r="L16" s="58"/>
      <c r="M16" s="58"/>
      <c r="N16" s="58"/>
      <c r="O16" s="58"/>
      <c r="P16" s="59"/>
    </row>
    <row r="17" spans="1:16">
      <c r="A17" s="60"/>
      <c r="B17" s="152" t="s">
        <v>36</v>
      </c>
      <c r="C17" s="31"/>
      <c r="D17" s="51" t="s">
        <v>37</v>
      </c>
      <c r="E17" s="51" t="s">
        <v>38</v>
      </c>
      <c r="F17" s="51" t="s">
        <v>39</v>
      </c>
      <c r="G17" s="51"/>
      <c r="I17" s="51"/>
      <c r="P17" s="61"/>
    </row>
    <row r="18" spans="1:16">
      <c r="A18" s="60"/>
      <c r="B18" s="52" t="s">
        <v>113</v>
      </c>
      <c r="C18" s="31"/>
      <c r="D18" s="394"/>
      <c r="E18" s="394"/>
      <c r="F18" s="394">
        <f>D18-E18</f>
        <v>0</v>
      </c>
      <c r="G18" s="32" t="s">
        <v>257</v>
      </c>
      <c r="I18" s="394"/>
      <c r="P18" s="61"/>
    </row>
    <row r="19" spans="1:16">
      <c r="A19" s="60"/>
      <c r="B19" s="52"/>
      <c r="C19" s="31"/>
      <c r="D19" s="31"/>
      <c r="H19" s="31"/>
      <c r="P19" s="61"/>
    </row>
    <row r="20" spans="1:16">
      <c r="A20" s="60"/>
      <c r="B20" s="52"/>
      <c r="C20" s="31"/>
      <c r="D20" s="31"/>
      <c r="F20" s="31"/>
      <c r="H20" s="31"/>
      <c r="P20" s="61"/>
    </row>
    <row r="21" spans="1:16">
      <c r="A21" s="60"/>
      <c r="B21" s="152" t="s">
        <v>41</v>
      </c>
      <c r="C21" s="31"/>
      <c r="D21" s="51" t="s">
        <v>37</v>
      </c>
      <c r="E21" s="51" t="s">
        <v>38</v>
      </c>
      <c r="F21" s="51" t="s">
        <v>39</v>
      </c>
      <c r="G21" s="51"/>
      <c r="I21" s="51"/>
      <c r="P21" s="61"/>
    </row>
    <row r="22" spans="1:16">
      <c r="A22" s="60"/>
      <c r="B22" s="52" t="s">
        <v>113</v>
      </c>
      <c r="C22" s="31"/>
      <c r="D22" s="394" t="e">
        <f>SUM(#REF!)</f>
        <v>#REF!</v>
      </c>
      <c r="E22" s="394" t="e">
        <f>SUM(#REF!)</f>
        <v>#REF!</v>
      </c>
      <c r="F22" s="394" t="e">
        <f>D22-E22</f>
        <v>#REF!</v>
      </c>
      <c r="G22" s="394"/>
      <c r="I22" s="394"/>
      <c r="P22" s="61"/>
    </row>
    <row r="23" spans="1:16">
      <c r="A23" s="60"/>
      <c r="B23" s="52" t="s">
        <v>114</v>
      </c>
      <c r="C23" s="31"/>
      <c r="D23" s="394"/>
      <c r="E23" s="394"/>
      <c r="F23" s="394"/>
      <c r="G23" s="394"/>
      <c r="I23" s="394"/>
      <c r="P23" s="61"/>
    </row>
    <row r="24" spans="1:16">
      <c r="A24" s="60"/>
      <c r="B24" s="52" t="s">
        <v>42</v>
      </c>
      <c r="C24" s="31"/>
      <c r="D24" s="394" t="e">
        <f>+SUM(D22:D23)</f>
        <v>#REF!</v>
      </c>
      <c r="E24" s="394" t="e">
        <f>+SUM(E22:E23)</f>
        <v>#REF!</v>
      </c>
      <c r="F24" s="394" t="e">
        <f>D24-E24</f>
        <v>#REF!</v>
      </c>
      <c r="G24" s="32" t="s">
        <v>40</v>
      </c>
      <c r="I24" s="394"/>
      <c r="P24" s="61"/>
    </row>
    <row r="25" spans="1:16">
      <c r="A25" s="60"/>
      <c r="B25" s="41"/>
      <c r="C25" s="41"/>
      <c r="D25" s="41"/>
      <c r="E25" s="41"/>
      <c r="F25" s="41"/>
      <c r="G25" s="41"/>
      <c r="P25" s="61"/>
    </row>
    <row r="26" spans="1:16">
      <c r="A26" s="60"/>
      <c r="B26" s="25" t="s">
        <v>43</v>
      </c>
      <c r="D26" s="395" t="e">
        <f>D18-D22</f>
        <v>#REF!</v>
      </c>
      <c r="E26" s="395" t="e">
        <f>E18-E22</f>
        <v>#REF!</v>
      </c>
      <c r="F26" s="395" t="e">
        <f>F18-F22</f>
        <v>#REF!</v>
      </c>
      <c r="G26" s="395"/>
      <c r="I26" s="396"/>
      <c r="P26" s="61"/>
    </row>
    <row r="27" spans="1:16" ht="15.75" thickBot="1">
      <c r="A27" s="62"/>
      <c r="B27" s="63"/>
      <c r="C27" s="63"/>
      <c r="D27" s="63"/>
      <c r="E27" s="63"/>
      <c r="F27" s="63"/>
      <c r="G27" s="63"/>
      <c r="H27" s="63"/>
      <c r="I27" s="63"/>
      <c r="J27" s="63"/>
      <c r="K27" s="63"/>
      <c r="L27" s="63"/>
      <c r="M27" s="63"/>
      <c r="N27" s="63"/>
      <c r="O27" s="63"/>
      <c r="P27" s="64"/>
    </row>
  </sheetData>
  <sheetProtection formatCells="0" formatColumns="0" formatRows="0" insertColumns="0" insertRows="0" insertHyperlinks="0" deleteColumns="0" deleteRows="0" sort="0" autoFilter="0" pivotTables="0"/>
  <mergeCells count="17">
    <mergeCell ref="D1:M2"/>
    <mergeCell ref="A3:P5"/>
    <mergeCell ref="E6:L7"/>
    <mergeCell ref="M6:N6"/>
    <mergeCell ref="O6:P6"/>
    <mergeCell ref="M7:N7"/>
    <mergeCell ref="O7:P7"/>
    <mergeCell ref="O8:P8"/>
    <mergeCell ref="A11:P11"/>
    <mergeCell ref="A13:P13"/>
    <mergeCell ref="A14:P14"/>
    <mergeCell ref="O9:P9"/>
    <mergeCell ref="A9:C9"/>
    <mergeCell ref="D9:E9"/>
    <mergeCell ref="F9:I9"/>
    <mergeCell ref="J9:K9"/>
    <mergeCell ref="L9:N9"/>
  </mergeCells>
  <dataValidations count="2">
    <dataValidation type="list" showInputMessage="1" showErrorMessage="1" sqref="D9:E9" xr:uid="{00000000-0002-0000-0300-000000000000}">
      <formula1>RAS</formula1>
    </dataValidation>
    <dataValidation type="list" allowBlank="1" showInputMessage="1" showErrorMessage="1" sqref="O9:P9" xr:uid="{00000000-0002-0000-0300-000001000000}">
      <formula1>Diligences</formula1>
    </dataValidation>
  </dataValidations>
  <hyperlinks>
    <hyperlink ref="O8:P8" location="'A Synthèse'!Zone_d_impression" display="A Synthèse" xr:uid="{00000000-0004-0000-0300-000000000000}"/>
  </hyperlinks>
  <printOptions horizontalCentered="1"/>
  <pageMargins left="0.27559055118110237" right="0.27559055118110237" top="0.39370078740157483" bottom="0.39370078740157483" header="0.51181102362204722" footer="0.51181102362204722"/>
  <pageSetup paperSize="9" scale="42"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U27"/>
  <sheetViews>
    <sheetView showGridLines="0" topLeftCell="A11" zoomScaleNormal="100" workbookViewId="0">
      <selection activeCell="C33" sqref="C33"/>
    </sheetView>
  </sheetViews>
  <sheetFormatPr baseColWidth="10" defaultColWidth="11.42578125" defaultRowHeight="15"/>
  <cols>
    <col min="1" max="1" width="14.7109375" style="25" customWidth="1"/>
    <col min="2" max="2" width="23.85546875" style="25" bestFit="1" customWidth="1"/>
    <col min="3" max="3" width="14.7109375" style="25" customWidth="1"/>
    <col min="4" max="4" width="18.28515625" style="25" customWidth="1"/>
    <col min="5" max="16" width="14.7109375" style="25" customWidth="1"/>
    <col min="17" max="16384" width="11.42578125" style="25"/>
  </cols>
  <sheetData>
    <row r="1" spans="1:21" s="36" customFormat="1" ht="15" customHeight="1">
      <c r="A1" s="10"/>
      <c r="B1" s="11"/>
      <c r="C1" s="11"/>
      <c r="D1" s="541">
        <f>'A Synthèse'!D1:M2</f>
        <v>0</v>
      </c>
      <c r="E1" s="542"/>
      <c r="F1" s="542"/>
      <c r="G1" s="542"/>
      <c r="H1" s="542"/>
      <c r="I1" s="542"/>
      <c r="J1" s="542"/>
      <c r="K1" s="542"/>
      <c r="L1" s="542"/>
      <c r="M1" s="543"/>
      <c r="N1" s="11"/>
      <c r="O1" s="11"/>
      <c r="P1" s="12"/>
    </row>
    <row r="2" spans="1:21" s="36" customFormat="1" ht="15" customHeight="1" thickBot="1">
      <c r="A2" s="13"/>
      <c r="B2" s="14"/>
      <c r="C2" s="14"/>
      <c r="D2" s="544"/>
      <c r="E2" s="545"/>
      <c r="F2" s="545"/>
      <c r="G2" s="545"/>
      <c r="H2" s="545"/>
      <c r="I2" s="545"/>
      <c r="J2" s="545"/>
      <c r="K2" s="545"/>
      <c r="L2" s="545"/>
      <c r="M2" s="546"/>
      <c r="N2" s="14"/>
      <c r="O2" s="14"/>
      <c r="P2" s="15"/>
    </row>
    <row r="3" spans="1:21" ht="15" customHeight="1">
      <c r="A3" s="481" t="s">
        <v>86</v>
      </c>
      <c r="B3" s="482"/>
      <c r="C3" s="482"/>
      <c r="D3" s="482"/>
      <c r="E3" s="482"/>
      <c r="F3" s="482"/>
      <c r="G3" s="482"/>
      <c r="H3" s="482"/>
      <c r="I3" s="482"/>
      <c r="J3" s="482"/>
      <c r="K3" s="482"/>
      <c r="L3" s="482"/>
      <c r="M3" s="482"/>
      <c r="N3" s="482"/>
      <c r="O3" s="482"/>
      <c r="P3" s="483"/>
      <c r="R3" s="3"/>
      <c r="T3" s="5"/>
      <c r="U3" s="5"/>
    </row>
    <row r="4" spans="1:21" ht="15" customHeight="1">
      <c r="A4" s="481"/>
      <c r="B4" s="482"/>
      <c r="C4" s="482"/>
      <c r="D4" s="482"/>
      <c r="E4" s="482"/>
      <c r="F4" s="482"/>
      <c r="G4" s="482"/>
      <c r="H4" s="482"/>
      <c r="I4" s="482"/>
      <c r="J4" s="482"/>
      <c r="K4" s="482"/>
      <c r="L4" s="482"/>
      <c r="M4" s="482"/>
      <c r="N4" s="482"/>
      <c r="O4" s="482"/>
      <c r="P4" s="483"/>
      <c r="R4" s="3"/>
      <c r="T4" s="5"/>
      <c r="U4" s="5"/>
    </row>
    <row r="5" spans="1:21" ht="15" customHeight="1" thickBot="1">
      <c r="A5" s="484"/>
      <c r="B5" s="485"/>
      <c r="C5" s="485"/>
      <c r="D5" s="485"/>
      <c r="E5" s="485"/>
      <c r="F5" s="485"/>
      <c r="G5" s="485"/>
      <c r="H5" s="485"/>
      <c r="I5" s="485"/>
      <c r="J5" s="485"/>
      <c r="K5" s="485"/>
      <c r="L5" s="485"/>
      <c r="M5" s="485"/>
      <c r="N5" s="485"/>
      <c r="O5" s="485"/>
      <c r="P5" s="486"/>
      <c r="Q5" s="3"/>
      <c r="R5" s="37"/>
      <c r="S5" s="38"/>
      <c r="T5" s="38"/>
      <c r="U5" s="38"/>
    </row>
    <row r="6" spans="1:21" ht="15" customHeight="1">
      <c r="A6" s="17" t="s">
        <v>9</v>
      </c>
      <c r="B6" s="304" t="str">
        <f>'A Synthèse'!B6</f>
        <v>BRA</v>
      </c>
      <c r="C6" s="17" t="s">
        <v>212</v>
      </c>
      <c r="D6" s="304">
        <f>'A Synthèse'!D6</f>
        <v>0</v>
      </c>
      <c r="E6" s="487" t="s">
        <v>115</v>
      </c>
      <c r="F6" s="488"/>
      <c r="G6" s="488"/>
      <c r="H6" s="488"/>
      <c r="I6" s="488"/>
      <c r="J6" s="488"/>
      <c r="K6" s="488"/>
      <c r="L6" s="489"/>
      <c r="M6" s="547" t="s">
        <v>13</v>
      </c>
      <c r="N6" s="548"/>
      <c r="O6" s="493" t="s">
        <v>12</v>
      </c>
      <c r="P6" s="494"/>
      <c r="R6" s="36"/>
      <c r="S6" s="36"/>
    </row>
    <row r="7" spans="1:21" ht="15" customHeight="1" thickBot="1">
      <c r="A7" s="18" t="s">
        <v>10</v>
      </c>
      <c r="B7" s="305">
        <f>'A Synthèse'!B7</f>
        <v>0</v>
      </c>
      <c r="C7" s="18" t="s">
        <v>10</v>
      </c>
      <c r="D7" s="305">
        <f>'A Synthèse'!D7</f>
        <v>0</v>
      </c>
      <c r="E7" s="490"/>
      <c r="F7" s="491"/>
      <c r="G7" s="491"/>
      <c r="H7" s="491"/>
      <c r="I7" s="491"/>
      <c r="J7" s="491"/>
      <c r="K7" s="491"/>
      <c r="L7" s="492"/>
      <c r="M7" s="549" t="str">
        <f>'A Synthèse'!M7:N7</f>
        <v>31/12/N</v>
      </c>
      <c r="N7" s="550"/>
      <c r="O7" s="495" t="s">
        <v>195</v>
      </c>
      <c r="P7" s="496"/>
    </row>
    <row r="8" spans="1:21" ht="21" customHeight="1" thickBot="1">
      <c r="A8" s="19"/>
      <c r="B8" s="39"/>
      <c r="C8" s="20"/>
      <c r="D8" s="20"/>
      <c r="E8" s="40"/>
      <c r="F8" s="40"/>
      <c r="G8" s="40"/>
      <c r="H8" s="40"/>
      <c r="I8" s="40"/>
      <c r="J8" s="40"/>
      <c r="K8" s="40"/>
      <c r="L8" s="40"/>
      <c r="M8" s="22"/>
      <c r="N8" s="20"/>
      <c r="O8" s="553" t="s">
        <v>217</v>
      </c>
      <c r="P8" s="553"/>
    </row>
    <row r="9" spans="1:21" s="20" customFormat="1" ht="31.5" customHeight="1" thickBot="1">
      <c r="A9" s="497" t="s">
        <v>15</v>
      </c>
      <c r="B9" s="498"/>
      <c r="C9" s="498"/>
      <c r="D9" s="539" t="str">
        <f>'A Synthèse'!D9:E9</f>
        <v>Elevé</v>
      </c>
      <c r="E9" s="540"/>
      <c r="F9" s="499" t="s">
        <v>3</v>
      </c>
      <c r="G9" s="500"/>
      <c r="H9" s="500"/>
      <c r="I9" s="500"/>
      <c r="J9" s="551">
        <f>'A Synthèse'!J9:K9</f>
        <v>14.7</v>
      </c>
      <c r="K9" s="552"/>
      <c r="L9" s="499" t="s">
        <v>16</v>
      </c>
      <c r="M9" s="500"/>
      <c r="N9" s="500"/>
      <c r="O9" s="539" t="str">
        <f>'A Synthèse'!O9:P9</f>
        <v>PE</v>
      </c>
      <c r="P9" s="540"/>
    </row>
    <row r="10" spans="1:21" s="20" customFormat="1" ht="21" customHeight="1" thickBot="1">
      <c r="A10" s="24"/>
      <c r="B10" s="24"/>
      <c r="C10" s="24"/>
      <c r="D10" s="24"/>
      <c r="E10" s="24"/>
      <c r="F10" s="24"/>
      <c r="G10" s="24"/>
      <c r="H10" s="24"/>
      <c r="I10" s="24"/>
      <c r="J10" s="24"/>
      <c r="K10" s="24"/>
      <c r="L10" s="24"/>
      <c r="M10" s="24"/>
      <c r="N10" s="24"/>
      <c r="O10" s="24"/>
      <c r="P10" s="24"/>
    </row>
    <row r="11" spans="1:21" ht="108" customHeight="1" thickBot="1">
      <c r="A11" s="585" t="s">
        <v>116</v>
      </c>
      <c r="B11" s="586"/>
      <c r="C11" s="586"/>
      <c r="D11" s="586"/>
      <c r="E11" s="586"/>
      <c r="F11" s="586"/>
      <c r="G11" s="586"/>
      <c r="H11" s="586"/>
      <c r="I11" s="586"/>
      <c r="J11" s="586"/>
      <c r="K11" s="586"/>
      <c r="L11" s="586"/>
      <c r="M11" s="586"/>
      <c r="N11" s="586"/>
      <c r="O11" s="586"/>
      <c r="P11" s="587"/>
    </row>
    <row r="12" spans="1:21" ht="9" customHeight="1" thickBot="1"/>
    <row r="13" spans="1:21">
      <c r="A13" s="530" t="s">
        <v>28</v>
      </c>
      <c r="B13" s="531"/>
      <c r="C13" s="531"/>
      <c r="D13" s="531"/>
      <c r="E13" s="531"/>
      <c r="F13" s="531"/>
      <c r="G13" s="531"/>
      <c r="H13" s="531"/>
      <c r="I13" s="531"/>
      <c r="J13" s="531"/>
      <c r="K13" s="531"/>
      <c r="L13" s="531"/>
      <c r="M13" s="531"/>
      <c r="N13" s="531"/>
      <c r="O13" s="531"/>
      <c r="P13" s="532"/>
    </row>
    <row r="14" spans="1:21" ht="60" customHeight="1" thickBot="1">
      <c r="A14" s="588" t="s">
        <v>270</v>
      </c>
      <c r="B14" s="528"/>
      <c r="C14" s="528"/>
      <c r="D14" s="528"/>
      <c r="E14" s="528"/>
      <c r="F14" s="528"/>
      <c r="G14" s="528"/>
      <c r="H14" s="528"/>
      <c r="I14" s="528"/>
      <c r="J14" s="528"/>
      <c r="K14" s="528"/>
      <c r="L14" s="528"/>
      <c r="M14" s="528"/>
      <c r="N14" s="528"/>
      <c r="O14" s="528"/>
      <c r="P14" s="529"/>
    </row>
    <row r="15" spans="1:21" ht="15.75" thickBot="1"/>
    <row r="16" spans="1:21">
      <c r="A16" s="57"/>
      <c r="B16" s="58"/>
      <c r="C16" s="58"/>
      <c r="D16" s="58"/>
      <c r="E16" s="58"/>
      <c r="F16" s="58"/>
      <c r="G16" s="58"/>
      <c r="H16" s="58"/>
      <c r="I16" s="58"/>
      <c r="J16" s="58"/>
      <c r="K16" s="58"/>
      <c r="L16" s="58"/>
      <c r="M16" s="58"/>
      <c r="N16" s="58"/>
      <c r="O16" s="58"/>
      <c r="P16" s="59"/>
    </row>
    <row r="17" spans="1:16">
      <c r="A17" s="60"/>
      <c r="B17" s="31"/>
      <c r="C17" s="31"/>
      <c r="E17" s="325" t="s">
        <v>44</v>
      </c>
      <c r="F17" s="324" t="s">
        <v>45</v>
      </c>
      <c r="P17" s="61"/>
    </row>
    <row r="18" spans="1:16">
      <c r="A18" s="60"/>
      <c r="C18" s="404"/>
      <c r="D18" s="403" t="s">
        <v>117</v>
      </c>
      <c r="E18" s="397">
        <f>'A100 Rappro BA-BG'!D18</f>
        <v>0</v>
      </c>
      <c r="F18" s="397">
        <f>'A100 Rappro BA-BG'!E18</f>
        <v>0</v>
      </c>
      <c r="P18" s="61"/>
    </row>
    <row r="19" spans="1:16">
      <c r="A19" s="60"/>
      <c r="B19" s="51"/>
      <c r="C19" s="31"/>
      <c r="D19" s="45"/>
      <c r="E19" s="45"/>
      <c r="F19" s="43"/>
      <c r="G19" s="44"/>
      <c r="H19" s="31"/>
      <c r="P19" s="61"/>
    </row>
    <row r="20" spans="1:16">
      <c r="A20" s="60"/>
      <c r="B20" s="51"/>
      <c r="C20" s="31"/>
      <c r="D20" s="45"/>
      <c r="E20" s="45"/>
      <c r="F20" s="43"/>
      <c r="G20" s="44"/>
      <c r="H20" s="31"/>
      <c r="P20" s="61"/>
    </row>
    <row r="21" spans="1:16">
      <c r="A21" s="60"/>
      <c r="B21" s="67"/>
      <c r="C21" s="31"/>
      <c r="D21" s="31"/>
      <c r="E21" s="31"/>
      <c r="F21" s="43"/>
      <c r="G21" s="46"/>
      <c r="H21" s="31"/>
      <c r="P21" s="61"/>
    </row>
    <row r="22" spans="1:16" s="65" customFormat="1" ht="42.75" customHeight="1">
      <c r="A22" s="68"/>
      <c r="B22" s="326" t="s">
        <v>261</v>
      </c>
      <c r="C22" s="326" t="s">
        <v>46</v>
      </c>
      <c r="D22" s="326" t="s">
        <v>118</v>
      </c>
      <c r="E22" s="592" t="s">
        <v>48</v>
      </c>
      <c r="F22" s="592"/>
      <c r="G22" s="592"/>
      <c r="H22" s="592"/>
      <c r="I22" s="591" t="s">
        <v>47</v>
      </c>
      <c r="J22" s="591"/>
      <c r="K22" s="66" t="s">
        <v>40</v>
      </c>
      <c r="P22" s="69"/>
    </row>
    <row r="23" spans="1:16">
      <c r="A23" s="60"/>
      <c r="B23" s="47"/>
      <c r="C23" s="398" t="e">
        <f>#REF!</f>
        <v>#REF!</v>
      </c>
      <c r="D23" s="399" t="e">
        <f>+C23/$E$18</f>
        <v>#REF!</v>
      </c>
      <c r="E23" s="590"/>
      <c r="F23" s="590"/>
      <c r="G23" s="590"/>
      <c r="H23" s="590"/>
      <c r="I23" s="589" t="s">
        <v>0</v>
      </c>
      <c r="J23" s="589"/>
      <c r="K23" s="47"/>
      <c r="P23" s="61"/>
    </row>
    <row r="24" spans="1:16">
      <c r="A24" s="60"/>
      <c r="B24" s="47"/>
      <c r="C24" s="398" t="e">
        <f>#REF!</f>
        <v>#REF!</v>
      </c>
      <c r="D24" s="399" t="e">
        <f t="shared" ref="D24:D25" si="0">+C24/$E$18</f>
        <v>#REF!</v>
      </c>
      <c r="E24" s="590"/>
      <c r="F24" s="590"/>
      <c r="G24" s="590"/>
      <c r="H24" s="590"/>
      <c r="I24" s="589" t="s">
        <v>0</v>
      </c>
      <c r="J24" s="589"/>
      <c r="K24" s="47"/>
      <c r="P24" s="61"/>
    </row>
    <row r="25" spans="1:16" ht="15.75" thickBot="1">
      <c r="A25" s="60"/>
      <c r="B25" s="401"/>
      <c r="C25" s="398"/>
      <c r="D25" s="399" t="e">
        <f t="shared" si="0"/>
        <v>#DIV/0!</v>
      </c>
      <c r="E25" s="590"/>
      <c r="F25" s="590"/>
      <c r="G25" s="590"/>
      <c r="H25" s="590"/>
      <c r="I25" s="589"/>
      <c r="J25" s="589"/>
      <c r="K25" s="47"/>
      <c r="P25" s="61"/>
    </row>
    <row r="26" spans="1:16" ht="15.75" thickBot="1">
      <c r="A26" s="593" t="s">
        <v>119</v>
      </c>
      <c r="B26" s="594"/>
      <c r="C26" s="402" t="e">
        <f>SUM(C23:C25)</f>
        <v>#REF!</v>
      </c>
      <c r="D26" s="400" t="e">
        <f>+C26/$E$18</f>
        <v>#REF!</v>
      </c>
      <c r="E26" s="48"/>
      <c r="I26" s="48"/>
      <c r="K26" s="48"/>
      <c r="P26" s="61"/>
    </row>
    <row r="27" spans="1:16" ht="15.75" thickBot="1">
      <c r="A27" s="62"/>
      <c r="B27" s="63"/>
      <c r="C27" s="63"/>
      <c r="D27" s="63"/>
      <c r="E27" s="63"/>
      <c r="F27" s="63"/>
      <c r="G27" s="63"/>
      <c r="H27" s="63"/>
      <c r="I27" s="63"/>
      <c r="J27" s="63"/>
      <c r="K27" s="63"/>
      <c r="L27" s="63"/>
      <c r="M27" s="63"/>
      <c r="N27" s="63"/>
      <c r="O27" s="63"/>
      <c r="P27" s="64"/>
    </row>
  </sheetData>
  <sheetProtection formatCells="0" formatColumns="0" formatRows="0" insertColumns="0" insertRows="0" insertHyperlinks="0" deleteColumns="0" deleteRows="0" sort="0" autoFilter="0" pivotTables="0"/>
  <mergeCells count="26">
    <mergeCell ref="A26:B26"/>
    <mergeCell ref="E25:H25"/>
    <mergeCell ref="I25:J25"/>
    <mergeCell ref="E24:H24"/>
    <mergeCell ref="I24:J24"/>
    <mergeCell ref="I23:J23"/>
    <mergeCell ref="E23:H23"/>
    <mergeCell ref="I22:J22"/>
    <mergeCell ref="E22:H22"/>
    <mergeCell ref="A11:P11"/>
    <mergeCell ref="A13:P13"/>
    <mergeCell ref="A14:P14"/>
    <mergeCell ref="O9:P9"/>
    <mergeCell ref="O8:P8"/>
    <mergeCell ref="D1:M2"/>
    <mergeCell ref="A3:P5"/>
    <mergeCell ref="E6:L7"/>
    <mergeCell ref="M6:N6"/>
    <mergeCell ref="O6:P6"/>
    <mergeCell ref="M7:N7"/>
    <mergeCell ref="O7:P7"/>
    <mergeCell ref="A9:C9"/>
    <mergeCell ref="D9:E9"/>
    <mergeCell ref="F9:I9"/>
    <mergeCell ref="J9:K9"/>
    <mergeCell ref="L9:N9"/>
  </mergeCells>
  <dataValidations count="2">
    <dataValidation type="list" showInputMessage="1" showErrorMessage="1" sqref="D9:E9" xr:uid="{00000000-0002-0000-0400-000000000000}">
      <formula1>RAS</formula1>
    </dataValidation>
    <dataValidation type="list" allowBlank="1" showInputMessage="1" showErrorMessage="1" sqref="O9:P9" xr:uid="{00000000-0002-0000-0400-000001000000}">
      <formula1>Diligences</formula1>
    </dataValidation>
  </dataValidations>
  <hyperlinks>
    <hyperlink ref="O8:P8" location="'A Synthèse'!Zone_d_impression" display="A Synthèse" xr:uid="{00000000-0004-0000-04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ignoredErrors>
    <ignoredError sqref="D23:D24 D25" evalErro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53"/>
  <sheetViews>
    <sheetView showGridLines="0" topLeftCell="A3" zoomScaleNormal="100" workbookViewId="0">
      <selection activeCell="B18" sqref="B18"/>
    </sheetView>
  </sheetViews>
  <sheetFormatPr baseColWidth="10" defaultColWidth="11.42578125" defaultRowHeight="15.75"/>
  <cols>
    <col min="1" max="1" width="26.28515625" style="7" customWidth="1"/>
    <col min="2" max="3" width="14.7109375" style="7" customWidth="1"/>
    <col min="4" max="4" width="26.28515625" style="7" customWidth="1"/>
    <col min="5" max="6" width="14.7109375" style="7" customWidth="1"/>
    <col min="7" max="7" width="26.28515625" style="7" customWidth="1"/>
    <col min="8" max="9" width="14.7109375" style="7" customWidth="1"/>
    <col min="10" max="10" width="25.7109375" style="7" customWidth="1"/>
    <col min="11" max="12" width="14.7109375" style="7" customWidth="1"/>
    <col min="13" max="13" width="23.140625" style="7" customWidth="1"/>
    <col min="14" max="14" width="14.7109375" style="7" customWidth="1"/>
    <col min="15" max="15" width="27.5703125" style="7" customWidth="1"/>
    <col min="16" max="16" width="21.28515625" style="7" customWidth="1"/>
    <col min="17" max="17" width="13.140625" style="7" bestFit="1" customWidth="1"/>
    <col min="18" max="16384" width="11.42578125" style="7"/>
  </cols>
  <sheetData>
    <row r="1" spans="1:19" s="1" customFormat="1" ht="15" customHeight="1">
      <c r="A1" s="10"/>
      <c r="B1" s="11"/>
      <c r="C1" s="11"/>
      <c r="D1" s="541">
        <f>'A Synthèse'!D1:M2</f>
        <v>0</v>
      </c>
      <c r="E1" s="542"/>
      <c r="F1" s="542"/>
      <c r="G1" s="542"/>
      <c r="H1" s="542"/>
      <c r="I1" s="542"/>
      <c r="J1" s="542"/>
      <c r="K1" s="542"/>
      <c r="L1" s="542"/>
      <c r="M1" s="543"/>
      <c r="N1" s="11"/>
      <c r="O1" s="11"/>
      <c r="P1" s="12"/>
    </row>
    <row r="2" spans="1:19" s="1" customFormat="1" ht="15" customHeight="1" thickBot="1">
      <c r="A2" s="13"/>
      <c r="B2" s="14"/>
      <c r="C2" s="14"/>
      <c r="D2" s="544"/>
      <c r="E2" s="545"/>
      <c r="F2" s="545"/>
      <c r="G2" s="545"/>
      <c r="H2" s="545"/>
      <c r="I2" s="545"/>
      <c r="J2" s="545"/>
      <c r="K2" s="545"/>
      <c r="L2" s="545"/>
      <c r="M2" s="546"/>
      <c r="N2" s="14"/>
      <c r="O2" s="14"/>
      <c r="P2" s="15"/>
    </row>
    <row r="3" spans="1:19" ht="15" customHeight="1">
      <c r="A3" s="481" t="s">
        <v>86</v>
      </c>
      <c r="B3" s="482"/>
      <c r="C3" s="482"/>
      <c r="D3" s="482"/>
      <c r="E3" s="482"/>
      <c r="F3" s="482"/>
      <c r="G3" s="482"/>
      <c r="H3" s="482"/>
      <c r="I3" s="482"/>
      <c r="J3" s="482"/>
      <c r="K3" s="482"/>
      <c r="L3" s="482"/>
      <c r="M3" s="482"/>
      <c r="N3" s="482"/>
      <c r="O3" s="482"/>
      <c r="P3" s="483"/>
      <c r="R3" s="5"/>
      <c r="S3" s="6"/>
    </row>
    <row r="4" spans="1:19" ht="15" customHeight="1">
      <c r="A4" s="481"/>
      <c r="B4" s="482"/>
      <c r="C4" s="482"/>
      <c r="D4" s="482"/>
      <c r="E4" s="482"/>
      <c r="F4" s="482"/>
      <c r="G4" s="482"/>
      <c r="H4" s="482"/>
      <c r="I4" s="482"/>
      <c r="J4" s="482"/>
      <c r="K4" s="482"/>
      <c r="L4" s="482"/>
      <c r="M4" s="482"/>
      <c r="N4" s="482"/>
      <c r="O4" s="482"/>
      <c r="P4" s="483"/>
      <c r="R4" s="5"/>
      <c r="S4" s="6"/>
    </row>
    <row r="5" spans="1:19" ht="15" customHeight="1" thickBot="1">
      <c r="A5" s="484"/>
      <c r="B5" s="485"/>
      <c r="C5" s="485"/>
      <c r="D5" s="485"/>
      <c r="E5" s="485"/>
      <c r="F5" s="485"/>
      <c r="G5" s="485"/>
      <c r="H5" s="485"/>
      <c r="I5" s="485"/>
      <c r="J5" s="485"/>
      <c r="K5" s="485"/>
      <c r="L5" s="485"/>
      <c r="M5" s="485"/>
      <c r="N5" s="485"/>
      <c r="O5" s="485"/>
      <c r="P5" s="486"/>
      <c r="Q5" s="8"/>
      <c r="R5" s="23"/>
      <c r="S5" s="23"/>
    </row>
    <row r="6" spans="1:19" ht="15" customHeight="1">
      <c r="A6" s="17" t="s">
        <v>9</v>
      </c>
      <c r="B6" s="304" t="str">
        <f>'A Synthèse'!B6</f>
        <v>BRA</v>
      </c>
      <c r="C6" s="17" t="s">
        <v>212</v>
      </c>
      <c r="D6" s="304">
        <f>'A Synthèse'!D6</f>
        <v>0</v>
      </c>
      <c r="E6" s="487" t="s">
        <v>231</v>
      </c>
      <c r="F6" s="488"/>
      <c r="G6" s="488"/>
      <c r="H6" s="488"/>
      <c r="I6" s="488"/>
      <c r="J6" s="488"/>
      <c r="K6" s="488"/>
      <c r="L6" s="489"/>
      <c r="M6" s="547" t="s">
        <v>13</v>
      </c>
      <c r="N6" s="548"/>
      <c r="O6" s="493" t="s">
        <v>12</v>
      </c>
      <c r="P6" s="494"/>
    </row>
    <row r="7" spans="1:19" ht="15" customHeight="1" thickBot="1">
      <c r="A7" s="18" t="s">
        <v>10</v>
      </c>
      <c r="B7" s="305">
        <f>'A Synthèse'!B7</f>
        <v>0</v>
      </c>
      <c r="C7" s="18" t="s">
        <v>10</v>
      </c>
      <c r="D7" s="305">
        <f>'A Synthèse'!D7</f>
        <v>0</v>
      </c>
      <c r="E7" s="490"/>
      <c r="F7" s="491"/>
      <c r="G7" s="491"/>
      <c r="H7" s="491"/>
      <c r="I7" s="491"/>
      <c r="J7" s="491"/>
      <c r="K7" s="491"/>
      <c r="L7" s="492"/>
      <c r="M7" s="549" t="str">
        <f>'A Synthèse'!M7:N7</f>
        <v>31/12/N</v>
      </c>
      <c r="N7" s="550"/>
      <c r="O7" s="495" t="s">
        <v>196</v>
      </c>
      <c r="P7" s="496"/>
    </row>
    <row r="8" spans="1:19" ht="21" customHeight="1" thickBot="1">
      <c r="A8" s="19"/>
      <c r="B8" s="16"/>
      <c r="C8" s="20"/>
      <c r="D8" s="20"/>
      <c r="E8" s="21"/>
      <c r="F8" s="21"/>
      <c r="G8" s="21"/>
      <c r="H8" s="21"/>
      <c r="I8" s="21"/>
      <c r="J8" s="21"/>
      <c r="K8" s="21"/>
      <c r="L8" s="21"/>
      <c r="M8" s="22"/>
      <c r="N8" s="20"/>
      <c r="O8" s="553" t="s">
        <v>217</v>
      </c>
      <c r="P8" s="553"/>
    </row>
    <row r="9" spans="1:19" s="20" customFormat="1" ht="31.5" customHeight="1" thickBot="1">
      <c r="A9" s="497" t="s">
        <v>15</v>
      </c>
      <c r="B9" s="498"/>
      <c r="C9" s="498"/>
      <c r="D9" s="539" t="str">
        <f>'A Synthèse'!D9:E9</f>
        <v>Elevé</v>
      </c>
      <c r="E9" s="540"/>
      <c r="F9" s="499" t="s">
        <v>3</v>
      </c>
      <c r="G9" s="500"/>
      <c r="H9" s="500"/>
      <c r="I9" s="500"/>
      <c r="J9" s="551">
        <f>'A Synthèse'!J9:K9</f>
        <v>14.7</v>
      </c>
      <c r="K9" s="552"/>
      <c r="L9" s="499" t="s">
        <v>16</v>
      </c>
      <c r="M9" s="500"/>
      <c r="N9" s="500"/>
      <c r="O9" s="539" t="str">
        <f>'A Synthèse'!O9:P9</f>
        <v>PE</v>
      </c>
      <c r="P9" s="540"/>
    </row>
    <row r="10" spans="1:19" s="20" customFormat="1" ht="21" customHeight="1" thickBot="1">
      <c r="A10" s="24"/>
      <c r="B10" s="24"/>
      <c r="C10" s="24"/>
      <c r="D10" s="24"/>
      <c r="E10" s="24"/>
      <c r="F10" s="24"/>
      <c r="G10" s="24"/>
      <c r="H10" s="24"/>
      <c r="I10" s="24"/>
      <c r="J10" s="24"/>
      <c r="K10" s="24"/>
      <c r="L10" s="24"/>
      <c r="M10" s="24"/>
      <c r="N10" s="24"/>
      <c r="O10" s="24"/>
      <c r="P10" s="24"/>
    </row>
    <row r="11" spans="1:19" s="25" customFormat="1" ht="86.45" customHeight="1" thickBot="1">
      <c r="A11" s="585" t="s">
        <v>232</v>
      </c>
      <c r="B11" s="586"/>
      <c r="C11" s="586"/>
      <c r="D11" s="586"/>
      <c r="E11" s="586"/>
      <c r="F11" s="586"/>
      <c r="G11" s="586"/>
      <c r="H11" s="586"/>
      <c r="I11" s="586"/>
      <c r="J11" s="586"/>
      <c r="K11" s="586"/>
      <c r="L11" s="586"/>
      <c r="M11" s="586"/>
      <c r="N11" s="586"/>
      <c r="O11" s="586"/>
      <c r="P11" s="587"/>
    </row>
    <row r="12" spans="1:19" s="25" customFormat="1" ht="9" customHeight="1" thickBot="1"/>
    <row r="13" spans="1:19" s="25" customFormat="1" ht="15">
      <c r="A13" s="530" t="s">
        <v>28</v>
      </c>
      <c r="B13" s="531"/>
      <c r="C13" s="531"/>
      <c r="D13" s="531"/>
      <c r="E13" s="531"/>
      <c r="F13" s="531"/>
      <c r="G13" s="531"/>
      <c r="H13" s="531"/>
      <c r="I13" s="531"/>
      <c r="J13" s="531"/>
      <c r="K13" s="531"/>
      <c r="L13" s="531"/>
      <c r="M13" s="531"/>
      <c r="N13" s="531"/>
      <c r="O13" s="531"/>
      <c r="P13" s="532"/>
    </row>
    <row r="14" spans="1:19" s="25" customFormat="1" ht="60" customHeight="1" thickBot="1">
      <c r="A14" s="588" t="s">
        <v>270</v>
      </c>
      <c r="B14" s="528"/>
      <c r="C14" s="528"/>
      <c r="D14" s="528"/>
      <c r="E14" s="528"/>
      <c r="F14" s="528"/>
      <c r="G14" s="528"/>
      <c r="H14" s="528"/>
      <c r="I14" s="528"/>
      <c r="J14" s="528"/>
      <c r="K14" s="528"/>
      <c r="L14" s="528"/>
      <c r="M14" s="528"/>
      <c r="N14" s="528"/>
      <c r="O14" s="528"/>
      <c r="P14" s="529"/>
    </row>
    <row r="15" spans="1:19" s="25" customFormat="1" thickBot="1"/>
    <row r="16" spans="1:19" s="25" customFormat="1" thickBot="1">
      <c r="A16" s="57"/>
      <c r="B16" s="58"/>
      <c r="C16" s="58"/>
      <c r="D16" s="58"/>
      <c r="E16" s="58"/>
      <c r="F16" s="58"/>
      <c r="G16" s="58"/>
      <c r="H16" s="58"/>
      <c r="I16" s="58"/>
      <c r="J16" s="58"/>
      <c r="K16" s="58"/>
      <c r="L16" s="58"/>
      <c r="M16" s="58"/>
      <c r="N16" s="58"/>
      <c r="O16" s="58"/>
      <c r="P16" s="59"/>
    </row>
    <row r="17" spans="1:17" s="25" customFormat="1" thickBot="1">
      <c r="A17" s="714" t="s">
        <v>233</v>
      </c>
      <c r="B17" s="715"/>
      <c r="C17" s="357"/>
      <c r="D17" s="714" t="s">
        <v>234</v>
      </c>
      <c r="E17" s="715"/>
      <c r="F17" s="357"/>
      <c r="G17" s="714" t="s">
        <v>271</v>
      </c>
      <c r="H17" s="715"/>
      <c r="I17" s="338"/>
      <c r="J17" s="338"/>
      <c r="K17" s="338"/>
      <c r="L17" s="338"/>
      <c r="M17" s="338"/>
      <c r="N17" s="338"/>
      <c r="O17" s="338"/>
      <c r="P17" s="338"/>
      <c r="Q17" s="338"/>
    </row>
    <row r="18" spans="1:17" s="25" customFormat="1" ht="15">
      <c r="A18" s="339" t="s">
        <v>272</v>
      </c>
      <c r="B18" s="340"/>
      <c r="C18" s="358"/>
      <c r="D18" s="339" t="str">
        <f>+A18</f>
        <v>Compta RENAULT</v>
      </c>
      <c r="E18" s="340"/>
      <c r="F18" s="358"/>
      <c r="G18" s="339" t="str">
        <f>A18</f>
        <v>Compta RENAULT</v>
      </c>
      <c r="H18" s="340"/>
    </row>
    <row r="19" spans="1:17" s="25" customFormat="1" ht="15">
      <c r="A19" s="359" t="s">
        <v>258</v>
      </c>
      <c r="B19" s="342" t="e">
        <f>-#REF!</f>
        <v>#REF!</v>
      </c>
      <c r="C19" s="338"/>
      <c r="D19" s="359" t="s">
        <v>260</v>
      </c>
      <c r="E19" s="342"/>
      <c r="F19" s="338"/>
      <c r="G19" s="359" t="s">
        <v>258</v>
      </c>
      <c r="H19" s="342" t="e">
        <f>-#REF!</f>
        <v>#REF!</v>
      </c>
    </row>
    <row r="20" spans="1:17" s="25" customFormat="1" ht="15">
      <c r="A20" s="341"/>
      <c r="B20" s="342"/>
      <c r="C20" s="338"/>
      <c r="D20" s="343"/>
      <c r="E20" s="342"/>
      <c r="F20" s="338"/>
      <c r="G20" s="341"/>
      <c r="H20" s="342"/>
    </row>
    <row r="21" spans="1:17" s="25" customFormat="1" ht="15">
      <c r="A21" s="343"/>
      <c r="B21" s="344"/>
      <c r="C21" s="338"/>
      <c r="D21" s="343"/>
      <c r="E21" s="344"/>
      <c r="F21" s="338"/>
      <c r="G21" s="343"/>
      <c r="H21" s="344"/>
    </row>
    <row r="22" spans="1:17" s="25" customFormat="1" ht="15">
      <c r="A22" s="343"/>
      <c r="B22" s="345"/>
      <c r="C22" s="338"/>
      <c r="D22" s="343"/>
      <c r="E22" s="345"/>
      <c r="F22" s="338"/>
      <c r="G22" s="343"/>
      <c r="H22" s="345"/>
    </row>
    <row r="23" spans="1:17" s="25" customFormat="1" ht="15">
      <c r="A23" s="405" t="s">
        <v>259</v>
      </c>
      <c r="B23" s="346" t="e">
        <f>SUM(B19:B22)</f>
        <v>#REF!</v>
      </c>
      <c r="C23" s="338"/>
      <c r="D23" s="343" t="str">
        <f>+A23</f>
        <v>Total Compta CITROEN</v>
      </c>
      <c r="E23" s="346">
        <f>SUM(E19:E22)</f>
        <v>0</v>
      </c>
      <c r="F23" s="338"/>
      <c r="G23" s="405" t="s">
        <v>259</v>
      </c>
      <c r="H23" s="346" t="e">
        <f>SUM(H19:H22)</f>
        <v>#REF!</v>
      </c>
    </row>
    <row r="24" spans="1:17" s="25" customFormat="1" ht="15">
      <c r="A24" s="347" t="s">
        <v>273</v>
      </c>
      <c r="B24" s="348"/>
      <c r="C24" s="338"/>
      <c r="D24" s="347" t="str">
        <f>A24</f>
        <v>Relevé COGERA de 31-12-N</v>
      </c>
      <c r="E24" s="348"/>
      <c r="F24" s="338"/>
      <c r="G24" s="347" t="str">
        <f>+A24</f>
        <v>Relevé COGERA de 31-12-N</v>
      </c>
      <c r="H24" s="348"/>
    </row>
    <row r="25" spans="1:17" s="25" customFormat="1" ht="15">
      <c r="A25" s="343"/>
      <c r="B25" s="346"/>
      <c r="C25" s="338"/>
      <c r="D25" s="343"/>
      <c r="E25" s="349"/>
      <c r="F25" s="338"/>
      <c r="G25" s="343"/>
      <c r="H25" s="346"/>
    </row>
    <row r="26" spans="1:17" s="25" customFormat="1" ht="15">
      <c r="A26" s="350" t="s">
        <v>235</v>
      </c>
      <c r="B26" s="342"/>
      <c r="C26" s="447"/>
      <c r="D26" s="350"/>
      <c r="E26" s="351"/>
      <c r="F26" s="338"/>
      <c r="G26" s="350" t="s">
        <v>235</v>
      </c>
      <c r="H26" s="342"/>
    </row>
    <row r="27" spans="1:17" s="25" customFormat="1" ht="15">
      <c r="A27" s="448"/>
      <c r="B27" s="342"/>
      <c r="C27" s="338"/>
      <c r="D27" s="448"/>
      <c r="E27" s="351"/>
      <c r="F27" s="338"/>
      <c r="G27" s="448"/>
      <c r="H27" s="342"/>
    </row>
    <row r="28" spans="1:17" s="25" customFormat="1" ht="15">
      <c r="A28" s="405"/>
      <c r="B28" s="346"/>
      <c r="C28" s="447"/>
      <c r="D28" s="343"/>
      <c r="E28" s="351"/>
      <c r="F28" s="447"/>
      <c r="G28" s="405"/>
      <c r="H28" s="346"/>
    </row>
    <row r="29" spans="1:17" s="25" customFormat="1" ht="15">
      <c r="A29" s="405"/>
      <c r="B29" s="346"/>
      <c r="C29" s="447"/>
      <c r="D29" s="352"/>
      <c r="E29" s="353"/>
      <c r="F29" s="338"/>
      <c r="G29" s="405"/>
      <c r="H29" s="346"/>
    </row>
    <row r="30" spans="1:17" s="25" customFormat="1" ht="57.6" customHeight="1">
      <c r="A30" s="343"/>
      <c r="B30" s="346"/>
      <c r="C30" s="338"/>
      <c r="D30" s="356"/>
      <c r="E30" s="353"/>
      <c r="F30" s="449"/>
      <c r="G30" s="343"/>
      <c r="H30" s="346"/>
    </row>
    <row r="31" spans="1:17" s="25" customFormat="1" ht="15">
      <c r="A31" s="343"/>
      <c r="B31" s="345"/>
      <c r="C31" s="338"/>
      <c r="D31" s="343"/>
      <c r="E31" s="345"/>
      <c r="F31" s="446"/>
      <c r="G31" s="343"/>
      <c r="H31" s="345"/>
    </row>
    <row r="32" spans="1:17" s="25" customFormat="1" ht="15">
      <c r="A32" s="343"/>
      <c r="B32" s="346">
        <f>SUM(B25:B31)</f>
        <v>0</v>
      </c>
      <c r="C32" s="338"/>
      <c r="D32" s="343"/>
      <c r="E32" s="346">
        <f>SUM(E25:E31)</f>
        <v>0</v>
      </c>
      <c r="F32" s="338"/>
      <c r="G32" s="343"/>
      <c r="H32" s="346">
        <f>SUM(H25:H31)</f>
        <v>0</v>
      </c>
    </row>
    <row r="33" spans="1:16" s="25" customFormat="1" ht="15">
      <c r="A33" s="343"/>
      <c r="B33" s="346"/>
      <c r="C33" s="338"/>
      <c r="D33" s="343"/>
      <c r="E33" s="346"/>
      <c r="F33" s="338"/>
      <c r="G33" s="343"/>
      <c r="H33" s="346"/>
    </row>
    <row r="34" spans="1:16" s="25" customFormat="1" thickBot="1">
      <c r="A34" s="354" t="s">
        <v>236</v>
      </c>
      <c r="B34" s="355" t="e">
        <f>+B23-B32</f>
        <v>#REF!</v>
      </c>
      <c r="C34" s="358"/>
      <c r="D34" s="354" t="s">
        <v>237</v>
      </c>
      <c r="E34" s="355">
        <f>E23-E32</f>
        <v>0</v>
      </c>
      <c r="F34" s="358"/>
      <c r="G34" s="354" t="s">
        <v>236</v>
      </c>
      <c r="H34" s="355" t="e">
        <f>+H23-H32</f>
        <v>#REF!</v>
      </c>
    </row>
    <row r="35" spans="1:16" s="25" customFormat="1" ht="15">
      <c r="A35" s="60"/>
      <c r="B35" s="51"/>
      <c r="E35" s="328"/>
      <c r="F35" s="328"/>
      <c r="G35" s="31"/>
      <c r="H35" s="73"/>
      <c r="P35" s="61"/>
    </row>
    <row r="36" spans="1:16" s="25" customFormat="1" ht="15">
      <c r="A36" s="60"/>
      <c r="B36" s="598"/>
      <c r="C36" s="598"/>
      <c r="D36" s="598"/>
      <c r="E36" s="35"/>
      <c r="F36" s="35"/>
      <c r="G36" s="74"/>
      <c r="H36" s="75"/>
      <c r="I36" s="34"/>
      <c r="J36" s="34"/>
      <c r="P36" s="61"/>
    </row>
    <row r="37" spans="1:16" s="25" customFormat="1" ht="15">
      <c r="A37" s="60"/>
      <c r="B37" s="51"/>
      <c r="E37" s="329"/>
      <c r="F37" s="329"/>
      <c r="G37" s="72"/>
      <c r="H37" s="76"/>
      <c r="I37" s="33"/>
      <c r="J37" s="31"/>
      <c r="P37" s="61"/>
    </row>
    <row r="38" spans="1:16" s="25" customFormat="1" ht="15">
      <c r="A38" s="60"/>
      <c r="B38" s="51"/>
      <c r="E38" s="329"/>
      <c r="F38" s="329"/>
      <c r="G38" s="72"/>
      <c r="H38" s="76"/>
      <c r="P38" s="61"/>
    </row>
    <row r="39" spans="1:16" s="25" customFormat="1" ht="15">
      <c r="A39" s="60"/>
      <c r="B39" s="598"/>
      <c r="C39" s="598"/>
      <c r="D39" s="598"/>
      <c r="E39" s="334"/>
      <c r="F39" s="334"/>
      <c r="G39" s="322"/>
      <c r="H39" s="31"/>
      <c r="I39" s="322"/>
      <c r="J39" s="322"/>
      <c r="P39" s="61"/>
    </row>
    <row r="40" spans="1:16" s="25" customFormat="1" ht="15">
      <c r="A40" s="60"/>
      <c r="B40" s="31"/>
      <c r="E40" s="31"/>
      <c r="F40" s="31"/>
      <c r="G40" s="31"/>
      <c r="H40" s="31"/>
      <c r="I40" s="31"/>
      <c r="J40" s="31"/>
      <c r="P40" s="61"/>
    </row>
    <row r="41" spans="1:16" s="25" customFormat="1" ht="15">
      <c r="A41" s="60"/>
      <c r="B41" s="598"/>
      <c r="C41" s="598"/>
      <c r="D41" s="598"/>
      <c r="E41" s="335"/>
      <c r="F41" s="35"/>
      <c r="G41" s="31"/>
      <c r="H41" s="31"/>
      <c r="I41" s="35"/>
      <c r="J41" s="35"/>
      <c r="P41" s="61"/>
    </row>
    <row r="42" spans="1:16" s="25" customFormat="1" ht="15">
      <c r="A42" s="60"/>
      <c r="B42" s="598"/>
      <c r="C42" s="598"/>
      <c r="D42" s="598"/>
      <c r="E42" s="335"/>
      <c r="F42" s="35"/>
      <c r="G42" s="77"/>
      <c r="H42" s="31"/>
      <c r="I42" s="35"/>
      <c r="J42" s="35"/>
      <c r="P42" s="61"/>
    </row>
    <row r="43" spans="1:16" s="25" customFormat="1" ht="15">
      <c r="A43" s="60"/>
      <c r="B43" s="598"/>
      <c r="C43" s="598"/>
      <c r="D43" s="598"/>
      <c r="E43" s="335"/>
      <c r="F43" s="35"/>
      <c r="G43" s="77"/>
      <c r="H43" s="31"/>
      <c r="I43" s="35"/>
      <c r="J43" s="35"/>
      <c r="P43" s="61"/>
    </row>
    <row r="44" spans="1:16" s="25" customFormat="1" ht="15">
      <c r="A44" s="60"/>
      <c r="B44" s="598"/>
      <c r="C44" s="598"/>
      <c r="D44" s="598"/>
      <c r="E44" s="35"/>
      <c r="F44" s="35"/>
      <c r="G44" s="77"/>
      <c r="H44" s="31"/>
      <c r="I44" s="35"/>
      <c r="J44" s="35"/>
      <c r="P44" s="61"/>
    </row>
    <row r="45" spans="1:16" s="25" customFormat="1" ht="15">
      <c r="A45" s="60"/>
      <c r="B45" s="598"/>
      <c r="C45" s="598"/>
      <c r="D45" s="598"/>
      <c r="E45" s="35"/>
      <c r="F45" s="35"/>
      <c r="G45" s="77"/>
      <c r="H45" s="31"/>
      <c r="I45" s="35"/>
      <c r="J45" s="35"/>
      <c r="P45" s="61"/>
    </row>
    <row r="46" spans="1:16" s="25" customFormat="1" ht="15">
      <c r="A46" s="60"/>
      <c r="B46" s="152"/>
      <c r="C46" s="152"/>
      <c r="D46" s="152"/>
      <c r="E46" s="35"/>
      <c r="F46" s="35"/>
      <c r="G46" s="77"/>
      <c r="H46" s="31"/>
      <c r="I46" s="35"/>
      <c r="J46" s="35"/>
      <c r="P46" s="61"/>
    </row>
    <row r="47" spans="1:16" s="25" customFormat="1" ht="15">
      <c r="A47" s="60"/>
      <c r="B47" s="31"/>
      <c r="E47" s="31"/>
      <c r="F47" s="31"/>
      <c r="G47" s="334"/>
      <c r="H47" s="78"/>
      <c r="I47" s="31"/>
      <c r="J47" s="31"/>
      <c r="P47" s="61"/>
    </row>
    <row r="48" spans="1:16" s="25" customFormat="1" ht="15">
      <c r="A48" s="60"/>
      <c r="B48" s="598"/>
      <c r="C48" s="598"/>
      <c r="D48" s="598"/>
      <c r="E48" s="336"/>
      <c r="F48" s="336"/>
      <c r="G48" s="337"/>
      <c r="H48" s="79"/>
      <c r="I48" s="330"/>
      <c r="J48" s="45"/>
      <c r="P48" s="61"/>
    </row>
    <row r="49" spans="1:16" s="25" customFormat="1" ht="15">
      <c r="A49" s="60"/>
      <c r="B49" s="598"/>
      <c r="C49" s="598"/>
      <c r="D49" s="598"/>
      <c r="E49" s="331"/>
      <c r="F49" s="331"/>
      <c r="G49" s="332"/>
      <c r="H49" s="73"/>
      <c r="I49" s="330"/>
      <c r="J49" s="45"/>
      <c r="P49" s="61"/>
    </row>
    <row r="50" spans="1:16" s="25" customFormat="1" ht="15">
      <c r="A50" s="333"/>
      <c r="B50" s="77"/>
      <c r="C50" s="77"/>
      <c r="E50" s="80"/>
      <c r="F50" s="35"/>
      <c r="I50" s="152"/>
      <c r="J50" s="336"/>
      <c r="P50" s="61"/>
    </row>
    <row r="51" spans="1:16" s="25" customFormat="1" ht="15">
      <c r="A51" s="81"/>
      <c r="B51" s="82"/>
      <c r="C51" s="82"/>
      <c r="D51" s="82"/>
      <c r="E51" s="82"/>
      <c r="F51" s="82"/>
      <c r="G51" s="82"/>
      <c r="H51" s="82"/>
      <c r="I51" s="82"/>
      <c r="J51" s="82"/>
      <c r="P51" s="61"/>
    </row>
    <row r="52" spans="1:16" s="25" customFormat="1" ht="124.5" customHeight="1">
      <c r="A52" s="595"/>
      <c r="B52" s="596"/>
      <c r="C52" s="596"/>
      <c r="D52" s="596"/>
      <c r="E52" s="596"/>
      <c r="F52" s="596"/>
      <c r="G52" s="596"/>
      <c r="H52" s="596"/>
      <c r="I52" s="596"/>
      <c r="J52" s="596"/>
      <c r="K52" s="596"/>
      <c r="L52" s="596"/>
      <c r="M52" s="596"/>
      <c r="N52" s="596"/>
      <c r="O52" s="596"/>
      <c r="P52" s="597"/>
    </row>
    <row r="53" spans="1:16" s="25" customFormat="1" thickBot="1">
      <c r="A53" s="62"/>
      <c r="B53" s="63"/>
      <c r="C53" s="63"/>
      <c r="D53" s="63"/>
      <c r="E53" s="63"/>
      <c r="F53" s="63"/>
      <c r="G53" s="63"/>
      <c r="H53" s="63"/>
      <c r="I53" s="63"/>
      <c r="J53" s="63"/>
      <c r="K53" s="63"/>
      <c r="L53" s="63"/>
      <c r="M53" s="63"/>
      <c r="N53" s="63"/>
      <c r="O53" s="63"/>
      <c r="P53" s="64"/>
    </row>
  </sheetData>
  <sheetProtection formatCells="0" formatColumns="0" formatRows="0" insertColumns="0" insertRows="0" insertHyperlinks="0" deleteColumns="0" deleteRows="0" sort="0" autoFilter="0" pivotTables="0"/>
  <mergeCells count="30">
    <mergeCell ref="A52:P52"/>
    <mergeCell ref="B49:D49"/>
    <mergeCell ref="B48:D48"/>
    <mergeCell ref="B45:D45"/>
    <mergeCell ref="J9:K9"/>
    <mergeCell ref="L9:N9"/>
    <mergeCell ref="O9:P9"/>
    <mergeCell ref="A11:P11"/>
    <mergeCell ref="A13:P13"/>
    <mergeCell ref="B36:D36"/>
    <mergeCell ref="B44:D44"/>
    <mergeCell ref="B43:D43"/>
    <mergeCell ref="B42:D42"/>
    <mergeCell ref="B41:D41"/>
    <mergeCell ref="B39:D39"/>
    <mergeCell ref="A17:B17"/>
    <mergeCell ref="D1:M2"/>
    <mergeCell ref="A3:P5"/>
    <mergeCell ref="E6:L7"/>
    <mergeCell ref="M6:N6"/>
    <mergeCell ref="O6:P6"/>
    <mergeCell ref="M7:N7"/>
    <mergeCell ref="O7:P7"/>
    <mergeCell ref="D17:E17"/>
    <mergeCell ref="O8:P8"/>
    <mergeCell ref="A14:P14"/>
    <mergeCell ref="A9:C9"/>
    <mergeCell ref="D9:E9"/>
    <mergeCell ref="F9:I9"/>
    <mergeCell ref="G17:H17"/>
  </mergeCells>
  <dataValidations count="2">
    <dataValidation type="list" showInputMessage="1" showErrorMessage="1" sqref="D9:E9" xr:uid="{00000000-0002-0000-0500-000000000000}">
      <formula1>RAS</formula1>
    </dataValidation>
    <dataValidation type="list" allowBlank="1" showInputMessage="1" showErrorMessage="1" sqref="O9:P9" xr:uid="{00000000-0002-0000-0500-000001000000}">
      <formula1>Diligences</formula1>
    </dataValidation>
  </dataValidations>
  <hyperlinks>
    <hyperlink ref="O8:P8" location="'A Synthèse'!Zone_d_impression" display="A Synthèse" xr:uid="{00000000-0004-0000-05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U25"/>
  <sheetViews>
    <sheetView showGridLines="0" topLeftCell="A10" zoomScaleNormal="100" workbookViewId="0">
      <selection activeCell="L21" sqref="L21"/>
    </sheetView>
  </sheetViews>
  <sheetFormatPr baseColWidth="10" defaultColWidth="11.42578125" defaultRowHeight="15.75"/>
  <cols>
    <col min="1" max="16" width="14.7109375" style="7" customWidth="1"/>
    <col min="17" max="16384" width="11.42578125" style="7"/>
  </cols>
  <sheetData>
    <row r="1" spans="1:21" s="1" customFormat="1" ht="15" customHeight="1">
      <c r="A1" s="10"/>
      <c r="B1" s="11"/>
      <c r="C1" s="11"/>
      <c r="D1" s="541">
        <f>'A Synthèse'!D1:M2</f>
        <v>0</v>
      </c>
      <c r="E1" s="542"/>
      <c r="F1" s="542"/>
      <c r="G1" s="542"/>
      <c r="H1" s="542"/>
      <c r="I1" s="542"/>
      <c r="J1" s="542"/>
      <c r="K1" s="542"/>
      <c r="L1" s="542"/>
      <c r="M1" s="543"/>
      <c r="N1" s="11"/>
      <c r="O1" s="11"/>
      <c r="P1" s="12"/>
    </row>
    <row r="2" spans="1:21" s="1" customFormat="1" ht="15" customHeight="1" thickBot="1">
      <c r="A2" s="13"/>
      <c r="B2" s="14"/>
      <c r="C2" s="14"/>
      <c r="D2" s="544"/>
      <c r="E2" s="545"/>
      <c r="F2" s="545"/>
      <c r="G2" s="545"/>
      <c r="H2" s="545"/>
      <c r="I2" s="545"/>
      <c r="J2" s="545"/>
      <c r="K2" s="545"/>
      <c r="L2" s="545"/>
      <c r="M2" s="546"/>
      <c r="N2" s="14"/>
      <c r="O2" s="14"/>
      <c r="P2" s="15"/>
    </row>
    <row r="3" spans="1:21" ht="15" customHeight="1">
      <c r="A3" s="481" t="s">
        <v>86</v>
      </c>
      <c r="B3" s="482"/>
      <c r="C3" s="482"/>
      <c r="D3" s="482"/>
      <c r="E3" s="482"/>
      <c r="F3" s="482"/>
      <c r="G3" s="482"/>
      <c r="H3" s="482"/>
      <c r="I3" s="482"/>
      <c r="J3" s="482"/>
      <c r="K3" s="482"/>
      <c r="L3" s="482"/>
      <c r="M3" s="482"/>
      <c r="N3" s="482"/>
      <c r="O3" s="482"/>
      <c r="P3" s="483"/>
      <c r="R3" s="3"/>
      <c r="T3" s="5"/>
      <c r="U3" s="6"/>
    </row>
    <row r="4" spans="1:21" ht="15" customHeight="1">
      <c r="A4" s="481"/>
      <c r="B4" s="482"/>
      <c r="C4" s="482"/>
      <c r="D4" s="482"/>
      <c r="E4" s="482"/>
      <c r="F4" s="482"/>
      <c r="G4" s="482"/>
      <c r="H4" s="482"/>
      <c r="I4" s="482"/>
      <c r="J4" s="482"/>
      <c r="K4" s="482"/>
      <c r="L4" s="482"/>
      <c r="M4" s="482"/>
      <c r="N4" s="482"/>
      <c r="O4" s="482"/>
      <c r="P4" s="483"/>
      <c r="R4" s="3"/>
      <c r="T4" s="5"/>
      <c r="U4" s="6"/>
    </row>
    <row r="5" spans="1:21" ht="15" customHeight="1" thickBot="1">
      <c r="A5" s="484"/>
      <c r="B5" s="485"/>
      <c r="C5" s="485"/>
      <c r="D5" s="485"/>
      <c r="E5" s="485"/>
      <c r="F5" s="485"/>
      <c r="G5" s="485"/>
      <c r="H5" s="485"/>
      <c r="I5" s="485"/>
      <c r="J5" s="485"/>
      <c r="K5" s="485"/>
      <c r="L5" s="485"/>
      <c r="M5" s="485"/>
      <c r="N5" s="485"/>
      <c r="O5" s="485"/>
      <c r="P5" s="486"/>
      <c r="Q5" s="8"/>
      <c r="R5" s="4"/>
      <c r="S5" s="23"/>
      <c r="T5" s="23"/>
      <c r="U5" s="23"/>
    </row>
    <row r="6" spans="1:21" ht="15" customHeight="1">
      <c r="A6" s="17" t="s">
        <v>9</v>
      </c>
      <c r="B6" s="304" t="str">
        <f>'A Synthèse'!B6</f>
        <v>BRA</v>
      </c>
      <c r="C6" s="17" t="s">
        <v>212</v>
      </c>
      <c r="D6" s="304">
        <f>'A Synthèse'!D6</f>
        <v>0</v>
      </c>
      <c r="E6" s="487" t="s">
        <v>30</v>
      </c>
      <c r="F6" s="488"/>
      <c r="G6" s="488"/>
      <c r="H6" s="488"/>
      <c r="I6" s="488"/>
      <c r="J6" s="488"/>
      <c r="K6" s="488"/>
      <c r="L6" s="489"/>
      <c r="M6" s="547" t="s">
        <v>13</v>
      </c>
      <c r="N6" s="548"/>
      <c r="O6" s="493" t="s">
        <v>12</v>
      </c>
      <c r="P6" s="494"/>
      <c r="R6" s="1"/>
      <c r="S6" s="1"/>
    </row>
    <row r="7" spans="1:21" ht="15" customHeight="1" thickBot="1">
      <c r="A7" s="18" t="s">
        <v>10</v>
      </c>
      <c r="B7" s="305">
        <f>'A Synthèse'!B7</f>
        <v>0</v>
      </c>
      <c r="C7" s="18" t="s">
        <v>10</v>
      </c>
      <c r="D7" s="305">
        <f>'A Synthèse'!D7</f>
        <v>0</v>
      </c>
      <c r="E7" s="490"/>
      <c r="F7" s="491"/>
      <c r="G7" s="491"/>
      <c r="H7" s="491"/>
      <c r="I7" s="491"/>
      <c r="J7" s="491"/>
      <c r="K7" s="491"/>
      <c r="L7" s="492"/>
      <c r="M7" s="549" t="str">
        <f>'A Synthèse'!M7:N7</f>
        <v>31/12/N</v>
      </c>
      <c r="N7" s="550"/>
      <c r="O7" s="495" t="s">
        <v>197</v>
      </c>
      <c r="P7" s="496"/>
    </row>
    <row r="8" spans="1:21" ht="21" customHeight="1" thickBot="1">
      <c r="A8" s="19"/>
      <c r="B8" s="16"/>
      <c r="C8" s="20"/>
      <c r="D8" s="20"/>
      <c r="E8" s="21"/>
      <c r="F8" s="21"/>
      <c r="G8" s="21"/>
      <c r="H8" s="21"/>
      <c r="I8" s="21"/>
      <c r="J8" s="21"/>
      <c r="K8" s="21"/>
      <c r="L8" s="21"/>
      <c r="M8" s="22"/>
      <c r="N8" s="20"/>
      <c r="O8" s="553" t="s">
        <v>217</v>
      </c>
      <c r="P8" s="553"/>
    </row>
    <row r="9" spans="1:21" s="20" customFormat="1" ht="31.5" customHeight="1" thickBot="1">
      <c r="A9" s="497" t="s">
        <v>15</v>
      </c>
      <c r="B9" s="498"/>
      <c r="C9" s="498"/>
      <c r="D9" s="539" t="str">
        <f>'A Synthèse'!D9:E9</f>
        <v>Elevé</v>
      </c>
      <c r="E9" s="540"/>
      <c r="F9" s="499" t="s">
        <v>3</v>
      </c>
      <c r="G9" s="500"/>
      <c r="H9" s="500"/>
      <c r="I9" s="500"/>
      <c r="J9" s="551">
        <f>'A Synthèse'!J9:K9</f>
        <v>14.7</v>
      </c>
      <c r="K9" s="552"/>
      <c r="L9" s="499" t="s">
        <v>16</v>
      </c>
      <c r="M9" s="500"/>
      <c r="N9" s="500"/>
      <c r="O9" s="539" t="str">
        <f>'A Synthèse'!O9:P9</f>
        <v>PE</v>
      </c>
      <c r="P9" s="540"/>
    </row>
    <row r="10" spans="1:21" s="20" customFormat="1" ht="21" customHeight="1" thickBot="1">
      <c r="A10" s="24"/>
      <c r="B10" s="24"/>
      <c r="C10" s="24"/>
      <c r="D10" s="24"/>
      <c r="E10" s="24"/>
      <c r="F10" s="24"/>
      <c r="G10" s="24"/>
      <c r="H10" s="24"/>
      <c r="I10" s="24"/>
      <c r="J10" s="24"/>
      <c r="K10" s="24"/>
      <c r="L10" s="24"/>
      <c r="M10" s="24"/>
      <c r="N10" s="24"/>
      <c r="O10" s="24"/>
      <c r="P10" s="24"/>
    </row>
    <row r="11" spans="1:21" s="25" customFormat="1" ht="79.5" customHeight="1" thickBot="1">
      <c r="A11" s="585" t="s">
        <v>132</v>
      </c>
      <c r="B11" s="586"/>
      <c r="C11" s="586"/>
      <c r="D11" s="586"/>
      <c r="E11" s="586"/>
      <c r="F11" s="586"/>
      <c r="G11" s="586"/>
      <c r="H11" s="586"/>
      <c r="I11" s="586"/>
      <c r="J11" s="586"/>
      <c r="K11" s="586"/>
      <c r="L11" s="586"/>
      <c r="M11" s="586"/>
      <c r="N11" s="586"/>
      <c r="O11" s="586"/>
      <c r="P11" s="587"/>
    </row>
    <row r="12" spans="1:21" s="25" customFormat="1" ht="9" customHeight="1" thickBot="1"/>
    <row r="13" spans="1:21" s="25" customFormat="1" ht="15">
      <c r="A13" s="530" t="s">
        <v>28</v>
      </c>
      <c r="B13" s="531"/>
      <c r="C13" s="531"/>
      <c r="D13" s="531"/>
      <c r="E13" s="531"/>
      <c r="F13" s="531"/>
      <c r="G13" s="531"/>
      <c r="H13" s="531"/>
      <c r="I13" s="531"/>
      <c r="J13" s="531"/>
      <c r="K13" s="531"/>
      <c r="L13" s="531"/>
      <c r="M13" s="531"/>
      <c r="N13" s="531"/>
      <c r="O13" s="531"/>
      <c r="P13" s="532"/>
    </row>
    <row r="14" spans="1:21" s="25" customFormat="1" ht="60" customHeight="1" thickBot="1">
      <c r="A14" s="527"/>
      <c r="B14" s="528"/>
      <c r="C14" s="528"/>
      <c r="D14" s="528"/>
      <c r="E14" s="528"/>
      <c r="F14" s="528"/>
      <c r="G14" s="528"/>
      <c r="H14" s="528"/>
      <c r="I14" s="528"/>
      <c r="J14" s="528"/>
      <c r="K14" s="528"/>
      <c r="L14" s="528"/>
      <c r="M14" s="528"/>
      <c r="N14" s="528"/>
      <c r="O14" s="528"/>
      <c r="P14" s="529"/>
    </row>
    <row r="15" spans="1:21" ht="16.5" thickBot="1"/>
    <row r="16" spans="1:21" s="25" customFormat="1" ht="15">
      <c r="A16" s="53"/>
      <c r="B16" s="91"/>
      <c r="C16" s="91"/>
      <c r="D16" s="91"/>
      <c r="E16" s="91"/>
      <c r="F16" s="70"/>
      <c r="G16" s="91"/>
      <c r="H16" s="91"/>
      <c r="I16" s="58"/>
      <c r="J16" s="58"/>
      <c r="K16" s="58"/>
      <c r="L16" s="58"/>
      <c r="M16" s="58"/>
      <c r="N16" s="58"/>
      <c r="O16" s="58"/>
      <c r="P16" s="59"/>
    </row>
    <row r="17" spans="1:16" s="25" customFormat="1" ht="15">
      <c r="A17" s="60"/>
      <c r="C17" s="31"/>
      <c r="F17" s="599" t="s">
        <v>53</v>
      </c>
      <c r="G17" s="599"/>
      <c r="H17" s="599"/>
      <c r="I17" s="599" t="s">
        <v>54</v>
      </c>
      <c r="J17" s="599"/>
      <c r="K17" s="599"/>
      <c r="L17" s="87" t="s">
        <v>55</v>
      </c>
      <c r="P17" s="61"/>
    </row>
    <row r="18" spans="1:16" s="25" customFormat="1" ht="15">
      <c r="A18" s="60"/>
      <c r="C18" s="31"/>
      <c r="F18" s="88" t="s">
        <v>56</v>
      </c>
      <c r="G18" s="89" t="s">
        <v>57</v>
      </c>
      <c r="H18" s="88" t="s">
        <v>58</v>
      </c>
      <c r="I18" s="88" t="s">
        <v>59</v>
      </c>
      <c r="J18" s="88" t="s">
        <v>58</v>
      </c>
      <c r="K18" s="89" t="s">
        <v>57</v>
      </c>
      <c r="L18" s="90"/>
      <c r="P18" s="61"/>
    </row>
    <row r="19" spans="1:16" s="25" customFormat="1" ht="15">
      <c r="A19" s="60"/>
      <c r="D19" s="406"/>
      <c r="E19" s="407" t="s">
        <v>60</v>
      </c>
      <c r="F19" s="231"/>
      <c r="G19" s="85"/>
      <c r="H19" s="232"/>
      <c r="I19" s="232"/>
      <c r="J19" s="232"/>
      <c r="K19" s="86"/>
      <c r="L19" s="233">
        <f>F19-J19</f>
        <v>0</v>
      </c>
      <c r="P19" s="61"/>
    </row>
    <row r="20" spans="1:16" s="25" customFormat="1" ht="15">
      <c r="A20" s="60"/>
      <c r="D20" s="406"/>
      <c r="E20" s="407" t="s">
        <v>61</v>
      </c>
      <c r="F20" s="231"/>
      <c r="G20" s="85"/>
      <c r="H20" s="232"/>
      <c r="I20" s="232"/>
      <c r="J20" s="232"/>
      <c r="K20" s="86"/>
      <c r="L20" s="233">
        <f>F20-J20</f>
        <v>0</v>
      </c>
      <c r="P20" s="61"/>
    </row>
    <row r="21" spans="1:16" s="25" customFormat="1" ht="15">
      <c r="A21" s="60"/>
      <c r="D21" s="406"/>
      <c r="E21" s="407" t="s">
        <v>62</v>
      </c>
      <c r="F21" s="231"/>
      <c r="G21" s="85"/>
      <c r="H21" s="232"/>
      <c r="I21" s="232"/>
      <c r="J21" s="232"/>
      <c r="K21" s="86"/>
      <c r="L21" s="233">
        <f>F21-J21</f>
        <v>0</v>
      </c>
      <c r="P21" s="61"/>
    </row>
    <row r="22" spans="1:16" s="25" customFormat="1" ht="15">
      <c r="A22" s="60"/>
      <c r="D22" s="406"/>
      <c r="E22" s="407" t="s">
        <v>63</v>
      </c>
      <c r="F22" s="231"/>
      <c r="G22" s="85"/>
      <c r="H22" s="232"/>
      <c r="I22" s="232"/>
      <c r="J22" s="232"/>
      <c r="K22" s="86"/>
      <c r="L22" s="233">
        <f>F22-J22</f>
        <v>0</v>
      </c>
      <c r="P22" s="61"/>
    </row>
    <row r="23" spans="1:16" s="25" customFormat="1" thickBot="1">
      <c r="A23" s="62"/>
      <c r="B23" s="63"/>
      <c r="C23" s="63"/>
      <c r="D23" s="63"/>
      <c r="E23" s="63"/>
      <c r="F23" s="63"/>
      <c r="G23" s="63"/>
      <c r="H23" s="63"/>
      <c r="I23" s="63"/>
      <c r="J23" s="63"/>
      <c r="K23" s="63"/>
      <c r="L23" s="63"/>
      <c r="M23" s="63"/>
      <c r="N23" s="63"/>
      <c r="O23" s="63"/>
      <c r="P23" s="64"/>
    </row>
    <row r="24" spans="1:16" s="25" customFormat="1" ht="15"/>
    <row r="25" spans="1:16" s="25" customFormat="1" ht="15"/>
  </sheetData>
  <sheetProtection formatCells="0" formatColumns="0" formatRows="0" insertColumns="0" insertRows="0" insertHyperlinks="0" deleteColumns="0" deleteRows="0" sort="0" autoFilter="0" pivotTables="0"/>
  <mergeCells count="19">
    <mergeCell ref="O9:P9"/>
    <mergeCell ref="A11:P11"/>
    <mergeCell ref="F17:H17"/>
    <mergeCell ref="I17:K17"/>
    <mergeCell ref="A13:P13"/>
    <mergeCell ref="A14:P14"/>
    <mergeCell ref="A9:C9"/>
    <mergeCell ref="D9:E9"/>
    <mergeCell ref="F9:I9"/>
    <mergeCell ref="J9:K9"/>
    <mergeCell ref="L9:N9"/>
    <mergeCell ref="O8:P8"/>
    <mergeCell ref="D1:M2"/>
    <mergeCell ref="A3:P5"/>
    <mergeCell ref="E6:L7"/>
    <mergeCell ref="M6:N6"/>
    <mergeCell ref="O6:P6"/>
    <mergeCell ref="M7:N7"/>
    <mergeCell ref="O7:P7"/>
  </mergeCells>
  <dataValidations count="2">
    <dataValidation type="list" allowBlank="1" showInputMessage="1" showErrorMessage="1" sqref="O9:P9" xr:uid="{00000000-0002-0000-0600-000000000000}">
      <formula1>Diligences</formula1>
    </dataValidation>
    <dataValidation type="list" showInputMessage="1" showErrorMessage="1" sqref="D9:E9" xr:uid="{00000000-0002-0000-0600-000001000000}">
      <formula1>RAS</formula1>
    </dataValidation>
  </dataValidations>
  <hyperlinks>
    <hyperlink ref="O8:P8" location="'A Synthèse'!Zone_d_impression" display="A Synthèse" xr:uid="{00000000-0004-0000-06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U33"/>
  <sheetViews>
    <sheetView showGridLines="0" topLeftCell="A11" zoomScale="85" zoomScaleNormal="85" workbookViewId="0">
      <selection activeCell="A15" sqref="A15"/>
    </sheetView>
  </sheetViews>
  <sheetFormatPr baseColWidth="10" defaultColWidth="11.42578125" defaultRowHeight="15.75"/>
  <cols>
    <col min="1" max="1" width="14.7109375" style="7" customWidth="1"/>
    <col min="2" max="2" width="16.5703125" style="7" bestFit="1" customWidth="1"/>
    <col min="3" max="3" width="26.85546875" style="7" customWidth="1"/>
    <col min="4" max="16" width="14.7109375" style="7" customWidth="1"/>
    <col min="17" max="16384" width="11.42578125" style="7"/>
  </cols>
  <sheetData>
    <row r="1" spans="1:21" s="1" customFormat="1" ht="15" customHeight="1">
      <c r="A1" s="10"/>
      <c r="B1" s="11"/>
      <c r="C1" s="11"/>
      <c r="D1" s="541">
        <f>'A Synthèse'!D1:M2</f>
        <v>0</v>
      </c>
      <c r="E1" s="542"/>
      <c r="F1" s="542"/>
      <c r="G1" s="542"/>
      <c r="H1" s="542"/>
      <c r="I1" s="542"/>
      <c r="J1" s="542"/>
      <c r="K1" s="542"/>
      <c r="L1" s="542"/>
      <c r="M1" s="543"/>
      <c r="N1" s="11"/>
      <c r="O1" s="11"/>
      <c r="P1" s="12"/>
    </row>
    <row r="2" spans="1:21" s="1" customFormat="1" ht="15" customHeight="1" thickBot="1">
      <c r="A2" s="13"/>
      <c r="B2" s="14"/>
      <c r="C2" s="14"/>
      <c r="D2" s="544"/>
      <c r="E2" s="545"/>
      <c r="F2" s="545"/>
      <c r="G2" s="545"/>
      <c r="H2" s="545"/>
      <c r="I2" s="545"/>
      <c r="J2" s="545"/>
      <c r="K2" s="545"/>
      <c r="L2" s="545"/>
      <c r="M2" s="546"/>
      <c r="N2" s="14"/>
      <c r="O2" s="14"/>
      <c r="P2" s="15"/>
    </row>
    <row r="3" spans="1:21" ht="15" customHeight="1">
      <c r="A3" s="481" t="s">
        <v>86</v>
      </c>
      <c r="B3" s="482"/>
      <c r="C3" s="482"/>
      <c r="D3" s="482"/>
      <c r="E3" s="482"/>
      <c r="F3" s="482"/>
      <c r="G3" s="482"/>
      <c r="H3" s="482"/>
      <c r="I3" s="482"/>
      <c r="J3" s="482"/>
      <c r="K3" s="482"/>
      <c r="L3" s="482"/>
      <c r="M3" s="482"/>
      <c r="N3" s="482"/>
      <c r="O3" s="482"/>
      <c r="P3" s="483"/>
      <c r="R3" s="3"/>
      <c r="T3" s="5"/>
      <c r="U3" s="6"/>
    </row>
    <row r="4" spans="1:21" ht="15" customHeight="1">
      <c r="A4" s="481"/>
      <c r="B4" s="482"/>
      <c r="C4" s="482"/>
      <c r="D4" s="482"/>
      <c r="E4" s="482"/>
      <c r="F4" s="482"/>
      <c r="G4" s="482"/>
      <c r="H4" s="482"/>
      <c r="I4" s="482"/>
      <c r="J4" s="482"/>
      <c r="K4" s="482"/>
      <c r="L4" s="482"/>
      <c r="M4" s="482"/>
      <c r="N4" s="482"/>
      <c r="O4" s="482"/>
      <c r="P4" s="483"/>
      <c r="R4" s="3"/>
      <c r="T4" s="5"/>
      <c r="U4" s="6"/>
    </row>
    <row r="5" spans="1:21" ht="15" customHeight="1" thickBot="1">
      <c r="A5" s="484"/>
      <c r="B5" s="485"/>
      <c r="C5" s="485"/>
      <c r="D5" s="485"/>
      <c r="E5" s="485"/>
      <c r="F5" s="485"/>
      <c r="G5" s="485"/>
      <c r="H5" s="485"/>
      <c r="I5" s="485"/>
      <c r="J5" s="485"/>
      <c r="K5" s="485"/>
      <c r="L5" s="485"/>
      <c r="M5" s="485"/>
      <c r="N5" s="485"/>
      <c r="O5" s="485"/>
      <c r="P5" s="486"/>
      <c r="Q5" s="8"/>
      <c r="R5" s="4"/>
      <c r="S5" s="23"/>
      <c r="T5" s="23"/>
      <c r="U5" s="23"/>
    </row>
    <row r="6" spans="1:21" ht="15" customHeight="1">
      <c r="A6" s="17" t="s">
        <v>9</v>
      </c>
      <c r="B6" s="304" t="str">
        <f>'A Synthèse'!B6</f>
        <v>BRA</v>
      </c>
      <c r="C6" s="17" t="s">
        <v>212</v>
      </c>
      <c r="D6" s="304">
        <f>'A Synthèse'!D6</f>
        <v>0</v>
      </c>
      <c r="E6" s="487" t="s">
        <v>133</v>
      </c>
      <c r="F6" s="488"/>
      <c r="G6" s="488"/>
      <c r="H6" s="488"/>
      <c r="I6" s="488"/>
      <c r="J6" s="488"/>
      <c r="K6" s="488"/>
      <c r="L6" s="489"/>
      <c r="M6" s="547" t="s">
        <v>13</v>
      </c>
      <c r="N6" s="548"/>
      <c r="O6" s="493" t="s">
        <v>12</v>
      </c>
      <c r="P6" s="494"/>
      <c r="R6" s="1"/>
      <c r="S6" s="1"/>
    </row>
    <row r="7" spans="1:21" ht="15" customHeight="1" thickBot="1">
      <c r="A7" s="18" t="s">
        <v>10</v>
      </c>
      <c r="B7" s="305">
        <f>'A Synthèse'!B7</f>
        <v>0</v>
      </c>
      <c r="C7" s="18" t="s">
        <v>10</v>
      </c>
      <c r="D7" s="305">
        <f>'A Synthèse'!D7</f>
        <v>0</v>
      </c>
      <c r="E7" s="490"/>
      <c r="F7" s="491"/>
      <c r="G7" s="491"/>
      <c r="H7" s="491"/>
      <c r="I7" s="491"/>
      <c r="J7" s="491"/>
      <c r="K7" s="491"/>
      <c r="L7" s="492"/>
      <c r="M7" s="549" t="str">
        <f>'A Synthèse'!M7:N7</f>
        <v>31/12/N</v>
      </c>
      <c r="N7" s="550"/>
      <c r="O7" s="495" t="s">
        <v>219</v>
      </c>
      <c r="P7" s="496"/>
    </row>
    <row r="8" spans="1:21" ht="21" customHeight="1" thickBot="1">
      <c r="A8" s="19"/>
      <c r="B8" s="16"/>
      <c r="C8" s="20"/>
      <c r="D8" s="20"/>
      <c r="E8" s="21"/>
      <c r="F8" s="21"/>
      <c r="G8" s="21"/>
      <c r="H8" s="21"/>
      <c r="I8" s="21"/>
      <c r="J8" s="21"/>
      <c r="K8" s="21"/>
      <c r="L8" s="21"/>
      <c r="M8" s="22"/>
      <c r="N8" s="20"/>
      <c r="O8" s="553" t="s">
        <v>217</v>
      </c>
      <c r="P8" s="553"/>
    </row>
    <row r="9" spans="1:21" s="20" customFormat="1" ht="31.5" customHeight="1" thickBot="1">
      <c r="A9" s="497" t="s">
        <v>15</v>
      </c>
      <c r="B9" s="498"/>
      <c r="C9" s="498"/>
      <c r="D9" s="539" t="str">
        <f>'A Synthèse'!D9:E9</f>
        <v>Elevé</v>
      </c>
      <c r="E9" s="540"/>
      <c r="F9" s="499" t="s">
        <v>3</v>
      </c>
      <c r="G9" s="500"/>
      <c r="H9" s="500"/>
      <c r="I9" s="500"/>
      <c r="J9" s="551">
        <f>'A Synthèse'!J9:K9</f>
        <v>14.7</v>
      </c>
      <c r="K9" s="552"/>
      <c r="L9" s="499" t="s">
        <v>16</v>
      </c>
      <c r="M9" s="500"/>
      <c r="N9" s="500"/>
      <c r="O9" s="539" t="str">
        <f>'A Synthèse'!O9:P9</f>
        <v>PE</v>
      </c>
      <c r="P9" s="540"/>
    </row>
    <row r="10" spans="1:21" s="20" customFormat="1" ht="21" customHeight="1" thickBot="1">
      <c r="A10" s="24"/>
      <c r="B10" s="24"/>
      <c r="C10" s="24"/>
      <c r="D10" s="24"/>
      <c r="E10" s="24"/>
      <c r="F10" s="24"/>
      <c r="G10" s="24"/>
      <c r="H10" s="24"/>
      <c r="I10" s="24"/>
      <c r="J10" s="24"/>
      <c r="K10" s="24"/>
      <c r="L10" s="24"/>
      <c r="M10" s="24"/>
      <c r="N10" s="24"/>
      <c r="O10" s="24"/>
      <c r="P10" s="24"/>
    </row>
    <row r="11" spans="1:21" s="25" customFormat="1" ht="159" customHeight="1" thickBot="1">
      <c r="A11" s="585" t="s">
        <v>134</v>
      </c>
      <c r="B11" s="586"/>
      <c r="C11" s="586"/>
      <c r="D11" s="586"/>
      <c r="E11" s="586"/>
      <c r="F11" s="586"/>
      <c r="G11" s="586"/>
      <c r="H11" s="586"/>
      <c r="I11" s="586"/>
      <c r="J11" s="586"/>
      <c r="K11" s="586"/>
      <c r="L11" s="586"/>
      <c r="M11" s="586"/>
      <c r="N11" s="586"/>
      <c r="O11" s="586"/>
      <c r="P11" s="587"/>
    </row>
    <row r="12" spans="1:21" s="25" customFormat="1" ht="9" customHeight="1" thickBot="1"/>
    <row r="13" spans="1:21" s="25" customFormat="1" ht="15">
      <c r="A13" s="530" t="s">
        <v>28</v>
      </c>
      <c r="B13" s="531"/>
      <c r="C13" s="531"/>
      <c r="D13" s="531"/>
      <c r="E13" s="531"/>
      <c r="F13" s="531"/>
      <c r="G13" s="531"/>
      <c r="H13" s="531"/>
      <c r="I13" s="531"/>
      <c r="J13" s="531"/>
      <c r="K13" s="531"/>
      <c r="L13" s="531"/>
      <c r="M13" s="531"/>
      <c r="N13" s="531"/>
      <c r="O13" s="531"/>
      <c r="P13" s="532"/>
    </row>
    <row r="14" spans="1:21" s="25" customFormat="1" ht="60" customHeight="1" thickBot="1">
      <c r="A14" s="588" t="s">
        <v>270</v>
      </c>
      <c r="B14" s="528"/>
      <c r="C14" s="528"/>
      <c r="D14" s="528"/>
      <c r="E14" s="528"/>
      <c r="F14" s="528"/>
      <c r="G14" s="528"/>
      <c r="H14" s="528"/>
      <c r="I14" s="528"/>
      <c r="J14" s="528"/>
      <c r="K14" s="528"/>
      <c r="L14" s="528"/>
      <c r="M14" s="528"/>
      <c r="N14" s="528"/>
      <c r="O14" s="528"/>
      <c r="P14" s="529"/>
    </row>
    <row r="15" spans="1:21" ht="16.5" thickBot="1"/>
    <row r="16" spans="1:21">
      <c r="A16" s="92"/>
      <c r="B16" s="105"/>
      <c r="C16" s="106"/>
      <c r="D16" s="107"/>
      <c r="E16" s="106"/>
      <c r="F16" s="106"/>
      <c r="G16" s="106"/>
      <c r="H16" s="106"/>
      <c r="I16" s="106"/>
      <c r="J16" s="93"/>
      <c r="K16" s="93"/>
      <c r="L16" s="93"/>
      <c r="M16" s="93"/>
      <c r="N16" s="93"/>
      <c r="O16" s="93"/>
      <c r="P16" s="94"/>
    </row>
    <row r="17" spans="1:20" s="25" customFormat="1" ht="15">
      <c r="A17" s="183" t="s">
        <v>135</v>
      </c>
      <c r="C17" s="455" t="s">
        <v>262</v>
      </c>
      <c r="D17" s="456" t="s">
        <v>263</v>
      </c>
      <c r="E17" s="49"/>
      <c r="F17" s="49"/>
      <c r="G17" s="202"/>
      <c r="H17" s="202"/>
      <c r="I17" s="49"/>
      <c r="P17" s="61"/>
    </row>
    <row r="18" spans="1:20" s="25" customFormat="1" thickBot="1">
      <c r="A18" s="183"/>
      <c r="C18" s="49"/>
      <c r="D18" s="184"/>
      <c r="E18" s="49"/>
      <c r="F18" s="49"/>
      <c r="G18" s="49"/>
      <c r="H18" s="49"/>
      <c r="I18" s="49"/>
      <c r="P18" s="61"/>
    </row>
    <row r="19" spans="1:20" s="25" customFormat="1" ht="45.75" customHeight="1">
      <c r="B19" s="411"/>
      <c r="C19" s="413" t="s">
        <v>138</v>
      </c>
      <c r="D19" s="196" t="s">
        <v>64</v>
      </c>
      <c r="E19" s="197" t="s">
        <v>65</v>
      </c>
      <c r="F19" s="197" t="s">
        <v>52</v>
      </c>
      <c r="G19" s="197" t="s">
        <v>84</v>
      </c>
      <c r="H19" s="197" t="s">
        <v>66</v>
      </c>
      <c r="I19" s="198" t="s">
        <v>71</v>
      </c>
      <c r="J19" s="600" t="s">
        <v>48</v>
      </c>
      <c r="K19" s="601"/>
      <c r="L19" s="601"/>
      <c r="M19" s="601"/>
      <c r="N19" s="601"/>
      <c r="O19" s="602"/>
      <c r="P19" s="61"/>
      <c r="Q19" s="606"/>
      <c r="R19" s="606"/>
      <c r="S19" s="606"/>
    </row>
    <row r="20" spans="1:20" s="25" customFormat="1" ht="16.5">
      <c r="B20" s="452"/>
      <c r="C20" s="450"/>
      <c r="D20" s="236"/>
      <c r="E20" s="453"/>
      <c r="F20" s="237"/>
      <c r="G20" s="191"/>
      <c r="H20" s="185"/>
      <c r="I20" s="185"/>
      <c r="J20" s="603"/>
      <c r="K20" s="604"/>
      <c r="L20" s="604"/>
      <c r="M20" s="604"/>
      <c r="N20" s="604"/>
      <c r="O20" s="605"/>
      <c r="P20" s="61"/>
      <c r="Q20" s="606"/>
      <c r="R20" s="606"/>
      <c r="S20" s="606"/>
    </row>
    <row r="21" spans="1:20" s="25" customFormat="1" ht="16.5">
      <c r="B21" s="452"/>
      <c r="C21" s="450"/>
      <c r="D21" s="236"/>
      <c r="E21" s="453"/>
      <c r="F21" s="237"/>
      <c r="G21" s="191"/>
      <c r="H21" s="185"/>
      <c r="I21" s="185"/>
      <c r="J21" s="603"/>
      <c r="K21" s="604"/>
      <c r="L21" s="604"/>
      <c r="M21" s="604"/>
      <c r="N21" s="604"/>
      <c r="O21" s="605"/>
      <c r="P21" s="61"/>
      <c r="Q21" s="323"/>
      <c r="R21" s="323"/>
      <c r="S21" s="323"/>
    </row>
    <row r="22" spans="1:20" s="25" customFormat="1" ht="16.5">
      <c r="B22" s="452"/>
      <c r="C22" s="450"/>
      <c r="D22" s="236"/>
      <c r="E22" s="453"/>
      <c r="F22" s="237"/>
      <c r="G22" s="191"/>
      <c r="H22" s="185"/>
      <c r="I22" s="185"/>
      <c r="J22" s="603"/>
      <c r="K22" s="604"/>
      <c r="L22" s="604"/>
      <c r="M22" s="604"/>
      <c r="N22" s="604"/>
      <c r="O22" s="605"/>
      <c r="P22" s="61"/>
      <c r="Q22" s="606"/>
      <c r="R22" s="606"/>
      <c r="S22" s="606"/>
    </row>
    <row r="23" spans="1:20" s="25" customFormat="1" ht="16.5">
      <c r="B23" s="452"/>
      <c r="C23" s="450"/>
      <c r="D23" s="236"/>
      <c r="E23" s="453"/>
      <c r="F23" s="237"/>
      <c r="G23" s="191"/>
      <c r="H23" s="185"/>
      <c r="I23" s="185"/>
      <c r="J23" s="603"/>
      <c r="K23" s="604"/>
      <c r="L23" s="604"/>
      <c r="M23" s="604"/>
      <c r="N23" s="604"/>
      <c r="O23" s="605"/>
      <c r="P23" s="61"/>
      <c r="Q23" s="606"/>
      <c r="R23" s="606"/>
      <c r="S23" s="606"/>
    </row>
    <row r="24" spans="1:20" s="25" customFormat="1" ht="16.5">
      <c r="B24" s="452"/>
      <c r="C24" s="450"/>
      <c r="D24" s="236"/>
      <c r="E24" s="453"/>
      <c r="F24" s="237"/>
      <c r="G24" s="191"/>
      <c r="H24" s="185"/>
      <c r="I24" s="185"/>
      <c r="J24" s="478"/>
      <c r="K24" s="479"/>
      <c r="L24" s="479"/>
      <c r="M24" s="479"/>
      <c r="N24" s="479"/>
      <c r="O24" s="480"/>
      <c r="P24" s="61"/>
      <c r="Q24" s="323"/>
      <c r="R24" s="323"/>
      <c r="S24" s="323"/>
    </row>
    <row r="25" spans="1:20" s="25" customFormat="1" ht="16.5">
      <c r="B25" s="452"/>
      <c r="C25" s="450"/>
      <c r="D25" s="236"/>
      <c r="E25" s="453"/>
      <c r="F25" s="237"/>
      <c r="G25" s="191"/>
      <c r="H25" s="185"/>
      <c r="I25" s="185"/>
      <c r="J25" s="478"/>
      <c r="K25" s="479"/>
      <c r="L25" s="479"/>
      <c r="M25" s="479"/>
      <c r="N25" s="479"/>
      <c r="O25" s="480"/>
      <c r="P25" s="61"/>
      <c r="Q25" s="323"/>
      <c r="R25" s="323"/>
      <c r="S25" s="323"/>
    </row>
    <row r="26" spans="1:20" s="25" customFormat="1" ht="16.5">
      <c r="B26" s="452"/>
      <c r="C26" s="450"/>
      <c r="D26" s="236"/>
      <c r="E26" s="453"/>
      <c r="F26" s="237"/>
      <c r="G26" s="191"/>
      <c r="H26" s="185"/>
      <c r="I26" s="185"/>
      <c r="J26" s="478"/>
      <c r="K26" s="479"/>
      <c r="L26" s="479"/>
      <c r="M26" s="479"/>
      <c r="N26" s="479"/>
      <c r="O26" s="480"/>
      <c r="P26" s="61"/>
      <c r="Q26" s="323"/>
      <c r="R26" s="323"/>
      <c r="S26" s="323"/>
    </row>
    <row r="27" spans="1:20" s="25" customFormat="1" ht="16.5">
      <c r="B27" s="452"/>
      <c r="C27" s="450"/>
      <c r="D27" s="236"/>
      <c r="E27" s="453"/>
      <c r="F27" s="237"/>
      <c r="G27" s="191"/>
      <c r="H27" s="185"/>
      <c r="I27" s="185"/>
      <c r="J27" s="478"/>
      <c r="K27" s="479"/>
      <c r="L27" s="479"/>
      <c r="M27" s="479"/>
      <c r="N27" s="479"/>
      <c r="O27" s="480"/>
      <c r="P27" s="61"/>
      <c r="Q27" s="323"/>
      <c r="R27" s="323"/>
      <c r="S27" s="323"/>
    </row>
    <row r="28" spans="1:20" s="25" customFormat="1" ht="16.5">
      <c r="B28" s="452"/>
      <c r="C28" s="451"/>
      <c r="D28" s="236"/>
      <c r="E28" s="453"/>
      <c r="F28" s="237"/>
      <c r="G28" s="191"/>
      <c r="H28" s="185"/>
      <c r="I28" s="185"/>
      <c r="J28" s="603"/>
      <c r="K28" s="604"/>
      <c r="L28" s="604"/>
      <c r="M28" s="604"/>
      <c r="N28" s="604"/>
      <c r="O28" s="605"/>
      <c r="P28" s="61"/>
      <c r="Q28" s="606"/>
      <c r="R28" s="606"/>
      <c r="S28" s="606"/>
    </row>
    <row r="29" spans="1:20" s="25" customFormat="1" ht="16.5">
      <c r="B29" s="452"/>
      <c r="C29" s="451"/>
      <c r="D29" s="727"/>
      <c r="E29" s="454"/>
      <c r="F29" s="477"/>
      <c r="G29" s="728"/>
      <c r="H29" s="427"/>
      <c r="I29" s="427"/>
      <c r="J29" s="603"/>
      <c r="K29" s="604"/>
      <c r="L29" s="604"/>
      <c r="M29" s="604"/>
      <c r="N29" s="604"/>
      <c r="O29" s="729"/>
      <c r="P29" s="61"/>
      <c r="Q29" s="606"/>
      <c r="R29" s="606"/>
      <c r="S29" s="606"/>
    </row>
    <row r="30" spans="1:20" s="25" customFormat="1" ht="17.25" thickBot="1">
      <c r="A30" s="192"/>
      <c r="B30" s="193"/>
      <c r="C30" s="723" t="s">
        <v>51</v>
      </c>
      <c r="D30" s="724">
        <f>SUM(D20:D29)</f>
        <v>0</v>
      </c>
      <c r="E30" s="724">
        <f>SUM(E20:E29)</f>
        <v>0</v>
      </c>
      <c r="F30" s="725">
        <f>SUM(F22:F29)</f>
        <v>0</v>
      </c>
      <c r="G30" s="726" t="e">
        <f>+F30/E30</f>
        <v>#DIV/0!</v>
      </c>
      <c r="H30" s="193"/>
      <c r="I30" s="193"/>
      <c r="J30" s="194"/>
      <c r="K30" s="194"/>
      <c r="L30" s="194"/>
      <c r="M30" s="194"/>
      <c r="N30" s="194"/>
      <c r="O30" s="194"/>
      <c r="P30" s="195"/>
      <c r="R30" s="606"/>
      <c r="S30" s="606"/>
      <c r="T30" s="606"/>
    </row>
    <row r="31" spans="1:20" s="25" customFormat="1" ht="15">
      <c r="A31" s="60"/>
      <c r="B31" s="49"/>
      <c r="C31" s="49" t="s">
        <v>264</v>
      </c>
      <c r="D31" s="457" t="e">
        <f>(#REF!+#REF!+#REF!)/1000</f>
        <v>#REF!</v>
      </c>
      <c r="E31" s="457" t="e">
        <f>(#REF!+#REF!+#REF!)/1000</f>
        <v>#REF!</v>
      </c>
      <c r="F31" s="457" t="e">
        <f>D31-E31</f>
        <v>#REF!</v>
      </c>
      <c r="G31" s="49" t="e">
        <f>+F31/E31</f>
        <v>#REF!</v>
      </c>
      <c r="H31" s="49"/>
      <c r="I31" s="49"/>
      <c r="P31" s="61"/>
    </row>
    <row r="32" spans="1:20" s="25" customFormat="1" thickBot="1">
      <c r="A32" s="62"/>
      <c r="B32" s="63"/>
      <c r="C32" s="63"/>
      <c r="D32" s="63"/>
      <c r="E32" s="63"/>
      <c r="F32" s="63"/>
      <c r="G32" s="63"/>
      <c r="H32" s="63"/>
      <c r="I32" s="63"/>
      <c r="J32" s="63"/>
      <c r="K32" s="63"/>
      <c r="L32" s="63"/>
      <c r="M32" s="63"/>
      <c r="N32" s="63"/>
      <c r="O32" s="63"/>
      <c r="P32" s="64"/>
    </row>
    <row r="33" s="25" customFormat="1" ht="15"/>
  </sheetData>
  <sheetProtection formatCells="0" formatColumns="0" formatRows="0" insertColumns="0" insertRows="0" insertHyperlinks="0" deleteColumns="0" deleteRows="0" sort="0" autoFilter="0" pivotTables="0"/>
  <mergeCells count="31">
    <mergeCell ref="J19:O19"/>
    <mergeCell ref="J20:O20"/>
    <mergeCell ref="J29:O29"/>
    <mergeCell ref="R30:T30"/>
    <mergeCell ref="Q19:S19"/>
    <mergeCell ref="Q22:S22"/>
    <mergeCell ref="Q23:S23"/>
    <mergeCell ref="Q28:S28"/>
    <mergeCell ref="Q29:S29"/>
    <mergeCell ref="Q20:S20"/>
    <mergeCell ref="J28:O28"/>
    <mergeCell ref="J23:O23"/>
    <mergeCell ref="J22:O22"/>
    <mergeCell ref="J21:O21"/>
    <mergeCell ref="A11:P11"/>
    <mergeCell ref="A13:P13"/>
    <mergeCell ref="A14:P14"/>
    <mergeCell ref="A9:C9"/>
    <mergeCell ref="D9:E9"/>
    <mergeCell ref="F9:I9"/>
    <mergeCell ref="J9:K9"/>
    <mergeCell ref="L9:N9"/>
    <mergeCell ref="O9:P9"/>
    <mergeCell ref="O8:P8"/>
    <mergeCell ref="D1:M2"/>
    <mergeCell ref="A3:P5"/>
    <mergeCell ref="E6:L7"/>
    <mergeCell ref="M6:N6"/>
    <mergeCell ref="O6:P6"/>
    <mergeCell ref="M7:N7"/>
    <mergeCell ref="O7:P7"/>
  </mergeCells>
  <dataValidations disablePrompts="1" count="2">
    <dataValidation type="list" showInputMessage="1" showErrorMessage="1" sqref="D9:E9" xr:uid="{00000000-0002-0000-0700-000000000000}">
      <formula1>RAS</formula1>
    </dataValidation>
    <dataValidation type="list" allowBlank="1" showInputMessage="1" showErrorMessage="1" sqref="O9:P9" xr:uid="{00000000-0002-0000-0700-000001000000}">
      <formula1>Diligences</formula1>
    </dataValidation>
  </dataValidations>
  <hyperlinks>
    <hyperlink ref="O8:P8" location="'A Synthèse'!Zone_d_impression" display="A Synthèse" xr:uid="{00000000-0004-0000-07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U40"/>
  <sheetViews>
    <sheetView showGridLines="0" topLeftCell="A4" zoomScale="85" zoomScaleNormal="85" workbookViewId="0">
      <selection activeCell="F34" sqref="F34"/>
    </sheetView>
  </sheetViews>
  <sheetFormatPr baseColWidth="10" defaultColWidth="11.42578125" defaultRowHeight="15.75"/>
  <cols>
    <col min="1" max="1" width="14.7109375" style="7" customWidth="1"/>
    <col min="2" max="2" width="13.85546875" style="7" customWidth="1"/>
    <col min="3" max="3" width="30.140625" style="7" customWidth="1"/>
    <col min="4" max="9" width="14.7109375" style="7" customWidth="1"/>
    <col min="10" max="10" width="108.5703125" style="7" customWidth="1"/>
    <col min="11" max="11" width="3.7109375" style="7" customWidth="1"/>
    <col min="12" max="12" width="2.7109375" style="7" customWidth="1"/>
    <col min="13" max="13" width="3.7109375" style="7" customWidth="1"/>
    <col min="14" max="14" width="3.28515625" style="7" customWidth="1"/>
    <col min="15" max="15" width="2.28515625" style="7" customWidth="1"/>
    <col min="16" max="16" width="14.7109375" style="7" customWidth="1"/>
    <col min="17" max="17" width="25.7109375" style="7" customWidth="1"/>
    <col min="18" max="18" width="0" style="7" hidden="1" customWidth="1"/>
    <col min="19" max="16384" width="11.42578125" style="7"/>
  </cols>
  <sheetData>
    <row r="1" spans="1:21" s="1" customFormat="1" ht="15" customHeight="1">
      <c r="A1" s="10"/>
      <c r="B1" s="11"/>
      <c r="C1" s="11"/>
      <c r="D1" s="541">
        <f>'A Synthèse'!D1:M2</f>
        <v>0</v>
      </c>
      <c r="E1" s="542"/>
      <c r="F1" s="542"/>
      <c r="G1" s="542"/>
      <c r="H1" s="542"/>
      <c r="I1" s="542"/>
      <c r="J1" s="542"/>
      <c r="K1" s="542"/>
      <c r="L1" s="542"/>
      <c r="M1" s="543"/>
      <c r="N1" s="11"/>
      <c r="O1" s="11"/>
      <c r="P1" s="12"/>
    </row>
    <row r="2" spans="1:21" s="1" customFormat="1" ht="15" customHeight="1" thickBot="1">
      <c r="A2" s="13"/>
      <c r="B2" s="14"/>
      <c r="C2" s="14"/>
      <c r="D2" s="544"/>
      <c r="E2" s="545"/>
      <c r="F2" s="545"/>
      <c r="G2" s="545"/>
      <c r="H2" s="545"/>
      <c r="I2" s="545"/>
      <c r="J2" s="545"/>
      <c r="K2" s="545"/>
      <c r="L2" s="545"/>
      <c r="M2" s="546"/>
      <c r="N2" s="14"/>
      <c r="O2" s="14"/>
      <c r="P2" s="15"/>
    </row>
    <row r="3" spans="1:21" ht="15" customHeight="1">
      <c r="A3" s="481" t="s">
        <v>86</v>
      </c>
      <c r="B3" s="482"/>
      <c r="C3" s="482"/>
      <c r="D3" s="482"/>
      <c r="E3" s="482"/>
      <c r="F3" s="482"/>
      <c r="G3" s="482"/>
      <c r="H3" s="482"/>
      <c r="I3" s="482"/>
      <c r="J3" s="482"/>
      <c r="K3" s="482"/>
      <c r="L3" s="482"/>
      <c r="M3" s="482"/>
      <c r="N3" s="482"/>
      <c r="O3" s="482"/>
      <c r="P3" s="483"/>
      <c r="R3" s="3"/>
      <c r="T3" s="5"/>
      <c r="U3" s="6"/>
    </row>
    <row r="4" spans="1:21" ht="15" customHeight="1">
      <c r="A4" s="481"/>
      <c r="B4" s="482"/>
      <c r="C4" s="482"/>
      <c r="D4" s="482"/>
      <c r="E4" s="482"/>
      <c r="F4" s="482"/>
      <c r="G4" s="482"/>
      <c r="H4" s="482"/>
      <c r="I4" s="482"/>
      <c r="J4" s="482"/>
      <c r="K4" s="482"/>
      <c r="L4" s="482"/>
      <c r="M4" s="482"/>
      <c r="N4" s="482"/>
      <c r="O4" s="482"/>
      <c r="P4" s="483"/>
      <c r="R4" s="3"/>
      <c r="T4" s="5"/>
      <c r="U4" s="6"/>
    </row>
    <row r="5" spans="1:21" ht="15" customHeight="1" thickBot="1">
      <c r="A5" s="484"/>
      <c r="B5" s="485"/>
      <c r="C5" s="485"/>
      <c r="D5" s="485"/>
      <c r="E5" s="485"/>
      <c r="F5" s="485"/>
      <c r="G5" s="485"/>
      <c r="H5" s="485"/>
      <c r="I5" s="485"/>
      <c r="J5" s="485"/>
      <c r="K5" s="485"/>
      <c r="L5" s="485"/>
      <c r="M5" s="485"/>
      <c r="N5" s="485"/>
      <c r="O5" s="485"/>
      <c r="P5" s="486"/>
      <c r="Q5" s="8"/>
      <c r="R5" s="4"/>
      <c r="S5" s="23"/>
      <c r="T5" s="23"/>
      <c r="U5" s="23"/>
    </row>
    <row r="6" spans="1:21" ht="15" customHeight="1">
      <c r="A6" s="17" t="s">
        <v>9</v>
      </c>
      <c r="B6" s="304" t="str">
        <f>'A Synthèse'!B6</f>
        <v>BRA</v>
      </c>
      <c r="C6" s="17" t="s">
        <v>212</v>
      </c>
      <c r="D6" s="304">
        <f>'A Synthèse'!D6</f>
        <v>0</v>
      </c>
      <c r="E6" s="487" t="s">
        <v>137</v>
      </c>
      <c r="F6" s="488"/>
      <c r="G6" s="488"/>
      <c r="H6" s="488"/>
      <c r="I6" s="488"/>
      <c r="J6" s="488"/>
      <c r="K6" s="488"/>
      <c r="L6" s="489"/>
      <c r="M6" s="547" t="s">
        <v>13</v>
      </c>
      <c r="N6" s="548"/>
      <c r="O6" s="493" t="s">
        <v>12</v>
      </c>
      <c r="P6" s="494"/>
      <c r="R6" s="1"/>
      <c r="S6" s="1"/>
    </row>
    <row r="7" spans="1:21" ht="15" customHeight="1" thickBot="1">
      <c r="A7" s="18" t="s">
        <v>10</v>
      </c>
      <c r="B7" s="305">
        <f>'A Synthèse'!B7</f>
        <v>0</v>
      </c>
      <c r="C7" s="18" t="s">
        <v>10</v>
      </c>
      <c r="D7" s="305">
        <f>'A Synthèse'!D7</f>
        <v>0</v>
      </c>
      <c r="E7" s="490"/>
      <c r="F7" s="491"/>
      <c r="G7" s="491"/>
      <c r="H7" s="491"/>
      <c r="I7" s="491"/>
      <c r="J7" s="491"/>
      <c r="K7" s="491"/>
      <c r="L7" s="492"/>
      <c r="M7" s="549" t="str">
        <f>'A Synthèse'!M7:N7</f>
        <v>31/12/N</v>
      </c>
      <c r="N7" s="550"/>
      <c r="O7" s="495" t="s">
        <v>220</v>
      </c>
      <c r="P7" s="496"/>
    </row>
    <row r="8" spans="1:21" ht="21" customHeight="1" thickBot="1">
      <c r="A8" s="19"/>
      <c r="B8" s="16"/>
      <c r="C8" s="20"/>
      <c r="D8" s="20"/>
      <c r="E8" s="21"/>
      <c r="F8" s="21"/>
      <c r="G8" s="21"/>
      <c r="H8" s="21"/>
      <c r="I8" s="21"/>
      <c r="J8" s="21"/>
      <c r="K8" s="21"/>
      <c r="L8" s="21"/>
      <c r="M8" s="22"/>
      <c r="N8" s="20"/>
      <c r="O8" s="553" t="s">
        <v>217</v>
      </c>
      <c r="P8" s="553"/>
    </row>
    <row r="9" spans="1:21" s="20" customFormat="1" ht="31.5" customHeight="1" thickBot="1">
      <c r="A9" s="497" t="s">
        <v>15</v>
      </c>
      <c r="B9" s="498"/>
      <c r="C9" s="498"/>
      <c r="D9" s="539" t="str">
        <f>'A Synthèse'!D9:E9</f>
        <v>Elevé</v>
      </c>
      <c r="E9" s="540"/>
      <c r="F9" s="499" t="s">
        <v>3</v>
      </c>
      <c r="G9" s="500"/>
      <c r="H9" s="500"/>
      <c r="I9" s="500"/>
      <c r="J9" s="551">
        <f>'A Synthèse'!J9:K9</f>
        <v>14.7</v>
      </c>
      <c r="K9" s="552"/>
      <c r="L9" s="499" t="s">
        <v>16</v>
      </c>
      <c r="M9" s="500"/>
      <c r="N9" s="500"/>
      <c r="O9" s="539" t="str">
        <f>'A Synthèse'!O9:P9</f>
        <v>PE</v>
      </c>
      <c r="P9" s="540"/>
    </row>
    <row r="10" spans="1:21" s="20" customFormat="1" ht="21" customHeight="1" thickBot="1">
      <c r="A10" s="24"/>
      <c r="B10" s="24"/>
      <c r="C10" s="24"/>
      <c r="D10" s="24"/>
      <c r="E10" s="24"/>
      <c r="F10" s="24"/>
      <c r="G10" s="24"/>
      <c r="H10" s="24"/>
      <c r="I10" s="24"/>
      <c r="J10" s="24"/>
      <c r="K10" s="24"/>
      <c r="L10" s="24"/>
      <c r="M10" s="24"/>
      <c r="N10" s="24"/>
      <c r="O10" s="24"/>
      <c r="P10" s="24"/>
    </row>
    <row r="11" spans="1:21" s="25" customFormat="1" ht="154.9" customHeight="1" thickBot="1">
      <c r="A11" s="585" t="s">
        <v>142</v>
      </c>
      <c r="B11" s="586"/>
      <c r="C11" s="586"/>
      <c r="D11" s="586"/>
      <c r="E11" s="586"/>
      <c r="F11" s="586"/>
      <c r="G11" s="586"/>
      <c r="H11" s="586"/>
      <c r="I11" s="586"/>
      <c r="J11" s="586"/>
      <c r="K11" s="586"/>
      <c r="L11" s="586"/>
      <c r="M11" s="586"/>
      <c r="N11" s="586"/>
      <c r="O11" s="586"/>
      <c r="P11" s="587"/>
    </row>
    <row r="12" spans="1:21" s="25" customFormat="1" ht="9" customHeight="1" thickBot="1"/>
    <row r="13" spans="1:21" s="25" customFormat="1" ht="15">
      <c r="A13" s="530" t="s">
        <v>28</v>
      </c>
      <c r="B13" s="531"/>
      <c r="C13" s="531"/>
      <c r="D13" s="531"/>
      <c r="E13" s="531"/>
      <c r="F13" s="531"/>
      <c r="G13" s="531"/>
      <c r="H13" s="531"/>
      <c r="I13" s="531"/>
      <c r="J13" s="531"/>
      <c r="K13" s="531"/>
      <c r="L13" s="531"/>
      <c r="M13" s="531"/>
      <c r="N13" s="531"/>
      <c r="O13" s="531"/>
      <c r="P13" s="532"/>
    </row>
    <row r="14" spans="1:21" s="25" customFormat="1" ht="60" customHeight="1" thickBot="1">
      <c r="A14" s="521" t="s">
        <v>270</v>
      </c>
      <c r="B14" s="607"/>
      <c r="C14" s="607"/>
      <c r="D14" s="607"/>
      <c r="E14" s="607"/>
      <c r="F14" s="607"/>
      <c r="G14" s="607"/>
      <c r="H14" s="607"/>
      <c r="I14" s="607"/>
      <c r="J14" s="607"/>
      <c r="K14" s="607"/>
      <c r="L14" s="607"/>
      <c r="M14" s="607"/>
      <c r="N14" s="607"/>
      <c r="O14" s="607"/>
      <c r="P14" s="608"/>
    </row>
    <row r="15" spans="1:21" s="25" customFormat="1" thickBot="1"/>
    <row r="16" spans="1:21" s="25" customFormat="1" ht="15">
      <c r="A16" s="57"/>
      <c r="B16" s="187"/>
      <c r="C16" s="188"/>
      <c r="D16" s="189"/>
      <c r="E16" s="188"/>
      <c r="F16" s="188"/>
      <c r="G16" s="188"/>
      <c r="H16" s="188"/>
      <c r="I16" s="188"/>
      <c r="J16" s="58"/>
      <c r="K16" s="58"/>
      <c r="L16" s="58"/>
      <c r="M16" s="58"/>
      <c r="N16" s="58"/>
      <c r="O16" s="58"/>
      <c r="P16" s="59"/>
    </row>
    <row r="17" spans="1:21" s="25" customFormat="1" ht="15">
      <c r="A17" s="183" t="s">
        <v>140</v>
      </c>
      <c r="C17" s="49"/>
      <c r="D17" s="184"/>
      <c r="E17" s="49"/>
      <c r="F17" s="49"/>
      <c r="G17" s="202"/>
      <c r="H17" s="202"/>
      <c r="I17" s="49"/>
      <c r="P17" s="61"/>
    </row>
    <row r="18" spans="1:21" s="25" customFormat="1" ht="15">
      <c r="A18" s="183"/>
      <c r="C18" s="49"/>
      <c r="D18" s="184"/>
      <c r="E18" s="49"/>
      <c r="F18" s="49"/>
      <c r="G18" s="49"/>
      <c r="H18" s="49"/>
      <c r="I18" s="49"/>
      <c r="P18" s="61"/>
    </row>
    <row r="19" spans="1:21" s="25" customFormat="1" ht="45.75" customHeight="1">
      <c r="B19" s="414"/>
      <c r="C19" s="416" t="s">
        <v>141</v>
      </c>
      <c r="D19" s="238" t="s">
        <v>64</v>
      </c>
      <c r="E19" s="239" t="s">
        <v>65</v>
      </c>
      <c r="F19" s="239" t="s">
        <v>52</v>
      </c>
      <c r="G19" s="239" t="s">
        <v>84</v>
      </c>
      <c r="H19" s="239" t="s">
        <v>66</v>
      </c>
      <c r="I19" s="186" t="s">
        <v>71</v>
      </c>
      <c r="J19" s="611" t="s">
        <v>48</v>
      </c>
      <c r="K19" s="611"/>
      <c r="L19" s="611"/>
      <c r="M19" s="611"/>
      <c r="N19" s="611"/>
      <c r="O19" s="611"/>
      <c r="P19" s="611"/>
      <c r="Q19" s="474" t="s">
        <v>267</v>
      </c>
      <c r="R19" s="606"/>
      <c r="S19" s="606"/>
      <c r="T19" s="606"/>
    </row>
    <row r="20" spans="1:21" s="25" customFormat="1" ht="16.5">
      <c r="B20" s="415"/>
      <c r="C20" s="463"/>
      <c r="D20" s="464"/>
      <c r="E20" s="465"/>
      <c r="F20" s="465"/>
      <c r="G20" s="466"/>
      <c r="H20" s="461"/>
      <c r="I20" s="462"/>
      <c r="J20" s="603"/>
      <c r="K20" s="604"/>
      <c r="L20" s="604"/>
      <c r="M20" s="604"/>
      <c r="N20" s="604"/>
      <c r="O20" s="604"/>
      <c r="P20" s="729"/>
      <c r="Q20" s="474"/>
      <c r="R20" s="606"/>
      <c r="S20" s="606"/>
      <c r="T20" s="606"/>
    </row>
    <row r="21" spans="1:21" s="25" customFormat="1" ht="16.5">
      <c r="B21" s="722"/>
      <c r="C21" s="463"/>
      <c r="D21" s="464"/>
      <c r="E21" s="465"/>
      <c r="F21" s="465"/>
      <c r="G21" s="466"/>
      <c r="H21" s="461"/>
      <c r="I21" s="462"/>
      <c r="J21" s="603"/>
      <c r="K21" s="604"/>
      <c r="L21" s="604"/>
      <c r="M21" s="604"/>
      <c r="N21" s="604"/>
      <c r="O21" s="604"/>
      <c r="P21" s="729"/>
      <c r="Q21" s="475">
        <v>1</v>
      </c>
      <c r="R21" s="323"/>
      <c r="S21" s="323"/>
      <c r="T21" s="323"/>
    </row>
    <row r="22" spans="1:21" s="25" customFormat="1" ht="16.5">
      <c r="A22" s="716"/>
      <c r="B22" s="717"/>
      <c r="C22" s="463"/>
      <c r="D22" s="464"/>
      <c r="E22" s="465"/>
      <c r="F22" s="465"/>
      <c r="G22" s="466"/>
      <c r="H22" s="461"/>
      <c r="I22" s="462"/>
      <c r="J22" s="603"/>
      <c r="K22" s="604"/>
      <c r="L22" s="604"/>
      <c r="M22" s="604"/>
      <c r="N22" s="604"/>
      <c r="O22" s="604"/>
      <c r="P22" s="729"/>
      <c r="Q22" s="474"/>
      <c r="R22" s="323"/>
      <c r="S22" s="323"/>
      <c r="T22" s="323"/>
    </row>
    <row r="23" spans="1:21" s="25" customFormat="1" ht="16.5">
      <c r="A23" s="716"/>
      <c r="B23" s="717"/>
      <c r="C23" s="463"/>
      <c r="D23" s="464"/>
      <c r="E23" s="465"/>
      <c r="F23" s="465"/>
      <c r="G23" s="466"/>
      <c r="H23" s="461"/>
      <c r="I23" s="462"/>
      <c r="J23" s="603"/>
      <c r="K23" s="604"/>
      <c r="L23" s="604"/>
      <c r="M23" s="604"/>
      <c r="N23" s="604"/>
      <c r="O23" s="604"/>
      <c r="P23" s="729"/>
      <c r="Q23" s="475">
        <v>1</v>
      </c>
      <c r="R23" s="323"/>
      <c r="S23" s="323"/>
      <c r="T23" s="323"/>
    </row>
    <row r="24" spans="1:21" s="25" customFormat="1" ht="16.5">
      <c r="A24" s="716"/>
      <c r="B24" s="717"/>
      <c r="C24" s="463"/>
      <c r="D24" s="464"/>
      <c r="E24" s="465"/>
      <c r="F24" s="465"/>
      <c r="G24" s="466"/>
      <c r="H24" s="461"/>
      <c r="I24" s="462"/>
      <c r="J24" s="603"/>
      <c r="K24" s="604"/>
      <c r="L24" s="604"/>
      <c r="M24" s="604"/>
      <c r="N24" s="604"/>
      <c r="O24" s="604"/>
      <c r="P24" s="729"/>
      <c r="Q24" s="474"/>
      <c r="R24" s="323"/>
      <c r="S24" s="323"/>
      <c r="T24" s="323"/>
    </row>
    <row r="25" spans="1:21" s="25" customFormat="1" ht="16.5">
      <c r="A25" s="716"/>
      <c r="B25" s="717"/>
      <c r="C25" s="463"/>
      <c r="D25" s="464"/>
      <c r="E25" s="465"/>
      <c r="F25" s="465"/>
      <c r="G25" s="466"/>
      <c r="H25" s="461"/>
      <c r="I25" s="462"/>
      <c r="J25" s="603"/>
      <c r="K25" s="604"/>
      <c r="L25" s="604"/>
      <c r="M25" s="604"/>
      <c r="N25" s="604"/>
      <c r="O25" s="604"/>
      <c r="P25" s="729"/>
      <c r="Q25" s="475">
        <v>1</v>
      </c>
      <c r="R25" s="323"/>
      <c r="S25" s="323"/>
      <c r="T25" s="323"/>
    </row>
    <row r="26" spans="1:21" s="25" customFormat="1" ht="16.5">
      <c r="A26" s="716"/>
      <c r="B26" s="717"/>
      <c r="C26" s="463"/>
      <c r="D26" s="464"/>
      <c r="E26" s="465"/>
      <c r="F26" s="465"/>
      <c r="G26" s="466"/>
      <c r="H26" s="461"/>
      <c r="I26" s="462"/>
      <c r="J26" s="603"/>
      <c r="K26" s="604"/>
      <c r="L26" s="604"/>
      <c r="M26" s="604"/>
      <c r="N26" s="604"/>
      <c r="O26" s="604"/>
      <c r="P26" s="729"/>
      <c r="Q26" s="474"/>
      <c r="R26" s="323"/>
      <c r="S26" s="323"/>
      <c r="T26" s="323"/>
    </row>
    <row r="27" spans="1:21" s="25" customFormat="1" ht="16.5">
      <c r="A27" s="716"/>
      <c r="B27" s="717"/>
      <c r="C27" s="463"/>
      <c r="D27" s="464"/>
      <c r="E27" s="465"/>
      <c r="F27" s="465"/>
      <c r="G27" s="466"/>
      <c r="H27" s="461"/>
      <c r="I27" s="462"/>
      <c r="J27" s="603"/>
      <c r="K27" s="604"/>
      <c r="L27" s="604"/>
      <c r="M27" s="604"/>
      <c r="N27" s="604"/>
      <c r="O27" s="604"/>
      <c r="P27" s="729"/>
      <c r="Q27" s="474"/>
      <c r="R27" s="323"/>
      <c r="S27" s="323"/>
      <c r="T27" s="323"/>
      <c r="U27" s="36"/>
    </row>
    <row r="28" spans="1:21" s="36" customFormat="1" ht="16.5">
      <c r="A28" s="718"/>
      <c r="B28" s="719"/>
      <c r="C28" s="463"/>
      <c r="D28" s="464"/>
      <c r="E28" s="465"/>
      <c r="F28" s="465"/>
      <c r="G28" s="466"/>
      <c r="H28" s="461"/>
      <c r="I28" s="462"/>
      <c r="J28" s="603"/>
      <c r="K28" s="604"/>
      <c r="L28" s="604"/>
      <c r="M28" s="604"/>
      <c r="N28" s="604"/>
      <c r="O28" s="604"/>
      <c r="P28" s="729"/>
      <c r="Q28" s="476">
        <v>0.99990000000000001</v>
      </c>
      <c r="R28" s="323"/>
      <c r="S28" s="323"/>
      <c r="T28" s="323"/>
    </row>
    <row r="29" spans="1:21" s="25" customFormat="1" ht="16.5">
      <c r="A29" s="720"/>
      <c r="B29" s="717"/>
      <c r="C29" s="463"/>
      <c r="D29" s="464"/>
      <c r="E29" s="465"/>
      <c r="F29" s="465"/>
      <c r="G29" s="466"/>
      <c r="H29" s="461"/>
      <c r="I29" s="462"/>
      <c r="J29" s="603"/>
      <c r="K29" s="604"/>
      <c r="L29" s="604"/>
      <c r="M29" s="604"/>
      <c r="N29" s="604"/>
      <c r="O29" s="604"/>
      <c r="P29" s="729"/>
      <c r="Q29" s="475">
        <v>1</v>
      </c>
      <c r="R29" s="323"/>
      <c r="S29" s="323"/>
      <c r="T29" s="323"/>
      <c r="U29" s="460"/>
    </row>
    <row r="30" spans="1:21" s="25" customFormat="1" ht="16.5">
      <c r="A30" s="716"/>
      <c r="B30" s="717"/>
      <c r="C30" s="463"/>
      <c r="D30" s="464"/>
      <c r="E30" s="465"/>
      <c r="F30" s="465"/>
      <c r="G30" s="466"/>
      <c r="H30" s="461"/>
      <c r="I30" s="462"/>
      <c r="J30" s="603"/>
      <c r="K30" s="604"/>
      <c r="L30" s="604"/>
      <c r="M30" s="604"/>
      <c r="N30" s="604"/>
      <c r="O30" s="604"/>
      <c r="P30" s="729"/>
      <c r="R30" s="323"/>
      <c r="S30" s="323"/>
      <c r="T30" s="323"/>
    </row>
    <row r="31" spans="1:21" s="25" customFormat="1" ht="16.5">
      <c r="A31" s="716"/>
      <c r="B31" s="717"/>
      <c r="C31" s="463"/>
      <c r="D31" s="464"/>
      <c r="E31" s="465"/>
      <c r="F31" s="465"/>
      <c r="G31" s="466"/>
      <c r="H31" s="461"/>
      <c r="I31" s="462"/>
      <c r="J31" s="603"/>
      <c r="K31" s="604"/>
      <c r="L31" s="604"/>
      <c r="M31" s="604"/>
      <c r="N31" s="604"/>
      <c r="O31" s="604"/>
      <c r="P31" s="729"/>
      <c r="R31" s="323"/>
      <c r="S31" s="323"/>
      <c r="T31" s="323"/>
    </row>
    <row r="32" spans="1:21" s="25" customFormat="1" ht="16.5">
      <c r="A32" s="721"/>
      <c r="B32" s="722"/>
      <c r="C32" s="463"/>
      <c r="D32" s="464"/>
      <c r="E32" s="465"/>
      <c r="F32" s="465"/>
      <c r="G32" s="466"/>
      <c r="H32" s="461"/>
      <c r="I32" s="462"/>
      <c r="J32" s="603"/>
      <c r="K32" s="604"/>
      <c r="L32" s="604"/>
      <c r="M32" s="604"/>
      <c r="N32" s="604"/>
      <c r="O32" s="604"/>
      <c r="P32" s="729"/>
      <c r="R32" s="606"/>
      <c r="S32" s="606"/>
      <c r="T32" s="606"/>
    </row>
    <row r="33" spans="1:20" s="25" customFormat="1" ht="16.5">
      <c r="A33" s="721"/>
      <c r="B33" s="722"/>
      <c r="C33" s="463"/>
      <c r="D33" s="464"/>
      <c r="E33" s="465"/>
      <c r="F33" s="465"/>
      <c r="G33" s="466"/>
      <c r="H33" s="461"/>
      <c r="I33" s="462"/>
      <c r="J33" s="603"/>
      <c r="K33" s="604"/>
      <c r="L33" s="604"/>
      <c r="M33" s="604"/>
      <c r="N33" s="604"/>
      <c r="O33" s="604"/>
      <c r="P33" s="729"/>
      <c r="R33" s="606"/>
      <c r="S33" s="606"/>
      <c r="T33" s="606"/>
    </row>
    <row r="34" spans="1:20" s="25" customFormat="1" ht="16.5">
      <c r="A34" s="721"/>
      <c r="B34" s="722"/>
      <c r="C34" s="463"/>
      <c r="D34" s="464"/>
      <c r="E34" s="465"/>
      <c r="F34" s="465"/>
      <c r="G34" s="466"/>
      <c r="H34" s="461"/>
      <c r="I34" s="462"/>
      <c r="J34" s="603"/>
      <c r="K34" s="604"/>
      <c r="L34" s="604"/>
      <c r="M34" s="604"/>
      <c r="N34" s="604"/>
      <c r="O34" s="604"/>
      <c r="P34" s="729"/>
      <c r="R34" s="323"/>
      <c r="S34" s="323"/>
      <c r="T34" s="323"/>
    </row>
    <row r="35" spans="1:20" s="25" customFormat="1" ht="16.5">
      <c r="A35" s="192"/>
      <c r="B35" s="193"/>
      <c r="C35" s="417" t="s">
        <v>51</v>
      </c>
      <c r="D35" s="412">
        <f>SUM(D20:D34)</f>
        <v>0</v>
      </c>
      <c r="E35" s="234">
        <f>SUM(E20:E34)</f>
        <v>0</v>
      </c>
      <c r="F35" s="234">
        <f>SUM(F20:F34)</f>
        <v>0</v>
      </c>
      <c r="G35" s="235" t="e">
        <f>+F35/E35</f>
        <v>#DIV/0!</v>
      </c>
      <c r="H35" s="193"/>
      <c r="I35" s="193"/>
      <c r="J35" s="194"/>
      <c r="K35" s="194"/>
      <c r="L35" s="194"/>
      <c r="M35" s="194"/>
      <c r="N35" s="194"/>
      <c r="O35" s="194"/>
      <c r="P35" s="195"/>
      <c r="R35" s="606"/>
      <c r="S35" s="606"/>
      <c r="T35" s="606"/>
    </row>
    <row r="36" spans="1:20" s="25" customFormat="1" ht="15">
      <c r="A36" s="60"/>
      <c r="B36" s="49"/>
      <c r="C36" s="49"/>
      <c r="D36" s="458" t="s">
        <v>265</v>
      </c>
      <c r="E36" s="459" t="s">
        <v>265</v>
      </c>
      <c r="F36" s="49"/>
      <c r="G36" s="49"/>
      <c r="H36" s="49"/>
      <c r="I36" s="49"/>
      <c r="P36" s="61"/>
    </row>
    <row r="37" spans="1:20" s="25" customFormat="1" ht="15">
      <c r="A37" s="60"/>
      <c r="B37" s="49"/>
      <c r="C37" s="49" t="s">
        <v>264</v>
      </c>
      <c r="D37" s="458"/>
      <c r="E37" s="459"/>
      <c r="F37" s="49"/>
      <c r="G37" s="49"/>
      <c r="H37" s="49"/>
      <c r="I37" s="49"/>
      <c r="P37" s="61"/>
    </row>
    <row r="38" spans="1:20" s="25" customFormat="1" thickBot="1">
      <c r="A38" s="62"/>
      <c r="B38" s="63"/>
      <c r="C38" s="63"/>
      <c r="D38" s="63"/>
      <c r="E38" s="63"/>
      <c r="F38" s="63"/>
      <c r="G38" s="63"/>
      <c r="H38" s="63"/>
      <c r="I38" s="63"/>
      <c r="J38" s="63"/>
      <c r="K38" s="63"/>
      <c r="L38" s="63"/>
      <c r="M38" s="63"/>
      <c r="N38" s="63"/>
      <c r="O38" s="63"/>
      <c r="P38" s="64"/>
    </row>
    <row r="40" spans="1:20">
      <c r="D40" s="7" t="s">
        <v>266</v>
      </c>
      <c r="F40" s="473" t="e">
        <f>(D23+D25+D28-36000+D32+D33+#REF!+#REF!)/D35</f>
        <v>#REF!</v>
      </c>
    </row>
  </sheetData>
  <sheetProtection formatCells="0" formatColumns="0" formatRows="0" insertColumns="0" insertRows="0" insertHyperlinks="0" deleteColumns="0" deleteRows="0" sort="0" autoFilter="0" pivotTables="0"/>
  <mergeCells count="38">
    <mergeCell ref="J31:P31"/>
    <mergeCell ref="J34:P34"/>
    <mergeCell ref="J26:P26"/>
    <mergeCell ref="J27:P27"/>
    <mergeCell ref="J28:P28"/>
    <mergeCell ref="J29:P29"/>
    <mergeCell ref="J30:P30"/>
    <mergeCell ref="J21:P21"/>
    <mergeCell ref="J22:P22"/>
    <mergeCell ref="J23:P23"/>
    <mergeCell ref="J24:P24"/>
    <mergeCell ref="J25:P25"/>
    <mergeCell ref="J32:P32"/>
    <mergeCell ref="R32:T32"/>
    <mergeCell ref="R35:T35"/>
    <mergeCell ref="R33:T33"/>
    <mergeCell ref="F9:I9"/>
    <mergeCell ref="J9:K9"/>
    <mergeCell ref="R19:T19"/>
    <mergeCell ref="J20:P20"/>
    <mergeCell ref="R20:T20"/>
    <mergeCell ref="J19:P19"/>
    <mergeCell ref="O8:P8"/>
    <mergeCell ref="J33:P33"/>
    <mergeCell ref="L9:N9"/>
    <mergeCell ref="O9:P9"/>
    <mergeCell ref="D1:M2"/>
    <mergeCell ref="A3:P5"/>
    <mergeCell ref="E6:L7"/>
    <mergeCell ref="M6:N6"/>
    <mergeCell ref="O6:P6"/>
    <mergeCell ref="M7:N7"/>
    <mergeCell ref="O7:P7"/>
    <mergeCell ref="A11:P11"/>
    <mergeCell ref="A13:P13"/>
    <mergeCell ref="A14:P14"/>
    <mergeCell ref="A9:C9"/>
    <mergeCell ref="D9:E9"/>
  </mergeCells>
  <dataValidations count="2">
    <dataValidation type="list" allowBlank="1" showInputMessage="1" showErrorMessage="1" sqref="O9:P9" xr:uid="{00000000-0002-0000-0800-000000000000}">
      <formula1>Diligences</formula1>
    </dataValidation>
    <dataValidation type="list" showInputMessage="1" showErrorMessage="1" sqref="D9:E9" xr:uid="{00000000-0002-0000-0800-000001000000}">
      <formula1>RAS</formula1>
    </dataValidation>
  </dataValidations>
  <hyperlinks>
    <hyperlink ref="O8:P8" location="'A Synthèse'!Zone_d_impression" display="A Synthèse" xr:uid="{00000000-0004-0000-08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U44"/>
  <sheetViews>
    <sheetView showGridLines="0" topLeftCell="A13" zoomScale="90" zoomScaleNormal="90" workbookViewId="0">
      <selection activeCell="A21" sqref="A21"/>
    </sheetView>
  </sheetViews>
  <sheetFormatPr baseColWidth="10" defaultColWidth="11.42578125" defaultRowHeight="15"/>
  <cols>
    <col min="1" max="1" width="20.28515625" style="25" customWidth="1"/>
    <col min="2" max="2" width="74.5703125" style="25" customWidth="1"/>
    <col min="3" max="6" width="14.7109375" style="25" customWidth="1"/>
    <col min="7" max="7" width="25.140625" style="25" customWidth="1"/>
    <col min="8" max="8" width="27.5703125" style="25" customWidth="1"/>
    <col min="9" max="9" width="14.7109375" style="25" customWidth="1"/>
    <col min="10" max="10" width="33.5703125" style="25" customWidth="1"/>
    <col min="11" max="11" width="44.5703125" style="25" customWidth="1"/>
    <col min="12" max="16" width="14.7109375" style="25" customWidth="1"/>
    <col min="17" max="16384" width="11.42578125" style="25"/>
  </cols>
  <sheetData>
    <row r="1" spans="1:21" s="36" customFormat="1" ht="15" customHeight="1">
      <c r="A1" s="367"/>
      <c r="B1" s="368"/>
      <c r="C1" s="368"/>
      <c r="D1" s="617">
        <f>'A Synthèse'!D1:M2</f>
        <v>0</v>
      </c>
      <c r="E1" s="618"/>
      <c r="F1" s="618"/>
      <c r="G1" s="618"/>
      <c r="H1" s="618"/>
      <c r="I1" s="618"/>
      <c r="J1" s="618"/>
      <c r="K1" s="618"/>
      <c r="L1" s="618"/>
      <c r="M1" s="619"/>
      <c r="N1" s="368"/>
      <c r="O1" s="368"/>
      <c r="P1" s="369"/>
    </row>
    <row r="2" spans="1:21" s="36" customFormat="1" ht="15" customHeight="1" thickBot="1">
      <c r="A2" s="370"/>
      <c r="B2" s="371"/>
      <c r="C2" s="371"/>
      <c r="D2" s="620"/>
      <c r="E2" s="621"/>
      <c r="F2" s="621"/>
      <c r="G2" s="621"/>
      <c r="H2" s="621"/>
      <c r="I2" s="621"/>
      <c r="J2" s="621"/>
      <c r="K2" s="621"/>
      <c r="L2" s="621"/>
      <c r="M2" s="622"/>
      <c r="N2" s="371"/>
      <c r="O2" s="371"/>
      <c r="P2" s="372"/>
    </row>
    <row r="3" spans="1:21" ht="15" customHeight="1">
      <c r="A3" s="623" t="s">
        <v>86</v>
      </c>
      <c r="B3" s="624"/>
      <c r="C3" s="624"/>
      <c r="D3" s="624"/>
      <c r="E3" s="624"/>
      <c r="F3" s="624"/>
      <c r="G3" s="624"/>
      <c r="H3" s="624"/>
      <c r="I3" s="624"/>
      <c r="J3" s="624"/>
      <c r="K3" s="624"/>
      <c r="L3" s="624"/>
      <c r="M3" s="624"/>
      <c r="N3" s="624"/>
      <c r="O3" s="624"/>
      <c r="P3" s="625"/>
      <c r="R3" s="3"/>
      <c r="T3" s="5"/>
      <c r="U3" s="5"/>
    </row>
    <row r="4" spans="1:21" ht="15" customHeight="1">
      <c r="A4" s="623"/>
      <c r="B4" s="624"/>
      <c r="C4" s="624"/>
      <c r="D4" s="624"/>
      <c r="E4" s="624"/>
      <c r="F4" s="624"/>
      <c r="G4" s="624"/>
      <c r="H4" s="624"/>
      <c r="I4" s="624"/>
      <c r="J4" s="624"/>
      <c r="K4" s="624"/>
      <c r="L4" s="624"/>
      <c r="M4" s="624"/>
      <c r="N4" s="624"/>
      <c r="O4" s="624"/>
      <c r="P4" s="625"/>
      <c r="R4" s="3"/>
      <c r="T4" s="5"/>
      <c r="U4" s="5"/>
    </row>
    <row r="5" spans="1:21" ht="15" customHeight="1" thickBot="1">
      <c r="A5" s="626"/>
      <c r="B5" s="627"/>
      <c r="C5" s="627"/>
      <c r="D5" s="627"/>
      <c r="E5" s="627"/>
      <c r="F5" s="627"/>
      <c r="G5" s="627"/>
      <c r="H5" s="627"/>
      <c r="I5" s="627"/>
      <c r="J5" s="627"/>
      <c r="K5" s="627"/>
      <c r="L5" s="627"/>
      <c r="M5" s="627"/>
      <c r="N5" s="627"/>
      <c r="O5" s="627"/>
      <c r="P5" s="628"/>
      <c r="Q5" s="3"/>
      <c r="R5" s="37"/>
      <c r="S5" s="38"/>
      <c r="T5" s="38"/>
      <c r="U5" s="38"/>
    </row>
    <row r="6" spans="1:21" ht="15" customHeight="1">
      <c r="A6" s="17" t="s">
        <v>9</v>
      </c>
      <c r="B6" s="373" t="str">
        <f>'A Synthèse'!B6</f>
        <v>BRA</v>
      </c>
      <c r="C6" s="17" t="s">
        <v>212</v>
      </c>
      <c r="D6" s="373">
        <f>'A Synthèse'!D6</f>
        <v>0</v>
      </c>
      <c r="E6" s="629" t="s">
        <v>238</v>
      </c>
      <c r="F6" s="630"/>
      <c r="G6" s="630"/>
      <c r="H6" s="630"/>
      <c r="I6" s="630"/>
      <c r="J6" s="630"/>
      <c r="K6" s="630"/>
      <c r="L6" s="631"/>
      <c r="M6" s="547" t="s">
        <v>13</v>
      </c>
      <c r="N6" s="548"/>
      <c r="O6" s="635" t="s">
        <v>12</v>
      </c>
      <c r="P6" s="502"/>
      <c r="R6" s="36"/>
      <c r="S6" s="36"/>
    </row>
    <row r="7" spans="1:21" ht="15" customHeight="1" thickBot="1">
      <c r="A7" s="18" t="s">
        <v>10</v>
      </c>
      <c r="B7" s="374">
        <f>'A Synthèse'!B7</f>
        <v>0</v>
      </c>
      <c r="C7" s="18" t="s">
        <v>10</v>
      </c>
      <c r="D7" s="374">
        <f>'A Synthèse'!D7</f>
        <v>0</v>
      </c>
      <c r="E7" s="632"/>
      <c r="F7" s="633"/>
      <c r="G7" s="633"/>
      <c r="H7" s="633"/>
      <c r="I7" s="633"/>
      <c r="J7" s="633"/>
      <c r="K7" s="633"/>
      <c r="L7" s="634"/>
      <c r="M7" s="549" t="str">
        <f>'A Synthèse'!M7:N7</f>
        <v>31/12/N</v>
      </c>
      <c r="N7" s="550"/>
      <c r="O7" s="636" t="s">
        <v>221</v>
      </c>
      <c r="P7" s="536"/>
    </row>
    <row r="8" spans="1:21" ht="21" customHeight="1" thickBot="1">
      <c r="A8" s="19"/>
      <c r="B8" s="39"/>
      <c r="C8" s="20"/>
      <c r="D8" s="20"/>
      <c r="E8" s="40"/>
      <c r="F8" s="40"/>
      <c r="G8" s="40"/>
      <c r="H8" s="40"/>
      <c r="I8" s="40"/>
      <c r="J8" s="40"/>
      <c r="K8" s="40"/>
      <c r="L8" s="40"/>
      <c r="M8" s="22"/>
      <c r="N8" s="20"/>
      <c r="O8" s="646" t="s">
        <v>217</v>
      </c>
      <c r="P8" s="646"/>
    </row>
    <row r="9" spans="1:21" s="20" customFormat="1" ht="31.5" customHeight="1" thickBot="1">
      <c r="A9" s="497" t="s">
        <v>15</v>
      </c>
      <c r="B9" s="498"/>
      <c r="C9" s="498"/>
      <c r="D9" s="539" t="str">
        <f>'A Synthèse'!D9:E9</f>
        <v>Elevé</v>
      </c>
      <c r="E9" s="540"/>
      <c r="F9" s="499" t="s">
        <v>3</v>
      </c>
      <c r="G9" s="500"/>
      <c r="H9" s="500"/>
      <c r="I9" s="500"/>
      <c r="J9" s="551">
        <f>'A Synthèse'!J9:K9</f>
        <v>14.7</v>
      </c>
      <c r="K9" s="552"/>
      <c r="L9" s="499" t="s">
        <v>16</v>
      </c>
      <c r="M9" s="500"/>
      <c r="N9" s="500"/>
      <c r="O9" s="539" t="str">
        <f>'A Synthèse'!O9:P9</f>
        <v>PE</v>
      </c>
      <c r="P9" s="540"/>
    </row>
    <row r="10" spans="1:21" s="20" customFormat="1" ht="21" customHeight="1" thickBot="1">
      <c r="A10" s="24"/>
      <c r="B10" s="24"/>
      <c r="C10" s="24"/>
      <c r="D10" s="24"/>
      <c r="E10" s="24"/>
      <c r="F10" s="24"/>
      <c r="G10" s="24"/>
      <c r="H10" s="24"/>
      <c r="I10" s="24"/>
      <c r="J10" s="24"/>
      <c r="K10" s="24"/>
      <c r="L10" s="24"/>
      <c r="M10" s="24"/>
      <c r="N10" s="24"/>
      <c r="O10" s="24"/>
      <c r="P10" s="24"/>
    </row>
    <row r="11" spans="1:21" ht="188.25" customHeight="1" thickBot="1">
      <c r="A11" s="585" t="s">
        <v>239</v>
      </c>
      <c r="B11" s="586"/>
      <c r="C11" s="586"/>
      <c r="D11" s="586"/>
      <c r="E11" s="586"/>
      <c r="F11" s="586"/>
      <c r="G11" s="586"/>
      <c r="H11" s="586"/>
      <c r="I11" s="586"/>
      <c r="J11" s="586"/>
      <c r="K11" s="586"/>
      <c r="L11" s="586"/>
      <c r="M11" s="586"/>
      <c r="N11" s="586"/>
      <c r="O11" s="586"/>
      <c r="P11" s="587"/>
    </row>
    <row r="12" spans="1:21" ht="9" customHeight="1" thickBot="1"/>
    <row r="13" spans="1:21">
      <c r="A13" s="530" t="s">
        <v>28</v>
      </c>
      <c r="B13" s="531"/>
      <c r="C13" s="531"/>
      <c r="D13" s="531"/>
      <c r="E13" s="531"/>
      <c r="F13" s="531"/>
      <c r="G13" s="531"/>
      <c r="H13" s="531"/>
      <c r="I13" s="531"/>
      <c r="J13" s="531"/>
      <c r="K13" s="531"/>
      <c r="L13" s="531"/>
      <c r="M13" s="531"/>
      <c r="N13" s="531"/>
      <c r="O13" s="531"/>
      <c r="P13" s="532"/>
    </row>
    <row r="14" spans="1:21" ht="60" customHeight="1" thickBot="1">
      <c r="A14" s="639"/>
      <c r="B14" s="522"/>
      <c r="C14" s="522"/>
      <c r="D14" s="522"/>
      <c r="E14" s="522"/>
      <c r="F14" s="522"/>
      <c r="G14" s="522"/>
      <c r="H14" s="522"/>
      <c r="I14" s="522"/>
      <c r="J14" s="522"/>
      <c r="K14" s="522"/>
      <c r="L14" s="522"/>
      <c r="M14" s="522"/>
      <c r="N14" s="522"/>
      <c r="O14" s="522"/>
      <c r="P14" s="523"/>
    </row>
    <row r="15" spans="1:21" ht="15.75" thickBot="1"/>
    <row r="16" spans="1:21">
      <c r="A16" s="57"/>
      <c r="B16" s="58"/>
      <c r="C16" s="58"/>
      <c r="D16" s="58"/>
      <c r="E16" s="58"/>
      <c r="F16" s="58"/>
      <c r="G16" s="58"/>
      <c r="H16" s="58"/>
      <c r="I16" s="58"/>
      <c r="J16" s="58"/>
      <c r="K16" s="58"/>
      <c r="L16" s="58"/>
      <c r="M16" s="58"/>
      <c r="N16" s="58"/>
      <c r="O16" s="58"/>
      <c r="P16" s="59"/>
    </row>
    <row r="17" spans="1:16" ht="14.45" customHeight="1">
      <c r="A17" s="644" t="s">
        <v>240</v>
      </c>
      <c r="B17" s="640" t="s">
        <v>249</v>
      </c>
      <c r="C17" s="640" t="s">
        <v>241</v>
      </c>
      <c r="D17" s="640" t="s">
        <v>242</v>
      </c>
      <c r="E17" s="640" t="s">
        <v>243</v>
      </c>
      <c r="F17" s="640" t="s">
        <v>244</v>
      </c>
      <c r="G17" s="642" t="s">
        <v>245</v>
      </c>
      <c r="H17" s="642" t="s">
        <v>246</v>
      </c>
      <c r="P17" s="61"/>
    </row>
    <row r="18" spans="1:16" ht="14.45" customHeight="1">
      <c r="A18" s="645"/>
      <c r="B18" s="641"/>
      <c r="C18" s="641"/>
      <c r="D18" s="641"/>
      <c r="E18" s="641"/>
      <c r="F18" s="641"/>
      <c r="G18" s="643"/>
      <c r="H18" s="643"/>
      <c r="P18" s="61"/>
    </row>
    <row r="19" spans="1:16">
      <c r="A19" s="390"/>
      <c r="B19" s="375"/>
      <c r="C19" s="420"/>
      <c r="D19" s="423"/>
      <c r="E19" s="423">
        <f t="shared" ref="E19:E31" si="0">C19-D19</f>
        <v>0</v>
      </c>
      <c r="F19" s="388"/>
      <c r="G19" s="376"/>
      <c r="H19" s="377"/>
      <c r="P19" s="61"/>
    </row>
    <row r="20" spans="1:16">
      <c r="A20" s="390"/>
      <c r="B20" s="378"/>
      <c r="C20" s="420"/>
      <c r="D20" s="423"/>
      <c r="E20" s="423">
        <f t="shared" si="0"/>
        <v>0</v>
      </c>
      <c r="F20" s="388"/>
      <c r="G20" s="376"/>
      <c r="H20" s="379"/>
      <c r="P20" s="61"/>
    </row>
    <row r="21" spans="1:16">
      <c r="A21" s="390"/>
      <c r="B21" s="378"/>
      <c r="C21" s="420"/>
      <c r="D21" s="423"/>
      <c r="E21" s="423">
        <f t="shared" si="0"/>
        <v>0</v>
      </c>
      <c r="F21" s="388"/>
      <c r="G21" s="376"/>
      <c r="H21" s="379"/>
      <c r="P21" s="61"/>
    </row>
    <row r="22" spans="1:16">
      <c r="A22" s="390"/>
      <c r="B22" s="375"/>
      <c r="C22" s="420"/>
      <c r="D22" s="423"/>
      <c r="E22" s="423">
        <f t="shared" si="0"/>
        <v>0</v>
      </c>
      <c r="F22" s="388"/>
      <c r="G22" s="376"/>
      <c r="H22" s="379"/>
      <c r="P22" s="61"/>
    </row>
    <row r="23" spans="1:16">
      <c r="A23" s="390"/>
      <c r="B23" s="380"/>
      <c r="C23" s="420"/>
      <c r="D23" s="423"/>
      <c r="E23" s="423">
        <f t="shared" si="0"/>
        <v>0</v>
      </c>
      <c r="F23" s="388"/>
      <c r="G23" s="381"/>
      <c r="H23" s="379"/>
      <c r="P23" s="61"/>
    </row>
    <row r="24" spans="1:16">
      <c r="A24" s="390"/>
      <c r="B24" s="378"/>
      <c r="C24" s="420"/>
      <c r="D24" s="423"/>
      <c r="E24" s="423">
        <f t="shared" si="0"/>
        <v>0</v>
      </c>
      <c r="F24" s="388"/>
      <c r="G24" s="381"/>
      <c r="H24" s="379"/>
      <c r="P24" s="61"/>
    </row>
    <row r="25" spans="1:16">
      <c r="A25" s="390"/>
      <c r="B25" s="378"/>
      <c r="C25" s="420"/>
      <c r="D25" s="423"/>
      <c r="E25" s="423">
        <f t="shared" si="0"/>
        <v>0</v>
      </c>
      <c r="F25" s="388"/>
      <c r="G25" s="381"/>
      <c r="H25" s="382"/>
      <c r="P25" s="61"/>
    </row>
    <row r="26" spans="1:16">
      <c r="A26" s="390"/>
      <c r="B26" s="375"/>
      <c r="C26" s="420"/>
      <c r="D26" s="423"/>
      <c r="E26" s="423">
        <f t="shared" si="0"/>
        <v>0</v>
      </c>
      <c r="F26" s="383"/>
      <c r="G26" s="381"/>
      <c r="H26" s="382"/>
      <c r="P26" s="61"/>
    </row>
    <row r="27" spans="1:16">
      <c r="A27" s="390"/>
      <c r="B27" s="378"/>
      <c r="C27" s="420"/>
      <c r="D27" s="423"/>
      <c r="E27" s="423">
        <f t="shared" si="0"/>
        <v>0</v>
      </c>
      <c r="F27" s="388"/>
      <c r="G27" s="384"/>
      <c r="H27" s="385"/>
      <c r="P27" s="61"/>
    </row>
    <row r="28" spans="1:16">
      <c r="A28" s="390"/>
      <c r="B28" s="378"/>
      <c r="C28" s="420"/>
      <c r="D28" s="423"/>
      <c r="E28" s="423">
        <f t="shared" si="0"/>
        <v>0</v>
      </c>
      <c r="F28" s="388"/>
      <c r="G28" s="381"/>
      <c r="H28" s="379"/>
      <c r="P28" s="61"/>
    </row>
    <row r="29" spans="1:16">
      <c r="A29" s="390"/>
      <c r="B29" s="380"/>
      <c r="C29" s="420"/>
      <c r="D29" s="423"/>
      <c r="E29" s="423">
        <f t="shared" si="0"/>
        <v>0</v>
      </c>
      <c r="F29" s="388"/>
      <c r="G29" s="380"/>
      <c r="H29" s="382"/>
      <c r="P29" s="61"/>
    </row>
    <row r="30" spans="1:16">
      <c r="A30" s="390"/>
      <c r="B30" s="386"/>
      <c r="C30" s="420"/>
      <c r="D30" s="423"/>
      <c r="E30" s="423">
        <f t="shared" si="0"/>
        <v>0</v>
      </c>
      <c r="F30" s="388"/>
      <c r="G30" s="418"/>
      <c r="H30" s="382"/>
      <c r="P30" s="61"/>
    </row>
    <row r="31" spans="1:16">
      <c r="A31" s="390"/>
      <c r="B31" s="375"/>
      <c r="C31" s="420"/>
      <c r="D31" s="423"/>
      <c r="E31" s="423">
        <f t="shared" si="0"/>
        <v>0</v>
      </c>
      <c r="F31" s="389"/>
      <c r="G31" s="384"/>
      <c r="H31" s="376"/>
      <c r="P31" s="61"/>
    </row>
    <row r="32" spans="1:16">
      <c r="A32" s="83"/>
      <c r="B32" s="71"/>
      <c r="C32" s="71"/>
      <c r="D32" s="71"/>
      <c r="E32" s="71"/>
      <c r="F32" s="71"/>
      <c r="G32" s="71"/>
      <c r="H32" s="71"/>
      <c r="I32" s="71"/>
      <c r="J32" s="71"/>
      <c r="K32" s="71"/>
      <c r="L32" s="71"/>
      <c r="N32" s="387"/>
      <c r="O32" s="387"/>
      <c r="P32" s="84"/>
    </row>
    <row r="33" spans="1:16">
      <c r="A33" s="83"/>
      <c r="B33" s="265" t="s">
        <v>247</v>
      </c>
      <c r="C33" s="419">
        <f>SUM(C19:C31)</f>
        <v>0</v>
      </c>
      <c r="D33" s="419">
        <f>SUM(D19:D31)</f>
        <v>0</v>
      </c>
      <c r="E33" s="426">
        <f>SUM(E19:E31)</f>
        <v>0</v>
      </c>
      <c r="F33" s="219"/>
      <c r="N33" s="387"/>
      <c r="O33" s="387"/>
      <c r="P33" s="391"/>
    </row>
    <row r="34" spans="1:16">
      <c r="A34" s="83"/>
      <c r="B34" s="265" t="s">
        <v>248</v>
      </c>
      <c r="C34" s="419"/>
      <c r="D34" s="419"/>
      <c r="E34" s="426">
        <f>+C34-D34</f>
        <v>0</v>
      </c>
      <c r="F34" s="219"/>
      <c r="N34" s="387"/>
      <c r="O34" s="387"/>
      <c r="P34" s="391"/>
    </row>
    <row r="35" spans="1:16">
      <c r="A35" s="83"/>
      <c r="B35" s="265" t="s">
        <v>252</v>
      </c>
      <c r="C35" s="421" t="e">
        <f>C33/C34</f>
        <v>#DIV/0!</v>
      </c>
      <c r="D35" s="421" t="e">
        <f t="shared" ref="D35" si="1">D33/D34</f>
        <v>#DIV/0!</v>
      </c>
      <c r="E35" s="425" t="e">
        <f t="shared" ref="E35" si="2">E33/E34</f>
        <v>#DIV/0!</v>
      </c>
      <c r="F35" s="219"/>
      <c r="N35" s="387"/>
      <c r="O35" s="387"/>
      <c r="P35" s="392"/>
    </row>
    <row r="36" spans="1:16">
      <c r="A36" s="83"/>
      <c r="B36" s="265" t="s">
        <v>253</v>
      </c>
      <c r="C36" s="420"/>
      <c r="D36" s="424"/>
      <c r="E36" s="424"/>
      <c r="F36" s="219"/>
      <c r="N36" s="387"/>
      <c r="O36" s="387"/>
      <c r="P36" s="392"/>
    </row>
    <row r="37" spans="1:16">
      <c r="A37" s="60"/>
      <c r="B37" s="393" t="s">
        <v>250</v>
      </c>
      <c r="C37" s="422" t="e">
        <f>C36/C34</f>
        <v>#DIV/0!</v>
      </c>
      <c r="D37" s="71" t="s">
        <v>251</v>
      </c>
      <c r="E37" s="362"/>
      <c r="F37" s="637"/>
      <c r="G37" s="637"/>
      <c r="H37" s="638"/>
      <c r="I37" s="638"/>
      <c r="P37" s="61"/>
    </row>
    <row r="38" spans="1:16">
      <c r="A38" s="60"/>
      <c r="B38" s="50"/>
      <c r="E38" s="31"/>
      <c r="G38" s="31"/>
      <c r="H38" s="31"/>
      <c r="P38" s="61"/>
    </row>
    <row r="39" spans="1:16">
      <c r="A39" s="60"/>
      <c r="B39" s="361"/>
      <c r="E39" s="615"/>
      <c r="F39" s="615"/>
      <c r="G39" s="615"/>
      <c r="H39" s="615"/>
      <c r="I39" s="615"/>
      <c r="J39" s="615"/>
      <c r="K39" s="616"/>
      <c r="L39" s="616"/>
      <c r="P39" s="61"/>
    </row>
    <row r="40" spans="1:16">
      <c r="A40" s="360"/>
      <c r="B40" s="361"/>
      <c r="C40" s="361"/>
      <c r="D40" s="50"/>
      <c r="E40" s="50"/>
      <c r="F40" s="50"/>
      <c r="G40" s="50"/>
      <c r="H40" s="31"/>
      <c r="P40" s="61"/>
    </row>
    <row r="41" spans="1:16">
      <c r="A41" s="363"/>
      <c r="B41" s="50"/>
      <c r="C41" s="50"/>
      <c r="D41" s="50"/>
      <c r="E41" s="50"/>
      <c r="F41" s="50"/>
      <c r="G41" s="50"/>
      <c r="H41" s="31"/>
      <c r="P41" s="61"/>
    </row>
    <row r="42" spans="1:16">
      <c r="A42" s="612"/>
      <c r="B42" s="613"/>
      <c r="C42" s="613"/>
      <c r="D42" s="613"/>
      <c r="E42" s="613"/>
      <c r="F42" s="613"/>
      <c r="G42" s="613"/>
      <c r="H42" s="613"/>
      <c r="I42" s="613"/>
      <c r="J42" s="613"/>
      <c r="K42" s="613"/>
      <c r="L42" s="613"/>
      <c r="M42" s="613"/>
      <c r="N42" s="613"/>
      <c r="O42" s="613"/>
      <c r="P42" s="614"/>
    </row>
    <row r="43" spans="1:16" ht="15.75" thickBot="1">
      <c r="A43" s="364"/>
      <c r="B43" s="365"/>
      <c r="C43" s="365"/>
      <c r="D43" s="365"/>
      <c r="E43" s="365"/>
      <c r="F43" s="365"/>
      <c r="G43" s="365"/>
      <c r="H43" s="366"/>
      <c r="I43" s="63"/>
      <c r="J43" s="63"/>
      <c r="K43" s="63"/>
      <c r="L43" s="63"/>
      <c r="M43" s="63"/>
      <c r="N43" s="63"/>
      <c r="O43" s="63"/>
      <c r="P43" s="64"/>
    </row>
    <row r="44" spans="1:16">
      <c r="A44" s="363"/>
      <c r="B44" s="50"/>
      <c r="C44" s="50"/>
      <c r="D44" s="50"/>
      <c r="E44" s="50"/>
      <c r="F44" s="50"/>
      <c r="G44" s="50"/>
      <c r="H44" s="31"/>
    </row>
  </sheetData>
  <sheetProtection formatCells="0" formatColumns="0" formatRows="0" insertColumns="0" insertRows="0" insertHyperlinks="0" deleteColumns="0" deleteRows="0" sort="0" autoFilter="0" pivotTables="0"/>
  <mergeCells count="32">
    <mergeCell ref="O8:P8"/>
    <mergeCell ref="O9:P9"/>
    <mergeCell ref="A9:C9"/>
    <mergeCell ref="D9:E9"/>
    <mergeCell ref="F9:I9"/>
    <mergeCell ref="J9:K9"/>
    <mergeCell ref="L9:N9"/>
    <mergeCell ref="F37:G37"/>
    <mergeCell ref="H37:I37"/>
    <mergeCell ref="A11:P11"/>
    <mergeCell ref="A13:P13"/>
    <mergeCell ref="A14:P14"/>
    <mergeCell ref="F17:F18"/>
    <mergeCell ref="G17:G18"/>
    <mergeCell ref="H17:H18"/>
    <mergeCell ref="A17:A18"/>
    <mergeCell ref="C17:C18"/>
    <mergeCell ref="B17:B18"/>
    <mergeCell ref="D17:D18"/>
    <mergeCell ref="E17:E18"/>
    <mergeCell ref="D1:M2"/>
    <mergeCell ref="A3:P5"/>
    <mergeCell ref="E6:L7"/>
    <mergeCell ref="M6:N6"/>
    <mergeCell ref="O6:P6"/>
    <mergeCell ref="M7:N7"/>
    <mergeCell ref="O7:P7"/>
    <mergeCell ref="A42:P42"/>
    <mergeCell ref="G39:H39"/>
    <mergeCell ref="E39:F39"/>
    <mergeCell ref="I39:J39"/>
    <mergeCell ref="K39:L39"/>
  </mergeCells>
  <dataValidations disablePrompts="1" count="2">
    <dataValidation type="list" showInputMessage="1" showErrorMessage="1" sqref="D9:E9" xr:uid="{00000000-0002-0000-0900-000000000000}">
      <formula1>RAS</formula1>
    </dataValidation>
    <dataValidation type="list" allowBlank="1" showInputMessage="1" showErrorMessage="1" sqref="O9:P9" xr:uid="{00000000-0002-0000-0900-000001000000}">
      <formula1>Diligences</formula1>
    </dataValidation>
  </dataValidations>
  <hyperlinks>
    <hyperlink ref="O8:P8" location="'A Synthèse'!Zone_d_impression" display="A Synthèse" xr:uid="{00000000-0004-0000-09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U37"/>
  <sheetViews>
    <sheetView showGridLines="0" topLeftCell="A25" zoomScaleNormal="100" workbookViewId="0">
      <selection activeCell="A15" sqref="A15"/>
    </sheetView>
  </sheetViews>
  <sheetFormatPr baseColWidth="10" defaultColWidth="11.42578125" defaultRowHeight="15.75"/>
  <cols>
    <col min="1" max="1" width="14.7109375" style="7" customWidth="1"/>
    <col min="2" max="2" width="22.7109375" style="7" customWidth="1"/>
    <col min="3" max="16" width="14.7109375" style="7" customWidth="1"/>
    <col min="17" max="16384" width="11.42578125" style="7"/>
  </cols>
  <sheetData>
    <row r="1" spans="1:21" s="1" customFormat="1" ht="15" customHeight="1">
      <c r="A1" s="10"/>
      <c r="B1" s="11"/>
      <c r="C1" s="11"/>
      <c r="D1" s="541">
        <f>'A Synthèse'!D1:M2</f>
        <v>0</v>
      </c>
      <c r="E1" s="542"/>
      <c r="F1" s="542"/>
      <c r="G1" s="542"/>
      <c r="H1" s="542"/>
      <c r="I1" s="542"/>
      <c r="J1" s="542"/>
      <c r="K1" s="542"/>
      <c r="L1" s="542"/>
      <c r="M1" s="543"/>
      <c r="N1" s="11"/>
      <c r="O1" s="11"/>
      <c r="P1" s="12"/>
    </row>
    <row r="2" spans="1:21" s="1" customFormat="1" ht="15" customHeight="1" thickBot="1">
      <c r="A2" s="13"/>
      <c r="B2" s="14"/>
      <c r="C2" s="14"/>
      <c r="D2" s="544"/>
      <c r="E2" s="545"/>
      <c r="F2" s="545"/>
      <c r="G2" s="545"/>
      <c r="H2" s="545"/>
      <c r="I2" s="545"/>
      <c r="J2" s="545"/>
      <c r="K2" s="545"/>
      <c r="L2" s="545"/>
      <c r="M2" s="546"/>
      <c r="N2" s="14"/>
      <c r="O2" s="14"/>
      <c r="P2" s="15"/>
    </row>
    <row r="3" spans="1:21" ht="15" customHeight="1">
      <c r="A3" s="481" t="s">
        <v>86</v>
      </c>
      <c r="B3" s="482"/>
      <c r="C3" s="482"/>
      <c r="D3" s="482"/>
      <c r="E3" s="482"/>
      <c r="F3" s="482"/>
      <c r="G3" s="482"/>
      <c r="H3" s="482"/>
      <c r="I3" s="482"/>
      <c r="J3" s="482"/>
      <c r="K3" s="482"/>
      <c r="L3" s="482"/>
      <c r="M3" s="482"/>
      <c r="N3" s="482"/>
      <c r="O3" s="482"/>
      <c r="P3" s="483"/>
      <c r="R3" s="3"/>
      <c r="T3" s="5"/>
      <c r="U3" s="6"/>
    </row>
    <row r="4" spans="1:21" ht="15" customHeight="1">
      <c r="A4" s="481"/>
      <c r="B4" s="482"/>
      <c r="C4" s="482"/>
      <c r="D4" s="482"/>
      <c r="E4" s="482"/>
      <c r="F4" s="482"/>
      <c r="G4" s="482"/>
      <c r="H4" s="482"/>
      <c r="I4" s="482"/>
      <c r="J4" s="482"/>
      <c r="K4" s="482"/>
      <c r="L4" s="482"/>
      <c r="M4" s="482"/>
      <c r="N4" s="482"/>
      <c r="O4" s="482"/>
      <c r="P4" s="483"/>
      <c r="R4" s="3"/>
      <c r="T4" s="5"/>
      <c r="U4" s="6"/>
    </row>
    <row r="5" spans="1:21" ht="15" customHeight="1" thickBot="1">
      <c r="A5" s="484"/>
      <c r="B5" s="485"/>
      <c r="C5" s="485"/>
      <c r="D5" s="485"/>
      <c r="E5" s="485"/>
      <c r="F5" s="485"/>
      <c r="G5" s="485"/>
      <c r="H5" s="485"/>
      <c r="I5" s="485"/>
      <c r="J5" s="485"/>
      <c r="K5" s="485"/>
      <c r="L5" s="485"/>
      <c r="M5" s="485"/>
      <c r="N5" s="485"/>
      <c r="O5" s="485"/>
      <c r="P5" s="486"/>
      <c r="Q5" s="8"/>
      <c r="R5" s="4"/>
      <c r="S5" s="23"/>
      <c r="T5" s="23"/>
      <c r="U5" s="23"/>
    </row>
    <row r="6" spans="1:21" ht="15" customHeight="1">
      <c r="A6" s="17" t="s">
        <v>9</v>
      </c>
      <c r="B6" s="304" t="str">
        <f>'A Synthèse'!B6</f>
        <v>BRA</v>
      </c>
      <c r="C6" s="17" t="s">
        <v>212</v>
      </c>
      <c r="D6" s="304">
        <f>'A Synthèse'!D6</f>
        <v>0</v>
      </c>
      <c r="E6" s="487" t="s">
        <v>149</v>
      </c>
      <c r="F6" s="488"/>
      <c r="G6" s="488"/>
      <c r="H6" s="488"/>
      <c r="I6" s="488"/>
      <c r="J6" s="488"/>
      <c r="K6" s="488"/>
      <c r="L6" s="489"/>
      <c r="M6" s="547" t="s">
        <v>13</v>
      </c>
      <c r="N6" s="548"/>
      <c r="O6" s="493" t="s">
        <v>12</v>
      </c>
      <c r="P6" s="494"/>
      <c r="R6" s="1"/>
      <c r="S6" s="1"/>
    </row>
    <row r="7" spans="1:21" ht="15" customHeight="1" thickBot="1">
      <c r="A7" s="18" t="s">
        <v>10</v>
      </c>
      <c r="B7" s="305">
        <f>'A Synthèse'!B7</f>
        <v>0</v>
      </c>
      <c r="C7" s="18" t="s">
        <v>10</v>
      </c>
      <c r="D7" s="305">
        <f>'A Synthèse'!D7</f>
        <v>0</v>
      </c>
      <c r="E7" s="490"/>
      <c r="F7" s="491"/>
      <c r="G7" s="491"/>
      <c r="H7" s="491"/>
      <c r="I7" s="491"/>
      <c r="J7" s="491"/>
      <c r="K7" s="491"/>
      <c r="L7" s="492"/>
      <c r="M7" s="549" t="str">
        <f>'A Synthèse'!M7:N7</f>
        <v>31/12/N</v>
      </c>
      <c r="N7" s="550"/>
      <c r="O7" s="495" t="s">
        <v>222</v>
      </c>
      <c r="P7" s="496"/>
    </row>
    <row r="8" spans="1:21" ht="21" customHeight="1" thickBot="1">
      <c r="A8" s="19"/>
      <c r="B8" s="16"/>
      <c r="C8" s="20"/>
      <c r="D8" s="20"/>
      <c r="E8" s="21"/>
      <c r="F8" s="21"/>
      <c r="G8" s="21"/>
      <c r="H8" s="21"/>
      <c r="I8" s="21"/>
      <c r="J8" s="21"/>
      <c r="K8" s="21"/>
      <c r="L8" s="21"/>
      <c r="M8" s="22"/>
      <c r="N8" s="20"/>
      <c r="O8" s="553" t="s">
        <v>217</v>
      </c>
      <c r="P8" s="553"/>
    </row>
    <row r="9" spans="1:21" s="20" customFormat="1" ht="31.5" customHeight="1" thickBot="1">
      <c r="A9" s="497" t="s">
        <v>15</v>
      </c>
      <c r="B9" s="498"/>
      <c r="C9" s="498"/>
      <c r="D9" s="539" t="str">
        <f>'A Synthèse'!D9:E9</f>
        <v>Elevé</v>
      </c>
      <c r="E9" s="540"/>
      <c r="F9" s="499" t="s">
        <v>3</v>
      </c>
      <c r="G9" s="500"/>
      <c r="H9" s="500"/>
      <c r="I9" s="500"/>
      <c r="J9" s="551">
        <f>'A Synthèse'!J9:K9</f>
        <v>14.7</v>
      </c>
      <c r="K9" s="552"/>
      <c r="L9" s="499" t="s">
        <v>16</v>
      </c>
      <c r="M9" s="500"/>
      <c r="N9" s="500"/>
      <c r="O9" s="539" t="str">
        <f>'A Synthèse'!O9:P9</f>
        <v>PE</v>
      </c>
      <c r="P9" s="540"/>
    </row>
    <row r="10" spans="1:21" s="20" customFormat="1" ht="21" customHeight="1" thickBot="1">
      <c r="A10" s="24"/>
      <c r="B10" s="24"/>
      <c r="C10" s="24"/>
      <c r="D10" s="24"/>
      <c r="E10" s="24"/>
      <c r="F10" s="24"/>
      <c r="G10" s="24"/>
      <c r="H10" s="24"/>
      <c r="I10" s="24"/>
      <c r="J10" s="24"/>
      <c r="K10" s="24"/>
      <c r="L10" s="24"/>
      <c r="M10" s="24"/>
      <c r="N10" s="24"/>
      <c r="O10" s="24"/>
      <c r="P10" s="24"/>
    </row>
    <row r="11" spans="1:21" s="25" customFormat="1" ht="111.6" customHeight="1" thickBot="1">
      <c r="A11" s="585" t="s">
        <v>150</v>
      </c>
      <c r="B11" s="586"/>
      <c r="C11" s="586"/>
      <c r="D11" s="586"/>
      <c r="E11" s="586"/>
      <c r="F11" s="586"/>
      <c r="G11" s="586"/>
      <c r="H11" s="586"/>
      <c r="I11" s="586"/>
      <c r="J11" s="586"/>
      <c r="K11" s="586"/>
      <c r="L11" s="586"/>
      <c r="M11" s="586"/>
      <c r="N11" s="586"/>
      <c r="O11" s="586"/>
      <c r="P11" s="587"/>
    </row>
    <row r="12" spans="1:21" s="25" customFormat="1" ht="9" customHeight="1" thickBot="1"/>
    <row r="13" spans="1:21" s="25" customFormat="1" ht="15">
      <c r="A13" s="530" t="s">
        <v>28</v>
      </c>
      <c r="B13" s="531"/>
      <c r="C13" s="531"/>
      <c r="D13" s="531"/>
      <c r="E13" s="531"/>
      <c r="F13" s="531"/>
      <c r="G13" s="531"/>
      <c r="H13" s="531"/>
      <c r="I13" s="531"/>
      <c r="J13" s="531"/>
      <c r="K13" s="531"/>
      <c r="L13" s="531"/>
      <c r="M13" s="531"/>
      <c r="N13" s="531"/>
      <c r="O13" s="531"/>
      <c r="P13" s="532"/>
    </row>
    <row r="14" spans="1:21" s="25" customFormat="1" ht="60" customHeight="1" thickBot="1">
      <c r="A14" s="588" t="s">
        <v>270</v>
      </c>
      <c r="B14" s="528"/>
      <c r="C14" s="528"/>
      <c r="D14" s="528"/>
      <c r="E14" s="528"/>
      <c r="F14" s="528"/>
      <c r="G14" s="528"/>
      <c r="H14" s="528"/>
      <c r="I14" s="528"/>
      <c r="J14" s="528"/>
      <c r="K14" s="528"/>
      <c r="L14" s="528"/>
      <c r="M14" s="528"/>
      <c r="N14" s="528"/>
      <c r="O14" s="528"/>
      <c r="P14" s="529"/>
    </row>
    <row r="15" spans="1:21" ht="16.5" thickBot="1"/>
    <row r="16" spans="1:21">
      <c r="A16" s="92"/>
      <c r="B16" s="105"/>
      <c r="C16" s="106"/>
      <c r="D16" s="107"/>
      <c r="E16" s="106"/>
      <c r="F16" s="106"/>
      <c r="G16" s="106"/>
      <c r="H16" s="106"/>
      <c r="I16" s="106"/>
      <c r="J16" s="93"/>
      <c r="K16" s="93"/>
      <c r="L16" s="93"/>
      <c r="M16" s="93"/>
      <c r="N16" s="93"/>
      <c r="O16" s="93"/>
      <c r="P16" s="94"/>
    </row>
    <row r="17" spans="1:16">
      <c r="A17" s="108" t="s">
        <v>151</v>
      </c>
      <c r="C17" s="109"/>
      <c r="D17" s="110"/>
      <c r="E17" s="109"/>
      <c r="F17" s="109"/>
      <c r="G17" s="202"/>
      <c r="H17" s="202"/>
      <c r="I17" s="109"/>
      <c r="P17" s="95"/>
    </row>
    <row r="18" spans="1:16" ht="16.5" thickBot="1">
      <c r="A18" s="108"/>
      <c r="C18" s="109"/>
      <c r="D18" s="110"/>
      <c r="E18" s="109"/>
      <c r="F18" s="109"/>
      <c r="G18" s="109"/>
      <c r="H18" s="109"/>
      <c r="I18" s="109"/>
      <c r="P18" s="95"/>
    </row>
    <row r="19" spans="1:16" ht="45.75" customHeight="1">
      <c r="B19" s="410" t="s">
        <v>138</v>
      </c>
      <c r="C19" s="197" t="s">
        <v>64</v>
      </c>
      <c r="D19" s="197" t="s">
        <v>65</v>
      </c>
      <c r="E19" s="197" t="s">
        <v>52</v>
      </c>
      <c r="F19" s="197" t="s">
        <v>84</v>
      </c>
      <c r="G19" s="197" t="s">
        <v>66</v>
      </c>
      <c r="H19" s="198" t="s">
        <v>71</v>
      </c>
      <c r="I19" s="648" t="s">
        <v>48</v>
      </c>
      <c r="J19" s="648"/>
      <c r="K19" s="648"/>
      <c r="L19" s="648"/>
      <c r="M19" s="648"/>
      <c r="N19" s="648"/>
      <c r="O19" s="649"/>
      <c r="P19" s="95"/>
    </row>
    <row r="20" spans="1:16">
      <c r="B20" s="409" t="s">
        <v>143</v>
      </c>
      <c r="C20" s="427"/>
      <c r="D20" s="190"/>
      <c r="E20" s="190">
        <f>C20-D20</f>
        <v>0</v>
      </c>
      <c r="F20" s="191" t="e">
        <f>E20/D20</f>
        <v>#DIV/0!</v>
      </c>
      <c r="G20" s="185"/>
      <c r="H20" s="185"/>
      <c r="I20" s="609"/>
      <c r="J20" s="610"/>
      <c r="K20" s="610"/>
      <c r="L20" s="610"/>
      <c r="M20" s="610"/>
      <c r="N20" s="610"/>
      <c r="O20" s="647"/>
      <c r="P20" s="95"/>
    </row>
    <row r="21" spans="1:16">
      <c r="B21" s="409" t="s">
        <v>144</v>
      </c>
      <c r="C21" s="427"/>
      <c r="D21" s="190"/>
      <c r="E21" s="190">
        <f t="shared" ref="E21:E26" si="0">C21-D21</f>
        <v>0</v>
      </c>
      <c r="F21" s="191" t="e">
        <f t="shared" ref="F21:F26" si="1">E21/D21</f>
        <v>#DIV/0!</v>
      </c>
      <c r="G21" s="185"/>
      <c r="H21" s="185"/>
      <c r="I21" s="609"/>
      <c r="J21" s="610"/>
      <c r="K21" s="610"/>
      <c r="L21" s="610"/>
      <c r="M21" s="610"/>
      <c r="N21" s="610"/>
      <c r="O21" s="647"/>
      <c r="P21" s="95"/>
    </row>
    <row r="22" spans="1:16">
      <c r="B22" s="409" t="s">
        <v>145</v>
      </c>
      <c r="C22" s="427"/>
      <c r="D22" s="190"/>
      <c r="E22" s="190">
        <f t="shared" si="0"/>
        <v>0</v>
      </c>
      <c r="F22" s="191" t="e">
        <f t="shared" si="1"/>
        <v>#DIV/0!</v>
      </c>
      <c r="G22" s="185"/>
      <c r="H22" s="185"/>
      <c r="I22" s="609"/>
      <c r="J22" s="610"/>
      <c r="K22" s="610"/>
      <c r="L22" s="610"/>
      <c r="M22" s="610"/>
      <c r="N22" s="610"/>
      <c r="O22" s="647"/>
      <c r="P22" s="95"/>
    </row>
    <row r="23" spans="1:16">
      <c r="B23" s="409" t="s">
        <v>146</v>
      </c>
      <c r="C23" s="427"/>
      <c r="D23" s="190"/>
      <c r="E23" s="190">
        <f t="shared" si="0"/>
        <v>0</v>
      </c>
      <c r="F23" s="191" t="e">
        <f t="shared" si="1"/>
        <v>#DIV/0!</v>
      </c>
      <c r="G23" s="185"/>
      <c r="H23" s="185"/>
      <c r="I23" s="609"/>
      <c r="J23" s="610"/>
      <c r="K23" s="610"/>
      <c r="L23" s="610"/>
      <c r="M23" s="610"/>
      <c r="N23" s="610"/>
      <c r="O23" s="647"/>
      <c r="P23" s="95"/>
    </row>
    <row r="24" spans="1:16">
      <c r="B24" s="409" t="s">
        <v>147</v>
      </c>
      <c r="C24" s="427"/>
      <c r="D24" s="190"/>
      <c r="E24" s="190">
        <f t="shared" si="0"/>
        <v>0</v>
      </c>
      <c r="F24" s="191" t="e">
        <f t="shared" si="1"/>
        <v>#DIV/0!</v>
      </c>
      <c r="G24" s="185"/>
      <c r="H24" s="185"/>
      <c r="I24" s="609"/>
      <c r="J24" s="610"/>
      <c r="K24" s="610"/>
      <c r="L24" s="610"/>
      <c r="M24" s="610"/>
      <c r="N24" s="610"/>
      <c r="O24" s="647"/>
      <c r="P24" s="95"/>
    </row>
    <row r="25" spans="1:16">
      <c r="B25" s="409" t="s">
        <v>148</v>
      </c>
      <c r="C25" s="427"/>
      <c r="D25" s="190"/>
      <c r="E25" s="190">
        <f t="shared" si="0"/>
        <v>0</v>
      </c>
      <c r="F25" s="191" t="e">
        <f t="shared" si="1"/>
        <v>#DIV/0!</v>
      </c>
      <c r="G25" s="185"/>
      <c r="H25" s="185"/>
      <c r="I25" s="609"/>
      <c r="J25" s="610"/>
      <c r="K25" s="610"/>
      <c r="L25" s="610"/>
      <c r="M25" s="610"/>
      <c r="N25" s="610"/>
      <c r="O25" s="647"/>
      <c r="P25" s="95"/>
    </row>
    <row r="26" spans="1:16" ht="16.5" thickBot="1">
      <c r="B26" s="408" t="s">
        <v>139</v>
      </c>
      <c r="C26" s="201"/>
      <c r="D26" s="199"/>
      <c r="E26" s="199">
        <f t="shared" si="0"/>
        <v>0</v>
      </c>
      <c r="F26" s="200" t="e">
        <f t="shared" si="1"/>
        <v>#DIV/0!</v>
      </c>
      <c r="G26" s="201"/>
      <c r="H26" s="201"/>
      <c r="I26" s="650"/>
      <c r="J26" s="651"/>
      <c r="K26" s="651"/>
      <c r="L26" s="651"/>
      <c r="M26" s="651"/>
      <c r="N26" s="651"/>
      <c r="O26" s="652"/>
      <c r="P26" s="95"/>
    </row>
    <row r="27" spans="1:16">
      <c r="A27" s="192"/>
      <c r="B27" s="193" t="s">
        <v>51</v>
      </c>
      <c r="C27" s="428">
        <f>SUM(C20:C26)</f>
        <v>0</v>
      </c>
      <c r="D27" s="428">
        <f>SUM(D20:D26)</f>
        <v>0</v>
      </c>
      <c r="E27" s="428">
        <f>SUM(E20:E26)</f>
        <v>0</v>
      </c>
      <c r="F27" s="429" t="e">
        <f>+E27/D27</f>
        <v>#DIV/0!</v>
      </c>
      <c r="G27" s="193"/>
      <c r="H27" s="193"/>
      <c r="I27" s="194"/>
      <c r="J27" s="194"/>
      <c r="K27" s="194"/>
      <c r="L27" s="194"/>
      <c r="M27" s="194"/>
      <c r="N27" s="194"/>
      <c r="P27" s="195"/>
    </row>
    <row r="28" spans="1:16">
      <c r="A28" s="96"/>
      <c r="B28" s="109"/>
      <c r="C28" s="109"/>
      <c r="D28" s="110"/>
      <c r="E28" s="109"/>
      <c r="F28" s="109"/>
      <c r="G28" s="109"/>
      <c r="H28" s="109"/>
      <c r="I28" s="109"/>
      <c r="P28" s="95"/>
    </row>
    <row r="29" spans="1:16">
      <c r="A29" s="108" t="s">
        <v>152</v>
      </c>
      <c r="C29" s="109"/>
      <c r="D29" s="97"/>
      <c r="E29" s="109"/>
      <c r="F29" s="97"/>
      <c r="G29" s="109"/>
      <c r="H29" s="109"/>
      <c r="I29" s="109"/>
      <c r="P29" s="95"/>
    </row>
    <row r="30" spans="1:16">
      <c r="A30" s="108"/>
      <c r="C30" s="109"/>
      <c r="D30" s="97"/>
      <c r="E30" s="109"/>
      <c r="F30" s="97"/>
      <c r="G30" s="109"/>
      <c r="H30" s="109"/>
      <c r="I30" s="109"/>
      <c r="P30" s="95"/>
    </row>
    <row r="31" spans="1:16" ht="45.75" customHeight="1">
      <c r="B31" s="431" t="s">
        <v>131</v>
      </c>
      <c r="C31" s="153" t="s">
        <v>67</v>
      </c>
      <c r="D31" s="153" t="s">
        <v>68</v>
      </c>
      <c r="E31" s="153" t="s">
        <v>69</v>
      </c>
      <c r="F31" s="153" t="s">
        <v>136</v>
      </c>
      <c r="G31" s="153" t="s">
        <v>70</v>
      </c>
      <c r="H31" s="153" t="s">
        <v>71</v>
      </c>
      <c r="I31" s="659" t="s">
        <v>72</v>
      </c>
      <c r="J31" s="660"/>
      <c r="K31" s="660"/>
      <c r="L31" s="660"/>
      <c r="M31" s="660"/>
      <c r="N31" s="660"/>
      <c r="O31" s="661"/>
      <c r="P31" s="95"/>
    </row>
    <row r="32" spans="1:16" s="1" customFormat="1">
      <c r="B32" s="468"/>
      <c r="C32" s="101"/>
      <c r="D32" s="467"/>
      <c r="E32" s="101"/>
      <c r="F32" s="467"/>
      <c r="G32" s="101"/>
      <c r="H32" s="101"/>
      <c r="I32" s="656"/>
      <c r="J32" s="657"/>
      <c r="K32" s="657"/>
      <c r="L32" s="657"/>
      <c r="M32" s="657"/>
      <c r="N32" s="657"/>
      <c r="O32" s="658"/>
      <c r="P32" s="469"/>
    </row>
    <row r="33" spans="1:16">
      <c r="B33" s="430"/>
      <c r="C33" s="103"/>
      <c r="D33" s="104"/>
      <c r="E33" s="102"/>
      <c r="F33" s="104"/>
      <c r="G33" s="103"/>
      <c r="H33" s="102"/>
      <c r="I33" s="653"/>
      <c r="J33" s="654"/>
      <c r="K33" s="654"/>
      <c r="L33" s="654"/>
      <c r="M33" s="654"/>
      <c r="N33" s="654"/>
      <c r="O33" s="655"/>
      <c r="P33" s="95"/>
    </row>
    <row r="34" spans="1:16">
      <c r="A34" s="96"/>
      <c r="C34" s="241" t="s">
        <v>73</v>
      </c>
      <c r="D34" s="241"/>
      <c r="E34" s="432">
        <f>SUM(E32:E33)</f>
        <v>0</v>
      </c>
      <c r="F34" s="109"/>
      <c r="G34" s="109"/>
      <c r="H34" s="109"/>
      <c r="I34" s="109"/>
      <c r="P34" s="95"/>
    </row>
    <row r="35" spans="1:16">
      <c r="A35" s="96"/>
      <c r="C35" s="240" t="s">
        <v>74</v>
      </c>
      <c r="D35" s="240"/>
      <c r="E35" s="433"/>
      <c r="F35" s="109"/>
      <c r="G35" s="109"/>
      <c r="H35" s="109"/>
      <c r="I35" s="109"/>
      <c r="P35" s="95"/>
    </row>
    <row r="36" spans="1:16">
      <c r="A36" s="96"/>
      <c r="C36" s="240" t="s">
        <v>75</v>
      </c>
      <c r="D36" s="240"/>
      <c r="E36" s="434" t="e">
        <f>E34/E35</f>
        <v>#DIV/0!</v>
      </c>
      <c r="F36" s="109"/>
      <c r="G36" s="109"/>
      <c r="H36" s="109"/>
      <c r="I36" s="109"/>
      <c r="P36" s="95"/>
    </row>
    <row r="37" spans="1:16" ht="16.5" thickBot="1">
      <c r="A37" s="98"/>
      <c r="B37" s="99"/>
      <c r="C37" s="99"/>
      <c r="D37" s="99"/>
      <c r="E37" s="99"/>
      <c r="F37" s="99"/>
      <c r="G37" s="99"/>
      <c r="H37" s="99"/>
      <c r="I37" s="99"/>
      <c r="J37" s="99"/>
      <c r="K37" s="99"/>
      <c r="L37" s="99"/>
      <c r="M37" s="99"/>
      <c r="N37" s="99"/>
      <c r="O37" s="99"/>
      <c r="P37" s="100"/>
    </row>
  </sheetData>
  <sheetProtection formatCells="0" formatColumns="0" formatRows="0" insertColumns="0" insertRows="0" insertHyperlinks="0" deleteColumns="0" deleteRows="0" sort="0" autoFilter="0" pivotTables="0"/>
  <mergeCells count="28">
    <mergeCell ref="I26:O26"/>
    <mergeCell ref="I33:O33"/>
    <mergeCell ref="I32:O32"/>
    <mergeCell ref="I31:O31"/>
    <mergeCell ref="I23:O23"/>
    <mergeCell ref="I24:O24"/>
    <mergeCell ref="I25:O25"/>
    <mergeCell ref="D1:M2"/>
    <mergeCell ref="A3:P5"/>
    <mergeCell ref="E6:L7"/>
    <mergeCell ref="M6:N6"/>
    <mergeCell ref="O6:P6"/>
    <mergeCell ref="M7:N7"/>
    <mergeCell ref="O7:P7"/>
    <mergeCell ref="A9:C9"/>
    <mergeCell ref="I22:O22"/>
    <mergeCell ref="O8:P8"/>
    <mergeCell ref="D9:E9"/>
    <mergeCell ref="F9:I9"/>
    <mergeCell ref="J9:K9"/>
    <mergeCell ref="L9:N9"/>
    <mergeCell ref="O9:P9"/>
    <mergeCell ref="I19:O19"/>
    <mergeCell ref="I20:O20"/>
    <mergeCell ref="I21:O21"/>
    <mergeCell ref="A11:P11"/>
    <mergeCell ref="A13:P13"/>
    <mergeCell ref="A14:P14"/>
  </mergeCells>
  <dataValidations disablePrompts="1" count="2">
    <dataValidation type="list" showInputMessage="1" showErrorMessage="1" sqref="D9:E9" xr:uid="{00000000-0002-0000-0A00-000000000000}">
      <formula1>RAS</formula1>
    </dataValidation>
    <dataValidation type="list" allowBlank="1" showInputMessage="1" showErrorMessage="1" sqref="O9:P9" xr:uid="{00000000-0002-0000-0A00-000001000000}">
      <formula1>Diligences</formula1>
    </dataValidation>
  </dataValidations>
  <hyperlinks>
    <hyperlink ref="O8:P8" location="'A Synthèse'!Zone_d_impression" display="A Synthèse" xr:uid="{00000000-0004-0000-0A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U42"/>
  <sheetViews>
    <sheetView showGridLines="0" topLeftCell="C1" zoomScaleNormal="100" workbookViewId="0">
      <selection activeCell="M7" sqref="M7:N7"/>
    </sheetView>
  </sheetViews>
  <sheetFormatPr baseColWidth="10" defaultColWidth="11.42578125" defaultRowHeight="15"/>
  <cols>
    <col min="1" max="1" width="14.7109375" style="113" customWidth="1"/>
    <col min="2" max="2" width="20.7109375" style="113" bestFit="1" customWidth="1"/>
    <col min="3" max="7" width="14.7109375" style="113" customWidth="1"/>
    <col min="8" max="8" width="15" style="113" bestFit="1" customWidth="1"/>
    <col min="9" max="15" width="14.7109375" style="113" customWidth="1"/>
    <col min="16" max="16" width="46.85546875" style="113" customWidth="1"/>
    <col min="17" max="16384" width="11.42578125" style="113"/>
  </cols>
  <sheetData>
    <row r="1" spans="1:21" s="112" customFormat="1" ht="15" customHeight="1">
      <c r="A1" s="10"/>
      <c r="B1" s="11"/>
      <c r="C1" s="11"/>
      <c r="D1" s="541">
        <f>'A Synthèse'!D1:M2</f>
        <v>0</v>
      </c>
      <c r="E1" s="542"/>
      <c r="F1" s="542"/>
      <c r="G1" s="542"/>
      <c r="H1" s="542"/>
      <c r="I1" s="542"/>
      <c r="J1" s="542"/>
      <c r="K1" s="542"/>
      <c r="L1" s="542"/>
      <c r="M1" s="543"/>
      <c r="N1" s="11"/>
      <c r="O1" s="11"/>
      <c r="P1" s="12"/>
    </row>
    <row r="2" spans="1:21" s="112" customFormat="1" ht="15" customHeight="1" thickBot="1">
      <c r="A2" s="13"/>
      <c r="B2" s="14"/>
      <c r="C2" s="14"/>
      <c r="D2" s="544"/>
      <c r="E2" s="545"/>
      <c r="F2" s="545"/>
      <c r="G2" s="545"/>
      <c r="H2" s="545"/>
      <c r="I2" s="545"/>
      <c r="J2" s="545"/>
      <c r="K2" s="545"/>
      <c r="L2" s="545"/>
      <c r="M2" s="546"/>
      <c r="N2" s="14"/>
      <c r="O2" s="14"/>
      <c r="P2" s="15"/>
    </row>
    <row r="3" spans="1:21" ht="15" customHeight="1">
      <c r="A3" s="481" t="s">
        <v>86</v>
      </c>
      <c r="B3" s="482"/>
      <c r="C3" s="482"/>
      <c r="D3" s="482"/>
      <c r="E3" s="482"/>
      <c r="F3" s="482"/>
      <c r="G3" s="482"/>
      <c r="H3" s="482"/>
      <c r="I3" s="482"/>
      <c r="J3" s="482"/>
      <c r="K3" s="482"/>
      <c r="L3" s="482"/>
      <c r="M3" s="482"/>
      <c r="N3" s="482"/>
      <c r="O3" s="482"/>
      <c r="P3" s="483"/>
      <c r="R3" s="114"/>
      <c r="T3" s="115"/>
      <c r="U3" s="115"/>
    </row>
    <row r="4" spans="1:21" ht="15" customHeight="1">
      <c r="A4" s="481"/>
      <c r="B4" s="482"/>
      <c r="C4" s="482"/>
      <c r="D4" s="482"/>
      <c r="E4" s="482"/>
      <c r="F4" s="482"/>
      <c r="G4" s="482"/>
      <c r="H4" s="482"/>
      <c r="I4" s="482"/>
      <c r="J4" s="482"/>
      <c r="K4" s="482"/>
      <c r="L4" s="482"/>
      <c r="M4" s="482"/>
      <c r="N4" s="482"/>
      <c r="O4" s="482"/>
      <c r="P4" s="483"/>
      <c r="R4" s="114"/>
      <c r="T4" s="115"/>
      <c r="U4" s="115"/>
    </row>
    <row r="5" spans="1:21" ht="15" customHeight="1" thickBot="1">
      <c r="A5" s="484"/>
      <c r="B5" s="485"/>
      <c r="C5" s="485"/>
      <c r="D5" s="485"/>
      <c r="E5" s="485"/>
      <c r="F5" s="485"/>
      <c r="G5" s="485"/>
      <c r="H5" s="485"/>
      <c r="I5" s="485"/>
      <c r="J5" s="485"/>
      <c r="K5" s="485"/>
      <c r="L5" s="485"/>
      <c r="M5" s="485"/>
      <c r="N5" s="485"/>
      <c r="O5" s="485"/>
      <c r="P5" s="486"/>
      <c r="Q5" s="114"/>
      <c r="R5" s="116"/>
      <c r="S5" s="117"/>
      <c r="T5" s="117"/>
      <c r="U5" s="117"/>
    </row>
    <row r="6" spans="1:21" ht="15" customHeight="1">
      <c r="A6" s="17" t="s">
        <v>9</v>
      </c>
      <c r="B6" s="304" t="str">
        <f>'A Synthèse'!B6</f>
        <v>BRA</v>
      </c>
      <c r="C6" s="17" t="s">
        <v>212</v>
      </c>
      <c r="D6" s="304">
        <f>'A Synthèse'!D6</f>
        <v>0</v>
      </c>
      <c r="E6" s="678" t="s">
        <v>31</v>
      </c>
      <c r="F6" s="679"/>
      <c r="G6" s="679"/>
      <c r="H6" s="679"/>
      <c r="I6" s="679"/>
      <c r="J6" s="679"/>
      <c r="K6" s="679"/>
      <c r="L6" s="680"/>
      <c r="M6" s="684" t="s">
        <v>13</v>
      </c>
      <c r="N6" s="685"/>
      <c r="O6" s="686" t="s">
        <v>12</v>
      </c>
      <c r="P6" s="687"/>
      <c r="R6" s="112"/>
      <c r="S6" s="112"/>
    </row>
    <row r="7" spans="1:21" ht="15" customHeight="1" thickBot="1">
      <c r="A7" s="18" t="s">
        <v>10</v>
      </c>
      <c r="B7" s="305">
        <f>'A Synthèse'!B7</f>
        <v>0</v>
      </c>
      <c r="C7" s="18" t="s">
        <v>10</v>
      </c>
      <c r="D7" s="305">
        <f>'A Synthèse'!D7</f>
        <v>0</v>
      </c>
      <c r="E7" s="681"/>
      <c r="F7" s="682"/>
      <c r="G7" s="682"/>
      <c r="H7" s="682"/>
      <c r="I7" s="682"/>
      <c r="J7" s="682"/>
      <c r="K7" s="682"/>
      <c r="L7" s="683"/>
      <c r="M7" s="549" t="str">
        <f>'A Synthèse'!M7:N7</f>
        <v>31/12/N</v>
      </c>
      <c r="N7" s="550"/>
      <c r="O7" s="495" t="s">
        <v>223</v>
      </c>
      <c r="P7" s="688"/>
    </row>
    <row r="8" spans="1:21" ht="21" customHeight="1" thickBot="1">
      <c r="A8" s="118"/>
      <c r="B8" s="119"/>
      <c r="C8" s="120"/>
      <c r="D8" s="120"/>
      <c r="E8" s="121"/>
      <c r="F8" s="121"/>
      <c r="G8" s="121"/>
      <c r="H8" s="121"/>
      <c r="I8" s="121"/>
      <c r="J8" s="121"/>
      <c r="K8" s="121"/>
      <c r="L8" s="121"/>
      <c r="M8" s="122"/>
      <c r="N8" s="120"/>
      <c r="O8" s="553" t="s">
        <v>217</v>
      </c>
      <c r="P8" s="553"/>
    </row>
    <row r="9" spans="1:21" s="120" customFormat="1" ht="31.5" customHeight="1" thickBot="1">
      <c r="A9" s="497" t="s">
        <v>15</v>
      </c>
      <c r="B9" s="498"/>
      <c r="C9" s="498"/>
      <c r="D9" s="539" t="str">
        <f>'A Synthèse'!D9:E9</f>
        <v>Elevé</v>
      </c>
      <c r="E9" s="540"/>
      <c r="F9" s="499" t="s">
        <v>3</v>
      </c>
      <c r="G9" s="500"/>
      <c r="H9" s="500"/>
      <c r="I9" s="500"/>
      <c r="J9" s="551">
        <f>'A Synthèse'!J9:K9</f>
        <v>14.7</v>
      </c>
      <c r="K9" s="552"/>
      <c r="L9" s="499" t="s">
        <v>16</v>
      </c>
      <c r="M9" s="500"/>
      <c r="N9" s="500"/>
      <c r="O9" s="539" t="str">
        <f>'A Synthèse'!O9:P9</f>
        <v>PE</v>
      </c>
      <c r="P9" s="540"/>
    </row>
    <row r="10" spans="1:21" s="120" customFormat="1" ht="21" customHeight="1" thickBot="1">
      <c r="A10" s="123"/>
      <c r="B10" s="123"/>
      <c r="C10" s="123"/>
      <c r="D10" s="123"/>
      <c r="E10" s="123"/>
      <c r="F10" s="123"/>
      <c r="G10" s="123"/>
      <c r="H10" s="123"/>
      <c r="I10" s="123"/>
      <c r="J10" s="123"/>
      <c r="K10" s="123"/>
      <c r="L10" s="123"/>
      <c r="M10" s="123"/>
      <c r="N10" s="123"/>
      <c r="O10" s="123"/>
      <c r="P10" s="123"/>
    </row>
    <row r="11" spans="1:21" ht="126.75" customHeight="1" thickBot="1">
      <c r="A11" s="585" t="s">
        <v>274</v>
      </c>
      <c r="B11" s="664"/>
      <c r="C11" s="664"/>
      <c r="D11" s="664"/>
      <c r="E11" s="664"/>
      <c r="F11" s="664"/>
      <c r="G11" s="664"/>
      <c r="H11" s="664"/>
      <c r="I11" s="664"/>
      <c r="J11" s="664"/>
      <c r="K11" s="664"/>
      <c r="L11" s="664"/>
      <c r="M11" s="664"/>
      <c r="N11" s="664"/>
      <c r="O11" s="664"/>
      <c r="P11" s="665"/>
    </row>
    <row r="12" spans="1:21" ht="9" customHeight="1" thickBot="1"/>
    <row r="13" spans="1:21">
      <c r="A13" s="666" t="s">
        <v>28</v>
      </c>
      <c r="B13" s="667"/>
      <c r="C13" s="667"/>
      <c r="D13" s="667"/>
      <c r="E13" s="667"/>
      <c r="F13" s="667"/>
      <c r="G13" s="667"/>
      <c r="H13" s="667"/>
      <c r="I13" s="667"/>
      <c r="J13" s="667"/>
      <c r="K13" s="667"/>
      <c r="L13" s="667"/>
      <c r="M13" s="667"/>
      <c r="N13" s="667"/>
      <c r="O13" s="667"/>
      <c r="P13" s="668"/>
    </row>
    <row r="14" spans="1:21" ht="42" customHeight="1" thickBot="1">
      <c r="A14" s="588"/>
      <c r="B14" s="669"/>
      <c r="C14" s="669"/>
      <c r="D14" s="669"/>
      <c r="E14" s="669"/>
      <c r="F14" s="669"/>
      <c r="G14" s="669"/>
      <c r="H14" s="669"/>
      <c r="I14" s="669"/>
      <c r="J14" s="669"/>
      <c r="K14" s="669"/>
      <c r="L14" s="669"/>
      <c r="M14" s="669"/>
      <c r="N14" s="669"/>
      <c r="O14" s="669"/>
      <c r="P14" s="670"/>
    </row>
    <row r="15" spans="1:21" ht="15.75" thickBot="1"/>
    <row r="16" spans="1:21">
      <c r="A16" s="124"/>
      <c r="B16" s="125"/>
      <c r="C16" s="125"/>
      <c r="D16" s="125"/>
      <c r="E16" s="125"/>
      <c r="F16" s="125"/>
      <c r="G16" s="125"/>
      <c r="H16" s="125"/>
      <c r="I16" s="125"/>
      <c r="J16" s="125"/>
      <c r="K16" s="125"/>
      <c r="L16" s="125"/>
      <c r="M16" s="125"/>
      <c r="N16" s="125"/>
      <c r="O16" s="125"/>
      <c r="P16" s="126"/>
    </row>
    <row r="17" spans="1:16">
      <c r="A17" s="242" t="s">
        <v>171</v>
      </c>
      <c r="P17" s="128"/>
    </row>
    <row r="18" spans="1:16">
      <c r="A18" s="127"/>
      <c r="P18" s="128"/>
    </row>
    <row r="19" spans="1:16">
      <c r="A19" s="129" t="s">
        <v>76</v>
      </c>
      <c r="P19" s="128"/>
    </row>
    <row r="20" spans="1:16" ht="15.75" thickBot="1">
      <c r="A20" s="130"/>
      <c r="B20" s="131"/>
      <c r="C20" s="131"/>
      <c r="D20" s="131"/>
      <c r="E20" s="131"/>
      <c r="F20" s="131"/>
      <c r="G20" s="131"/>
      <c r="H20" s="131"/>
      <c r="I20" s="131"/>
      <c r="J20" s="131"/>
      <c r="K20" s="131"/>
      <c r="L20" s="131"/>
      <c r="M20" s="131"/>
      <c r="N20" s="131"/>
      <c r="O20" s="131"/>
      <c r="P20" s="132"/>
    </row>
    <row r="21" spans="1:16" ht="15.75" thickBot="1"/>
    <row r="22" spans="1:16">
      <c r="A22" s="124"/>
      <c r="B22" s="125"/>
      <c r="C22" s="125"/>
      <c r="D22" s="125"/>
      <c r="E22" s="125"/>
      <c r="F22" s="125"/>
      <c r="G22" s="125"/>
      <c r="H22" s="125"/>
      <c r="I22" s="125"/>
      <c r="J22" s="125"/>
      <c r="K22" s="125"/>
      <c r="L22" s="125"/>
      <c r="M22" s="125"/>
      <c r="N22" s="125"/>
      <c r="O22" s="125"/>
      <c r="P22" s="126"/>
    </row>
    <row r="23" spans="1:16">
      <c r="A23" s="242" t="s">
        <v>172</v>
      </c>
      <c r="B23" s="133"/>
      <c r="C23" s="134"/>
      <c r="D23" s="135"/>
      <c r="E23" s="135"/>
      <c r="F23" s="135"/>
      <c r="G23" s="136"/>
      <c r="H23" s="137"/>
      <c r="I23" s="134"/>
      <c r="J23" s="134"/>
      <c r="K23" s="134"/>
      <c r="L23" s="134"/>
      <c r="M23" s="134"/>
      <c r="N23" s="134"/>
      <c r="P23" s="128"/>
    </row>
    <row r="24" spans="1:16">
      <c r="A24" s="242"/>
      <c r="B24" s="133"/>
      <c r="C24" s="134"/>
      <c r="D24" s="135"/>
      <c r="E24" s="135"/>
      <c r="F24" s="135"/>
      <c r="G24" s="136"/>
      <c r="H24" s="137"/>
      <c r="I24" s="134"/>
      <c r="J24" s="134"/>
      <c r="K24" s="134"/>
      <c r="L24" s="134"/>
      <c r="M24" s="134"/>
      <c r="N24" s="134"/>
      <c r="P24" s="128"/>
    </row>
    <row r="25" spans="1:16" ht="23.25" customHeight="1">
      <c r="A25" s="138"/>
      <c r="B25" s="134"/>
      <c r="C25" s="134"/>
      <c r="D25" s="134"/>
      <c r="E25" s="134"/>
      <c r="F25" s="215" t="s">
        <v>178</v>
      </c>
      <c r="G25" s="671" t="s">
        <v>176</v>
      </c>
      <c r="H25" s="672"/>
      <c r="I25" s="672"/>
      <c r="J25" s="673"/>
      <c r="K25" s="671" t="s">
        <v>177</v>
      </c>
      <c r="L25" s="672"/>
      <c r="M25" s="672"/>
      <c r="N25" s="672"/>
      <c r="O25" s="673"/>
      <c r="P25" s="128"/>
    </row>
    <row r="26" spans="1:16" s="244" customFormat="1" ht="57" customHeight="1">
      <c r="A26" s="256" t="s">
        <v>77</v>
      </c>
      <c r="B26" s="257" t="s">
        <v>153</v>
      </c>
      <c r="C26" s="258" t="s">
        <v>78</v>
      </c>
      <c r="D26" s="258" t="s">
        <v>79</v>
      </c>
      <c r="E26" s="266" t="s">
        <v>80</v>
      </c>
      <c r="F26" s="203" t="s">
        <v>175</v>
      </c>
      <c r="G26" s="256" t="s">
        <v>81</v>
      </c>
      <c r="H26" s="258" t="s">
        <v>43</v>
      </c>
      <c r="I26" s="258" t="s">
        <v>82</v>
      </c>
      <c r="J26" s="263" t="s">
        <v>83</v>
      </c>
      <c r="K26" s="264" t="s">
        <v>173</v>
      </c>
      <c r="L26" s="257" t="s">
        <v>174</v>
      </c>
      <c r="M26" s="258" t="s">
        <v>43</v>
      </c>
      <c r="N26" s="258" t="s">
        <v>82</v>
      </c>
      <c r="O26" s="263" t="s">
        <v>83</v>
      </c>
      <c r="P26" s="251" t="s">
        <v>48</v>
      </c>
    </row>
    <row r="27" spans="1:16">
      <c r="A27" s="254"/>
      <c r="B27" s="139"/>
      <c r="C27" s="243"/>
      <c r="D27" s="470"/>
      <c r="E27" s="267"/>
      <c r="F27" s="269"/>
      <c r="G27" s="259"/>
      <c r="H27" s="248">
        <f t="shared" ref="H27:J32" si="0">F27-G27</f>
        <v>0</v>
      </c>
      <c r="I27" s="245"/>
      <c r="J27" s="260">
        <f t="shared" si="0"/>
        <v>0</v>
      </c>
      <c r="K27" s="259"/>
      <c r="L27" s="247"/>
      <c r="M27" s="248">
        <f t="shared" ref="M27:O32" si="1">K27-L27</f>
        <v>0</v>
      </c>
      <c r="N27" s="141"/>
      <c r="O27" s="260">
        <f t="shared" si="1"/>
        <v>0</v>
      </c>
      <c r="P27" s="472"/>
    </row>
    <row r="28" spans="1:16">
      <c r="A28" s="254"/>
      <c r="B28" s="139"/>
      <c r="C28" s="243"/>
      <c r="D28" s="470"/>
      <c r="E28" s="267"/>
      <c r="F28" s="269"/>
      <c r="G28" s="259"/>
      <c r="H28" s="248">
        <f t="shared" si="0"/>
        <v>0</v>
      </c>
      <c r="I28" s="245"/>
      <c r="J28" s="260">
        <f t="shared" si="0"/>
        <v>0</v>
      </c>
      <c r="K28" s="259"/>
      <c r="L28" s="247"/>
      <c r="M28" s="248">
        <f t="shared" si="1"/>
        <v>0</v>
      </c>
      <c r="N28" s="141"/>
      <c r="O28" s="260">
        <f t="shared" si="1"/>
        <v>0</v>
      </c>
      <c r="P28" s="471"/>
    </row>
    <row r="29" spans="1:16">
      <c r="A29" s="254"/>
      <c r="B29" s="139"/>
      <c r="C29" s="243"/>
      <c r="D29" s="470"/>
      <c r="E29" s="267"/>
      <c r="F29" s="269"/>
      <c r="G29" s="259"/>
      <c r="H29" s="248">
        <f t="shared" si="0"/>
        <v>0</v>
      </c>
      <c r="I29" s="245"/>
      <c r="J29" s="260">
        <f t="shared" si="0"/>
        <v>0</v>
      </c>
      <c r="K29" s="259"/>
      <c r="L29" s="247"/>
      <c r="M29" s="248">
        <f t="shared" si="1"/>
        <v>0</v>
      </c>
      <c r="N29" s="141"/>
      <c r="O29" s="260">
        <f t="shared" si="1"/>
        <v>0</v>
      </c>
      <c r="P29" s="472"/>
    </row>
    <row r="30" spans="1:16">
      <c r="A30" s="254"/>
      <c r="B30" s="139"/>
      <c r="C30" s="243"/>
      <c r="D30" s="470"/>
      <c r="E30" s="267"/>
      <c r="F30" s="269"/>
      <c r="G30" s="259"/>
      <c r="H30" s="248">
        <f t="shared" si="0"/>
        <v>0</v>
      </c>
      <c r="I30" s="245"/>
      <c r="J30" s="260">
        <f t="shared" si="0"/>
        <v>0</v>
      </c>
      <c r="K30" s="259"/>
      <c r="L30" s="247"/>
      <c r="M30" s="248">
        <f t="shared" si="1"/>
        <v>0</v>
      </c>
      <c r="N30" s="141"/>
      <c r="O30" s="260">
        <f t="shared" si="1"/>
        <v>0</v>
      </c>
      <c r="P30" s="472"/>
    </row>
    <row r="31" spans="1:16">
      <c r="A31" s="254"/>
      <c r="B31" s="139"/>
      <c r="C31" s="204"/>
      <c r="D31" s="140"/>
      <c r="E31" s="267"/>
      <c r="F31" s="269"/>
      <c r="G31" s="259"/>
      <c r="H31" s="248">
        <f t="shared" si="0"/>
        <v>0</v>
      </c>
      <c r="I31" s="245"/>
      <c r="J31" s="260">
        <f t="shared" si="0"/>
        <v>0</v>
      </c>
      <c r="K31" s="259"/>
      <c r="L31" s="247"/>
      <c r="M31" s="248">
        <f t="shared" si="1"/>
        <v>0</v>
      </c>
      <c r="N31" s="141"/>
      <c r="O31" s="260">
        <f t="shared" si="1"/>
        <v>0</v>
      </c>
      <c r="P31" s="252"/>
    </row>
    <row r="32" spans="1:16">
      <c r="A32" s="255"/>
      <c r="B32" s="142"/>
      <c r="C32" s="205"/>
      <c r="D32" s="143"/>
      <c r="E32" s="268"/>
      <c r="F32" s="270"/>
      <c r="G32" s="261"/>
      <c r="H32" s="250">
        <f t="shared" si="0"/>
        <v>0</v>
      </c>
      <c r="I32" s="246"/>
      <c r="J32" s="262">
        <f t="shared" si="0"/>
        <v>0</v>
      </c>
      <c r="K32" s="261"/>
      <c r="L32" s="249"/>
      <c r="M32" s="250">
        <f t="shared" si="1"/>
        <v>0</v>
      </c>
      <c r="N32" s="144"/>
      <c r="O32" s="262">
        <f t="shared" si="1"/>
        <v>0</v>
      </c>
      <c r="P32" s="253"/>
    </row>
    <row r="33" spans="1:16" ht="15.75" thickBot="1">
      <c r="A33" s="145"/>
      <c r="B33" s="134"/>
      <c r="C33" s="134"/>
      <c r="D33" s="134"/>
      <c r="E33" s="134"/>
      <c r="F33" s="271"/>
      <c r="G33" s="137"/>
      <c r="H33" s="137"/>
      <c r="I33" s="137"/>
      <c r="J33" s="134"/>
      <c r="K33" s="271"/>
      <c r="L33" s="134"/>
      <c r="M33" s="134"/>
      <c r="P33" s="128"/>
    </row>
    <row r="34" spans="1:16">
      <c r="A34" s="138"/>
      <c r="B34" s="134"/>
      <c r="C34" s="676" t="s">
        <v>157</v>
      </c>
      <c r="D34" s="677"/>
      <c r="E34" s="677"/>
      <c r="F34" s="272">
        <f>SUM(F27:F32)</f>
        <v>0</v>
      </c>
      <c r="H34" s="676" t="s">
        <v>154</v>
      </c>
      <c r="I34" s="677"/>
      <c r="J34" s="677"/>
      <c r="K34" s="272">
        <f>SUM(K27:K32)</f>
        <v>0</v>
      </c>
      <c r="L34" s="146"/>
      <c r="M34" s="146"/>
      <c r="N34" s="146"/>
      <c r="P34" s="128"/>
    </row>
    <row r="35" spans="1:16" ht="5.25" customHeight="1">
      <c r="A35" s="138"/>
      <c r="B35" s="147"/>
      <c r="C35" s="42"/>
      <c r="D35" s="111"/>
      <c r="E35" s="25"/>
      <c r="F35" s="273"/>
      <c r="H35" s="42"/>
      <c r="I35" s="111"/>
      <c r="J35" s="25"/>
      <c r="K35" s="273"/>
      <c r="L35" s="146"/>
      <c r="M35" s="146"/>
      <c r="N35" s="146"/>
      <c r="P35" s="128"/>
    </row>
    <row r="36" spans="1:16">
      <c r="A36" s="138"/>
      <c r="B36" s="134"/>
      <c r="C36" s="674" t="s">
        <v>158</v>
      </c>
      <c r="D36" s="675"/>
      <c r="E36" s="675"/>
      <c r="F36" s="273"/>
      <c r="H36" s="674" t="s">
        <v>155</v>
      </c>
      <c r="I36" s="675"/>
      <c r="J36" s="675"/>
      <c r="K36" s="273"/>
      <c r="L36" s="146"/>
      <c r="M36" s="146"/>
      <c r="N36" s="146"/>
      <c r="P36" s="128"/>
    </row>
    <row r="37" spans="1:16" ht="5.25" customHeight="1">
      <c r="A37" s="138"/>
      <c r="B37" s="134"/>
      <c r="C37" s="42"/>
      <c r="D37" s="111"/>
      <c r="E37" s="25"/>
      <c r="F37" s="148"/>
      <c r="H37" s="42"/>
      <c r="I37" s="111"/>
      <c r="J37" s="25"/>
      <c r="K37" s="148"/>
      <c r="L37" s="149"/>
      <c r="M37" s="149"/>
      <c r="N37" s="149"/>
      <c r="P37" s="128"/>
    </row>
    <row r="38" spans="1:16" ht="15.75" thickBot="1">
      <c r="A38" s="138"/>
      <c r="B38" s="134"/>
      <c r="C38" s="662" t="s">
        <v>159</v>
      </c>
      <c r="D38" s="663"/>
      <c r="E38" s="663"/>
      <c r="F38" s="150" t="e">
        <f>F34/F36</f>
        <v>#DIV/0!</v>
      </c>
      <c r="H38" s="662" t="s">
        <v>156</v>
      </c>
      <c r="I38" s="663"/>
      <c r="J38" s="663"/>
      <c r="K38" s="150" t="e">
        <f>K34/K36</f>
        <v>#DIV/0!</v>
      </c>
      <c r="L38" s="134"/>
      <c r="M38" s="134"/>
      <c r="N38" s="134"/>
      <c r="P38" s="128"/>
    </row>
    <row r="39" spans="1:16" ht="15.75" thickBot="1">
      <c r="A39" s="130"/>
      <c r="B39" s="131"/>
      <c r="C39" s="131"/>
      <c r="D39" s="131"/>
      <c r="E39" s="131"/>
      <c r="F39" s="131"/>
      <c r="G39" s="131"/>
      <c r="H39" s="131"/>
      <c r="I39" s="131"/>
      <c r="J39" s="131"/>
      <c r="K39" s="131"/>
      <c r="L39" s="131"/>
      <c r="M39" s="131"/>
      <c r="N39" s="131"/>
      <c r="O39" s="131"/>
      <c r="P39" s="132"/>
    </row>
    <row r="42" spans="1:16">
      <c r="L42" s="134"/>
    </row>
  </sheetData>
  <sheetProtection formatCells="0" formatColumns="0" formatRows="0" insertColumns="0" insertRows="0" insertHyperlinks="0" deleteColumns="0" deleteRows="0" sort="0" autoFilter="0" pivotTables="0"/>
  <mergeCells count="25">
    <mergeCell ref="C34:E34"/>
    <mergeCell ref="O8:P8"/>
    <mergeCell ref="D1:M2"/>
    <mergeCell ref="A3:P5"/>
    <mergeCell ref="E6:L7"/>
    <mergeCell ref="M6:N6"/>
    <mergeCell ref="O6:P6"/>
    <mergeCell ref="M7:N7"/>
    <mergeCell ref="O7:P7"/>
    <mergeCell ref="H38:J38"/>
    <mergeCell ref="A11:P11"/>
    <mergeCell ref="A13:P13"/>
    <mergeCell ref="A14:P14"/>
    <mergeCell ref="A9:C9"/>
    <mergeCell ref="D9:E9"/>
    <mergeCell ref="F9:I9"/>
    <mergeCell ref="G25:J25"/>
    <mergeCell ref="K25:O25"/>
    <mergeCell ref="C36:E36"/>
    <mergeCell ref="C38:E38"/>
    <mergeCell ref="H34:J34"/>
    <mergeCell ref="H36:J36"/>
    <mergeCell ref="J9:K9"/>
    <mergeCell ref="L9:N9"/>
    <mergeCell ref="O9:P9"/>
  </mergeCells>
  <dataValidations count="2">
    <dataValidation type="list" showInputMessage="1" showErrorMessage="1" sqref="D9:E9" xr:uid="{00000000-0002-0000-0B00-000000000000}">
      <formula1>RAS</formula1>
    </dataValidation>
    <dataValidation type="list" allowBlank="1" showInputMessage="1" showErrorMessage="1" sqref="O9:P9" xr:uid="{00000000-0002-0000-0B00-000001000000}">
      <formula1>Diligences</formula1>
    </dataValidation>
  </dataValidations>
  <hyperlinks>
    <hyperlink ref="O8:P8" location="'A Synthèse'!Zone_d_impression" display="A Synthèse" xr:uid="{00000000-0004-0000-0B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U38"/>
  <sheetViews>
    <sheetView showGridLines="0" zoomScaleNormal="100" workbookViewId="0">
      <selection activeCell="A15" sqref="A15"/>
    </sheetView>
  </sheetViews>
  <sheetFormatPr baseColWidth="10" defaultColWidth="11.42578125" defaultRowHeight="15.75"/>
  <cols>
    <col min="1" max="1" width="15.5703125" style="7" customWidth="1"/>
    <col min="2" max="2" width="27.28515625" style="7" customWidth="1"/>
    <col min="3" max="3" width="17.140625" style="7" customWidth="1"/>
    <col min="4" max="5" width="14.7109375" style="7" customWidth="1"/>
    <col min="6" max="6" width="17.140625" style="7" customWidth="1"/>
    <col min="7" max="8" width="14.7109375" style="7" customWidth="1"/>
    <col min="9" max="15" width="16" style="7" customWidth="1"/>
    <col min="16" max="16" width="14.7109375" style="7" customWidth="1"/>
    <col min="17" max="16384" width="11.42578125" style="7"/>
  </cols>
  <sheetData>
    <row r="1" spans="1:21" s="1" customFormat="1" ht="15" customHeight="1">
      <c r="A1" s="10"/>
      <c r="B1" s="11"/>
      <c r="C1" s="11"/>
      <c r="D1" s="541">
        <f>'A Synthèse'!D1:M2</f>
        <v>0</v>
      </c>
      <c r="E1" s="542"/>
      <c r="F1" s="542"/>
      <c r="G1" s="542"/>
      <c r="H1" s="542"/>
      <c r="I1" s="542"/>
      <c r="J1" s="542"/>
      <c r="K1" s="542"/>
      <c r="L1" s="542"/>
      <c r="M1" s="543"/>
      <c r="N1" s="11"/>
      <c r="O1" s="11"/>
      <c r="P1" s="12"/>
    </row>
    <row r="2" spans="1:21" s="1" customFormat="1" ht="15" customHeight="1" thickBot="1">
      <c r="A2" s="13"/>
      <c r="B2" s="14"/>
      <c r="C2" s="14"/>
      <c r="D2" s="544"/>
      <c r="E2" s="545"/>
      <c r="F2" s="545"/>
      <c r="G2" s="545"/>
      <c r="H2" s="545"/>
      <c r="I2" s="545"/>
      <c r="J2" s="545"/>
      <c r="K2" s="545"/>
      <c r="L2" s="545"/>
      <c r="M2" s="546"/>
      <c r="N2" s="14"/>
      <c r="O2" s="14"/>
      <c r="P2" s="15"/>
    </row>
    <row r="3" spans="1:21" ht="15" customHeight="1">
      <c r="A3" s="481" t="s">
        <v>86</v>
      </c>
      <c r="B3" s="482"/>
      <c r="C3" s="482"/>
      <c r="D3" s="482"/>
      <c r="E3" s="482"/>
      <c r="F3" s="482"/>
      <c r="G3" s="482"/>
      <c r="H3" s="482"/>
      <c r="I3" s="482"/>
      <c r="J3" s="482"/>
      <c r="K3" s="482"/>
      <c r="L3" s="482"/>
      <c r="M3" s="482"/>
      <c r="N3" s="482"/>
      <c r="O3" s="482"/>
      <c r="P3" s="483"/>
      <c r="R3" s="3"/>
      <c r="T3" s="5"/>
      <c r="U3" s="6"/>
    </row>
    <row r="4" spans="1:21" ht="15" customHeight="1">
      <c r="A4" s="481"/>
      <c r="B4" s="482"/>
      <c r="C4" s="482"/>
      <c r="D4" s="482"/>
      <c r="E4" s="482"/>
      <c r="F4" s="482"/>
      <c r="G4" s="482"/>
      <c r="H4" s="482"/>
      <c r="I4" s="482"/>
      <c r="J4" s="482"/>
      <c r="K4" s="482"/>
      <c r="L4" s="482"/>
      <c r="M4" s="482"/>
      <c r="N4" s="482"/>
      <c r="O4" s="482"/>
      <c r="P4" s="483"/>
      <c r="R4" s="3"/>
      <c r="T4" s="5"/>
      <c r="U4" s="6"/>
    </row>
    <row r="5" spans="1:21" ht="15" customHeight="1" thickBot="1">
      <c r="A5" s="484"/>
      <c r="B5" s="485"/>
      <c r="C5" s="485"/>
      <c r="D5" s="485"/>
      <c r="E5" s="485"/>
      <c r="F5" s="485"/>
      <c r="G5" s="485"/>
      <c r="H5" s="485"/>
      <c r="I5" s="485"/>
      <c r="J5" s="485"/>
      <c r="K5" s="485"/>
      <c r="L5" s="485"/>
      <c r="M5" s="485"/>
      <c r="N5" s="485"/>
      <c r="O5" s="485"/>
      <c r="P5" s="486"/>
      <c r="Q5" s="8"/>
      <c r="R5" s="4"/>
      <c r="S5" s="23"/>
      <c r="T5" s="23"/>
      <c r="U5" s="23"/>
    </row>
    <row r="6" spans="1:21" ht="15" customHeight="1">
      <c r="A6" s="17" t="s">
        <v>9</v>
      </c>
      <c r="B6" s="304" t="str">
        <f>'A Synthèse'!B6</f>
        <v>BRA</v>
      </c>
      <c r="C6" s="17" t="s">
        <v>212</v>
      </c>
      <c r="D6" s="304">
        <f>'A Synthèse'!D6</f>
        <v>0</v>
      </c>
      <c r="E6" s="487" t="s">
        <v>92</v>
      </c>
      <c r="F6" s="488"/>
      <c r="G6" s="488"/>
      <c r="H6" s="488"/>
      <c r="I6" s="488"/>
      <c r="J6" s="488"/>
      <c r="K6" s="488"/>
      <c r="L6" s="489"/>
      <c r="M6" s="547" t="s">
        <v>13</v>
      </c>
      <c r="N6" s="548"/>
      <c r="O6" s="493" t="s">
        <v>12</v>
      </c>
      <c r="P6" s="494"/>
      <c r="R6" s="1"/>
      <c r="S6" s="1"/>
    </row>
    <row r="7" spans="1:21" ht="15" customHeight="1" thickBot="1">
      <c r="A7" s="18" t="s">
        <v>10</v>
      </c>
      <c r="B7" s="305">
        <f>'A Synthèse'!B7</f>
        <v>0</v>
      </c>
      <c r="C7" s="18" t="s">
        <v>10</v>
      </c>
      <c r="D7" s="305">
        <f>'A Synthèse'!D7</f>
        <v>0</v>
      </c>
      <c r="E7" s="490"/>
      <c r="F7" s="491"/>
      <c r="G7" s="491"/>
      <c r="H7" s="491"/>
      <c r="I7" s="491"/>
      <c r="J7" s="491"/>
      <c r="K7" s="491"/>
      <c r="L7" s="492"/>
      <c r="M7" s="549" t="str">
        <f>'A Synthèse'!M7:N7</f>
        <v>31/12/N</v>
      </c>
      <c r="N7" s="550"/>
      <c r="O7" s="495" t="s">
        <v>198</v>
      </c>
      <c r="P7" s="496"/>
    </row>
    <row r="8" spans="1:21" ht="21" customHeight="1" thickBot="1">
      <c r="A8" s="19"/>
      <c r="B8" s="16"/>
      <c r="C8" s="20"/>
      <c r="D8" s="20"/>
      <c r="E8" s="21"/>
      <c r="F8" s="21"/>
      <c r="G8" s="21"/>
      <c r="H8" s="21"/>
      <c r="I8" s="21"/>
      <c r="J8" s="21"/>
      <c r="K8" s="21"/>
      <c r="L8" s="21"/>
      <c r="M8" s="22"/>
      <c r="N8" s="20"/>
      <c r="O8" s="553" t="s">
        <v>217</v>
      </c>
      <c r="P8" s="553"/>
    </row>
    <row r="9" spans="1:21" s="20" customFormat="1" ht="31.5" customHeight="1" thickBot="1">
      <c r="A9" s="497" t="s">
        <v>15</v>
      </c>
      <c r="B9" s="498"/>
      <c r="C9" s="498"/>
      <c r="D9" s="539" t="str">
        <f>'A Synthèse'!D9:E9</f>
        <v>Elevé</v>
      </c>
      <c r="E9" s="540"/>
      <c r="F9" s="499" t="s">
        <v>3</v>
      </c>
      <c r="G9" s="500"/>
      <c r="H9" s="500"/>
      <c r="I9" s="500"/>
      <c r="J9" s="551">
        <f>'A Synthèse'!J9:K9</f>
        <v>14.7</v>
      </c>
      <c r="K9" s="552"/>
      <c r="L9" s="499" t="s">
        <v>16</v>
      </c>
      <c r="M9" s="500"/>
      <c r="N9" s="500"/>
      <c r="O9" s="539" t="str">
        <f>'A Synthèse'!O9:P9</f>
        <v>PE</v>
      </c>
      <c r="P9" s="540"/>
    </row>
    <row r="10" spans="1:21" s="20" customFormat="1" ht="21" customHeight="1" thickBot="1">
      <c r="A10" s="24"/>
      <c r="B10" s="24"/>
      <c r="C10" s="24"/>
      <c r="D10" s="24"/>
      <c r="E10" s="24"/>
      <c r="F10" s="24"/>
      <c r="G10" s="24"/>
      <c r="H10" s="24"/>
      <c r="I10" s="24"/>
      <c r="J10" s="24"/>
      <c r="K10" s="24"/>
      <c r="L10" s="24"/>
      <c r="M10" s="24"/>
      <c r="N10" s="24"/>
      <c r="O10" s="24"/>
      <c r="P10" s="24"/>
    </row>
    <row r="11" spans="1:21" s="25" customFormat="1" ht="139.15" customHeight="1" thickBot="1">
      <c r="A11" s="585" t="s">
        <v>218</v>
      </c>
      <c r="B11" s="586"/>
      <c r="C11" s="586"/>
      <c r="D11" s="586"/>
      <c r="E11" s="586"/>
      <c r="F11" s="586"/>
      <c r="G11" s="586"/>
      <c r="H11" s="586"/>
      <c r="I11" s="586"/>
      <c r="J11" s="586"/>
      <c r="K11" s="586"/>
      <c r="L11" s="586"/>
      <c r="M11" s="586"/>
      <c r="N11" s="586"/>
      <c r="O11" s="586"/>
      <c r="P11" s="587"/>
    </row>
    <row r="12" spans="1:21" s="25" customFormat="1" ht="9" customHeight="1" thickBot="1"/>
    <row r="13" spans="1:21" s="25" customFormat="1" ht="15">
      <c r="A13" s="530" t="s">
        <v>28</v>
      </c>
      <c r="B13" s="531"/>
      <c r="C13" s="531"/>
      <c r="D13" s="531"/>
      <c r="E13" s="531"/>
      <c r="F13" s="531"/>
      <c r="G13" s="531"/>
      <c r="H13" s="531"/>
      <c r="I13" s="531"/>
      <c r="J13" s="531"/>
      <c r="K13" s="531"/>
      <c r="L13" s="531"/>
      <c r="M13" s="531"/>
      <c r="N13" s="531"/>
      <c r="O13" s="531"/>
      <c r="P13" s="532"/>
    </row>
    <row r="14" spans="1:21" s="25" customFormat="1" ht="60" customHeight="1" thickBot="1">
      <c r="A14" s="588" t="s">
        <v>270</v>
      </c>
      <c r="B14" s="528"/>
      <c r="C14" s="528"/>
      <c r="D14" s="528"/>
      <c r="E14" s="528"/>
      <c r="F14" s="528"/>
      <c r="G14" s="528"/>
      <c r="H14" s="528"/>
      <c r="I14" s="528"/>
      <c r="J14" s="528"/>
      <c r="K14" s="528"/>
      <c r="L14" s="528"/>
      <c r="M14" s="528"/>
      <c r="N14" s="528"/>
      <c r="O14" s="528"/>
      <c r="P14" s="529"/>
    </row>
    <row r="15" spans="1:21" s="25" customFormat="1" thickBot="1"/>
    <row r="16" spans="1:21" s="25" customFormat="1" ht="15">
      <c r="A16" s="53"/>
      <c r="B16" s="91"/>
      <c r="C16" s="91"/>
      <c r="D16" s="91"/>
      <c r="E16" s="91"/>
      <c r="F16" s="206"/>
      <c r="G16" s="206"/>
      <c r="H16" s="58"/>
      <c r="I16" s="58"/>
      <c r="J16" s="58"/>
      <c r="K16" s="58"/>
      <c r="L16" s="58"/>
      <c r="M16" s="58"/>
      <c r="N16" s="58"/>
      <c r="O16" s="58"/>
      <c r="P16" s="59"/>
    </row>
    <row r="17" spans="1:16" s="25" customFormat="1" ht="15">
      <c r="A17" s="42"/>
      <c r="B17" s="31"/>
      <c r="C17" s="207" t="s">
        <v>160</v>
      </c>
      <c r="D17" s="435"/>
      <c r="E17" s="436"/>
      <c r="F17" s="161"/>
      <c r="G17" s="161"/>
      <c r="P17" s="61"/>
    </row>
    <row r="18" spans="1:16" s="25" customFormat="1" ht="15">
      <c r="A18" s="42"/>
      <c r="B18" s="31"/>
      <c r="C18" s="31"/>
      <c r="D18" s="207"/>
      <c r="E18" s="31"/>
      <c r="F18" s="161"/>
      <c r="G18" s="161"/>
      <c r="P18" s="61"/>
    </row>
    <row r="19" spans="1:16" s="20" customFormat="1" ht="32.25" customHeight="1">
      <c r="B19" s="265" t="s">
        <v>161</v>
      </c>
      <c r="C19" s="214" t="s">
        <v>49</v>
      </c>
      <c r="D19" s="214" t="s">
        <v>164</v>
      </c>
      <c r="E19" s="214" t="s">
        <v>162</v>
      </c>
      <c r="F19" s="275" t="s">
        <v>50</v>
      </c>
      <c r="G19" s="689" t="s">
        <v>165</v>
      </c>
      <c r="H19" s="689"/>
      <c r="I19" s="671" t="s">
        <v>35</v>
      </c>
      <c r="J19" s="672"/>
      <c r="K19" s="672"/>
      <c r="L19" s="672"/>
      <c r="M19" s="672"/>
      <c r="N19" s="673"/>
      <c r="O19" s="216" t="s">
        <v>40</v>
      </c>
      <c r="P19" s="441"/>
    </row>
    <row r="20" spans="1:16" s="288" customFormat="1" ht="30" customHeight="1">
      <c r="B20" s="439" t="s">
        <v>191</v>
      </c>
      <c r="C20" s="282"/>
      <c r="D20" s="283" t="e">
        <f>C20/C36</f>
        <v>#DIV/0!</v>
      </c>
      <c r="E20" s="284" t="e">
        <f t="shared" ref="E20:E34" si="0">C20/$D$17</f>
        <v>#DIV/0!</v>
      </c>
      <c r="F20" s="285"/>
      <c r="G20" s="286">
        <f t="shared" ref="G20:G34" si="1">C20-F20</f>
        <v>0</v>
      </c>
      <c r="H20" s="287" t="e">
        <f>+G20/F20</f>
        <v>#DIV/0!</v>
      </c>
      <c r="I20" s="691"/>
      <c r="J20" s="692"/>
      <c r="K20" s="692"/>
      <c r="L20" s="692"/>
      <c r="M20" s="692"/>
      <c r="N20" s="693"/>
      <c r="O20" s="276"/>
      <c r="P20" s="442"/>
    </row>
    <row r="21" spans="1:16" s="288" customFormat="1" ht="30" customHeight="1">
      <c r="B21" s="438" t="s">
        <v>179</v>
      </c>
      <c r="C21" s="289"/>
      <c r="D21" s="290" t="e">
        <f t="shared" ref="D21:D34" si="2">C21/D37</f>
        <v>#DIV/0!</v>
      </c>
      <c r="E21" s="291" t="e">
        <f t="shared" si="0"/>
        <v>#DIV/0!</v>
      </c>
      <c r="F21" s="292"/>
      <c r="G21" s="293">
        <f t="shared" si="1"/>
        <v>0</v>
      </c>
      <c r="H21" s="440" t="e">
        <f>+G21/F21</f>
        <v>#DIV/0!</v>
      </c>
      <c r="I21" s="694"/>
      <c r="J21" s="695"/>
      <c r="K21" s="695"/>
      <c r="L21" s="695"/>
      <c r="M21" s="695"/>
      <c r="N21" s="696"/>
      <c r="O21" s="301"/>
      <c r="P21" s="442"/>
    </row>
    <row r="22" spans="1:16" s="288" customFormat="1" ht="30" customHeight="1">
      <c r="B22" s="438" t="s">
        <v>180</v>
      </c>
      <c r="C22" s="289"/>
      <c r="D22" s="290" t="e">
        <f t="shared" si="2"/>
        <v>#DIV/0!</v>
      </c>
      <c r="E22" s="291" t="e">
        <f t="shared" si="0"/>
        <v>#DIV/0!</v>
      </c>
      <c r="F22" s="292"/>
      <c r="G22" s="293">
        <f t="shared" si="1"/>
        <v>0</v>
      </c>
      <c r="H22" s="294" t="e">
        <f t="shared" ref="H22:H34" si="3">+G22/F22</f>
        <v>#DIV/0!</v>
      </c>
      <c r="I22" s="694"/>
      <c r="J22" s="695"/>
      <c r="K22" s="695"/>
      <c r="L22" s="695"/>
      <c r="M22" s="695"/>
      <c r="N22" s="696"/>
      <c r="O22" s="302"/>
      <c r="P22" s="442"/>
    </row>
    <row r="23" spans="1:16" s="288" customFormat="1" ht="30" customHeight="1">
      <c r="B23" s="438" t="s">
        <v>181</v>
      </c>
      <c r="C23" s="289"/>
      <c r="D23" s="290" t="e">
        <f t="shared" si="2"/>
        <v>#DIV/0!</v>
      </c>
      <c r="E23" s="291" t="e">
        <f t="shared" si="0"/>
        <v>#DIV/0!</v>
      </c>
      <c r="F23" s="292"/>
      <c r="G23" s="293">
        <f t="shared" si="1"/>
        <v>0</v>
      </c>
      <c r="H23" s="294" t="e">
        <f t="shared" si="3"/>
        <v>#DIV/0!</v>
      </c>
      <c r="I23" s="694"/>
      <c r="J23" s="695"/>
      <c r="K23" s="695"/>
      <c r="L23" s="695"/>
      <c r="M23" s="695"/>
      <c r="N23" s="696"/>
      <c r="O23" s="301"/>
      <c r="P23" s="442"/>
    </row>
    <row r="24" spans="1:16" s="288" customFormat="1" ht="30" customHeight="1">
      <c r="B24" s="438" t="s">
        <v>182</v>
      </c>
      <c r="C24" s="289"/>
      <c r="D24" s="290" t="e">
        <f t="shared" si="2"/>
        <v>#DIV/0!</v>
      </c>
      <c r="E24" s="291" t="e">
        <f t="shared" si="0"/>
        <v>#DIV/0!</v>
      </c>
      <c r="F24" s="292"/>
      <c r="G24" s="293">
        <f t="shared" si="1"/>
        <v>0</v>
      </c>
      <c r="H24" s="294" t="e">
        <f t="shared" si="3"/>
        <v>#DIV/0!</v>
      </c>
      <c r="I24" s="694"/>
      <c r="J24" s="695"/>
      <c r="K24" s="695"/>
      <c r="L24" s="695"/>
      <c r="M24" s="695"/>
      <c r="N24" s="696"/>
      <c r="O24" s="302"/>
      <c r="P24" s="442"/>
    </row>
    <row r="25" spans="1:16" s="288" customFormat="1" ht="30" customHeight="1">
      <c r="B25" s="438" t="s">
        <v>183</v>
      </c>
      <c r="C25" s="289"/>
      <c r="D25" s="290" t="e">
        <f t="shared" si="2"/>
        <v>#DIV/0!</v>
      </c>
      <c r="E25" s="291" t="e">
        <f t="shared" si="0"/>
        <v>#DIV/0!</v>
      </c>
      <c r="F25" s="292"/>
      <c r="G25" s="293">
        <f t="shared" si="1"/>
        <v>0</v>
      </c>
      <c r="H25" s="294" t="e">
        <f t="shared" si="3"/>
        <v>#DIV/0!</v>
      </c>
      <c r="I25" s="694"/>
      <c r="J25" s="695"/>
      <c r="K25" s="695"/>
      <c r="L25" s="695"/>
      <c r="M25" s="695"/>
      <c r="N25" s="696"/>
      <c r="O25" s="302"/>
      <c r="P25" s="442"/>
    </row>
    <row r="26" spans="1:16" s="288" customFormat="1" ht="30" customHeight="1">
      <c r="B26" s="327" t="s">
        <v>184</v>
      </c>
      <c r="C26" s="289"/>
      <c r="D26" s="290" t="e">
        <f t="shared" si="2"/>
        <v>#DIV/0!</v>
      </c>
      <c r="E26" s="291" t="e">
        <f t="shared" si="0"/>
        <v>#DIV/0!</v>
      </c>
      <c r="F26" s="292"/>
      <c r="G26" s="293">
        <f t="shared" si="1"/>
        <v>0</v>
      </c>
      <c r="H26" s="294" t="e">
        <f t="shared" si="3"/>
        <v>#DIV/0!</v>
      </c>
      <c r="I26" s="694"/>
      <c r="J26" s="695"/>
      <c r="K26" s="695"/>
      <c r="L26" s="695"/>
      <c r="M26" s="695"/>
      <c r="N26" s="696"/>
      <c r="O26" s="302"/>
      <c r="P26" s="442"/>
    </row>
    <row r="27" spans="1:16" s="288" customFormat="1" ht="30" customHeight="1">
      <c r="B27" s="438" t="s">
        <v>185</v>
      </c>
      <c r="C27" s="289"/>
      <c r="D27" s="290" t="e">
        <f t="shared" si="2"/>
        <v>#DIV/0!</v>
      </c>
      <c r="E27" s="291" t="e">
        <f t="shared" si="0"/>
        <v>#DIV/0!</v>
      </c>
      <c r="F27" s="292"/>
      <c r="G27" s="293">
        <f t="shared" si="1"/>
        <v>0</v>
      </c>
      <c r="H27" s="294" t="e">
        <f t="shared" si="3"/>
        <v>#DIV/0!</v>
      </c>
      <c r="I27" s="694"/>
      <c r="J27" s="695"/>
      <c r="K27" s="695"/>
      <c r="L27" s="695"/>
      <c r="M27" s="695"/>
      <c r="N27" s="696"/>
      <c r="O27" s="302"/>
      <c r="P27" s="442"/>
    </row>
    <row r="28" spans="1:16" s="288" customFormat="1" ht="30" customHeight="1">
      <c r="B28" s="438" t="s">
        <v>186</v>
      </c>
      <c r="C28" s="289"/>
      <c r="D28" s="290" t="e">
        <f t="shared" si="2"/>
        <v>#DIV/0!</v>
      </c>
      <c r="E28" s="291" t="e">
        <f t="shared" si="0"/>
        <v>#DIV/0!</v>
      </c>
      <c r="F28" s="292"/>
      <c r="G28" s="293">
        <f t="shared" si="1"/>
        <v>0</v>
      </c>
      <c r="H28" s="294" t="e">
        <f t="shared" si="3"/>
        <v>#DIV/0!</v>
      </c>
      <c r="I28" s="694"/>
      <c r="J28" s="695"/>
      <c r="K28" s="695"/>
      <c r="L28" s="695"/>
      <c r="M28" s="695"/>
      <c r="N28" s="696"/>
      <c r="O28" s="302"/>
      <c r="P28" s="442"/>
    </row>
    <row r="29" spans="1:16" s="288" customFormat="1" ht="45">
      <c r="B29" s="438" t="s">
        <v>187</v>
      </c>
      <c r="C29" s="289"/>
      <c r="D29" s="290" t="e">
        <f t="shared" si="2"/>
        <v>#DIV/0!</v>
      </c>
      <c r="E29" s="291" t="e">
        <f t="shared" si="0"/>
        <v>#DIV/0!</v>
      </c>
      <c r="F29" s="292"/>
      <c r="G29" s="293">
        <f t="shared" si="1"/>
        <v>0</v>
      </c>
      <c r="H29" s="294" t="e">
        <f t="shared" si="3"/>
        <v>#DIV/0!</v>
      </c>
      <c r="I29" s="694"/>
      <c r="J29" s="695"/>
      <c r="K29" s="695"/>
      <c r="L29" s="695"/>
      <c r="M29" s="695"/>
      <c r="N29" s="696"/>
      <c r="O29" s="301"/>
      <c r="P29" s="442"/>
    </row>
    <row r="30" spans="1:16" s="288" customFormat="1" ht="30" customHeight="1">
      <c r="B30" s="438" t="s">
        <v>188</v>
      </c>
      <c r="C30" s="289"/>
      <c r="D30" s="290" t="e">
        <f t="shared" si="2"/>
        <v>#DIV/0!</v>
      </c>
      <c r="E30" s="291" t="e">
        <f t="shared" si="0"/>
        <v>#DIV/0!</v>
      </c>
      <c r="F30" s="292"/>
      <c r="G30" s="293">
        <f t="shared" si="1"/>
        <v>0</v>
      </c>
      <c r="H30" s="294" t="e">
        <f t="shared" si="3"/>
        <v>#DIV/0!</v>
      </c>
      <c r="I30" s="694"/>
      <c r="J30" s="695"/>
      <c r="K30" s="695"/>
      <c r="L30" s="695"/>
      <c r="M30" s="695"/>
      <c r="N30" s="696"/>
      <c r="O30" s="302"/>
      <c r="P30" s="442"/>
    </row>
    <row r="31" spans="1:16" s="288" customFormat="1" ht="30" customHeight="1">
      <c r="B31" s="438" t="s">
        <v>189</v>
      </c>
      <c r="C31" s="289"/>
      <c r="D31" s="290" t="e">
        <f t="shared" si="2"/>
        <v>#DIV/0!</v>
      </c>
      <c r="E31" s="291" t="e">
        <f t="shared" si="0"/>
        <v>#DIV/0!</v>
      </c>
      <c r="F31" s="292"/>
      <c r="G31" s="293">
        <f t="shared" si="1"/>
        <v>0</v>
      </c>
      <c r="H31" s="294" t="e">
        <f t="shared" si="3"/>
        <v>#DIV/0!</v>
      </c>
      <c r="I31" s="694"/>
      <c r="J31" s="695"/>
      <c r="K31" s="695"/>
      <c r="L31" s="695"/>
      <c r="M31" s="695"/>
      <c r="N31" s="696"/>
      <c r="O31" s="301"/>
      <c r="P31" s="442"/>
    </row>
    <row r="32" spans="1:16" s="288" customFormat="1" ht="30" customHeight="1">
      <c r="B32" s="438" t="s">
        <v>190</v>
      </c>
      <c r="C32" s="289"/>
      <c r="D32" s="290" t="e">
        <f t="shared" si="2"/>
        <v>#DIV/0!</v>
      </c>
      <c r="E32" s="291" t="e">
        <f t="shared" si="0"/>
        <v>#DIV/0!</v>
      </c>
      <c r="F32" s="292"/>
      <c r="G32" s="293">
        <f t="shared" si="1"/>
        <v>0</v>
      </c>
      <c r="H32" s="294" t="e">
        <f t="shared" si="3"/>
        <v>#DIV/0!</v>
      </c>
      <c r="I32" s="694"/>
      <c r="J32" s="695"/>
      <c r="K32" s="695"/>
      <c r="L32" s="695"/>
      <c r="M32" s="695"/>
      <c r="N32" s="696"/>
      <c r="O32" s="301"/>
      <c r="P32" s="442"/>
    </row>
    <row r="33" spans="1:16" s="288" customFormat="1" ht="30" customHeight="1">
      <c r="B33" s="438" t="s">
        <v>192</v>
      </c>
      <c r="C33" s="289"/>
      <c r="D33" s="290" t="e">
        <f t="shared" si="2"/>
        <v>#DIV/0!</v>
      </c>
      <c r="E33" s="291" t="e">
        <f t="shared" si="0"/>
        <v>#DIV/0!</v>
      </c>
      <c r="F33" s="292"/>
      <c r="G33" s="293">
        <f t="shared" si="1"/>
        <v>0</v>
      </c>
      <c r="H33" s="294" t="e">
        <f t="shared" si="3"/>
        <v>#DIV/0!</v>
      </c>
      <c r="I33" s="694"/>
      <c r="J33" s="695"/>
      <c r="K33" s="695"/>
      <c r="L33" s="695"/>
      <c r="M33" s="695"/>
      <c r="N33" s="696"/>
      <c r="O33" s="301"/>
      <c r="P33" s="442"/>
    </row>
    <row r="34" spans="1:16" s="288" customFormat="1" ht="30" customHeight="1">
      <c r="B34" s="438" t="s">
        <v>193</v>
      </c>
      <c r="C34" s="295"/>
      <c r="D34" s="296" t="e">
        <f t="shared" si="2"/>
        <v>#DIV/0!</v>
      </c>
      <c r="E34" s="297" t="e">
        <f t="shared" si="0"/>
        <v>#DIV/0!</v>
      </c>
      <c r="F34" s="298"/>
      <c r="G34" s="299">
        <f t="shared" si="1"/>
        <v>0</v>
      </c>
      <c r="H34" s="300" t="e">
        <f t="shared" si="3"/>
        <v>#DIV/0!</v>
      </c>
      <c r="I34" s="697"/>
      <c r="J34" s="698"/>
      <c r="K34" s="698"/>
      <c r="L34" s="698"/>
      <c r="M34" s="698"/>
      <c r="N34" s="699"/>
      <c r="O34" s="303"/>
      <c r="P34" s="442"/>
    </row>
    <row r="35" spans="1:16" s="25" customFormat="1" ht="15">
      <c r="B35" s="208"/>
      <c r="C35" s="209"/>
      <c r="D35" s="210"/>
      <c r="E35" s="210"/>
      <c r="F35" s="210"/>
      <c r="G35" s="210"/>
      <c r="H35" s="210"/>
      <c r="I35" s="210"/>
      <c r="J35" s="38"/>
      <c r="K35" s="38"/>
      <c r="L35" s="274"/>
      <c r="P35" s="212"/>
    </row>
    <row r="36" spans="1:16" s="36" customFormat="1" ht="20.25" customHeight="1">
      <c r="B36" s="437" t="s">
        <v>163</v>
      </c>
      <c r="C36" s="277">
        <f>SUM(C20:C34)</f>
        <v>0</v>
      </c>
      <c r="D36" s="280" t="e">
        <f>SUM(D20:D34)</f>
        <v>#DIV/0!</v>
      </c>
      <c r="E36" s="280"/>
      <c r="F36" s="277">
        <f>SUM(F20:F34)</f>
        <v>0</v>
      </c>
      <c r="G36" s="277">
        <f>SUM(G20:G34)</f>
        <v>0</v>
      </c>
      <c r="H36" s="281" t="e">
        <f>G36/F36</f>
        <v>#DIV/0!</v>
      </c>
      <c r="I36" s="308"/>
      <c r="L36" s="278"/>
      <c r="P36" s="279"/>
    </row>
    <row r="37" spans="1:16" s="25" customFormat="1" ht="15">
      <c r="A37" s="60"/>
      <c r="E37" s="690"/>
      <c r="F37" s="690"/>
      <c r="G37" s="690"/>
      <c r="H37" s="690"/>
      <c r="I37" s="211"/>
      <c r="J37" s="211"/>
      <c r="K37" s="31"/>
      <c r="P37" s="61"/>
    </row>
    <row r="38" spans="1:16" ht="16.5" thickBot="1">
      <c r="A38" s="98"/>
      <c r="B38" s="99"/>
      <c r="C38" s="99"/>
      <c r="D38" s="99"/>
      <c r="E38" s="99"/>
      <c r="F38" s="99"/>
      <c r="G38" s="99"/>
      <c r="H38" s="99"/>
      <c r="I38" s="99"/>
      <c r="J38" s="99"/>
      <c r="K38" s="99"/>
      <c r="L38" s="99"/>
      <c r="M38" s="99"/>
      <c r="N38" s="99"/>
      <c r="O38" s="99"/>
      <c r="P38" s="100"/>
    </row>
  </sheetData>
  <sheetProtection formatCells="0" formatColumns="0" formatRows="0" insertColumns="0" insertRows="0" insertHyperlinks="0" deleteColumns="0" deleteRows="0" sort="0" autoFilter="0" pivotTables="0"/>
  <mergeCells count="35">
    <mergeCell ref="I24:N24"/>
    <mergeCell ref="I25:N25"/>
    <mergeCell ref="I26:N26"/>
    <mergeCell ref="I34:N34"/>
    <mergeCell ref="I33:N33"/>
    <mergeCell ref="I27:N27"/>
    <mergeCell ref="I28:N28"/>
    <mergeCell ref="I29:N29"/>
    <mergeCell ref="I30:N30"/>
    <mergeCell ref="I31:N31"/>
    <mergeCell ref="I32:N32"/>
    <mergeCell ref="G19:H19"/>
    <mergeCell ref="E37:H37"/>
    <mergeCell ref="J9:K9"/>
    <mergeCell ref="L9:N9"/>
    <mergeCell ref="A11:P11"/>
    <mergeCell ref="A13:P13"/>
    <mergeCell ref="A14:P14"/>
    <mergeCell ref="O9:P9"/>
    <mergeCell ref="A9:C9"/>
    <mergeCell ref="D9:E9"/>
    <mergeCell ref="F9:I9"/>
    <mergeCell ref="I19:N19"/>
    <mergeCell ref="I20:N20"/>
    <mergeCell ref="I21:N21"/>
    <mergeCell ref="I22:N22"/>
    <mergeCell ref="I23:N23"/>
    <mergeCell ref="O8:P8"/>
    <mergeCell ref="D1:M2"/>
    <mergeCell ref="A3:P5"/>
    <mergeCell ref="E6:L7"/>
    <mergeCell ref="M6:N6"/>
    <mergeCell ref="O6:P6"/>
    <mergeCell ref="M7:N7"/>
    <mergeCell ref="O7:P7"/>
  </mergeCells>
  <conditionalFormatting sqref="G19:H34">
    <cfRule type="cellIs" dxfId="0" priority="2" stopIfTrue="1" operator="between">
      <formula>-15000</formula>
      <formula>15000</formula>
    </cfRule>
  </conditionalFormatting>
  <dataValidations disablePrompts="1" count="2">
    <dataValidation type="list" showInputMessage="1" showErrorMessage="1" sqref="D9:E9" xr:uid="{00000000-0002-0000-0C00-000000000000}">
      <formula1>RAS</formula1>
    </dataValidation>
    <dataValidation type="list" allowBlank="1" showInputMessage="1" showErrorMessage="1" sqref="O9:P9" xr:uid="{00000000-0002-0000-0C00-000001000000}">
      <formula1>Diligences</formula1>
    </dataValidation>
  </dataValidations>
  <hyperlinks>
    <hyperlink ref="O8:P8" location="'A Synthèse'!Zone_d_impression" display="A Synthèse" xr:uid="{00000000-0004-0000-0C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U50"/>
  <sheetViews>
    <sheetView showGridLines="0" topLeftCell="A13" zoomScaleNormal="100" workbookViewId="0">
      <selection activeCell="D24" sqref="D24"/>
    </sheetView>
  </sheetViews>
  <sheetFormatPr baseColWidth="10" defaultColWidth="11.42578125" defaultRowHeight="15"/>
  <cols>
    <col min="1" max="1" width="19.7109375" style="25" customWidth="1"/>
    <col min="2" max="2" width="19" style="25" customWidth="1"/>
    <col min="3" max="16" width="14.7109375" style="25" customWidth="1"/>
    <col min="17" max="16384" width="11.42578125" style="25"/>
  </cols>
  <sheetData>
    <row r="1" spans="1:21" s="36" customFormat="1" ht="15" customHeight="1">
      <c r="A1" s="10"/>
      <c r="B1" s="11"/>
      <c r="C1" s="11"/>
      <c r="D1" s="541">
        <f>'A Synthèse'!D1:M2</f>
        <v>0</v>
      </c>
      <c r="E1" s="542"/>
      <c r="F1" s="542"/>
      <c r="G1" s="542"/>
      <c r="H1" s="542"/>
      <c r="I1" s="542"/>
      <c r="J1" s="542"/>
      <c r="K1" s="542"/>
      <c r="L1" s="542"/>
      <c r="M1" s="543"/>
      <c r="N1" s="11"/>
      <c r="O1" s="11"/>
      <c r="P1" s="12"/>
    </row>
    <row r="2" spans="1:21" s="36" customFormat="1" ht="15" customHeight="1" thickBot="1">
      <c r="A2" s="13"/>
      <c r="B2" s="14"/>
      <c r="C2" s="14"/>
      <c r="D2" s="544"/>
      <c r="E2" s="545"/>
      <c r="F2" s="545"/>
      <c r="G2" s="545"/>
      <c r="H2" s="545"/>
      <c r="I2" s="545"/>
      <c r="J2" s="545"/>
      <c r="K2" s="545"/>
      <c r="L2" s="545"/>
      <c r="M2" s="546"/>
      <c r="N2" s="14"/>
      <c r="O2" s="14"/>
      <c r="P2" s="15"/>
    </row>
    <row r="3" spans="1:21" ht="15" customHeight="1">
      <c r="A3" s="481" t="s">
        <v>86</v>
      </c>
      <c r="B3" s="482"/>
      <c r="C3" s="482"/>
      <c r="D3" s="482"/>
      <c r="E3" s="482"/>
      <c r="F3" s="482"/>
      <c r="G3" s="482"/>
      <c r="H3" s="482"/>
      <c r="I3" s="482"/>
      <c r="J3" s="482"/>
      <c r="K3" s="482"/>
      <c r="L3" s="482"/>
      <c r="M3" s="482"/>
      <c r="N3" s="482"/>
      <c r="O3" s="482"/>
      <c r="P3" s="483"/>
      <c r="R3" s="3"/>
      <c r="T3" s="5"/>
      <c r="U3" s="5"/>
    </row>
    <row r="4" spans="1:21" ht="15" customHeight="1">
      <c r="A4" s="481"/>
      <c r="B4" s="482"/>
      <c r="C4" s="482"/>
      <c r="D4" s="482"/>
      <c r="E4" s="482"/>
      <c r="F4" s="482"/>
      <c r="G4" s="482"/>
      <c r="H4" s="482"/>
      <c r="I4" s="482"/>
      <c r="J4" s="482"/>
      <c r="K4" s="482"/>
      <c r="L4" s="482"/>
      <c r="M4" s="482"/>
      <c r="N4" s="482"/>
      <c r="O4" s="482"/>
      <c r="P4" s="483"/>
      <c r="R4" s="3"/>
      <c r="T4" s="5"/>
      <c r="U4" s="5"/>
    </row>
    <row r="5" spans="1:21" ht="15" customHeight="1" thickBot="1">
      <c r="A5" s="484"/>
      <c r="B5" s="485"/>
      <c r="C5" s="485"/>
      <c r="D5" s="485"/>
      <c r="E5" s="485"/>
      <c r="F5" s="485"/>
      <c r="G5" s="485"/>
      <c r="H5" s="485"/>
      <c r="I5" s="485"/>
      <c r="J5" s="485"/>
      <c r="K5" s="485"/>
      <c r="L5" s="485"/>
      <c r="M5" s="485"/>
      <c r="N5" s="485"/>
      <c r="O5" s="485"/>
      <c r="P5" s="486"/>
      <c r="Q5" s="3"/>
      <c r="R5" s="37"/>
      <c r="S5" s="38"/>
      <c r="T5" s="38"/>
      <c r="U5" s="38"/>
    </row>
    <row r="6" spans="1:21" ht="15" customHeight="1">
      <c r="A6" s="17" t="s">
        <v>9</v>
      </c>
      <c r="B6" s="304" t="str">
        <f>'A Synthèse'!B6</f>
        <v>BRA</v>
      </c>
      <c r="C6" s="17" t="s">
        <v>212</v>
      </c>
      <c r="D6" s="304">
        <f>'A Synthèse'!D6</f>
        <v>0</v>
      </c>
      <c r="E6" s="487" t="s">
        <v>88</v>
      </c>
      <c r="F6" s="488"/>
      <c r="G6" s="488"/>
      <c r="H6" s="488"/>
      <c r="I6" s="488"/>
      <c r="J6" s="488"/>
      <c r="K6" s="488"/>
      <c r="L6" s="489"/>
      <c r="M6" s="547" t="s">
        <v>13</v>
      </c>
      <c r="N6" s="548"/>
      <c r="O6" s="493" t="s">
        <v>12</v>
      </c>
      <c r="P6" s="494"/>
      <c r="R6" s="36"/>
      <c r="S6" s="36"/>
    </row>
    <row r="7" spans="1:21" ht="15" customHeight="1" thickBot="1">
      <c r="A7" s="18" t="s">
        <v>10</v>
      </c>
      <c r="B7" s="305">
        <f>'A Synthèse'!B7</f>
        <v>0</v>
      </c>
      <c r="C7" s="18" t="s">
        <v>10</v>
      </c>
      <c r="D7" s="305">
        <f>'A Synthèse'!D7</f>
        <v>0</v>
      </c>
      <c r="E7" s="490"/>
      <c r="F7" s="491"/>
      <c r="G7" s="491"/>
      <c r="H7" s="491"/>
      <c r="I7" s="491"/>
      <c r="J7" s="491"/>
      <c r="K7" s="491"/>
      <c r="L7" s="492"/>
      <c r="M7" s="549" t="str">
        <f>'A Synthèse'!M7:N7</f>
        <v>31/12/N</v>
      </c>
      <c r="N7" s="550"/>
      <c r="O7" s="495" t="s">
        <v>199</v>
      </c>
      <c r="P7" s="496"/>
    </row>
    <row r="8" spans="1:21" ht="21" customHeight="1" thickBot="1">
      <c r="A8" s="19"/>
      <c r="B8" s="39"/>
      <c r="C8" s="20"/>
      <c r="D8" s="20"/>
      <c r="E8" s="40"/>
      <c r="F8" s="40"/>
      <c r="G8" s="40"/>
      <c r="H8" s="40"/>
      <c r="I8" s="40"/>
      <c r="J8" s="40"/>
      <c r="K8" s="40"/>
      <c r="L8" s="40"/>
      <c r="M8" s="22"/>
      <c r="N8" s="20"/>
      <c r="O8" s="553" t="s">
        <v>217</v>
      </c>
      <c r="P8" s="553"/>
    </row>
    <row r="9" spans="1:21" s="20" customFormat="1" ht="31.5" customHeight="1" thickBot="1">
      <c r="A9" s="497" t="s">
        <v>15</v>
      </c>
      <c r="B9" s="498"/>
      <c r="C9" s="498"/>
      <c r="D9" s="539" t="str">
        <f>'A Synthèse'!D9:E9</f>
        <v>Elevé</v>
      </c>
      <c r="E9" s="540"/>
      <c r="F9" s="499" t="s">
        <v>3</v>
      </c>
      <c r="G9" s="500"/>
      <c r="H9" s="500"/>
      <c r="I9" s="500"/>
      <c r="J9" s="551">
        <f>'A Synthèse'!J9:K9</f>
        <v>14.7</v>
      </c>
      <c r="K9" s="552"/>
      <c r="L9" s="499" t="s">
        <v>16</v>
      </c>
      <c r="M9" s="500"/>
      <c r="N9" s="500"/>
      <c r="O9" s="539" t="str">
        <f>'A Synthèse'!O9:P9</f>
        <v>PE</v>
      </c>
      <c r="P9" s="540"/>
    </row>
    <row r="10" spans="1:21" s="20" customFormat="1" ht="21" customHeight="1" thickBot="1">
      <c r="A10" s="24"/>
      <c r="B10" s="24"/>
      <c r="C10" s="24"/>
      <c r="D10" s="24"/>
      <c r="E10" s="24"/>
      <c r="F10" s="24"/>
      <c r="G10" s="24"/>
      <c r="H10" s="24"/>
      <c r="I10" s="24"/>
      <c r="J10" s="24"/>
      <c r="K10" s="24"/>
      <c r="L10" s="24"/>
      <c r="M10" s="24"/>
      <c r="N10" s="24"/>
      <c r="O10" s="24"/>
      <c r="P10" s="24"/>
    </row>
    <row r="11" spans="1:21" ht="98.25" customHeight="1" thickBot="1">
      <c r="A11" s="585" t="s">
        <v>167</v>
      </c>
      <c r="B11" s="586"/>
      <c r="C11" s="586"/>
      <c r="D11" s="586"/>
      <c r="E11" s="586"/>
      <c r="F11" s="586"/>
      <c r="G11" s="586"/>
      <c r="H11" s="586"/>
      <c r="I11" s="586"/>
      <c r="J11" s="586"/>
      <c r="K11" s="586"/>
      <c r="L11" s="586"/>
      <c r="M11" s="586"/>
      <c r="N11" s="586"/>
      <c r="O11" s="586"/>
      <c r="P11" s="587"/>
    </row>
    <row r="12" spans="1:21" ht="9" customHeight="1" thickBot="1"/>
    <row r="13" spans="1:21">
      <c r="A13" s="530" t="s">
        <v>28</v>
      </c>
      <c r="B13" s="531"/>
      <c r="C13" s="531"/>
      <c r="D13" s="531"/>
      <c r="E13" s="531"/>
      <c r="F13" s="531"/>
      <c r="G13" s="531"/>
      <c r="H13" s="531"/>
      <c r="I13" s="531"/>
      <c r="J13" s="531"/>
      <c r="K13" s="531"/>
      <c r="L13" s="531"/>
      <c r="M13" s="531"/>
      <c r="N13" s="531"/>
      <c r="O13" s="531"/>
      <c r="P13" s="532"/>
    </row>
    <row r="14" spans="1:21" ht="60" customHeight="1" thickBot="1">
      <c r="A14" s="527"/>
      <c r="B14" s="528"/>
      <c r="C14" s="528"/>
      <c r="D14" s="528"/>
      <c r="E14" s="528"/>
      <c r="F14" s="528"/>
      <c r="G14" s="528"/>
      <c r="H14" s="528"/>
      <c r="I14" s="528"/>
      <c r="J14" s="528"/>
      <c r="K14" s="528"/>
      <c r="L14" s="528"/>
      <c r="M14" s="528"/>
      <c r="N14" s="528"/>
      <c r="O14" s="528"/>
      <c r="P14" s="529"/>
    </row>
    <row r="15" spans="1:21" ht="15.75" thickBot="1"/>
    <row r="16" spans="1:21">
      <c r="A16" s="178"/>
      <c r="B16" s="179"/>
      <c r="C16" s="179"/>
      <c r="D16" s="179"/>
      <c r="E16" s="179"/>
      <c r="F16" s="179"/>
      <c r="G16" s="179"/>
      <c r="H16" s="58"/>
      <c r="I16" s="58"/>
      <c r="J16" s="58"/>
      <c r="K16" s="58"/>
      <c r="L16" s="58"/>
      <c r="M16" s="58"/>
      <c r="N16" s="58"/>
      <c r="O16" s="58"/>
      <c r="P16" s="59"/>
    </row>
    <row r="17" spans="1:16">
      <c r="A17" s="174" t="s">
        <v>170</v>
      </c>
      <c r="B17" s="162"/>
      <c r="C17" s="162"/>
      <c r="D17" s="162"/>
      <c r="E17" s="162"/>
      <c r="F17" s="162"/>
      <c r="G17" s="162"/>
      <c r="P17" s="61"/>
    </row>
    <row r="18" spans="1:16" ht="15.75" thickBot="1">
      <c r="A18" s="163"/>
      <c r="B18" s="162"/>
      <c r="C18" s="162"/>
      <c r="D18" s="162"/>
      <c r="E18" s="162"/>
      <c r="F18" s="162"/>
      <c r="G18" s="162"/>
      <c r="P18" s="61"/>
    </row>
    <row r="19" spans="1:16" ht="15.75" thickBot="1">
      <c r="A19" s="213" t="s">
        <v>168</v>
      </c>
      <c r="B19" s="162"/>
      <c r="C19" s="162"/>
      <c r="D19" s="164"/>
      <c r="E19" s="162"/>
      <c r="F19" s="162"/>
      <c r="G19" s="162"/>
      <c r="P19" s="61"/>
    </row>
    <row r="20" spans="1:16" ht="15.75" thickBot="1">
      <c r="A20" s="163"/>
      <c r="B20" s="162"/>
      <c r="C20" s="162"/>
      <c r="D20" s="165"/>
      <c r="E20" s="162"/>
      <c r="F20" s="162"/>
      <c r="G20" s="162"/>
      <c r="P20" s="61"/>
    </row>
    <row r="21" spans="1:16" ht="15.75" thickBot="1">
      <c r="A21" s="213" t="s">
        <v>169</v>
      </c>
      <c r="B21" s="162"/>
      <c r="C21" s="162"/>
      <c r="D21" s="164"/>
      <c r="E21" s="162"/>
      <c r="F21" s="162"/>
      <c r="G21" s="162"/>
      <c r="P21" s="61"/>
    </row>
    <row r="22" spans="1:16" ht="15.75" thickBot="1">
      <c r="A22" s="163"/>
      <c r="B22" s="162"/>
      <c r="C22" s="162"/>
      <c r="D22" s="165"/>
      <c r="E22" s="162"/>
      <c r="F22" s="162"/>
      <c r="G22" s="162"/>
      <c r="P22" s="61"/>
    </row>
    <row r="23" spans="1:16" ht="15.75" thickBot="1">
      <c r="A23" s="163" t="s">
        <v>120</v>
      </c>
      <c r="B23" s="162"/>
      <c r="C23" s="162"/>
      <c r="D23" s="175">
        <f>D19-D21</f>
        <v>0</v>
      </c>
      <c r="E23" s="162"/>
      <c r="F23" s="162"/>
      <c r="G23" s="162"/>
      <c r="P23" s="61"/>
    </row>
    <row r="24" spans="1:16">
      <c r="A24" s="163"/>
      <c r="B24" s="162"/>
      <c r="C24" s="162"/>
      <c r="D24" s="162"/>
      <c r="E24" s="162"/>
      <c r="F24" s="162"/>
      <c r="G24" s="162"/>
      <c r="P24" s="61"/>
    </row>
    <row r="25" spans="1:16">
      <c r="A25" s="163"/>
      <c r="B25" s="162"/>
      <c r="C25" s="162"/>
      <c r="D25" s="162"/>
      <c r="E25" s="162"/>
      <c r="F25" s="162"/>
      <c r="G25" s="162"/>
      <c r="P25" s="61"/>
    </row>
    <row r="26" spans="1:16">
      <c r="A26" s="174" t="s">
        <v>130</v>
      </c>
      <c r="B26" s="162"/>
      <c r="C26" s="162"/>
      <c r="D26" s="162"/>
      <c r="E26" s="162"/>
      <c r="F26" s="162"/>
      <c r="G26" s="162"/>
      <c r="P26" s="61"/>
    </row>
    <row r="27" spans="1:16">
      <c r="A27" s="42"/>
      <c r="B27" s="31"/>
      <c r="C27" s="31"/>
      <c r="D27" s="31"/>
      <c r="E27" s="31"/>
      <c r="F27" s="31"/>
      <c r="G27" s="31"/>
      <c r="P27" s="61"/>
    </row>
    <row r="28" spans="1:16" ht="24.75" customHeight="1">
      <c r="B28" s="230" t="s">
        <v>121</v>
      </c>
      <c r="C28" s="265" t="s">
        <v>122</v>
      </c>
      <c r="D28" s="214" t="s">
        <v>46</v>
      </c>
      <c r="E28" s="214" t="s">
        <v>123</v>
      </c>
      <c r="F28" s="215" t="s">
        <v>124</v>
      </c>
      <c r="G28" s="216" t="s">
        <v>125</v>
      </c>
      <c r="H28" s="671" t="s">
        <v>126</v>
      </c>
      <c r="I28" s="672"/>
      <c r="J28" s="672"/>
      <c r="K28" s="672"/>
      <c r="L28" s="672"/>
      <c r="M28" s="672"/>
      <c r="N28" s="672"/>
      <c r="O28" s="673"/>
      <c r="P28" s="61"/>
    </row>
    <row r="29" spans="1:16">
      <c r="B29" s="221"/>
      <c r="C29" s="444"/>
      <c r="D29" s="217"/>
      <c r="E29" s="218"/>
      <c r="F29" s="224"/>
      <c r="G29" s="227"/>
      <c r="H29" s="703"/>
      <c r="I29" s="704"/>
      <c r="J29" s="704"/>
      <c r="K29" s="704"/>
      <c r="L29" s="704"/>
      <c r="M29" s="704"/>
      <c r="N29" s="704"/>
      <c r="O29" s="705"/>
      <c r="P29" s="61"/>
    </row>
    <row r="30" spans="1:16">
      <c r="B30" s="222"/>
      <c r="C30" s="443"/>
      <c r="D30" s="166"/>
      <c r="E30" s="167"/>
      <c r="F30" s="225"/>
      <c r="G30" s="228"/>
      <c r="H30" s="700"/>
      <c r="I30" s="701"/>
      <c r="J30" s="701"/>
      <c r="K30" s="701"/>
      <c r="L30" s="701"/>
      <c r="M30" s="701"/>
      <c r="N30" s="701"/>
      <c r="O30" s="702"/>
      <c r="P30" s="61"/>
    </row>
    <row r="31" spans="1:16">
      <c r="B31" s="222"/>
      <c r="C31" s="443"/>
      <c r="D31" s="166"/>
      <c r="E31" s="167"/>
      <c r="F31" s="225"/>
      <c r="G31" s="228"/>
      <c r="H31" s="700"/>
      <c r="I31" s="701"/>
      <c r="J31" s="701"/>
      <c r="K31" s="701"/>
      <c r="L31" s="701"/>
      <c r="M31" s="701"/>
      <c r="N31" s="701"/>
      <c r="O31" s="702"/>
      <c r="P31" s="61"/>
    </row>
    <row r="32" spans="1:16">
      <c r="B32" s="222"/>
      <c r="C32" s="443"/>
      <c r="D32" s="166"/>
      <c r="E32" s="167"/>
      <c r="F32" s="225"/>
      <c r="G32" s="228"/>
      <c r="H32" s="700"/>
      <c r="I32" s="701"/>
      <c r="J32" s="701"/>
      <c r="K32" s="701"/>
      <c r="L32" s="701"/>
      <c r="M32" s="701"/>
      <c r="N32" s="701"/>
      <c r="O32" s="702"/>
      <c r="P32" s="61"/>
    </row>
    <row r="33" spans="1:16">
      <c r="B33" s="222"/>
      <c r="C33" s="443"/>
      <c r="D33" s="166"/>
      <c r="E33" s="167"/>
      <c r="F33" s="225"/>
      <c r="G33" s="228"/>
      <c r="H33" s="700"/>
      <c r="I33" s="701"/>
      <c r="J33" s="701"/>
      <c r="K33" s="701"/>
      <c r="L33" s="701"/>
      <c r="M33" s="701"/>
      <c r="N33" s="701"/>
      <c r="O33" s="702"/>
      <c r="P33" s="61"/>
    </row>
    <row r="34" spans="1:16">
      <c r="B34" s="222"/>
      <c r="C34" s="443"/>
      <c r="D34" s="166"/>
      <c r="E34" s="167"/>
      <c r="F34" s="225"/>
      <c r="G34" s="228"/>
      <c r="H34" s="700"/>
      <c r="I34" s="701"/>
      <c r="J34" s="701"/>
      <c r="K34" s="701"/>
      <c r="L34" s="701"/>
      <c r="M34" s="701"/>
      <c r="N34" s="701"/>
      <c r="O34" s="702"/>
      <c r="P34" s="61"/>
    </row>
    <row r="35" spans="1:16">
      <c r="B35" s="222"/>
      <c r="C35" s="443"/>
      <c r="D35" s="166"/>
      <c r="E35" s="167"/>
      <c r="F35" s="225"/>
      <c r="G35" s="228"/>
      <c r="H35" s="700"/>
      <c r="I35" s="701"/>
      <c r="J35" s="701"/>
      <c r="K35" s="701"/>
      <c r="L35" s="701"/>
      <c r="M35" s="701"/>
      <c r="N35" s="701"/>
      <c r="O35" s="702"/>
      <c r="P35" s="61"/>
    </row>
    <row r="36" spans="1:16">
      <c r="B36" s="222"/>
      <c r="C36" s="443"/>
      <c r="D36" s="166"/>
      <c r="E36" s="167"/>
      <c r="F36" s="225"/>
      <c r="G36" s="228"/>
      <c r="H36" s="700"/>
      <c r="I36" s="701"/>
      <c r="J36" s="701"/>
      <c r="K36" s="701"/>
      <c r="L36" s="701"/>
      <c r="M36" s="701"/>
      <c r="N36" s="701"/>
      <c r="O36" s="702"/>
      <c r="P36" s="61"/>
    </row>
    <row r="37" spans="1:16">
      <c r="B37" s="222"/>
      <c r="C37" s="443"/>
      <c r="D37" s="166"/>
      <c r="E37" s="167"/>
      <c r="F37" s="225"/>
      <c r="G37" s="228"/>
      <c r="H37" s="700"/>
      <c r="I37" s="701"/>
      <c r="J37" s="701"/>
      <c r="K37" s="701"/>
      <c r="L37" s="701"/>
      <c r="M37" s="701"/>
      <c r="N37" s="701"/>
      <c r="O37" s="702"/>
      <c r="P37" s="61"/>
    </row>
    <row r="38" spans="1:16">
      <c r="B38" s="222"/>
      <c r="C38" s="443"/>
      <c r="D38" s="166"/>
      <c r="E38" s="167"/>
      <c r="F38" s="225"/>
      <c r="G38" s="228"/>
      <c r="H38" s="709"/>
      <c r="I38" s="710"/>
      <c r="J38" s="710"/>
      <c r="K38" s="710"/>
      <c r="L38" s="710"/>
      <c r="M38" s="710"/>
      <c r="N38" s="710"/>
      <c r="O38" s="711"/>
      <c r="P38" s="61"/>
    </row>
    <row r="39" spans="1:16">
      <c r="B39" s="222"/>
      <c r="C39" s="443"/>
      <c r="D39" s="166"/>
      <c r="E39" s="167"/>
      <c r="F39" s="225"/>
      <c r="G39" s="228"/>
      <c r="H39" s="700"/>
      <c r="I39" s="701"/>
      <c r="J39" s="701"/>
      <c r="K39" s="701"/>
      <c r="L39" s="701"/>
      <c r="M39" s="701"/>
      <c r="N39" s="701"/>
      <c r="O39" s="702"/>
      <c r="P39" s="61"/>
    </row>
    <row r="40" spans="1:16">
      <c r="B40" s="222"/>
      <c r="C40" s="443"/>
      <c r="D40" s="166"/>
      <c r="E40" s="167"/>
      <c r="F40" s="225"/>
      <c r="G40" s="228"/>
      <c r="H40" s="700"/>
      <c r="I40" s="701"/>
      <c r="J40" s="701"/>
      <c r="K40" s="701"/>
      <c r="L40" s="701"/>
      <c r="M40" s="701"/>
      <c r="N40" s="701"/>
      <c r="O40" s="702"/>
      <c r="P40" s="61"/>
    </row>
    <row r="41" spans="1:16">
      <c r="B41" s="222"/>
      <c r="C41" s="443"/>
      <c r="D41" s="166"/>
      <c r="E41" s="167"/>
      <c r="F41" s="225"/>
      <c r="G41" s="228"/>
      <c r="H41" s="700"/>
      <c r="I41" s="701"/>
      <c r="J41" s="701"/>
      <c r="K41" s="701"/>
      <c r="L41" s="701"/>
      <c r="M41" s="701"/>
      <c r="N41" s="701"/>
      <c r="O41" s="702"/>
      <c r="P41" s="61"/>
    </row>
    <row r="42" spans="1:16">
      <c r="B42" s="223"/>
      <c r="C42" s="445"/>
      <c r="D42" s="168"/>
      <c r="E42" s="169"/>
      <c r="F42" s="226"/>
      <c r="G42" s="229"/>
      <c r="H42" s="706"/>
      <c r="I42" s="707"/>
      <c r="J42" s="707"/>
      <c r="K42" s="707"/>
      <c r="L42" s="707"/>
      <c r="M42" s="707"/>
      <c r="N42" s="707"/>
      <c r="O42" s="708"/>
      <c r="P42" s="61"/>
    </row>
    <row r="43" spans="1:16">
      <c r="A43" s="42"/>
      <c r="B43" s="171"/>
      <c r="C43" s="172"/>
      <c r="D43" s="172"/>
      <c r="E43" s="170"/>
      <c r="F43" s="170"/>
      <c r="P43" s="61"/>
    </row>
    <row r="44" spans="1:16">
      <c r="C44" s="220" t="s">
        <v>127</v>
      </c>
      <c r="D44" s="176">
        <f>SUM(D29:D42)</f>
        <v>0</v>
      </c>
      <c r="E44" s="170"/>
      <c r="F44" s="31"/>
      <c r="P44" s="61"/>
    </row>
    <row r="45" spans="1:16" ht="7.5" customHeight="1">
      <c r="C45" s="207"/>
      <c r="D45" s="171"/>
      <c r="E45" s="170"/>
      <c r="F45" s="31"/>
      <c r="P45" s="61"/>
    </row>
    <row r="46" spans="1:16">
      <c r="C46" s="220" t="s">
        <v>128</v>
      </c>
      <c r="D46" s="173"/>
      <c r="E46" s="170"/>
      <c r="F46" s="31"/>
      <c r="P46" s="61"/>
    </row>
    <row r="47" spans="1:16" ht="7.5" customHeight="1">
      <c r="C47" s="207"/>
      <c r="D47" s="171"/>
      <c r="E47" s="170"/>
      <c r="F47" s="31"/>
      <c r="P47" s="61"/>
    </row>
    <row r="48" spans="1:16">
      <c r="C48" s="220" t="s">
        <v>129</v>
      </c>
      <c r="D48" s="177" t="e">
        <f>+D44/D46</f>
        <v>#DIV/0!</v>
      </c>
      <c r="E48" s="170"/>
      <c r="F48" s="31"/>
      <c r="P48" s="61"/>
    </row>
    <row r="49" spans="1:16">
      <c r="A49" s="42"/>
      <c r="B49" s="31"/>
      <c r="C49" s="31"/>
      <c r="D49" s="31"/>
      <c r="E49" s="31"/>
      <c r="F49" s="31"/>
      <c r="G49" s="31"/>
      <c r="P49" s="61"/>
    </row>
    <row r="50" spans="1:16" ht="15.75" thickBot="1">
      <c r="A50" s="180"/>
      <c r="B50" s="181"/>
      <c r="C50" s="181"/>
      <c r="D50" s="181"/>
      <c r="E50" s="181"/>
      <c r="F50" s="181"/>
      <c r="G50" s="182"/>
      <c r="H50" s="63"/>
      <c r="I50" s="63"/>
      <c r="J50" s="63"/>
      <c r="K50" s="63"/>
      <c r="L50" s="63"/>
      <c r="M50" s="63"/>
      <c r="N50" s="63"/>
      <c r="O50" s="63"/>
      <c r="P50" s="64"/>
    </row>
  </sheetData>
  <sheetProtection formatCells="0" formatColumns="0" formatRows="0" insertColumns="0" insertRows="0" insertHyperlinks="0" deleteColumns="0" deleteRows="0" sort="0" autoFilter="0" pivotTables="0"/>
  <mergeCells count="32">
    <mergeCell ref="H40:O40"/>
    <mergeCell ref="H41:O41"/>
    <mergeCell ref="H42:O42"/>
    <mergeCell ref="H36:O36"/>
    <mergeCell ref="H37:O37"/>
    <mergeCell ref="H38:O38"/>
    <mergeCell ref="H39:O39"/>
    <mergeCell ref="H31:O31"/>
    <mergeCell ref="H32:O32"/>
    <mergeCell ref="H33:O33"/>
    <mergeCell ref="H34:O34"/>
    <mergeCell ref="H35:O35"/>
    <mergeCell ref="D1:M2"/>
    <mergeCell ref="A3:P5"/>
    <mergeCell ref="E6:L7"/>
    <mergeCell ref="M6:N6"/>
    <mergeCell ref="O6:P6"/>
    <mergeCell ref="M7:N7"/>
    <mergeCell ref="O7:P7"/>
    <mergeCell ref="H30:O30"/>
    <mergeCell ref="O8:P8"/>
    <mergeCell ref="A11:P11"/>
    <mergeCell ref="A13:P13"/>
    <mergeCell ref="A14:P14"/>
    <mergeCell ref="H28:O28"/>
    <mergeCell ref="H29:O29"/>
    <mergeCell ref="L9:N9"/>
    <mergeCell ref="O9:P9"/>
    <mergeCell ref="A9:C9"/>
    <mergeCell ref="D9:E9"/>
    <mergeCell ref="F9:I9"/>
    <mergeCell ref="J9:K9"/>
  </mergeCells>
  <dataValidations count="2">
    <dataValidation type="list" allowBlank="1" showInputMessage="1" showErrorMessage="1" sqref="O9:P9" xr:uid="{00000000-0002-0000-0D00-000000000000}">
      <formula1>Diligences</formula1>
    </dataValidation>
    <dataValidation type="list" showInputMessage="1" showErrorMessage="1" sqref="D9:E9" xr:uid="{00000000-0002-0000-0D00-000001000000}">
      <formula1>RAS</formula1>
    </dataValidation>
  </dataValidations>
  <hyperlinks>
    <hyperlink ref="O8:P8" location="'A Synthèse'!Zone_d_impression" display="A Synthèse" xr:uid="{00000000-0004-0000-0D00-000000000000}"/>
  </hyperlinks>
  <printOptions horizontalCentered="1"/>
  <pageMargins left="0.27559055118110237" right="0.27559055118110237" top="0.39370078740157483" bottom="0.39370078740157483" header="0.51181102362204722" footer="0.51181102362204722"/>
  <pageSetup paperSize="9" scale="65" orientation="portrait" r:id="rId1"/>
  <headerFooter alignWithMargins="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4B472D7786B104FBBC17FD0F74A457F" ma:contentTypeVersion="4" ma:contentTypeDescription="Crée un document." ma:contentTypeScope="" ma:versionID="2b5b985a0216d2a29c38c0538a1c88c4">
  <xsd:schema xmlns:xsd="http://www.w3.org/2001/XMLSchema" xmlns:xs="http://www.w3.org/2001/XMLSchema" xmlns:p="http://schemas.microsoft.com/office/2006/metadata/properties" xmlns:ns2="9d7aee5f-c6d7-4567-bea9-00a4b0c47d6f" xmlns:ns3="aed0d0bd-a659-4dbf-bbaa-a56f4efa3b0c" targetNamespace="http://schemas.microsoft.com/office/2006/metadata/properties" ma:root="true" ma:fieldsID="0286628eab7cf9aa2777b64561702866" ns2:_="" ns3:_="">
    <xsd:import namespace="9d7aee5f-c6d7-4567-bea9-00a4b0c47d6f"/>
    <xsd:import namespace="aed0d0bd-a659-4dbf-bbaa-a56f4efa3b0c"/>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7aee5f-c6d7-4567-bea9-00a4b0c47d6f" elementFormDefault="qualified">
    <xsd:import namespace="http://schemas.microsoft.com/office/2006/documentManagement/types"/>
    <xsd:import namespace="http://schemas.microsoft.com/office/infopath/2007/PartnerControls"/>
    <xsd:element name="MediaServiceMetadata" ma:index="8" nillable="true" ma:displayName="MediaServiceMetadata" ma:description="" ma:hidden="true" ma:internalName="MediaServiceMetadata" ma:readOnly="true">
      <xsd:simpleType>
        <xsd:restriction base="dms:Note"/>
      </xsd:simpleType>
    </xsd:element>
    <xsd:element name="MediaServiceFastMetadata" ma:index="9" nillable="true" ma:displayName="MediaServiceFastMetadata" ma:description="" ma:hidden="true" ma:internalName="MediaServiceFast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ed0d0bd-a659-4dbf-bbaa-a56f4efa3b0c" elementFormDefault="qualified">
    <xsd:import namespace="http://schemas.microsoft.com/office/2006/documentManagement/types"/>
    <xsd:import namespace="http://schemas.microsoft.com/office/infopath/2007/PartnerControls"/>
    <xsd:element name="SharedWithUsers" ma:index="10"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Partagé avec dé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62FA16-6967-4C37-A8DA-1A8929D9EC61}">
  <ds:schemaRefs>
    <ds:schemaRef ds:uri="http://purl.org/dc/elements/1.1/"/>
    <ds:schemaRef ds:uri="http://schemas.microsoft.com/office/2006/metadata/properties"/>
    <ds:schemaRef ds:uri="http://schemas.openxmlformats.org/package/2006/metadata/core-properties"/>
    <ds:schemaRef ds:uri="9d7aee5f-c6d7-4567-bea9-00a4b0c47d6f"/>
    <ds:schemaRef ds:uri="http://purl.org/dc/terms/"/>
    <ds:schemaRef ds:uri="http://schemas.microsoft.com/office/2006/documentManagement/types"/>
    <ds:schemaRef ds:uri="http://schemas.microsoft.com/office/infopath/2007/PartnerControls"/>
    <ds:schemaRef ds:uri="aed0d0bd-a659-4dbf-bbaa-a56f4efa3b0c"/>
    <ds:schemaRef ds:uri="http://www.w3.org/XML/1998/namespace"/>
    <ds:schemaRef ds:uri="http://purl.org/dc/dcmitype/"/>
  </ds:schemaRefs>
</ds:datastoreItem>
</file>

<file path=customXml/itemProps2.xml><?xml version="1.0" encoding="utf-8"?>
<ds:datastoreItem xmlns:ds="http://schemas.openxmlformats.org/officeDocument/2006/customXml" ds:itemID="{68E25006-9D76-453E-B378-5F5C4642C9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7aee5f-c6d7-4567-bea9-00a4b0c47d6f"/>
    <ds:schemaRef ds:uri="aed0d0bd-a659-4dbf-bbaa-a56f4efa3b0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D3A94BD-9F7D-4BDF-9ACF-D9FDB472BF45}">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Feuilles de calcul</vt:lpstr>
      </vt:variant>
      <vt:variant>
        <vt:i4>13</vt:i4>
      </vt:variant>
      <vt:variant>
        <vt:lpstr>Plages nommées</vt:lpstr>
      </vt:variant>
      <vt:variant>
        <vt:i4>16</vt:i4>
      </vt:variant>
    </vt:vector>
  </HeadingPairs>
  <TitlesOfParts>
    <vt:vector size="29" baseType="lpstr">
      <vt:lpstr>A Synthèse</vt:lpstr>
      <vt:lpstr>Questionnaire</vt:lpstr>
      <vt:lpstr>A100 Rappro BA-BG</vt:lpstr>
      <vt:lpstr>A110 Revue frs débiteurs</vt:lpstr>
      <vt:lpstr>A200 Rappro constructeur</vt:lpstr>
      <vt:lpstr>A300 Réciprocité intragroupe</vt:lpstr>
      <vt:lpstr>A410 Revue FNP</vt:lpstr>
      <vt:lpstr>A420 Revue AAR</vt:lpstr>
      <vt:lpstr>A430 Revue Primes const</vt:lpstr>
      <vt:lpstr>A440 Revue CCA</vt:lpstr>
      <vt:lpstr>A500 Circularisations</vt:lpstr>
      <vt:lpstr>A600 Revue AACE</vt:lpstr>
      <vt:lpstr>A700 Revue EAP</vt:lpstr>
      <vt:lpstr>Questionnaire!Diligences</vt:lpstr>
      <vt:lpstr>Questionnaire!Etat</vt:lpstr>
      <vt:lpstr>Questionnaire!RAS</vt:lpstr>
      <vt:lpstr>'A Synthèse'!Zone_d_impression</vt:lpstr>
      <vt:lpstr>'A100 Rappro BA-BG'!Zone_d_impression</vt:lpstr>
      <vt:lpstr>'A110 Revue frs débiteurs'!Zone_d_impression</vt:lpstr>
      <vt:lpstr>'A200 Rappro constructeur'!Zone_d_impression</vt:lpstr>
      <vt:lpstr>'A300 Réciprocité intragroupe'!Zone_d_impression</vt:lpstr>
      <vt:lpstr>'A410 Revue FNP'!Zone_d_impression</vt:lpstr>
      <vt:lpstr>'A420 Revue AAR'!Zone_d_impression</vt:lpstr>
      <vt:lpstr>'A430 Revue Primes const'!Zone_d_impression</vt:lpstr>
      <vt:lpstr>'A440 Revue CCA'!Zone_d_impression</vt:lpstr>
      <vt:lpstr>'A500 Circularisations'!Zone_d_impression</vt:lpstr>
      <vt:lpstr>'A600 Revue AACE'!Zone_d_impression</vt:lpstr>
      <vt:lpstr>'A700 Revue EAP'!Zone_d_impression</vt:lpstr>
      <vt:lpstr>Questionnaire!Zone_d_impression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Charles CHA. ARNAUD</dc:creator>
  <cp:lastModifiedBy>BRIAN BRY. RAULY</cp:lastModifiedBy>
  <cp:lastPrinted>2017-10-18T10:54:17Z</cp:lastPrinted>
  <dcterms:created xsi:type="dcterms:W3CDTF">2017-01-24T11:12:27Z</dcterms:created>
  <dcterms:modified xsi:type="dcterms:W3CDTF">2024-07-08T08:54:26Z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0x01010074B472D7786B104FBBC17FD0F74A457F</vt:lpwstr>
  </property>
</Properties>
</file>