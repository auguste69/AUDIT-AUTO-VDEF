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.rauly\Documents\Modèles\Dossier annuel\"/>
    </mc:Choice>
  </mc:AlternateContent>
  <xr:revisionPtr revIDLastSave="0" documentId="13_ncr:1_{8F3F08E4-D975-498B-BDDB-78CA12B49D06}" xr6:coauthVersionLast="47" xr6:coauthVersionMax="47" xr10:uidLastSave="{00000000-0000-0000-0000-000000000000}"/>
  <bookViews>
    <workbookView xWindow="-120" yWindow="-120" windowWidth="29040" windowHeight="15720" tabRatio="728" activeTab="7" xr2:uid="{00000000-000D-0000-FFFF-FFFF00000000}"/>
  </bookViews>
  <sheets>
    <sheet name="S Synthèse" sheetId="1" r:id="rId1"/>
    <sheet name="Questionnaire" sheetId="10" state="hidden" r:id="rId2"/>
    <sheet name="S100 Tableau var stocks" sheetId="11" r:id="rId3"/>
    <sheet name="S200 Rappro états stock-compta" sheetId="14" r:id="rId4"/>
    <sheet name="S400 Réconciliation IP PR" sheetId="15" state="hidden" r:id="rId5"/>
    <sheet name="S300 Rotation stocks" sheetId="43" r:id="rId6"/>
    <sheet name="S500 Boucle stock" sheetId="16" r:id="rId7"/>
    <sheet name="S610 Dépréciation stock VN" sheetId="20" r:id="rId8"/>
    <sheet name="S620 Dépréciation stock VO" sheetId="40" r:id="rId9"/>
    <sheet name="S630 Dépréciation stock PR" sheetId="4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ctifN" localSheetId="5">'[1]Balance N Vs N-1'!$D$444</definedName>
    <definedName name="ActifN">'[2]Balance N Vs N-1'!$D$340</definedName>
    <definedName name="ActifN_1" localSheetId="5">'[1]Balance N Vs N-1'!$E$444</definedName>
    <definedName name="ActifN_1">'[2]Balance N Vs N-1'!$E$340</definedName>
    <definedName name="ça">"$#REF !.$B$508:$R$508"</definedName>
    <definedName name="CA_N">[3]SIG!$B$8</definedName>
    <definedName name="CA_N_1">[3]SIG!$D$8</definedName>
    <definedName name="çb">"$#REF !.$A$48:$K$48"</definedName>
    <definedName name="ChiffreAffairesN" localSheetId="5">'[1]P&amp;L détaillé'!$D$12</definedName>
    <definedName name="ChiffreAffairesN">'[2]P&amp;L détaillé'!$D$12</definedName>
    <definedName name="ChiffreAffairesN_1" localSheetId="5">'[1]P&amp;L détaillé'!$E$12</definedName>
    <definedName name="ChiffreAffairesN_1">'[2]P&amp;L détaillé'!$E$12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_livraison_client" localSheetId="5">'[4]S610 Dépréciation stock VN'!$H$23:$H$75</definedName>
    <definedName name="date_livraison_client" localSheetId="8">'S620 Dépréciation stock VO'!$H$23:$H$65</definedName>
    <definedName name="date_livraison_client" localSheetId="9">'S630 Dépréciation stock PR'!$H$38:$H$68</definedName>
    <definedName name="date_livraison_client">'S610 Dépréciation stock VN'!$H$23:$H$72</definedName>
    <definedName name="dateCloture" localSheetId="1">#REF!</definedName>
    <definedName name="dateCloture" localSheetId="2">#REF!</definedName>
    <definedName name="dateCloture" localSheetId="3">#REF!</definedName>
    <definedName name="dateCloture" localSheetId="5">#REF!</definedName>
    <definedName name="dateCloture" localSheetId="4">#REF!</definedName>
    <definedName name="dateCloture" localSheetId="6">#REF!</definedName>
    <definedName name="dateCloture" localSheetId="7">#REF!</definedName>
    <definedName name="dateCloture" localSheetId="8">#REF!</definedName>
    <definedName name="dateCloture" localSheetId="9">#REF!</definedName>
    <definedName name="dateCloture">#REF!</definedName>
    <definedName name="DatesCloture">"$#REF !.$F$9:$#REF !.$M$9"</definedName>
    <definedName name="DEPRE__APV" localSheetId="5">'[4]S610 Dépréciation stock VN'!$T$23:$T$75</definedName>
    <definedName name="DEPRE__APV" localSheetId="8">'S620 Dépréciation stock VO'!$T$23:$T$65</definedName>
    <definedName name="DEPRE__APV" localSheetId="9">'S630 Dépréciation stock PR'!$T$38:$T$68</definedName>
    <definedName name="DEPRE__APV">'S610 Dépréciation stock VN'!$T$23:$T$72</definedName>
    <definedName name="Dépréciation" localSheetId="5">'[4]S610 Dépréciation stock VN'!$S$23:$S$75</definedName>
    <definedName name="Dépréciation" localSheetId="8">'S620 Dépréciation stock VO'!$S$23:$S$65</definedName>
    <definedName name="Dépréciation" localSheetId="9">'S630 Dépréciation stock PR'!$S$38:$S$68</definedName>
    <definedName name="Dépréciation">'S610 Dépréciation stock VN'!$S$23:$S$72</definedName>
    <definedName name="Diligences" localSheetId="1">Questionnaire!$R$7:$R$9</definedName>
    <definedName name="Diligences" localSheetId="2">'S100 Tableau var stocks'!#REF!</definedName>
    <definedName name="Diligences" localSheetId="3">'S200 Rappro états stock-compta'!#REF!</definedName>
    <definedName name="Diligences" localSheetId="5">'S300 Rotation stocks'!#REF!</definedName>
    <definedName name="Diligences" localSheetId="4">'S400 Réconciliation IP PR'!#REF!</definedName>
    <definedName name="Diligences" localSheetId="6">'S500 Boucle stock'!#REF!</definedName>
    <definedName name="Diligences" localSheetId="7">'S610 Dépréciation stock VN'!#REF!</definedName>
    <definedName name="Diligences" localSheetId="8">'S620 Dépréciation stock VO'!#REF!</definedName>
    <definedName name="Diligences" localSheetId="9">'S630 Dépréciation stock PR'!#REF!</definedName>
    <definedName name="Diligences">'S Synthèse'!$R$7:$R$9</definedName>
    <definedName name="Etat" localSheetId="1">Questionnaire!$R$1:$R$3</definedName>
    <definedName name="Etat" localSheetId="2">'S100 Tableau var stocks'!#REF!</definedName>
    <definedName name="Etat" localSheetId="3">'S200 Rappro états stock-compta'!#REF!</definedName>
    <definedName name="Etat" localSheetId="5">'S300 Rotation stocks'!#REF!</definedName>
    <definedName name="Etat" localSheetId="4">'S400 Réconciliation IP PR'!#REF!</definedName>
    <definedName name="Etat" localSheetId="6">'S500 Boucle stock'!#REF!</definedName>
    <definedName name="Etat" localSheetId="7">'S610 Dépréciation stock VN'!#REF!</definedName>
    <definedName name="Etat" localSheetId="8">'S620 Dépréciation stock VO'!#REF!</definedName>
    <definedName name="Etat" localSheetId="9">'S630 Dépréciation stock PR'!#REF!</definedName>
    <definedName name="Etat">'S Synthèse'!$R$1:$R$3</definedName>
    <definedName name="libellé">[5]Feuil5!$A$1:$B$1103</definedName>
    <definedName name="Mois_à_déprécier_à_1" localSheetId="5">'[4]S610 Dépréciation stock VN'!$P$23:$P$75</definedName>
    <definedName name="Mois_à_déprécier_à_1" localSheetId="8">'S620 Dépréciation stock VO'!$P$23:$P$65</definedName>
    <definedName name="Mois_à_déprécier_à_1" localSheetId="9">'S630 Dépréciation stock PR'!$P$38:$P$68</definedName>
    <definedName name="Mois_à_déprécier_à_1">'S610 Dépréciation stock VN'!$P$23:$P$72</definedName>
    <definedName name="Mois_à_déprécier_à_2__si_VD" localSheetId="5">'[4]S610 Dépréciation stock VN'!$Q$23:$Q$75</definedName>
    <definedName name="Mois_à_déprécier_à_2__si_VD" localSheetId="8">'S620 Dépréciation stock VO'!$Q$23:$Q$65</definedName>
    <definedName name="Mois_à_déprécier_à_2__si_VD" localSheetId="9">'S630 Dépréciation stock PR'!$Q$38:$Q$68</definedName>
    <definedName name="Mois_à_déprécier_à_2__si_VD">'S610 Dépréciation stock VN'!$Q$23:$Q$72</definedName>
    <definedName name="Montant__marge_2" localSheetId="5">'[4]S610 Dépréciation stock VN'!$I$23:$I$75</definedName>
    <definedName name="Montant__marge_2" localSheetId="8">'S620 Dépréciation stock VO'!$I$23:$I$65</definedName>
    <definedName name="Montant__marge_2" localSheetId="9">'S630 Dépréciation stock PR'!$I$38:$I$68</definedName>
    <definedName name="Montant__marge_2">'S610 Dépréciation stock VN'!$I$23:$I$72</definedName>
    <definedName name="NomDossier">"$#REF !.$E$1"</definedName>
    <definedName name="Prix_d_achat" localSheetId="5">'[4]S610 Dépréciation stock VN'!$G$23:$G$75</definedName>
    <definedName name="Prix_d_achat" localSheetId="8">'S620 Dépréciation stock VO'!$G$23:$G$65</definedName>
    <definedName name="Prix_d_achat" localSheetId="9">'S630 Dépréciation stock PR'!$G$38:$G$68</definedName>
    <definedName name="Prix_d_achat">'S610 Dépréciation stock VN'!$G$23:$G$72</definedName>
    <definedName name="RAS" localSheetId="1">Questionnaire!$R$4:$R$6</definedName>
    <definedName name="RAS" localSheetId="2">'S100 Tableau var stocks'!#REF!</definedName>
    <definedName name="RAS" localSheetId="3">'S200 Rappro états stock-compta'!#REF!</definedName>
    <definedName name="RAS" localSheetId="5">'S300 Rotation stocks'!#REF!</definedName>
    <definedName name="RAS" localSheetId="4">'S400 Réconciliation IP PR'!#REF!</definedName>
    <definedName name="RAS" localSheetId="6">'S500 Boucle stock'!#REF!</definedName>
    <definedName name="RAS" localSheetId="7">'S610 Dépréciation stock VN'!#REF!</definedName>
    <definedName name="RAS" localSheetId="8">'S620 Dépréciation stock VO'!#REF!</definedName>
    <definedName name="RAS" localSheetId="9">'S630 Dépréciation stock PR'!#REF!</definedName>
    <definedName name="RAS">'S Synthèse'!$R$4:$R$6</definedName>
    <definedName name="referenceDossier" localSheetId="1">#REF!</definedName>
    <definedName name="referenceDossier" localSheetId="2">#REF!</definedName>
    <definedName name="referenceDossier" localSheetId="3">#REF!</definedName>
    <definedName name="referenceDossier" localSheetId="5">#REF!</definedName>
    <definedName name="referenceDossier" localSheetId="4">#REF!</definedName>
    <definedName name="referenceDossier" localSheetId="6">#REF!</definedName>
    <definedName name="referenceDossier" localSheetId="7">#REF!</definedName>
    <definedName name="referenceDossier" localSheetId="8">#REF!</definedName>
    <definedName name="referenceDossier" localSheetId="9">#REF!</definedName>
    <definedName name="referenceDossier">#REF!</definedName>
    <definedName name="RésultatN" localSheetId="5">'[1]Balance N Vs N-1'!$D$451</definedName>
    <definedName name="RésultatN">'[2]Balance N Vs N-1'!$D$347</definedName>
    <definedName name="RésultatN_1" localSheetId="5">'[1]Balance N Vs N-1'!$E$451</definedName>
    <definedName name="RésultatN_1">'[2]Balance N Vs N-1'!$E$347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1">#REF!</definedName>
    <definedName name="start_toc" localSheetId="2">#REF!</definedName>
    <definedName name="start_toc" localSheetId="3">#REF!</definedName>
    <definedName name="start_toc" localSheetId="5">#REF!</definedName>
    <definedName name="start_toc" localSheetId="4">#REF!</definedName>
    <definedName name="start_toc" localSheetId="6">#REF!</definedName>
    <definedName name="start_toc" localSheetId="7">#REF!</definedName>
    <definedName name="start_toc" localSheetId="8">#REF!</definedName>
    <definedName name="start_toc" localSheetId="9">#REF!</definedName>
    <definedName name="start_toc">#REF!</definedName>
    <definedName name="tab_Actif" localSheetId="5">'[1]Actif détaillé'!$B$10:$E$71</definedName>
    <definedName name="tab_Actif">'[2]Actif détaillé'!$B$10:$E$71</definedName>
    <definedName name="tab_BGN" localSheetId="5">'[1]Balance N Vs N-1'!$D$10:$D$441</definedName>
    <definedName name="tab_BGN">'[2]Balance N Vs N-1'!$D$10:$D$337</definedName>
    <definedName name="tab_BGN_1" localSheetId="5">'[1]Balance N Vs N-1'!$E$10:$E$441</definedName>
    <definedName name="tab_BGN_1">'[2]Balance N Vs N-1'!$E$10:$E$337</definedName>
    <definedName name="tab_EtatsFinanciersN" localSheetId="5">'[1]Balance N Vs N-1'!$K$10:$K$441</definedName>
    <definedName name="tab_EtatsFinanciersN">'[2]Balance N Vs N-1'!$K$10:$K$337</definedName>
    <definedName name="tab_EtatsFinanciersN_1" localSheetId="5">'[1]Balance N Vs N-1'!$L$10:$L$441</definedName>
    <definedName name="tab_EtatsFinanciersN_1">'[2]Balance N Vs N-1'!$L$10:$L$337</definedName>
    <definedName name="tab_Passif" localSheetId="5">'[1]Passif détaillé'!$B$10:$E$52</definedName>
    <definedName name="tab_Passif">'[2]Passif détaillé'!$B$10:$E$52</definedName>
    <definedName name="tab_PnL" localSheetId="5">'[1]P&amp;L détaillé'!$B$10:$E$86</definedName>
    <definedName name="tab_PnL">'[2]P&amp;L détaillé'!$B$10:$E$86</definedName>
    <definedName name="TOTAL1_N">'[3]BILAN PASSIF'!$F$24</definedName>
    <definedName name="TOTAL1_N_1">'[3]BILAN PASSIF'!$H$24</definedName>
    <definedName name="TOTAL2_N">'[3]BILAN PASSIF'!$F$29</definedName>
    <definedName name="TOTAL2_N_1">'[3]BILAN PASSIF'!$H$29</definedName>
    <definedName name="TOTAL3_N">'[3]BILAN PASSIF'!$F$34</definedName>
    <definedName name="TOTAL3_N_1">'[3]BILAN PASSIF'!$H$34</definedName>
    <definedName name="TOTAL4_N">'[3]BILAN PASSIF'!$F$54</definedName>
    <definedName name="TOTAL4_N_1">'[3]BILAN PASSIF'!$H$54</definedName>
    <definedName name="TOTAL5_N">'[3]BILAN PASSIF'!$F$56</definedName>
    <definedName name="TOTAL5_N_1">'[3]BILAN PASSIF'!$H$56</definedName>
    <definedName name="TOTALGEN_N">'[3]BILAN PASSIF'!$F$58</definedName>
    <definedName name="TOTALGEN_N_1">'[3]BILAN PASSIF'!$H$58</definedName>
    <definedName name="uniteMonetaire" localSheetId="1">#REF!</definedName>
    <definedName name="uniteMonetaire" localSheetId="2">#REF!</definedName>
    <definedName name="uniteMonetaire" localSheetId="3">#REF!</definedName>
    <definedName name="uniteMonetaire" localSheetId="5">#REF!</definedName>
    <definedName name="uniteMonetaire" localSheetId="4">#REF!</definedName>
    <definedName name="uniteMonetaire" localSheetId="6">#REF!</definedName>
    <definedName name="uniteMonetaire" localSheetId="7">#REF!</definedName>
    <definedName name="uniteMonetaire" localSheetId="8">#REF!</definedName>
    <definedName name="uniteMonetaire" localSheetId="9">#REF!</definedName>
    <definedName name="uniteMonetaire">#REF!</definedName>
    <definedName name="Z_11CE3843_8765_4D4C_AA39_79A83C002DF6_.wvu.PrintArea" localSheetId="1" hidden="1">Questionnaire!$A$1:$P$10</definedName>
    <definedName name="Z_11CE3843_8765_4D4C_AA39_79A83C002DF6_.wvu.PrintArea" localSheetId="0" hidden="1">'S Synthèse'!$A$1:$P$19</definedName>
    <definedName name="Z_11CE3843_8765_4D4C_AA39_79A83C002DF6_.wvu.PrintArea" localSheetId="2" hidden="1">'S100 Tableau var stocks'!$A$1:$P$10</definedName>
    <definedName name="Z_11CE3843_8765_4D4C_AA39_79A83C002DF6_.wvu.PrintArea" localSheetId="3" hidden="1">'S200 Rappro états stock-compta'!$A$1:$P$10</definedName>
    <definedName name="Z_11CE3843_8765_4D4C_AA39_79A83C002DF6_.wvu.PrintArea" localSheetId="5" hidden="1">'S300 Rotation stocks'!$A$1:$P$10</definedName>
    <definedName name="Z_11CE3843_8765_4D4C_AA39_79A83C002DF6_.wvu.PrintArea" localSheetId="4" hidden="1">'S400 Réconciliation IP PR'!$A$1:$P$10</definedName>
    <definedName name="Z_11CE3843_8765_4D4C_AA39_79A83C002DF6_.wvu.PrintArea" localSheetId="6" hidden="1">'S500 Boucle stock'!$A$1:$P$10</definedName>
    <definedName name="Z_11CE3843_8765_4D4C_AA39_79A83C002DF6_.wvu.PrintArea" localSheetId="7" hidden="1">'S610 Dépréciation stock VN'!$A$1:$P$10</definedName>
    <definedName name="Z_11CE3843_8765_4D4C_AA39_79A83C002DF6_.wvu.PrintArea" localSheetId="8" hidden="1">'S620 Dépréciation stock VO'!$A$1:$P$10</definedName>
    <definedName name="Z_11CE3843_8765_4D4C_AA39_79A83C002DF6_.wvu.PrintArea" localSheetId="9" hidden="1">'S630 Dépréciation stock PR'!$A$1:$P$10</definedName>
    <definedName name="Z_3BBE5D10_E029_4BF5_BC04_29D3FAA5A0EB_.wvu.PrintArea" localSheetId="1" hidden="1">Questionnaire!$A$1:$P$10</definedName>
    <definedName name="Z_3BBE5D10_E029_4BF5_BC04_29D3FAA5A0EB_.wvu.PrintArea" localSheetId="0" hidden="1">'S Synthèse'!$A$1:$P$19</definedName>
    <definedName name="Z_3BBE5D10_E029_4BF5_BC04_29D3FAA5A0EB_.wvu.PrintArea" localSheetId="2" hidden="1">'S100 Tableau var stocks'!$A$1:$P$10</definedName>
    <definedName name="Z_3BBE5D10_E029_4BF5_BC04_29D3FAA5A0EB_.wvu.PrintArea" localSheetId="3" hidden="1">'S200 Rappro états stock-compta'!$A$1:$P$10</definedName>
    <definedName name="Z_3BBE5D10_E029_4BF5_BC04_29D3FAA5A0EB_.wvu.PrintArea" localSheetId="5" hidden="1">'S300 Rotation stocks'!$A$1:$P$10</definedName>
    <definedName name="Z_3BBE5D10_E029_4BF5_BC04_29D3FAA5A0EB_.wvu.PrintArea" localSheetId="4" hidden="1">'S400 Réconciliation IP PR'!$A$1:$P$10</definedName>
    <definedName name="Z_3BBE5D10_E029_4BF5_BC04_29D3FAA5A0EB_.wvu.PrintArea" localSheetId="6" hidden="1">'S500 Boucle stock'!$A$1:$P$10</definedName>
    <definedName name="Z_3BBE5D10_E029_4BF5_BC04_29D3FAA5A0EB_.wvu.PrintArea" localSheetId="7" hidden="1">'S610 Dépréciation stock VN'!$A$1:$P$10</definedName>
    <definedName name="Z_3BBE5D10_E029_4BF5_BC04_29D3FAA5A0EB_.wvu.PrintArea" localSheetId="8" hidden="1">'S620 Dépréciation stock VO'!$A$1:$P$10</definedName>
    <definedName name="Z_3BBE5D10_E029_4BF5_BC04_29D3FAA5A0EB_.wvu.PrintArea" localSheetId="9" hidden="1">'S630 Dépréciation stock PR'!$A$1:$P$10</definedName>
    <definedName name="_xlnm.Print_Area" localSheetId="1">Questionnaire!$A$1:$P$34</definedName>
    <definedName name="_xlnm.Print_Area" localSheetId="0">'S Synthèse'!$A$1:$P$26</definedName>
    <definedName name="_xlnm.Print_Area" localSheetId="2">'S100 Tableau var stocks'!$A$1:$P$48</definedName>
    <definedName name="_xlnm.Print_Area" localSheetId="3">'S200 Rappro états stock-compta'!$A$1:$P$14</definedName>
    <definedName name="_xlnm.Print_Area" localSheetId="5">'S300 Rotation stocks'!$A$1:$P$14</definedName>
    <definedName name="_xlnm.Print_Area" localSheetId="4">'S400 Réconciliation IP PR'!$A$1:$P$14</definedName>
    <definedName name="_xlnm.Print_Area" localSheetId="6">'S500 Boucle stock'!$A$1:$P$14</definedName>
    <definedName name="_xlnm.Print_Area" localSheetId="7">'S610 Dépréciation stock VN'!$A$1:$P$14</definedName>
    <definedName name="_xlnm.Print_Area" localSheetId="8">'S620 Dépréciation stock VO'!$A$1:$P$14</definedName>
    <definedName name="_xlnm.Print_Area" localSheetId="9">'S630 Dépréciation stock PR'!$A$1:$P$14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43" l="1"/>
  <c r="H78" i="43"/>
  <c r="H77" i="43"/>
  <c r="H73" i="43"/>
  <c r="H71" i="43"/>
  <c r="H69" i="43"/>
  <c r="H68" i="43"/>
  <c r="H67" i="43"/>
  <c r="H59" i="43"/>
  <c r="H58" i="43"/>
  <c r="H57" i="43"/>
  <c r="H54" i="43"/>
  <c r="H53" i="43"/>
  <c r="H52" i="43"/>
  <c r="H49" i="43"/>
  <c r="H47" i="43"/>
  <c r="H45" i="43"/>
  <c r="H44" i="43"/>
  <c r="H43" i="43"/>
  <c r="H34" i="43"/>
  <c r="H35" i="43"/>
  <c r="H33" i="43"/>
  <c r="H29" i="43"/>
  <c r="H30" i="43"/>
  <c r="H28" i="43"/>
  <c r="H25" i="43"/>
  <c r="H24" i="43"/>
  <c r="H23" i="43"/>
  <c r="H21" i="43"/>
  <c r="H20" i="43"/>
  <c r="H19" i="43"/>
  <c r="J9" i="43"/>
  <c r="M7" i="43"/>
  <c r="D7" i="43"/>
  <c r="D6" i="43"/>
  <c r="B7" i="43"/>
  <c r="B6" i="43"/>
  <c r="E76" i="43"/>
  <c r="F76" i="43"/>
  <c r="D76" i="43"/>
  <c r="F66" i="43"/>
  <c r="E66" i="43"/>
  <c r="D66" i="43"/>
  <c r="F56" i="43"/>
  <c r="E56" i="43"/>
  <c r="D56" i="43"/>
  <c r="F51" i="43"/>
  <c r="E51" i="43"/>
  <c r="D51" i="43"/>
  <c r="E42" i="43"/>
  <c r="F42" i="43"/>
  <c r="D42" i="43"/>
  <c r="F32" i="43"/>
  <c r="F27" i="43"/>
  <c r="J89" i="43"/>
  <c r="J88" i="43"/>
  <c r="J87" i="43"/>
  <c r="G89" i="43"/>
  <c r="G88" i="43"/>
  <c r="G87" i="43"/>
  <c r="E89" i="43"/>
  <c r="E88" i="43"/>
  <c r="E87" i="43"/>
  <c r="B89" i="43"/>
  <c r="B88" i="43"/>
  <c r="B87" i="43"/>
  <c r="D28" i="41" l="1"/>
  <c r="E68" i="43"/>
  <c r="D68" i="43" l="1"/>
  <c r="D33" i="41"/>
  <c r="L43" i="11" l="1"/>
  <c r="L36" i="11"/>
  <c r="I24" i="11"/>
  <c r="I23" i="11"/>
  <c r="I22" i="11"/>
  <c r="J22" i="11"/>
  <c r="H24" i="11"/>
  <c r="H23" i="11"/>
  <c r="J23" i="11" s="1"/>
  <c r="K23" i="11" s="1"/>
  <c r="H22" i="11"/>
  <c r="E36" i="11"/>
  <c r="E40" i="11"/>
  <c r="E24" i="11"/>
  <c r="D24" i="11"/>
  <c r="E23" i="11"/>
  <c r="D23" i="11"/>
  <c r="F23" i="11" s="1"/>
  <c r="E22" i="11"/>
  <c r="D22" i="11"/>
  <c r="F24" i="11" l="1"/>
  <c r="M23" i="11"/>
  <c r="J24" i="11"/>
  <c r="K24" i="11" s="1"/>
  <c r="M24" i="11" s="1"/>
  <c r="B28" i="14"/>
  <c r="B30" i="14" s="1"/>
  <c r="B23" i="14"/>
  <c r="B18" i="14"/>
  <c r="B20" i="14" s="1"/>
  <c r="F23" i="43" l="1"/>
  <c r="E23" i="43"/>
  <c r="D23" i="43"/>
  <c r="F68" i="43" l="1"/>
  <c r="F67" i="43"/>
  <c r="F44" i="43"/>
  <c r="F20" i="43"/>
  <c r="F43" i="43"/>
  <c r="F28" i="43"/>
  <c r="F19" i="43"/>
  <c r="F29" i="43" s="1"/>
  <c r="D77" i="43"/>
  <c r="E67" i="43"/>
  <c r="E72" i="43" s="1"/>
  <c r="D67" i="43"/>
  <c r="D78" i="43" s="1"/>
  <c r="E44" i="43"/>
  <c r="D44" i="43"/>
  <c r="D52" i="43" s="1"/>
  <c r="E43" i="43"/>
  <c r="D43" i="43"/>
  <c r="E20" i="43"/>
  <c r="E28" i="43" s="1"/>
  <c r="D20" i="43"/>
  <c r="E19" i="43"/>
  <c r="E29" i="43" s="1"/>
  <c r="D19" i="43"/>
  <c r="D33" i="43" s="1"/>
  <c r="G90" i="43"/>
  <c r="H88" i="43" s="1"/>
  <c r="B90" i="43"/>
  <c r="C88" i="43" s="1"/>
  <c r="I89" i="43"/>
  <c r="D89" i="43"/>
  <c r="I88" i="43"/>
  <c r="D88" i="43"/>
  <c r="J90" i="43"/>
  <c r="I87" i="43"/>
  <c r="D87" i="43"/>
  <c r="G71" i="43"/>
  <c r="E77" i="43"/>
  <c r="F78" i="43"/>
  <c r="G58" i="43"/>
  <c r="F52" i="43"/>
  <c r="E52" i="43"/>
  <c r="G47" i="43"/>
  <c r="F53" i="43"/>
  <c r="F57" i="43" s="1"/>
  <c r="F59" i="43" s="1"/>
  <c r="G34" i="43"/>
  <c r="E32" i="43"/>
  <c r="D32" i="43"/>
  <c r="E27" i="43"/>
  <c r="D27" i="43"/>
  <c r="G23" i="43"/>
  <c r="J22" i="43"/>
  <c r="I22" i="43"/>
  <c r="F69" i="43" l="1"/>
  <c r="H87" i="43"/>
  <c r="H89" i="43"/>
  <c r="D21" i="43"/>
  <c r="I19" i="43"/>
  <c r="J19" i="43"/>
  <c r="G44" i="43"/>
  <c r="G20" i="43"/>
  <c r="D45" i="43"/>
  <c r="F77" i="43"/>
  <c r="F79" i="43" s="1"/>
  <c r="D72" i="43"/>
  <c r="F54" i="43"/>
  <c r="G43" i="43"/>
  <c r="F48" i="43" s="1"/>
  <c r="E30" i="43"/>
  <c r="E24" i="43"/>
  <c r="D29" i="43"/>
  <c r="G29" i="43" s="1"/>
  <c r="D35" i="43"/>
  <c r="G68" i="43"/>
  <c r="D24" i="43"/>
  <c r="E21" i="43"/>
  <c r="G19" i="43"/>
  <c r="F24" i="43" s="1"/>
  <c r="E33" i="43"/>
  <c r="I43" i="43"/>
  <c r="G52" i="43"/>
  <c r="D53" i="43"/>
  <c r="D54" i="43" s="1"/>
  <c r="D57" i="43"/>
  <c r="E69" i="43"/>
  <c r="F21" i="43"/>
  <c r="F33" i="43"/>
  <c r="F35" i="43" s="1"/>
  <c r="F30" i="43"/>
  <c r="E53" i="43"/>
  <c r="E54" i="43" s="1"/>
  <c r="E45" i="43"/>
  <c r="J43" i="43"/>
  <c r="E57" i="43"/>
  <c r="D48" i="43"/>
  <c r="K89" i="43"/>
  <c r="K88" i="43"/>
  <c r="C87" i="43"/>
  <c r="C89" i="43"/>
  <c r="D69" i="43"/>
  <c r="G67" i="43"/>
  <c r="F72" i="43" s="1"/>
  <c r="F73" i="43" s="1"/>
  <c r="I67" i="43"/>
  <c r="D79" i="43"/>
  <c r="E78" i="43"/>
  <c r="E90" i="43"/>
  <c r="F87" i="43" s="1"/>
  <c r="D28" i="43"/>
  <c r="E48" i="43"/>
  <c r="J67" i="43"/>
  <c r="E73" i="43" s="1"/>
  <c r="F45" i="43"/>
  <c r="K87" i="43"/>
  <c r="E25" i="43" l="1"/>
  <c r="G24" i="43"/>
  <c r="D73" i="43"/>
  <c r="G73" i="43" s="1"/>
  <c r="G69" i="43"/>
  <c r="G54" i="43"/>
  <c r="I54" i="43" s="1"/>
  <c r="G21" i="43"/>
  <c r="D25" i="43"/>
  <c r="E79" i="43"/>
  <c r="E49" i="43"/>
  <c r="D30" i="43"/>
  <c r="G28" i="43"/>
  <c r="G77" i="43"/>
  <c r="D59" i="43"/>
  <c r="G57" i="43"/>
  <c r="D49" i="43"/>
  <c r="G78" i="43"/>
  <c r="G45" i="43"/>
  <c r="E59" i="43"/>
  <c r="F88" i="43"/>
  <c r="F89" i="43"/>
  <c r="D39" i="43"/>
  <c r="E39" i="43" s="1"/>
  <c r="G53" i="43"/>
  <c r="E35" i="43"/>
  <c r="G33" i="43"/>
  <c r="G25" i="43" l="1"/>
  <c r="G79" i="43"/>
  <c r="I79" i="43" s="1"/>
  <c r="G35" i="43"/>
  <c r="D38" i="43" s="1"/>
  <c r="E38" i="43" s="1"/>
  <c r="G59" i="43"/>
  <c r="D62" i="43" s="1"/>
  <c r="E62" i="43" s="1"/>
  <c r="D63" i="43"/>
  <c r="E63" i="43" s="1"/>
  <c r="G30" i="43"/>
  <c r="I30" i="43" s="1"/>
  <c r="G49" i="43"/>
  <c r="K40" i="20" l="1"/>
  <c r="L40" i="20" s="1"/>
  <c r="D31" i="41"/>
  <c r="D35" i="41" s="1"/>
  <c r="O9" i="41"/>
  <c r="J9" i="41"/>
  <c r="D9" i="41"/>
  <c r="M7" i="41"/>
  <c r="D7" i="41"/>
  <c r="B7" i="41"/>
  <c r="D6" i="41"/>
  <c r="B6" i="41"/>
  <c r="A3" i="41"/>
  <c r="O9" i="40"/>
  <c r="J9" i="40"/>
  <c r="D9" i="40"/>
  <c r="M7" i="40"/>
  <c r="D7" i="40"/>
  <c r="B7" i="40"/>
  <c r="D6" i="40"/>
  <c r="B6" i="40"/>
  <c r="A3" i="40"/>
  <c r="O41" i="20"/>
  <c r="O40" i="20"/>
  <c r="K41" i="20"/>
  <c r="L41" i="20" s="1"/>
  <c r="T41" i="20"/>
  <c r="T40" i="20"/>
  <c r="J25" i="16"/>
  <c r="M54" i="16"/>
  <c r="L54" i="16"/>
  <c r="K54" i="16"/>
  <c r="J54" i="16"/>
  <c r="I54" i="16"/>
  <c r="H54" i="16"/>
  <c r="G54" i="16"/>
  <c r="F54" i="16"/>
  <c r="E54" i="16"/>
  <c r="D54" i="16"/>
  <c r="M47" i="16"/>
  <c r="L47" i="16"/>
  <c r="K47" i="16"/>
  <c r="J47" i="16"/>
  <c r="I47" i="16"/>
  <c r="H47" i="16"/>
  <c r="G47" i="16"/>
  <c r="F47" i="16"/>
  <c r="E47" i="16"/>
  <c r="D47" i="16"/>
  <c r="M38" i="16"/>
  <c r="L38" i="16"/>
  <c r="K38" i="16"/>
  <c r="J38" i="16"/>
  <c r="I38" i="16"/>
  <c r="H38" i="16"/>
  <c r="G38" i="16"/>
  <c r="F38" i="16"/>
  <c r="E38" i="16"/>
  <c r="C38" i="16"/>
  <c r="D38" i="16"/>
  <c r="M25" i="16"/>
  <c r="L25" i="16"/>
  <c r="K25" i="16"/>
  <c r="I25" i="16"/>
  <c r="H25" i="16"/>
  <c r="G25" i="16"/>
  <c r="F25" i="16"/>
  <c r="E25" i="16"/>
  <c r="D25" i="16"/>
  <c r="B25" i="14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18" i="15"/>
  <c r="G48" i="15" s="1"/>
  <c r="G52" i="15" s="1"/>
  <c r="D1" i="16"/>
  <c r="D1" i="15"/>
  <c r="D1" i="14"/>
  <c r="M7" i="14"/>
  <c r="M7" i="15"/>
  <c r="M7" i="16"/>
  <c r="M7" i="20"/>
  <c r="M7" i="11"/>
  <c r="D7" i="14"/>
  <c r="B7" i="14"/>
  <c r="D6" i="14"/>
  <c r="B6" i="14"/>
  <c r="D7" i="15"/>
  <c r="B7" i="15"/>
  <c r="D6" i="15"/>
  <c r="B6" i="15"/>
  <c r="D7" i="16"/>
  <c r="B7" i="16"/>
  <c r="D6" i="16"/>
  <c r="B6" i="16"/>
  <c r="D7" i="20"/>
  <c r="B7" i="20"/>
  <c r="D6" i="20"/>
  <c r="B6" i="20"/>
  <c r="D7" i="11"/>
  <c r="D6" i="11"/>
  <c r="B6" i="11"/>
  <c r="D7" i="10"/>
  <c r="D6" i="10"/>
  <c r="B7" i="10"/>
  <c r="B6" i="10"/>
  <c r="M7" i="10"/>
  <c r="D1" i="10"/>
  <c r="I18" i="15"/>
  <c r="J18" i="15" s="1"/>
  <c r="I45" i="15"/>
  <c r="I44" i="15"/>
  <c r="I41" i="15"/>
  <c r="J41" i="15" s="1"/>
  <c r="I40" i="15"/>
  <c r="I39" i="15"/>
  <c r="I37" i="15"/>
  <c r="J37" i="15" s="1"/>
  <c r="I36" i="15"/>
  <c r="J36" i="15" s="1"/>
  <c r="I35" i="15"/>
  <c r="J35" i="15"/>
  <c r="I33" i="15"/>
  <c r="I32" i="15"/>
  <c r="J32" i="15" s="1"/>
  <c r="I31" i="15"/>
  <c r="J31" i="15" s="1"/>
  <c r="I29" i="15"/>
  <c r="I28" i="15"/>
  <c r="J28" i="15" s="1"/>
  <c r="I25" i="15"/>
  <c r="I24" i="15"/>
  <c r="I23" i="15"/>
  <c r="J23" i="15" s="1"/>
  <c r="I21" i="15"/>
  <c r="J21" i="15" s="1"/>
  <c r="I20" i="15"/>
  <c r="J20" i="15" s="1"/>
  <c r="I19" i="15"/>
  <c r="A3" i="20"/>
  <c r="L45" i="11"/>
  <c r="L42" i="11"/>
  <c r="E41" i="11"/>
  <c r="L38" i="11"/>
  <c r="E38" i="11"/>
  <c r="L35" i="11"/>
  <c r="E35" i="11"/>
  <c r="J25" i="11"/>
  <c r="I25" i="11"/>
  <c r="H25" i="11"/>
  <c r="E25" i="11"/>
  <c r="D25" i="11"/>
  <c r="K22" i="11"/>
  <c r="M22" i="11" s="1"/>
  <c r="M25" i="11" s="1"/>
  <c r="F22" i="11"/>
  <c r="F25" i="11" s="1"/>
  <c r="M21" i="11"/>
  <c r="K21" i="11"/>
  <c r="H21" i="11"/>
  <c r="J19" i="15"/>
  <c r="J33" i="15"/>
  <c r="J40" i="15"/>
  <c r="I27" i="15"/>
  <c r="J27" i="15"/>
  <c r="I43" i="15"/>
  <c r="J43" i="15"/>
  <c r="J39" i="15"/>
  <c r="J25" i="15"/>
  <c r="J44" i="15"/>
  <c r="J24" i="15"/>
  <c r="J29" i="15"/>
  <c r="J45" i="15"/>
  <c r="I22" i="15"/>
  <c r="J22" i="15" s="1"/>
  <c r="I26" i="15"/>
  <c r="J26" i="15" s="1"/>
  <c r="I30" i="15"/>
  <c r="J30" i="15"/>
  <c r="I34" i="15"/>
  <c r="J34" i="15" s="1"/>
  <c r="I38" i="15"/>
  <c r="J38" i="15"/>
  <c r="I42" i="15"/>
  <c r="J42" i="15"/>
  <c r="O9" i="14"/>
  <c r="J9" i="14"/>
  <c r="D9" i="14"/>
  <c r="O9" i="15"/>
  <c r="J9" i="15"/>
  <c r="D9" i="15"/>
  <c r="O9" i="16"/>
  <c r="J9" i="16"/>
  <c r="D9" i="16"/>
  <c r="O9" i="20"/>
  <c r="J9" i="20"/>
  <c r="D9" i="20"/>
  <c r="O9" i="11"/>
  <c r="J9" i="11"/>
  <c r="D9" i="11"/>
  <c r="O9" i="10"/>
  <c r="J9" i="10"/>
  <c r="D9" i="10"/>
  <c r="J48" i="15" l="1"/>
  <c r="J50" i="15" s="1"/>
  <c r="J52" i="15" s="1"/>
  <c r="E42" i="11"/>
  <c r="E43" i="11" s="1"/>
  <c r="M40" i="20"/>
  <c r="N40" i="20"/>
  <c r="P40" i="20" s="1"/>
  <c r="N41" i="20"/>
  <c r="P41" i="20" s="1"/>
  <c r="M41" i="20"/>
  <c r="L46" i="11"/>
  <c r="L39" i="11"/>
  <c r="K25" i="11"/>
  <c r="M26" i="11" s="1"/>
  <c r="Q41" i="20" l="1"/>
  <c r="R41" i="20" s="1"/>
  <c r="S41" i="20" s="1"/>
  <c r="U41" i="20" s="1"/>
  <c r="Q40" i="20"/>
  <c r="R40" i="20" s="1"/>
  <c r="S40" i="20" s="1"/>
  <c r="U40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Cbelleville</author>
  </authors>
  <commentList>
    <comment ref="G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Cbelleville:</t>
        </r>
        <r>
          <rPr>
            <sz val="9"/>
            <color indexed="81"/>
            <rFont val="Tahoma"/>
            <family val="2"/>
          </rPr>
          <t xml:space="preserve">
3878444,47+120,00
VN1002 DS SI
</t>
        </r>
      </text>
    </comment>
    <comment ref="M3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Cbelleville:</t>
        </r>
        <r>
          <rPr>
            <sz val="9"/>
            <color indexed="81"/>
            <rFont val="Tahoma"/>
            <family val="2"/>
          </rPr>
          <t xml:space="preserve">
1112674,76+346223,32
</t>
        </r>
      </text>
    </comment>
    <comment ref="G3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Cbelleville:</t>
        </r>
        <r>
          <rPr>
            <sz val="9"/>
            <color indexed="81"/>
            <rFont val="Tahoma"/>
            <family val="2"/>
          </rPr>
          <t xml:space="preserve">
trav SI 7373,82
- trav SF 9789,36
</t>
        </r>
      </text>
    </comment>
    <comment ref="J3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Cbelleville:</t>
        </r>
        <r>
          <rPr>
            <sz val="9"/>
            <color indexed="81"/>
            <rFont val="Tahoma"/>
            <family val="2"/>
          </rPr>
          <t xml:space="preserve">
TRAV SI 7373,82
TRAV SF 12227,61
</t>
        </r>
      </text>
    </comment>
    <comment ref="M3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Cbelleville:</t>
        </r>
        <r>
          <rPr>
            <sz val="9"/>
            <color indexed="81"/>
            <rFont val="Tahoma"/>
            <family val="2"/>
          </rPr>
          <t xml:space="preserve">
TRAV SI 7373,82
TRAV SF 12149,9
</t>
        </r>
      </text>
    </comment>
  </commentList>
</comments>
</file>

<file path=xl/sharedStrings.xml><?xml version="1.0" encoding="utf-8"?>
<sst xmlns="http://schemas.openxmlformats.org/spreadsheetml/2006/main" count="601" uniqueCount="288">
  <si>
    <t>#NomClient</t>
  </si>
  <si>
    <t>OUI</t>
  </si>
  <si>
    <t>NON</t>
  </si>
  <si>
    <t>Faible</t>
  </si>
  <si>
    <t>Modéré</t>
  </si>
  <si>
    <t>Fait par :</t>
  </si>
  <si>
    <t>Revu par :</t>
  </si>
  <si>
    <t>Synthèse du cycle</t>
  </si>
  <si>
    <t>Date Clôture</t>
  </si>
  <si>
    <t>XRef</t>
  </si>
  <si>
    <t>Elevé</t>
  </si>
  <si>
    <t>Le :</t>
  </si>
  <si>
    <t>S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</si>
  <si>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</si>
  <si>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</si>
  <si>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</si>
  <si>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</si>
  <si>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</si>
  <si>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</si>
  <si>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</si>
  <si>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</si>
  <si>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Diligences à tester</t>
  </si>
  <si>
    <t>Liens</t>
  </si>
  <si>
    <t>S100</t>
  </si>
  <si>
    <t>Tableau variation stocks</t>
  </si>
  <si>
    <t>S100 Tableau var stocks</t>
  </si>
  <si>
    <t>P</t>
  </si>
  <si>
    <t>Ok BG N</t>
  </si>
  <si>
    <t>S200</t>
  </si>
  <si>
    <t>Rapprochement états stocks / comptabilité</t>
  </si>
  <si>
    <t>S200 Rappro états stock-compta</t>
  </si>
  <si>
    <t>f</t>
  </si>
  <si>
    <t>Ok RG / BG N-1</t>
  </si>
  <si>
    <t>S300</t>
  </si>
  <si>
    <t>Calcul rotation stock</t>
  </si>
  <si>
    <t>S300 Rotation stocks</t>
  </si>
  <si>
    <t xml:space="preserve"> Ʇ</t>
  </si>
  <si>
    <t>Contrôle arithmétique</t>
  </si>
  <si>
    <t>S400</t>
  </si>
  <si>
    <t>Reconciliation IP PR</t>
  </si>
  <si>
    <t>S400 Réconciliation IP PR</t>
  </si>
  <si>
    <t>a</t>
  </si>
  <si>
    <t>Ok Rapppro doc…</t>
  </si>
  <si>
    <t>S500</t>
  </si>
  <si>
    <t>Boucle des stocks</t>
  </si>
  <si>
    <t>S500 Boucle des stocks</t>
  </si>
  <si>
    <t>E</t>
  </si>
  <si>
    <t>S610</t>
  </si>
  <si>
    <t>Dépréciation stock VN</t>
  </si>
  <si>
    <t>S610 Dépré stock VN</t>
  </si>
  <si>
    <t>G</t>
  </si>
  <si>
    <t>S620</t>
  </si>
  <si>
    <t>Dépréciation stock VO</t>
  </si>
  <si>
    <t>S620 Dépré stock VO</t>
  </si>
  <si>
    <t>d</t>
  </si>
  <si>
    <t>autres</t>
  </si>
  <si>
    <t>S630</t>
  </si>
  <si>
    <t>Dépréciation stock PR</t>
  </si>
  <si>
    <t>S630 Dépré stock PR</t>
  </si>
  <si>
    <t>Revue analytique</t>
  </si>
  <si>
    <t>CONCLUSION</t>
  </si>
  <si>
    <t>N/A</t>
  </si>
  <si>
    <t>A faire</t>
  </si>
  <si>
    <t>STOCKS</t>
  </si>
  <si>
    <t>Terminé</t>
  </si>
  <si>
    <t>Questionnaire</t>
  </si>
  <si>
    <t>S Synthèse</t>
  </si>
  <si>
    <t>1. RISQUES INHERENTS</t>
  </si>
  <si>
    <t>Question</t>
  </si>
  <si>
    <t xml:space="preserve"> SI NON : Commentaires sur les risques d'anomalies significatives  dans les comptes ou la continuité d'exploitation
 et REF.</t>
  </si>
  <si>
    <t>La valorisation des stocks et en-cours est-elle correctement appréhendée par l’entreprise (comptabilité analytique, procédures de valorisation…) ? [V]</t>
  </si>
  <si>
    <t>Le niveau des stocks et des en-cours est-il normal en regard de l’activité ? [V]</t>
  </si>
  <si>
    <t>Le type d’activité, ou la structure de l’entreprise rendent-ils difficiles les détournements, les pertes ou destructions de stocks ? [R]</t>
  </si>
  <si>
    <t>Le marché de l'entreprise ou la nature de la production sont-ils sans effet significatif sur le risque de dépréciation des stocks ? [V]</t>
  </si>
  <si>
    <r>
      <t>Autres risques inhérents identifiés</t>
    </r>
    <r>
      <rPr>
        <b/>
        <sz val="10"/>
        <color indexed="8"/>
        <rFont val="Arial"/>
        <family val="2"/>
      </rPr>
      <t xml:space="preserve"> : </t>
    </r>
  </si>
  <si>
    <t xml:space="preserve"> RISQUES LIES AU CONTRÔLE</t>
  </si>
  <si>
    <t>La fonction de magasinier est-elle distincte des fonctions administratives ? [R]</t>
  </si>
  <si>
    <t>L'accès au stock est-il suffisamment sécurisé ? [R]</t>
  </si>
  <si>
    <t>Les stocks sont-ils suffisamment assurés ? [V]</t>
  </si>
  <si>
    <t>Utilise-t-on des bons d'entrée en stock ? [R]</t>
  </si>
  <si>
    <t>Les bons d'entrée et de sortie de stocks sont-ils pré-numérotés ? [S]</t>
  </si>
  <si>
    <t>Comportent-ils une signature autorisée ? [R]</t>
  </si>
  <si>
    <t>L’inventaire est-il simple à appréhender (processus simple de production, zone de stockage unique, stocks détenus par des tiers….) ? [R-S]</t>
  </si>
  <si>
    <t>L’entreprise a-t-elle mis en place un système fiable de suivi des quantités d'en-cours et stocks ? [R]</t>
  </si>
  <si>
    <t>La procédure d'inventaire physique est-elle satisfaisante ? [R-S]</t>
  </si>
  <si>
    <t>Les écarts sont-ils analysés ? [S]</t>
  </si>
  <si>
    <t>Le stock fait-il l'objet d'un suivi régulier en quantités et en valeur ? [R-E-S-V]</t>
  </si>
  <si>
    <t>Existe-t-il une procédure pour déterminer les provisions pour dépréciation des stocks ? [V]</t>
  </si>
  <si>
    <t>S'il existe un inventaire permanent, est il rapproché des résultats de l'inventaire physique ? [R-E-S]</t>
  </si>
  <si>
    <r>
      <t>Autres risques liés aux contrôles identifiés</t>
    </r>
    <r>
      <rPr>
        <b/>
        <sz val="10"/>
        <color indexed="8"/>
        <rFont val="Arial"/>
        <family val="2"/>
      </rPr>
      <t xml:space="preserve"> : </t>
    </r>
  </si>
  <si>
    <t>Préparé par : …………………………………………….</t>
  </si>
  <si>
    <t>Signature</t>
  </si>
  <si>
    <t>Commentaire</t>
  </si>
  <si>
    <t>APPROBATION DU COMMISSAIRE AUX COMPTES :</t>
  </si>
  <si>
    <t>Tableau de var des stocks</t>
  </si>
  <si>
    <r>
      <t>Objectif :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
Contrôler la cohérence des flux comptabilisés en résultat vs les variations de stocks enregistrées au niveau du brut et des provisions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Contrôler la correcte reprise des soldes N-1 et des soldes de clôture des stocks par rapprochement à la BG  et aux états de stocks
Vérifier l'exactitude du bouclage avec les comptes de variations de stocks, de dotations et de reprises de dépréciations.</t>
    </r>
  </si>
  <si>
    <t>Conclusion sur le contrôle</t>
  </si>
  <si>
    <t>1° Revue analytique</t>
  </si>
  <si>
    <t>Etat des dotations/reprises</t>
  </si>
  <si>
    <t>Num compte</t>
  </si>
  <si>
    <t>Libellé</t>
  </si>
  <si>
    <t>Valeur brute</t>
  </si>
  <si>
    <t>Var</t>
  </si>
  <si>
    <t>Dépréciation au</t>
  </si>
  <si>
    <t>Dotations</t>
  </si>
  <si>
    <t>Reprises</t>
  </si>
  <si>
    <t>VNC</t>
  </si>
  <si>
    <t>31/12/N</t>
  </si>
  <si>
    <t>31/12/N-1</t>
  </si>
  <si>
    <t>Stocks VN</t>
  </si>
  <si>
    <t>Stock VO</t>
  </si>
  <si>
    <t>Stock PR</t>
  </si>
  <si>
    <t>TOTAL</t>
  </si>
  <si>
    <t>ok S</t>
  </si>
  <si>
    <t>Ok N-1</t>
  </si>
  <si>
    <t>A</t>
  </si>
  <si>
    <t>B</t>
  </si>
  <si>
    <t>C</t>
  </si>
  <si>
    <t>2° Contrôle sur la variation de stocks</t>
  </si>
  <si>
    <t>3° Contrôle sur les dotations / reprises de dépréciations</t>
  </si>
  <si>
    <t>Solde au</t>
  </si>
  <si>
    <t>68173000</t>
  </si>
  <si>
    <t>Dot aux prov stocks</t>
  </si>
  <si>
    <t>Var.stock VO</t>
  </si>
  <si>
    <t># 603</t>
  </si>
  <si>
    <t>Ecart par rapport à la dotation attendue</t>
  </si>
  <si>
    <t>Var stock PR</t>
  </si>
  <si>
    <t># 713</t>
  </si>
  <si>
    <t>Ecart par rapport à la variation attendue</t>
  </si>
  <si>
    <t>OK</t>
  </si>
  <si>
    <t>78173000</t>
  </si>
  <si>
    <t>Repr/prov depr. stocks</t>
  </si>
  <si>
    <t>Ecart par rapport à la reprise attendue</t>
  </si>
  <si>
    <r>
      <t>Objectif</t>
    </r>
    <r>
      <rPr>
        <sz val="11"/>
        <rFont val="Calibri"/>
        <family val="2"/>
        <scheme val="minor"/>
      </rPr>
      <t xml:space="preserve">
S'assurer du correct rapprochement entre la comptabilité et les listings de stocks définitifs 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Vérification des formules de calcul (Valorisation = Qté * Prix unitaire), footing des fichiers
Cadrer les états de stocks avec la BG auditée</t>
    </r>
  </si>
  <si>
    <t>VN</t>
  </si>
  <si>
    <t>STOCK</t>
  </si>
  <si>
    <t>REF</t>
  </si>
  <si>
    <t>Valorisation en compta</t>
  </si>
  <si>
    <t>Valorisation sur l'Etat des stocks</t>
  </si>
  <si>
    <t>Ecart</t>
  </si>
  <si>
    <t>VO</t>
  </si>
  <si>
    <t>MPR</t>
  </si>
  <si>
    <t>Rotation des stocks</t>
  </si>
  <si>
    <r>
      <t>Objectif</t>
    </r>
    <r>
      <rPr>
        <sz val="11"/>
        <rFont val="Calibri"/>
        <family val="2"/>
        <scheme val="minor"/>
      </rPr>
      <t xml:space="preserve">
Comprendre l'évolution des stocks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Calcul délai de rotation moyen par type de stock et valeur VN/VO unitaire</t>
    </r>
  </si>
  <si>
    <t>1. Stock VN</t>
  </si>
  <si>
    <t>Variation</t>
  </si>
  <si>
    <t>Stocks bruts</t>
  </si>
  <si>
    <t>Montant de la dépréciation</t>
  </si>
  <si>
    <t>Stocks nets</t>
  </si>
  <si>
    <t>Achats VN</t>
  </si>
  <si>
    <t>Délai de rotation des stocks</t>
  </si>
  <si>
    <t>Stock comptabilisé</t>
  </si>
  <si>
    <t>% dépréciation</t>
  </si>
  <si>
    <t>Prix unitaire moyen</t>
  </si>
  <si>
    <t>Part dans Variation de stocks VN</t>
  </si>
  <si>
    <t>Effet Prix VN</t>
  </si>
  <si>
    <t>Effet Volume VN</t>
  </si>
  <si>
    <t>2. Stock VO</t>
  </si>
  <si>
    <t>Achats VO</t>
  </si>
  <si>
    <t>Part dans Variation de stocks VO</t>
  </si>
  <si>
    <t>Effet Prix VO</t>
  </si>
  <si>
    <t>Effet Volume VO</t>
  </si>
  <si>
    <t>3. Stock MPR</t>
  </si>
  <si>
    <t>Achats MPR</t>
  </si>
  <si>
    <t>Antériorité des stocks VN et VO</t>
  </si>
  <si>
    <t xml:space="preserve">% Total </t>
  </si>
  <si>
    <t>% Variation N/N-1</t>
  </si>
  <si>
    <t>VEHICULES +180 jours</t>
  </si>
  <si>
    <t>Réconciliation IP</t>
  </si>
  <si>
    <r>
      <t>Objectif</t>
    </r>
    <r>
      <rPr>
        <sz val="11"/>
        <rFont val="Calibri"/>
        <family val="2"/>
        <scheme val="minor"/>
      </rPr>
      <t xml:space="preserve">
Réalité des stocks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Comparer les quantités présentes en stocks avec les quantités inventoriées physiquement par nos soins
Analyse des écarts</t>
    </r>
  </si>
  <si>
    <t>Désignation de l'article</t>
  </si>
  <si>
    <t>Référence</t>
  </si>
  <si>
    <t>Coût unitaire sur listing</t>
  </si>
  <si>
    <t>Quantités sur listing</t>
  </si>
  <si>
    <t>Valeur</t>
  </si>
  <si>
    <t>Quantité comptée par FA/EA lors de l'IP</t>
  </si>
  <si>
    <t>Ecart valorisé</t>
  </si>
  <si>
    <t>Commentaires / analyse de l'écart</t>
  </si>
  <si>
    <t>TOTAL stock inventorié</t>
  </si>
  <si>
    <t>TOTAL écarts</t>
  </si>
  <si>
    <t>Total stock brut comptabilisé</t>
  </si>
  <si>
    <t>% d'écart / inventaire</t>
  </si>
  <si>
    <t>Scope inventorié</t>
  </si>
  <si>
    <t>Extrapolation écart</t>
  </si>
  <si>
    <t>Valorisation stock MP</t>
  </si>
  <si>
    <t>S510</t>
  </si>
  <si>
    <r>
      <t>Objectif</t>
    </r>
    <r>
      <rPr>
        <sz val="11"/>
        <rFont val="Calibri"/>
        <family val="2"/>
        <scheme val="minor"/>
      </rPr>
      <t xml:space="preserve">
Réalité du stock VN/VO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Contrôle et justification de la boucle des stocks : 
 - en nombre
 - en valeur</t>
    </r>
  </si>
  <si>
    <t>BOUCLAGE EN VALEUR DES STOCKS</t>
  </si>
  <si>
    <t xml:space="preserve"> </t>
  </si>
  <si>
    <t>x</t>
  </si>
  <si>
    <t>ok N-1</t>
  </si>
  <si>
    <t>concession de :</t>
  </si>
  <si>
    <t>PNA</t>
  </si>
  <si>
    <t>VN PNA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</si>
  <si>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</si>
  <si>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</si>
  <si>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</si>
  <si>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</si>
  <si>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</si>
  <si>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</si>
  <si>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</si>
  <si>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</si>
  <si>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</si>
  <si>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</si>
  <si>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</si>
  <si>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</si>
  <si>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STOCK DEPART</t>
  </si>
  <si>
    <t>Cumul achats</t>
  </si>
  <si>
    <t>Cumul ventes au PA</t>
  </si>
  <si>
    <t>ok état des revirements d'achats VN</t>
  </si>
  <si>
    <t>Retraitement marge</t>
  </si>
  <si>
    <t>STOCK FIN</t>
  </si>
  <si>
    <t>Stock Fin Etat Stock</t>
  </si>
  <si>
    <t>VO PNA</t>
  </si>
  <si>
    <t>Cumul ventes AU PA</t>
  </si>
  <si>
    <t>Retraitement Frais RVO</t>
  </si>
  <si>
    <t>Cumul ventes</t>
  </si>
  <si>
    <r>
      <t>Objectif</t>
    </r>
    <r>
      <rPr>
        <sz val="11"/>
        <rFont val="Calibri"/>
        <family val="2"/>
        <scheme val="minor"/>
      </rPr>
      <t xml:space="preserve">
Evaluation et exhaustivité des dépréciations du stock VN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Prise de connaissance de la méthode de dépréciation des stocks par entretien avec la direction 
Tests de détail : contrôle artihmétique du fichier de dépréciation des stocks (attention à bien considérer les primes de sorties sur les VD)
Revue des marges réalisées post-clôture afin de s'assurer de l'exhaustivité de la dépréciation</t>
    </r>
  </si>
  <si>
    <t>1° Prise de connaissance de la méthode de dépréciation de stocks</t>
  </si>
  <si>
    <t xml:space="preserve">2° Tests de détail </t>
  </si>
  <si>
    <t>a) Rapprochement tableau des dépréciations / comptabilité</t>
  </si>
  <si>
    <t>b) Contrôle arithmétique du tableau des dépréciation</t>
  </si>
  <si>
    <t>Des anomalies significatives ont-elles été relevées?</t>
  </si>
  <si>
    <t>c) Tests sur dépréciation</t>
  </si>
  <si>
    <t xml:space="preserve">       * Evaluation des dépréciations</t>
  </si>
  <si>
    <t>Exemple de calcul de dépréciation (groupe Thivolle)</t>
  </si>
  <si>
    <t>à copier à partir de la requête "COMPTA-DEPRECIATION VN rectifiée"</t>
  </si>
  <si>
    <t>calculs automatiques</t>
  </si>
  <si>
    <t>N° dossier</t>
  </si>
  <si>
    <t>Modèle</t>
  </si>
  <si>
    <t>N° série</t>
  </si>
  <si>
    <t>Immat</t>
  </si>
  <si>
    <t xml:space="preserve"> Date
de
l'achat</t>
  </si>
  <si>
    <t>Date 
de VD</t>
  </si>
  <si>
    <t xml:space="preserve"> Prix
d'achat</t>
  </si>
  <si>
    <t>date
livraison
client</t>
  </si>
  <si>
    <t>Montant 
marge 2</t>
  </si>
  <si>
    <t>Date de réservation</t>
  </si>
  <si>
    <t>Nombre 
JOURS
DETENTION</t>
  </si>
  <si>
    <t>Nombre 
mois
détention</t>
  </si>
  <si>
    <t>nombre 
mois
à déprécier</t>
  </si>
  <si>
    <t>nombre mois détention
hors VD</t>
  </si>
  <si>
    <t>nombre mois détention
VD</t>
  </si>
  <si>
    <t>Mois à
déprécier
à 1 %</t>
  </si>
  <si>
    <t>Mois à
déprécier
à 2 %si VD</t>
  </si>
  <si>
    <t>Calcul
initial</t>
  </si>
  <si>
    <t xml:space="preserve">Dépréciation
</t>
  </si>
  <si>
    <t>DEPRE 
APV</t>
  </si>
  <si>
    <t>DEPRECIATION 
FINALE</t>
  </si>
  <si>
    <t xml:space="preserve">       * Exhaustivité des dépréciations</t>
  </si>
  <si>
    <t>Contrôle des marges dégagées post-clôture</t>
  </si>
  <si>
    <r>
      <t>Objectif</t>
    </r>
    <r>
      <rPr>
        <sz val="11"/>
        <rFont val="Calibri"/>
        <family val="2"/>
        <scheme val="minor"/>
      </rPr>
      <t xml:space="preserve">
Evaluation et exhaustivité des dépréciations du stock VO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Prise de connaissance de la méthode de dépréciation des stocks par entretien avec la direction (attenton sur la valorisation des VO retenue : autovista, planet VO, cote argus,..)
Tests de détail : contrôle artihmétique du fichier de dépréciation des stocks 
Revue des marges réalisées post-clôture afin de s'assurer de l'exhaustivité de la dépréciation</t>
    </r>
  </si>
  <si>
    <r>
      <t>Objectif</t>
    </r>
    <r>
      <rPr>
        <sz val="11"/>
        <rFont val="Calibri"/>
        <family val="2"/>
        <scheme val="minor"/>
      </rPr>
      <t xml:space="preserve">
Evaluation et exhaustivité des dépréciations du stock PR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Prise de connaissance de la méthode de dépréciation des stocks par entretien avec la direction et comparaison avec celle de N-1
Rationalisation du calcul de dépréciation
Tests de détail : contrôle artihmétique du fichier de dépréciation des stocks 
</t>
    </r>
  </si>
  <si>
    <t>2° Rationalisation du calcul</t>
  </si>
  <si>
    <t>Taux dépréciation N-1</t>
  </si>
  <si>
    <t>OK LYWP's</t>
  </si>
  <si>
    <t>@</t>
  </si>
  <si>
    <t xml:space="preserve">3° Tests de détail </t>
  </si>
  <si>
    <t>PE+VP</t>
  </si>
  <si>
    <t>%</t>
  </si>
  <si>
    <t>Stock moyen N</t>
  </si>
  <si>
    <t>Stock Moyen N-1</t>
  </si>
  <si>
    <t>Consommation VN</t>
  </si>
  <si>
    <t>Impact</t>
  </si>
  <si>
    <t>Nombre de véhicules en stock</t>
  </si>
  <si>
    <t>Consommation VO</t>
  </si>
  <si>
    <t>Consommation PR</t>
  </si>
  <si>
    <t>Aging :</t>
  </si>
  <si>
    <t>VEHICULES -120 jours</t>
  </si>
  <si>
    <t>VEHICULES 120-180 jours</t>
  </si>
  <si>
    <t>S0</t>
  </si>
  <si>
    <t>Var. stock VN / VO</t>
  </si>
  <si>
    <t>VN316114</t>
  </si>
  <si>
    <t>VN316274</t>
  </si>
  <si>
    <t>Commentaire:
Dormant entre 12 et 24 mois =&gt; 50%
Mort + de 24 mois =&gt; 95%</t>
  </si>
  <si>
    <t>Ok écart NS</t>
  </si>
  <si>
    <t>BRA</t>
  </si>
  <si>
    <t>Stock PR au 31/12/2022</t>
  </si>
  <si>
    <t>Provision théorique PR 31/12/2022</t>
  </si>
  <si>
    <t>Provision CDPR 31/12/2022 comptabilisée</t>
  </si>
  <si>
    <t>N</t>
  </si>
  <si>
    <t>N-1</t>
  </si>
  <si>
    <t>N-2</t>
  </si>
  <si>
    <t>VN N</t>
  </si>
  <si>
    <t>VN N-1</t>
  </si>
  <si>
    <t>VO N</t>
  </si>
  <si>
    <t>VO N-1</t>
  </si>
  <si>
    <t>SATISFAISANT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</si>
</sst>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  <numFmt numFmtId="167" formatCode="#,##0;\(#,##0\);\-"/>
    <numFmt numFmtId="168" formatCode="#,##0&quot; &quot;;[Red]\(#,##0\)"/>
    <numFmt numFmtId="169" formatCode="#,##0\ _€"/>
    <numFmt numFmtId="170" formatCode="#,##0.00_ ;\-#,##0.00\ "/>
    <numFmt numFmtId="171" formatCode="_-* #,##0\ _F_-;\-* #,##0\ _F_-;_-* &quot;-&quot;??\ _F_-;_-@_-"/>
    <numFmt numFmtId="172" formatCode="#,##0_ ;\-#,##0\ "/>
    <numFmt numFmtId="173" formatCode="_-* #,##0.00\ _F_-;\-* #,##0.00\ _F_-;_-* &quot;-&quot;??\ _F_-;_-@_-"/>
    <numFmt numFmtId="174" formatCode="0.000%"/>
    <numFmt numFmtId="175" formatCode="_(* #,##0_);_(* \(#,##0\);_(* &quot;-&quot;??_);_(@_)"/>
    <numFmt numFmtId="176" formatCode="#,##0.0"/>
    <numFmt numFmtId="177" formatCode="0.0%"/>
    <numFmt numFmtId="178" formatCode="_(* #,##0.0_);_(* \(#,##0.0\);_(* &quot;-&quot;??_);_(@_)"/>
  </numFmts>
  <fonts count="6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name val="Calibri"/>
      <family val="2"/>
      <scheme val="minor"/>
    </font>
    <font>
      <b/>
      <sz val="1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color indexed="10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11"/>
      <name val="Arial Narrow"/>
      <family val="2"/>
    </font>
    <font>
      <b/>
      <i/>
      <sz val="11"/>
      <name val="Calibri"/>
      <family val="2"/>
      <scheme val="minor"/>
    </font>
    <font>
      <u/>
      <sz val="8"/>
      <color theme="10"/>
      <name val="Trebuchet MS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rebuchet MS"/>
      <family val="2"/>
    </font>
    <font>
      <b/>
      <sz val="11"/>
      <color rgb="FF0070C0"/>
      <name val="Calibri"/>
      <family val="2"/>
      <scheme val="minor"/>
    </font>
    <font>
      <b/>
      <u/>
      <sz val="11"/>
      <color indexed="6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rial Narrow"/>
      <family val="2"/>
    </font>
    <font>
      <b/>
      <sz val="11"/>
      <color indexed="16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indexed="5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10"/>
      <name val="Arial Narrow"/>
      <family val="2"/>
    </font>
    <font>
      <b/>
      <sz val="9"/>
      <name val="Calibri"/>
      <family val="2"/>
      <scheme val="minor"/>
    </font>
    <font>
      <u/>
      <sz val="10"/>
      <color indexed="12"/>
      <name val="Garamond"/>
      <family val="1"/>
    </font>
    <font>
      <sz val="10"/>
      <name val="Times New Roman"/>
      <family val="1"/>
    </font>
    <font>
      <b/>
      <i/>
      <u/>
      <sz val="1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EEEEEE"/>
      </patternFill>
    </fill>
    <fill>
      <patternFill patternType="solid">
        <fgColor rgb="FF002060"/>
        <bgColor indexed="64"/>
      </patternFill>
    </fill>
  </fills>
  <borders count="9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18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1">
    <xf numFmtId="0" fontId="0" fillId="0" borderId="0"/>
    <xf numFmtId="0" fontId="5" fillId="0" borderId="0"/>
    <xf numFmtId="165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9" fontId="5" fillId="2" borderId="0" applyFont="0" applyBorder="0" applyProtection="0">
      <alignment vertical="center" readingOrder="1"/>
    </xf>
    <xf numFmtId="0" fontId="34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5" fillId="0" borderId="0" applyFont="0" applyFill="0" applyBorder="0" applyAlignment="0" applyProtection="0"/>
    <xf numFmtId="0" fontId="37" fillId="0" borderId="0"/>
    <xf numFmtId="0" fontId="5" fillId="0" borderId="0"/>
    <xf numFmtId="0" fontId="29" fillId="0" borderId="0">
      <alignment vertical="top"/>
    </xf>
    <xf numFmtId="165" fontId="3" fillId="0" borderId="0" applyFont="0" applyFill="0" applyBorder="0" applyAlignment="0" applyProtection="0"/>
    <xf numFmtId="9" fontId="39" fillId="0" borderId="0" applyFont="0" applyFill="0" applyBorder="0" applyAlignment="0" applyProtection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164" fontId="1" fillId="0" borderId="0" applyFont="0" applyFill="0" applyBorder="0" applyAlignment="0" applyProtection="0"/>
    <xf numFmtId="0" fontId="66" fillId="0" borderId="0"/>
    <xf numFmtId="0" fontId="1" fillId="0" borderId="0"/>
  </cellStyleXfs>
  <cellXfs count="724">
    <xf numFmtId="0" fontId="0" fillId="0" borderId="0" xfId="0"/>
    <xf numFmtId="0" fontId="52" fillId="0" borderId="36" xfId="6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49" fontId="9" fillId="0" borderId="0" xfId="0" applyNumberFormat="1" applyFont="1" applyAlignment="1" applyProtection="1">
      <alignment horizontal="right"/>
      <protection locked="0"/>
    </xf>
    <xf numFmtId="49" fontId="6" fillId="0" borderId="0" xfId="0" applyNumberFormat="1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Alignment="1" applyProtection="1">
      <alignment horizontal="right"/>
      <protection locked="0"/>
    </xf>
    <xf numFmtId="0" fontId="8" fillId="0" borderId="0" xfId="0" applyFont="1" applyAlignment="1" applyProtection="1">
      <alignment vertical="center"/>
      <protection locked="0"/>
    </xf>
    <xf numFmtId="14" fontId="11" fillId="0" borderId="15" xfId="0" applyNumberFormat="1" applyFont="1" applyBorder="1" applyAlignment="1" applyProtection="1">
      <alignment vertical="center"/>
      <protection locked="0"/>
    </xf>
    <xf numFmtId="14" fontId="11" fillId="0" borderId="16" xfId="0" applyNumberFormat="1" applyFont="1" applyBorder="1" applyAlignment="1" applyProtection="1">
      <alignment vertical="center"/>
      <protection locked="0"/>
    </xf>
    <xf numFmtId="14" fontId="11" fillId="0" borderId="17" xfId="0" applyNumberFormat="1" applyFont="1" applyBorder="1" applyAlignment="1" applyProtection="1">
      <alignment vertical="center"/>
      <protection locked="0"/>
    </xf>
    <xf numFmtId="14" fontId="11" fillId="0" borderId="18" xfId="0" applyNumberFormat="1" applyFont="1" applyBorder="1" applyAlignment="1" applyProtection="1">
      <alignment vertical="center"/>
      <protection locked="0"/>
    </xf>
    <xf numFmtId="14" fontId="11" fillId="0" borderId="0" xfId="0" applyNumberFormat="1" applyFont="1" applyAlignment="1" applyProtection="1">
      <alignment vertical="center"/>
      <protection locked="0"/>
    </xf>
    <xf numFmtId="14" fontId="11" fillId="0" borderId="19" xfId="0" applyNumberFormat="1" applyFont="1" applyBorder="1" applyAlignment="1" applyProtection="1">
      <alignment vertical="center"/>
      <protection locked="0"/>
    </xf>
    <xf numFmtId="14" fontId="14" fillId="0" borderId="0" xfId="0" applyNumberFormat="1" applyFont="1" applyAlignment="1" applyProtection="1">
      <alignment vertical="center"/>
      <protection locked="0"/>
    </xf>
    <xf numFmtId="0" fontId="9" fillId="0" borderId="15" xfId="0" applyFont="1" applyBorder="1" applyAlignment="1" applyProtection="1">
      <alignment vertical="center"/>
      <protection locked="0"/>
    </xf>
    <xf numFmtId="0" fontId="9" fillId="0" borderId="2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0" borderId="16" xfId="0" applyFont="1" applyBorder="1" applyAlignment="1" applyProtection="1">
      <alignment vertical="center" wrapText="1"/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6" fillId="0" borderId="0" xfId="0" applyFont="1"/>
    <xf numFmtId="0" fontId="20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24" fillId="0" borderId="11" xfId="0" applyFont="1" applyBorder="1" applyAlignment="1" applyProtection="1">
      <alignment horizontal="center" vertical="center" wrapText="1"/>
      <protection locked="0"/>
    </xf>
    <xf numFmtId="0" fontId="25" fillId="1" borderId="8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42" xfId="0" applyBorder="1" applyProtection="1">
      <protection locked="0"/>
    </xf>
    <xf numFmtId="0" fontId="13" fillId="0" borderId="0" xfId="0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 applyProtection="1">
      <alignment vertical="center"/>
      <protection locked="0"/>
    </xf>
    <xf numFmtId="49" fontId="13" fillId="0" borderId="0" xfId="0" applyNumberFormat="1" applyFont="1" applyAlignment="1" applyProtection="1">
      <alignment horizontal="right"/>
      <protection locked="0"/>
    </xf>
    <xf numFmtId="0" fontId="13" fillId="0" borderId="0" xfId="0" applyFont="1" applyAlignment="1" applyProtection="1">
      <alignment horizontal="left"/>
      <protection locked="0"/>
    </xf>
    <xf numFmtId="14" fontId="13" fillId="0" borderId="0" xfId="0" applyNumberFormat="1" applyFont="1" applyAlignment="1" applyProtection="1">
      <alignment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0" fontId="9" fillId="0" borderId="18" xfId="0" applyFont="1" applyBorder="1"/>
    <xf numFmtId="0" fontId="13" fillId="0" borderId="18" xfId="0" applyFont="1" applyBorder="1"/>
    <xf numFmtId="4" fontId="13" fillId="0" borderId="0" xfId="0" applyNumberFormat="1" applyFont="1"/>
    <xf numFmtId="0" fontId="9" fillId="0" borderId="0" xfId="0" applyFont="1"/>
    <xf numFmtId="4" fontId="9" fillId="0" borderId="0" xfId="0" applyNumberFormat="1" applyFont="1"/>
    <xf numFmtId="0" fontId="9" fillId="0" borderId="18" xfId="0" applyFont="1" applyBorder="1" applyAlignment="1">
      <alignment horizontal="left"/>
    </xf>
    <xf numFmtId="0" fontId="9" fillId="0" borderId="0" xfId="0" applyFont="1" applyAlignment="1">
      <alignment horizontal="left"/>
    </xf>
    <xf numFmtId="14" fontId="9" fillId="5" borderId="50" xfId="9" applyNumberFormat="1" applyFont="1" applyFill="1" applyBorder="1" applyAlignment="1" applyProtection="1">
      <alignment horizontal="center" vertical="center" wrapText="1"/>
      <protection hidden="1"/>
    </xf>
    <xf numFmtId="14" fontId="9" fillId="0" borderId="0" xfId="9" applyNumberFormat="1" applyFont="1" applyAlignment="1" applyProtection="1">
      <alignment horizontal="center" vertical="center" wrapText="1"/>
      <protection hidden="1"/>
    </xf>
    <xf numFmtId="14" fontId="9" fillId="0" borderId="51" xfId="9" applyNumberFormat="1" applyFont="1" applyBorder="1" applyAlignment="1" applyProtection="1">
      <alignment horizontal="center" vertical="center" wrapText="1"/>
      <protection hidden="1"/>
    </xf>
    <xf numFmtId="3" fontId="13" fillId="0" borderId="3" xfId="0" applyNumberFormat="1" applyFont="1" applyBorder="1" applyAlignment="1">
      <alignment horizontal="right" indent="2"/>
    </xf>
    <xf numFmtId="3" fontId="13" fillId="0" borderId="6" xfId="0" applyNumberFormat="1" applyFont="1" applyBorder="1" applyAlignment="1">
      <alignment horizontal="right" indent="2"/>
    </xf>
    <xf numFmtId="0" fontId="9" fillId="5" borderId="52" xfId="0" applyFont="1" applyFill="1" applyBorder="1"/>
    <xf numFmtId="3" fontId="9" fillId="5" borderId="3" xfId="0" applyNumberFormat="1" applyFont="1" applyFill="1" applyBorder="1" applyAlignment="1">
      <alignment horizontal="right" vertical="center" indent="2"/>
    </xf>
    <xf numFmtId="3" fontId="9" fillId="5" borderId="53" xfId="0" applyNumberFormat="1" applyFont="1" applyFill="1" applyBorder="1" applyAlignment="1">
      <alignment horizontal="right" vertical="center" indent="2"/>
    </xf>
    <xf numFmtId="0" fontId="18" fillId="0" borderId="39" xfId="0" applyFont="1" applyBorder="1" applyAlignment="1">
      <alignment horizontal="center"/>
    </xf>
    <xf numFmtId="168" fontId="13" fillId="0" borderId="39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8" fontId="1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0" fontId="9" fillId="0" borderId="0" xfId="10" applyFont="1" applyAlignment="1" applyProtection="1">
      <alignment horizontal="center" vertical="top"/>
      <protection hidden="1"/>
    </xf>
    <xf numFmtId="14" fontId="13" fillId="0" borderId="0" xfId="0" applyNumberFormat="1" applyFont="1"/>
    <xf numFmtId="168" fontId="33" fillId="0" borderId="0" xfId="0" applyNumberFormat="1" applyFont="1"/>
    <xf numFmtId="0" fontId="13" fillId="0" borderId="1" xfId="0" applyFont="1" applyBorder="1"/>
    <xf numFmtId="0" fontId="13" fillId="0" borderId="37" xfId="0" applyFont="1" applyBorder="1" applyAlignment="1">
      <alignment horizontal="center"/>
    </xf>
    <xf numFmtId="0" fontId="13" fillId="0" borderId="2" xfId="0" applyFont="1" applyBorder="1"/>
    <xf numFmtId="168" fontId="13" fillId="0" borderId="1" xfId="0" applyNumberFormat="1" applyFont="1" applyBorder="1"/>
    <xf numFmtId="0" fontId="13" fillId="0" borderId="7" xfId="0" applyFont="1" applyBorder="1"/>
    <xf numFmtId="0" fontId="13" fillId="0" borderId="4" xfId="0" applyFont="1" applyBorder="1" applyAlignment="1">
      <alignment horizontal="center"/>
    </xf>
    <xf numFmtId="168" fontId="13" fillId="0" borderId="5" xfId="0" applyNumberFormat="1" applyFont="1" applyBorder="1"/>
    <xf numFmtId="3" fontId="9" fillId="0" borderId="24" xfId="0" applyNumberFormat="1" applyFont="1" applyBorder="1" applyAlignment="1">
      <alignment horizontal="right" vertical="center" indent="2"/>
    </xf>
    <xf numFmtId="0" fontId="9" fillId="5" borderId="54" xfId="0" applyFont="1" applyFill="1" applyBorder="1"/>
    <xf numFmtId="168" fontId="13" fillId="5" borderId="55" xfId="0" applyNumberFormat="1" applyFont="1" applyFill="1" applyBorder="1"/>
    <xf numFmtId="0" fontId="13" fillId="0" borderId="49" xfId="0" applyFont="1" applyBorder="1"/>
    <xf numFmtId="168" fontId="9" fillId="5" borderId="56" xfId="0" applyNumberFormat="1" applyFont="1" applyFill="1" applyBorder="1"/>
    <xf numFmtId="168" fontId="13" fillId="5" borderId="57" xfId="0" applyNumberFormat="1" applyFont="1" applyFill="1" applyBorder="1"/>
    <xf numFmtId="168" fontId="13" fillId="5" borderId="58" xfId="0" applyNumberFormat="1" applyFont="1" applyFill="1" applyBorder="1"/>
    <xf numFmtId="3" fontId="9" fillId="5" borderId="59" xfId="0" applyNumberFormat="1" applyFont="1" applyFill="1" applyBorder="1" applyAlignment="1">
      <alignment horizontal="right" vertical="center" indent="2"/>
    </xf>
    <xf numFmtId="168" fontId="9" fillId="0" borderId="0" xfId="0" applyNumberFormat="1" applyFont="1"/>
    <xf numFmtId="3" fontId="9" fillId="0" borderId="0" xfId="0" applyNumberFormat="1" applyFont="1" applyAlignment="1">
      <alignment horizontal="center" vertical="center"/>
    </xf>
    <xf numFmtId="3" fontId="9" fillId="5" borderId="3" xfId="9" applyNumberFormat="1" applyFont="1" applyFill="1" applyBorder="1" applyAlignment="1" applyProtection="1">
      <alignment horizontal="center" vertical="center" wrapText="1"/>
      <protection hidden="1"/>
    </xf>
    <xf numFmtId="0" fontId="9" fillId="5" borderId="7" xfId="0" applyFont="1" applyFill="1" applyBorder="1"/>
    <xf numFmtId="168" fontId="13" fillId="5" borderId="52" xfId="0" applyNumberFormat="1" applyFont="1" applyFill="1" applyBorder="1"/>
    <xf numFmtId="167" fontId="9" fillId="0" borderId="0" xfId="0" applyNumberFormat="1" applyFont="1"/>
    <xf numFmtId="0" fontId="9" fillId="0" borderId="18" xfId="1" applyFont="1" applyBorder="1" applyAlignment="1">
      <alignment horizontal="left" vertical="center"/>
    </xf>
    <xf numFmtId="0" fontId="9" fillId="0" borderId="0" xfId="4" applyFont="1" applyAlignment="1">
      <alignment horizontal="left"/>
    </xf>
    <xf numFmtId="169" fontId="9" fillId="0" borderId="0" xfId="1" applyNumberFormat="1" applyFont="1" applyAlignment="1">
      <alignment horizontal="right"/>
    </xf>
    <xf numFmtId="169" fontId="9" fillId="0" borderId="0" xfId="1" applyNumberFormat="1" applyFont="1"/>
    <xf numFmtId="9" fontId="33" fillId="0" borderId="0" xfId="3" applyFont="1" applyFill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4" applyFont="1"/>
    <xf numFmtId="0" fontId="13" fillId="0" borderId="19" xfId="4" applyFont="1" applyBorder="1"/>
    <xf numFmtId="0" fontId="36" fillId="0" borderId="18" xfId="4" applyFont="1" applyBorder="1"/>
    <xf numFmtId="0" fontId="36" fillId="0" borderId="0" xfId="4" applyFont="1"/>
    <xf numFmtId="170" fontId="13" fillId="0" borderId="0" xfId="2" applyNumberFormat="1" applyFont="1" applyBorder="1" applyAlignment="1">
      <alignment horizontal="center"/>
    </xf>
    <xf numFmtId="3" fontId="13" fillId="0" borderId="0" xfId="2" applyNumberFormat="1" applyFont="1" applyBorder="1" applyAlignment="1">
      <alignment horizontal="center"/>
    </xf>
    <xf numFmtId="4" fontId="13" fillId="0" borderId="0" xfId="2" applyNumberFormat="1" applyFont="1" applyBorder="1" applyAlignment="1">
      <alignment horizontal="center"/>
    </xf>
    <xf numFmtId="3" fontId="13" fillId="0" borderId="0" xfId="2" applyNumberFormat="1" applyFont="1" applyFill="1" applyBorder="1" applyAlignment="1">
      <alignment horizontal="center"/>
    </xf>
    <xf numFmtId="0" fontId="13" fillId="0" borderId="0" xfId="11" applyFont="1" applyAlignment="1">
      <alignment horizontal="left" vertical="center"/>
    </xf>
    <xf numFmtId="0" fontId="13" fillId="0" borderId="18" xfId="11" applyFont="1" applyBorder="1">
      <alignment vertical="top"/>
    </xf>
    <xf numFmtId="0" fontId="13" fillId="0" borderId="0" xfId="11" applyFont="1">
      <alignment vertical="top"/>
    </xf>
    <xf numFmtId="0" fontId="13" fillId="0" borderId="18" xfId="11" applyFont="1" applyBorder="1" applyAlignment="1">
      <alignment horizontal="left" vertical="center"/>
    </xf>
    <xf numFmtId="4" fontId="33" fillId="0" borderId="0" xfId="0" applyNumberFormat="1" applyFont="1" applyAlignment="1">
      <alignment horizontal="center"/>
    </xf>
    <xf numFmtId="9" fontId="33" fillId="0" borderId="0" xfId="13" applyFont="1" applyFill="1" applyBorder="1" applyAlignment="1">
      <alignment horizontal="center"/>
    </xf>
    <xf numFmtId="1" fontId="9" fillId="0" borderId="0" xfId="2" applyNumberFormat="1" applyFont="1" applyFill="1" applyBorder="1" applyAlignment="1">
      <alignment horizontal="center" vertical="center"/>
    </xf>
    <xf numFmtId="0" fontId="13" fillId="0" borderId="0" xfId="11" applyFont="1" applyAlignment="1">
      <alignment horizontal="right" vertical="center"/>
    </xf>
    <xf numFmtId="2" fontId="13" fillId="0" borderId="0" xfId="13" applyNumberFormat="1" applyFont="1" applyBorder="1" applyAlignment="1">
      <alignment horizontal="center" vertical="center"/>
    </xf>
    <xf numFmtId="9" fontId="13" fillId="0" borderId="0" xfId="13" applyFont="1" applyFill="1" applyBorder="1" applyAlignment="1">
      <alignment vertical="top"/>
    </xf>
    <xf numFmtId="171" fontId="13" fillId="0" borderId="0" xfId="12" applyNumberFormat="1" applyFont="1" applyFill="1" applyBorder="1" applyAlignment="1">
      <alignment vertical="top"/>
    </xf>
    <xf numFmtId="171" fontId="13" fillId="0" borderId="0" xfId="12" applyNumberFormat="1" applyFont="1" applyFill="1" applyBorder="1" applyAlignment="1">
      <alignment horizontal="right" vertical="top"/>
    </xf>
    <xf numFmtId="0" fontId="33" fillId="4" borderId="18" xfId="7" applyFont="1" applyFill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40" fillId="0" borderId="0" xfId="0" applyFont="1" applyAlignment="1">
      <alignment horizontal="left"/>
    </xf>
    <xf numFmtId="4" fontId="36" fillId="0" borderId="0" xfId="0" applyNumberFormat="1" applyFont="1" applyAlignment="1">
      <alignment wrapText="1"/>
    </xf>
    <xf numFmtId="0" fontId="41" fillId="0" borderId="18" xfId="4" applyFont="1" applyBorder="1" applyAlignment="1">
      <alignment horizontal="left"/>
    </xf>
    <xf numFmtId="0" fontId="13" fillId="0" borderId="0" xfId="4" applyFont="1" applyAlignment="1">
      <alignment horizontal="right" vertical="top"/>
    </xf>
    <xf numFmtId="0" fontId="13" fillId="0" borderId="0" xfId="4" applyFont="1" applyAlignment="1">
      <alignment horizontal="right"/>
    </xf>
    <xf numFmtId="0" fontId="9" fillId="0" borderId="18" xfId="4" applyFont="1" applyBorder="1" applyAlignment="1">
      <alignment horizontal="left"/>
    </xf>
    <xf numFmtId="0" fontId="13" fillId="0" borderId="18" xfId="4" applyFont="1" applyBorder="1" applyAlignment="1">
      <alignment horizontal="left"/>
    </xf>
    <xf numFmtId="49" fontId="13" fillId="0" borderId="18" xfId="0" applyNumberFormat="1" applyFont="1" applyBorder="1"/>
    <xf numFmtId="166" fontId="13" fillId="0" borderId="0" xfId="2" applyNumberFormat="1" applyFont="1" applyFill="1" applyBorder="1" applyAlignment="1">
      <alignment horizontal="center" vertical="center"/>
    </xf>
    <xf numFmtId="166" fontId="13" fillId="0" borderId="0" xfId="4" applyNumberFormat="1" applyFont="1" applyAlignment="1">
      <alignment horizontal="center" vertical="center"/>
    </xf>
    <xf numFmtId="0" fontId="35" fillId="0" borderId="0" xfId="6" applyFont="1" applyFill="1" applyBorder="1" applyAlignment="1" applyProtection="1">
      <alignment horizontal="center" vertical="center"/>
    </xf>
    <xf numFmtId="4" fontId="13" fillId="0" borderId="0" xfId="13" applyNumberFormat="1" applyFont="1" applyFill="1" applyBorder="1" applyAlignment="1">
      <alignment horizontal="left" vertical="center"/>
    </xf>
    <xf numFmtId="4" fontId="13" fillId="0" borderId="0" xfId="13" applyNumberFormat="1" applyFont="1" applyBorder="1" applyAlignment="1">
      <alignment horizontal="left" vertical="center"/>
    </xf>
    <xf numFmtId="0" fontId="44" fillId="0" borderId="0" xfId="0" applyFont="1" applyAlignment="1" applyProtection="1">
      <alignment vertical="center"/>
      <protection locked="0"/>
    </xf>
    <xf numFmtId="0" fontId="44" fillId="0" borderId="0" xfId="0" applyFont="1" applyProtection="1"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45" fillId="0" borderId="0" xfId="0" applyFont="1" applyProtection="1">
      <protection locked="0"/>
    </xf>
    <xf numFmtId="0" fontId="13" fillId="0" borderId="16" xfId="0" applyFont="1" applyBorder="1" applyProtection="1">
      <protection locked="0"/>
    </xf>
    <xf numFmtId="0" fontId="13" fillId="0" borderId="21" xfId="0" applyFont="1" applyBorder="1" applyProtection="1">
      <protection locked="0"/>
    </xf>
    <xf numFmtId="0" fontId="9" fillId="5" borderId="0" xfId="0" applyFont="1" applyFill="1"/>
    <xf numFmtId="3" fontId="13" fillId="0" borderId="24" xfId="0" applyNumberFormat="1" applyFont="1" applyBorder="1" applyAlignment="1">
      <alignment horizontal="right" vertical="center"/>
    </xf>
    <xf numFmtId="3" fontId="13" fillId="0" borderId="3" xfId="0" applyNumberFormat="1" applyFont="1" applyBorder="1" applyAlignment="1">
      <alignment horizontal="right" vertical="center"/>
    </xf>
    <xf numFmtId="3" fontId="13" fillId="0" borderId="49" xfId="0" applyNumberFormat="1" applyFont="1" applyBorder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3" fontId="9" fillId="5" borderId="24" xfId="0" applyNumberFormat="1" applyFont="1" applyFill="1" applyBorder="1" applyAlignment="1">
      <alignment horizontal="right" vertical="center"/>
    </xf>
    <xf numFmtId="3" fontId="9" fillId="0" borderId="49" xfId="0" applyNumberFormat="1" applyFont="1" applyBorder="1" applyAlignment="1">
      <alignment horizontal="right" vertical="center"/>
    </xf>
    <xf numFmtId="3" fontId="9" fillId="5" borderId="53" xfId="0" applyNumberFormat="1" applyFont="1" applyFill="1" applyBorder="1" applyAlignment="1">
      <alignment horizontal="right" vertical="center"/>
    </xf>
    <xf numFmtId="3" fontId="9" fillId="0" borderId="24" xfId="0" applyNumberFormat="1" applyFont="1" applyBorder="1" applyAlignment="1">
      <alignment horizontal="right" vertical="center"/>
    </xf>
    <xf numFmtId="0" fontId="9" fillId="0" borderId="1" xfId="0" applyFont="1" applyBorder="1"/>
    <xf numFmtId="0" fontId="9" fillId="0" borderId="7" xfId="0" applyFont="1" applyBorder="1"/>
    <xf numFmtId="0" fontId="13" fillId="0" borderId="0" xfId="0" applyFont="1" applyAlignment="1" applyProtection="1">
      <alignment horizontal="center"/>
      <protection locked="0"/>
    </xf>
    <xf numFmtId="168" fontId="13" fillId="0" borderId="48" xfId="0" applyNumberFormat="1" applyFont="1" applyBorder="1"/>
    <xf numFmtId="166" fontId="13" fillId="0" borderId="37" xfId="2" applyNumberFormat="1" applyFont="1" applyFill="1" applyBorder="1" applyAlignment="1">
      <alignment horizontal="center"/>
    </xf>
    <xf numFmtId="166" fontId="13" fillId="0" borderId="48" xfId="2" applyNumberFormat="1" applyFont="1" applyFill="1" applyBorder="1" applyAlignment="1">
      <alignment horizontal="center"/>
    </xf>
    <xf numFmtId="0" fontId="9" fillId="5" borderId="4" xfId="0" applyFont="1" applyFill="1" applyBorder="1"/>
    <xf numFmtId="166" fontId="13" fillId="0" borderId="24" xfId="2" applyNumberFormat="1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vertical="center"/>
    </xf>
    <xf numFmtId="0" fontId="13" fillId="0" borderId="37" xfId="0" applyFont="1" applyBorder="1"/>
    <xf numFmtId="14" fontId="9" fillId="5" borderId="37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4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1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5" xfId="9" applyNumberFormat="1" applyFont="1" applyFill="1" applyBorder="1" applyAlignment="1" applyProtection="1">
      <alignment horizontal="center" vertical="center" wrapText="1"/>
      <protection hidden="1"/>
    </xf>
    <xf numFmtId="0" fontId="13" fillId="0" borderId="15" xfId="0" applyFont="1" applyBorder="1" applyProtection="1">
      <protection locked="0"/>
    </xf>
    <xf numFmtId="0" fontId="13" fillId="0" borderId="17" xfId="0" applyFont="1" applyBorder="1" applyProtection="1">
      <protection locked="0"/>
    </xf>
    <xf numFmtId="0" fontId="13" fillId="0" borderId="19" xfId="0" applyFont="1" applyBorder="1" applyProtection="1">
      <protection locked="0"/>
    </xf>
    <xf numFmtId="0" fontId="13" fillId="0" borderId="18" xfId="0" applyFont="1" applyBorder="1" applyProtection="1">
      <protection locked="0"/>
    </xf>
    <xf numFmtId="0" fontId="13" fillId="0" borderId="18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0" fontId="13" fillId="0" borderId="18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vertical="center"/>
      <protection locked="0"/>
    </xf>
    <xf numFmtId="0" fontId="13" fillId="0" borderId="20" xfId="0" applyFont="1" applyBorder="1" applyProtection="1">
      <protection locked="0"/>
    </xf>
    <xf numFmtId="0" fontId="13" fillId="0" borderId="22" xfId="0" applyFont="1" applyBorder="1" applyProtection="1">
      <protection locked="0"/>
    </xf>
    <xf numFmtId="0" fontId="13" fillId="4" borderId="0" xfId="1" applyFont="1" applyFill="1" applyAlignment="1">
      <alignment horizontal="right"/>
    </xf>
    <xf numFmtId="0" fontId="13" fillId="0" borderId="7" xfId="0" applyFont="1" applyBorder="1" applyProtection="1">
      <protection locked="0"/>
    </xf>
    <xf numFmtId="10" fontId="13" fillId="0" borderId="0" xfId="0" applyNumberFormat="1" applyFont="1" applyAlignment="1">
      <alignment horizontal="right"/>
    </xf>
    <xf numFmtId="166" fontId="13" fillId="0" borderId="63" xfId="2" applyNumberFormat="1" applyFont="1" applyFill="1" applyBorder="1" applyAlignment="1">
      <alignment horizontal="center" vertical="center"/>
    </xf>
    <xf numFmtId="166" fontId="13" fillId="0" borderId="67" xfId="2" applyNumberFormat="1" applyFont="1" applyFill="1" applyBorder="1" applyAlignment="1">
      <alignment horizontal="center" vertical="center"/>
    </xf>
    <xf numFmtId="4" fontId="36" fillId="0" borderId="18" xfId="0" applyNumberFormat="1" applyFont="1" applyBorder="1" applyAlignment="1">
      <alignment horizontal="left" wrapText="1"/>
    </xf>
    <xf numFmtId="166" fontId="13" fillId="0" borderId="62" xfId="2" applyNumberFormat="1" applyFont="1" applyFill="1" applyBorder="1" applyAlignment="1">
      <alignment horizontal="center" vertical="center"/>
    </xf>
    <xf numFmtId="166" fontId="13" fillId="0" borderId="66" xfId="2" applyNumberFormat="1" applyFont="1" applyFill="1" applyBorder="1" applyAlignment="1">
      <alignment horizontal="center" vertical="center"/>
    </xf>
    <xf numFmtId="166" fontId="13" fillId="0" borderId="60" xfId="2" applyNumberFormat="1" applyFont="1" applyFill="1" applyBorder="1" applyAlignment="1">
      <alignment horizontal="center" vertical="center"/>
    </xf>
    <xf numFmtId="166" fontId="13" fillId="0" borderId="61" xfId="2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166" fontId="13" fillId="0" borderId="0" xfId="2" applyNumberFormat="1" applyFont="1" applyFill="1" applyBorder="1" applyAlignment="1">
      <alignment horizontal="left" vertical="center"/>
    </xf>
    <xf numFmtId="166" fontId="13" fillId="0" borderId="0" xfId="2" applyNumberFormat="1" applyFont="1" applyBorder="1" applyAlignment="1">
      <alignment horizontal="center" vertical="center"/>
    </xf>
    <xf numFmtId="171" fontId="13" fillId="0" borderId="0" xfId="2" applyNumberFormat="1" applyFont="1" applyFill="1" applyBorder="1"/>
    <xf numFmtId="4" fontId="13" fillId="0" borderId="0" xfId="13" applyNumberFormat="1" applyFont="1" applyBorder="1" applyAlignment="1">
      <alignment horizontal="center" vertical="center"/>
    </xf>
    <xf numFmtId="4" fontId="36" fillId="0" borderId="18" xfId="0" applyNumberFormat="1" applyFont="1" applyBorder="1" applyAlignment="1">
      <alignment horizontal="left" vertical="center"/>
    </xf>
    <xf numFmtId="49" fontId="13" fillId="0" borderId="20" xfId="0" applyNumberFormat="1" applyFont="1" applyBorder="1"/>
    <xf numFmtId="166" fontId="13" fillId="0" borderId="21" xfId="2" applyNumberFormat="1" applyFont="1" applyFill="1" applyBorder="1" applyAlignment="1">
      <alignment horizontal="center" vertical="center"/>
    </xf>
    <xf numFmtId="166" fontId="13" fillId="0" borderId="21" xfId="4" applyNumberFormat="1" applyFont="1" applyBorder="1" applyAlignment="1">
      <alignment horizontal="center" vertical="center"/>
    </xf>
    <xf numFmtId="0" fontId="35" fillId="0" borderId="21" xfId="6" applyFont="1" applyFill="1" applyBorder="1" applyAlignment="1" applyProtection="1">
      <alignment horizontal="center" vertical="center"/>
    </xf>
    <xf numFmtId="0" fontId="13" fillId="0" borderId="21" xfId="4" applyFont="1" applyBorder="1"/>
    <xf numFmtId="0" fontId="13" fillId="0" borderId="22" xfId="4" applyFont="1" applyBorder="1"/>
    <xf numFmtId="0" fontId="14" fillId="0" borderId="75" xfId="0" applyFont="1" applyBorder="1" applyAlignment="1" applyProtection="1">
      <alignment horizontal="left" vertical="center"/>
      <protection locked="0"/>
    </xf>
    <xf numFmtId="14" fontId="14" fillId="0" borderId="76" xfId="0" applyNumberFormat="1" applyFont="1" applyBorder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center"/>
      <protection locked="0"/>
    </xf>
    <xf numFmtId="0" fontId="49" fillId="0" borderId="0" xfId="0" applyFont="1" applyAlignment="1" applyProtection="1">
      <alignment horizontal="center"/>
      <protection locked="0"/>
    </xf>
    <xf numFmtId="0" fontId="50" fillId="0" borderId="0" xfId="0" applyFont="1" applyAlignment="1" applyProtection="1">
      <alignment horizontal="center"/>
      <protection locked="0"/>
    </xf>
    <xf numFmtId="0" fontId="51" fillId="0" borderId="0" xfId="0" applyFont="1" applyAlignment="1" applyProtection="1">
      <alignment horizontal="center"/>
      <protection locked="0"/>
    </xf>
    <xf numFmtId="0" fontId="13" fillId="0" borderId="0" xfId="0" applyFont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3" fillId="0" borderId="9" xfId="0" applyFont="1" applyBorder="1" applyAlignment="1" applyProtection="1">
      <alignment vertical="center"/>
      <protection locked="0"/>
    </xf>
    <xf numFmtId="0" fontId="13" fillId="0" borderId="48" xfId="0" applyFont="1" applyBorder="1" applyAlignment="1">
      <alignment horizontal="left" vertical="center" wrapText="1"/>
    </xf>
    <xf numFmtId="3" fontId="9" fillId="5" borderId="8" xfId="0" applyNumberFormat="1" applyFont="1" applyFill="1" applyBorder="1" applyAlignment="1">
      <alignment horizontal="right" vertical="center"/>
    </xf>
    <xf numFmtId="3" fontId="9" fillId="5" borderId="11" xfId="0" applyNumberFormat="1" applyFont="1" applyFill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 indent="2"/>
    </xf>
    <xf numFmtId="3" fontId="13" fillId="0" borderId="5" xfId="0" applyNumberFormat="1" applyFont="1" applyBorder="1" applyAlignment="1">
      <alignment horizontal="right" vertical="center" indent="2"/>
    </xf>
    <xf numFmtId="3" fontId="9" fillId="0" borderId="49" xfId="0" applyNumberFormat="1" applyFont="1" applyBorder="1" applyAlignment="1">
      <alignment horizontal="right" vertical="center" indent="2"/>
    </xf>
    <xf numFmtId="3" fontId="13" fillId="0" borderId="49" xfId="0" applyNumberFormat="1" applyFont="1" applyBorder="1" applyAlignment="1">
      <alignment horizontal="right" vertical="center" indent="2"/>
    </xf>
    <xf numFmtId="0" fontId="9" fillId="0" borderId="2" xfId="0" applyFont="1" applyBorder="1"/>
    <xf numFmtId="0" fontId="9" fillId="0" borderId="5" xfId="0" applyFont="1" applyBorder="1"/>
    <xf numFmtId="14" fontId="9" fillId="0" borderId="15" xfId="0" applyNumberFormat="1" applyFont="1" applyBorder="1" applyAlignment="1" applyProtection="1">
      <alignment vertical="center"/>
      <protection locked="0"/>
    </xf>
    <xf numFmtId="14" fontId="9" fillId="0" borderId="16" xfId="0" applyNumberFormat="1" applyFont="1" applyBorder="1" applyAlignment="1" applyProtection="1">
      <alignment vertical="center"/>
      <protection locked="0"/>
    </xf>
    <xf numFmtId="14" fontId="9" fillId="0" borderId="17" xfId="0" applyNumberFormat="1" applyFont="1" applyBorder="1" applyAlignment="1" applyProtection="1">
      <alignment vertical="center"/>
      <protection locked="0"/>
    </xf>
    <xf numFmtId="14" fontId="9" fillId="0" borderId="18" xfId="0" applyNumberFormat="1" applyFont="1" applyBorder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vertical="center"/>
      <protection locked="0"/>
    </xf>
    <xf numFmtId="14" fontId="9" fillId="0" borderId="19" xfId="0" applyNumberFormat="1" applyFont="1" applyBorder="1" applyAlignment="1" applyProtection="1">
      <alignment vertical="center"/>
      <protection locked="0"/>
    </xf>
    <xf numFmtId="0" fontId="13" fillId="0" borderId="75" xfId="0" applyFont="1" applyBorder="1" applyAlignment="1" applyProtection="1">
      <alignment horizontal="left" vertical="center"/>
      <protection locked="0"/>
    </xf>
    <xf numFmtId="14" fontId="13" fillId="0" borderId="76" xfId="0" applyNumberFormat="1" applyFont="1" applyBorder="1" applyAlignment="1" applyProtection="1">
      <alignment horizontal="left" vertical="center"/>
      <protection locked="0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/>
    <xf numFmtId="166" fontId="13" fillId="0" borderId="0" xfId="0" applyNumberFormat="1" applyFont="1" applyProtection="1">
      <protection locked="0"/>
    </xf>
    <xf numFmtId="0" fontId="13" fillId="0" borderId="0" xfId="0" applyFont="1" applyAlignment="1">
      <alignment vertical="center"/>
    </xf>
    <xf numFmtId="9" fontId="13" fillId="0" borderId="68" xfId="15" applyFont="1" applyBorder="1" applyAlignment="1">
      <alignment horizontal="center" vertical="center"/>
    </xf>
    <xf numFmtId="9" fontId="13" fillId="0" borderId="64" xfId="15" applyFont="1" applyBorder="1" applyAlignment="1">
      <alignment horizontal="center" vertical="center"/>
    </xf>
    <xf numFmtId="9" fontId="9" fillId="0" borderId="11" xfId="15" applyFont="1" applyBorder="1" applyAlignment="1">
      <alignment horizontal="center" vertical="center"/>
    </xf>
    <xf numFmtId="9" fontId="13" fillId="0" borderId="11" xfId="15" applyFont="1" applyBorder="1" applyAlignment="1">
      <alignment horizontal="center" vertical="center"/>
    </xf>
    <xf numFmtId="0" fontId="13" fillId="0" borderId="0" xfId="11" applyFont="1" applyAlignment="1">
      <alignment horizontal="center" vertical="center"/>
    </xf>
    <xf numFmtId="171" fontId="13" fillId="0" borderId="0" xfId="14" applyNumberFormat="1" applyFont="1" applyBorder="1" applyAlignment="1">
      <alignment horizontal="center" vertical="center"/>
    </xf>
    <xf numFmtId="9" fontId="13" fillId="0" borderId="0" xfId="15" applyFont="1" applyBorder="1" applyAlignment="1">
      <alignment horizontal="center" vertical="center"/>
    </xf>
    <xf numFmtId="9" fontId="9" fillId="3" borderId="11" xfId="15" applyFont="1" applyFill="1" applyBorder="1" applyAlignment="1">
      <alignment horizontal="center" vertical="center"/>
    </xf>
    <xf numFmtId="9" fontId="9" fillId="7" borderId="11" xfId="15" applyFont="1" applyFill="1" applyBorder="1" applyAlignment="1">
      <alignment horizontal="center" vertical="center"/>
    </xf>
    <xf numFmtId="3" fontId="13" fillId="0" borderId="0" xfId="11" applyNumberFormat="1" applyFont="1" applyAlignment="1">
      <alignment horizontal="center" vertical="center"/>
    </xf>
    <xf numFmtId="3" fontId="9" fillId="0" borderId="0" xfId="14" applyNumberFormat="1" applyFont="1" applyFill="1" applyBorder="1" applyAlignment="1">
      <alignment horizontal="right" vertical="center" indent="4"/>
    </xf>
    <xf numFmtId="9" fontId="9" fillId="0" borderId="0" xfId="15" applyFont="1" applyFill="1" applyBorder="1" applyAlignment="1">
      <alignment horizontal="center" vertical="center"/>
    </xf>
    <xf numFmtId="0" fontId="22" fillId="0" borderId="18" xfId="11" applyFont="1" applyBorder="1" applyAlignment="1"/>
    <xf numFmtId="0" fontId="13" fillId="0" borderId="0" xfId="11" applyFont="1" applyAlignment="1"/>
    <xf numFmtId="0" fontId="13" fillId="0" borderId="18" xfId="11" applyFont="1" applyBorder="1" applyAlignment="1"/>
    <xf numFmtId="0" fontId="13" fillId="0" borderId="18" xfId="11" applyFont="1" applyBorder="1" applyAlignment="1">
      <alignment horizontal="center"/>
    </xf>
    <xf numFmtId="3" fontId="13" fillId="0" borderId="18" xfId="11" applyNumberFormat="1" applyFont="1" applyBorder="1" applyAlignment="1">
      <alignment horizontal="center" vertical="center"/>
    </xf>
    <xf numFmtId="0" fontId="21" fillId="0" borderId="19" xfId="0" applyFont="1" applyBorder="1" applyAlignment="1" applyProtection="1">
      <alignment vertical="top"/>
      <protection locked="0"/>
    </xf>
    <xf numFmtId="0" fontId="33" fillId="0" borderId="20" xfId="0" applyFont="1" applyBorder="1" applyAlignment="1">
      <alignment horizontal="left"/>
    </xf>
    <xf numFmtId="0" fontId="33" fillId="0" borderId="21" xfId="0" applyFont="1" applyBorder="1"/>
    <xf numFmtId="1" fontId="33" fillId="0" borderId="21" xfId="0" applyNumberFormat="1" applyFont="1" applyBorder="1" applyAlignment="1">
      <alignment horizontal="right" indent="2"/>
    </xf>
    <xf numFmtId="0" fontId="13" fillId="0" borderId="21" xfId="0" applyFont="1" applyBorder="1"/>
    <xf numFmtId="0" fontId="13" fillId="0" borderId="19" xfId="0" applyFont="1" applyBorder="1" applyAlignment="1">
      <alignment vertical="top" wrapText="1"/>
    </xf>
    <xf numFmtId="0" fontId="32" fillId="0" borderId="0" xfId="0" applyFont="1"/>
    <xf numFmtId="0" fontId="9" fillId="8" borderId="80" xfId="0" applyFont="1" applyFill="1" applyBorder="1" applyAlignment="1">
      <alignment horizontal="center" vertical="center"/>
    </xf>
    <xf numFmtId="0" fontId="9" fillId="0" borderId="81" xfId="0" applyFont="1" applyBorder="1" applyAlignment="1">
      <alignment horizontal="center" vertical="center" textRotation="45"/>
    </xf>
    <xf numFmtId="171" fontId="9" fillId="0" borderId="81" xfId="14" applyNumberFormat="1" applyFont="1" applyBorder="1" applyAlignment="1">
      <alignment horizontal="center" vertical="center" textRotation="45"/>
    </xf>
    <xf numFmtId="0" fontId="9" fillId="0" borderId="82" xfId="0" applyFont="1" applyBorder="1" applyAlignment="1">
      <alignment horizontal="center" vertical="center" textRotation="45"/>
    </xf>
    <xf numFmtId="0" fontId="9" fillId="0" borderId="77" xfId="0" applyFont="1" applyBorder="1"/>
    <xf numFmtId="171" fontId="9" fillId="9" borderId="77" xfId="14" applyNumberFormat="1" applyFont="1" applyFill="1" applyBorder="1" applyAlignment="1">
      <alignment horizontal="center" vertical="center"/>
    </xf>
    <xf numFmtId="0" fontId="58" fillId="0" borderId="83" xfId="0" applyFont="1" applyBorder="1" applyAlignment="1">
      <alignment horizontal="right"/>
    </xf>
    <xf numFmtId="171" fontId="9" fillId="0" borderId="30" xfId="14" applyNumberFormat="1" applyFont="1" applyBorder="1" applyAlignment="1">
      <alignment horizontal="center" vertical="center"/>
    </xf>
    <xf numFmtId="171" fontId="9" fillId="0" borderId="83" xfId="14" applyNumberFormat="1" applyFont="1" applyBorder="1" applyAlignment="1">
      <alignment horizontal="center" vertical="center"/>
    </xf>
    <xf numFmtId="0" fontId="59" fillId="0" borderId="84" xfId="0" applyFont="1" applyBorder="1" applyAlignment="1">
      <alignment horizontal="right"/>
    </xf>
    <xf numFmtId="171" fontId="9" fillId="0" borderId="12" xfId="14" applyNumberFormat="1" applyFont="1" applyBorder="1" applyAlignment="1">
      <alignment horizontal="center" vertical="center"/>
    </xf>
    <xf numFmtId="171" fontId="9" fillId="0" borderId="77" xfId="14" applyNumberFormat="1" applyFont="1" applyBorder="1" applyAlignment="1">
      <alignment horizontal="center" vertical="center"/>
    </xf>
    <xf numFmtId="171" fontId="9" fillId="0" borderId="13" xfId="14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0" fontId="59" fillId="0" borderId="85" xfId="0" applyFont="1" applyBorder="1" applyAlignment="1">
      <alignment horizontal="right"/>
    </xf>
    <xf numFmtId="171" fontId="9" fillId="0" borderId="0" xfId="14" applyNumberFormat="1" applyFont="1" applyBorder="1" applyAlignment="1">
      <alignment horizontal="center" vertical="center"/>
    </xf>
    <xf numFmtId="171" fontId="9" fillId="0" borderId="47" xfId="14" applyNumberFormat="1" applyFont="1" applyBorder="1" applyAlignment="1">
      <alignment horizontal="center" vertical="center"/>
    </xf>
    <xf numFmtId="171" fontId="9" fillId="0" borderId="46" xfId="14" applyNumberFormat="1" applyFont="1" applyBorder="1" applyAlignment="1">
      <alignment horizontal="center" vertical="center"/>
    </xf>
    <xf numFmtId="0" fontId="59" fillId="0" borderId="77" xfId="0" applyFont="1" applyBorder="1" applyAlignment="1">
      <alignment horizontal="left"/>
    </xf>
    <xf numFmtId="171" fontId="13" fillId="0" borderId="13" xfId="14" applyNumberFormat="1" applyFont="1" applyBorder="1"/>
    <xf numFmtId="171" fontId="9" fillId="0" borderId="13" xfId="14" applyNumberFormat="1" applyFont="1" applyBorder="1"/>
    <xf numFmtId="171" fontId="9" fillId="10" borderId="77" xfId="14" applyNumberFormat="1" applyFont="1" applyFill="1" applyBorder="1" applyAlignment="1">
      <alignment horizontal="center" vertical="center"/>
    </xf>
    <xf numFmtId="171" fontId="9" fillId="0" borderId="0" xfId="14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7" xfId="0" applyFont="1" applyBorder="1" applyAlignment="1">
      <alignment horizontal="left"/>
    </xf>
    <xf numFmtId="171" fontId="9" fillId="9" borderId="12" xfId="14" applyNumberFormat="1" applyFont="1" applyFill="1" applyBorder="1" applyAlignment="1">
      <alignment horizontal="center" vertical="center"/>
    </xf>
    <xf numFmtId="0" fontId="58" fillId="0" borderId="84" xfId="0" applyFont="1" applyBorder="1" applyAlignment="1">
      <alignment horizontal="left"/>
    </xf>
    <xf numFmtId="171" fontId="9" fillId="11" borderId="2" xfId="14" applyNumberFormat="1" applyFont="1" applyFill="1" applyBorder="1" applyAlignment="1">
      <alignment horizontal="center" vertical="center"/>
    </xf>
    <xf numFmtId="171" fontId="9" fillId="11" borderId="84" xfId="14" applyNumberFormat="1" applyFont="1" applyFill="1" applyBorder="1" applyAlignment="1">
      <alignment horizontal="center" vertical="center"/>
    </xf>
    <xf numFmtId="0" fontId="59" fillId="0" borderId="85" xfId="0" applyFont="1" applyBorder="1" applyAlignment="1">
      <alignment horizontal="left"/>
    </xf>
    <xf numFmtId="171" fontId="9" fillId="10" borderId="9" xfId="14" applyNumberFormat="1" applyFont="1" applyFill="1" applyBorder="1" applyAlignment="1">
      <alignment horizontal="center" vertical="center"/>
    </xf>
    <xf numFmtId="171" fontId="9" fillId="10" borderId="85" xfId="14" applyNumberFormat="1" applyFont="1" applyFill="1" applyBorder="1" applyAlignment="1">
      <alignment horizontal="center" vertical="center"/>
    </xf>
    <xf numFmtId="0" fontId="59" fillId="0" borderId="47" xfId="0" applyFont="1" applyBorder="1" applyAlignment="1">
      <alignment horizontal="left"/>
    </xf>
    <xf numFmtId="171" fontId="9" fillId="10" borderId="0" xfId="14" applyNumberFormat="1" applyFont="1" applyFill="1" applyBorder="1" applyAlignment="1">
      <alignment horizontal="center" vertical="center"/>
    </xf>
    <xf numFmtId="171" fontId="9" fillId="10" borderId="47" xfId="14" applyNumberFormat="1" applyFont="1" applyFill="1" applyBorder="1" applyAlignment="1">
      <alignment horizontal="center" vertical="center"/>
    </xf>
    <xf numFmtId="171" fontId="13" fillId="0" borderId="0" xfId="14" applyNumberFormat="1" applyFont="1" applyBorder="1"/>
    <xf numFmtId="171" fontId="9" fillId="0" borderId="0" xfId="14" applyNumberFormat="1" applyFont="1" applyBorder="1"/>
    <xf numFmtId="0" fontId="9" fillId="9" borderId="77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171" fontId="9" fillId="0" borderId="84" xfId="14" applyNumberFormat="1" applyFont="1" applyBorder="1" applyAlignment="1">
      <alignment horizontal="center" vertical="center"/>
    </xf>
    <xf numFmtId="171" fontId="9" fillId="0" borderId="2" xfId="14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84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85" xfId="0" applyFont="1" applyFill="1" applyBorder="1" applyAlignment="1">
      <alignment horizontal="center" vertical="center"/>
    </xf>
    <xf numFmtId="0" fontId="21" fillId="0" borderId="0" xfId="0" applyFont="1" applyAlignment="1" applyProtection="1">
      <alignment vertical="top"/>
      <protection locked="0"/>
    </xf>
    <xf numFmtId="171" fontId="18" fillId="0" borderId="0" xfId="14" applyNumberFormat="1" applyFont="1" applyBorder="1"/>
    <xf numFmtId="0" fontId="57" fillId="0" borderId="18" xfId="0" applyFont="1" applyBorder="1"/>
    <xf numFmtId="0" fontId="18" fillId="0" borderId="0" xfId="0" applyFont="1"/>
    <xf numFmtId="0" fontId="47" fillId="0" borderId="0" xfId="0" applyFont="1"/>
    <xf numFmtId="171" fontId="18" fillId="0" borderId="0" xfId="14" applyNumberFormat="1" applyFont="1" applyBorder="1" applyAlignment="1">
      <alignment horizontal="center"/>
    </xf>
    <xf numFmtId="171" fontId="13" fillId="0" borderId="0" xfId="14" applyNumberFormat="1" applyFont="1" applyBorder="1" applyAlignment="1">
      <alignment horizontal="center"/>
    </xf>
    <xf numFmtId="1" fontId="38" fillId="0" borderId="86" xfId="11" applyNumberFormat="1" applyFont="1" applyBorder="1" applyAlignment="1">
      <alignment horizontal="center" vertical="center" wrapText="1"/>
    </xf>
    <xf numFmtId="166" fontId="38" fillId="0" borderId="86" xfId="2" applyNumberFormat="1" applyFont="1" applyBorder="1" applyAlignment="1">
      <alignment horizontal="center" vertical="center" wrapText="1"/>
    </xf>
    <xf numFmtId="1" fontId="38" fillId="0" borderId="87" xfId="11" applyNumberFormat="1" applyFont="1" applyBorder="1" applyAlignment="1">
      <alignment horizontal="center" vertical="center" wrapText="1"/>
    </xf>
    <xf numFmtId="166" fontId="2" fillId="15" borderId="89" xfId="2" applyNumberFormat="1" applyFont="1" applyFill="1" applyBorder="1" applyAlignment="1">
      <alignment horizontal="center"/>
    </xf>
    <xf numFmtId="0" fontId="9" fillId="0" borderId="77" xfId="11" applyFont="1" applyBorder="1" applyAlignment="1">
      <alignment horizontal="center" vertical="center"/>
    </xf>
    <xf numFmtId="0" fontId="9" fillId="0" borderId="77" xfId="11" applyFont="1" applyBorder="1" applyAlignment="1">
      <alignment horizontal="center" vertical="center" wrapText="1"/>
    </xf>
    <xf numFmtId="0" fontId="9" fillId="0" borderId="13" xfId="11" applyFont="1" applyBorder="1" applyAlignment="1">
      <alignment horizontal="center" vertical="center" wrapText="1"/>
    </xf>
    <xf numFmtId="166" fontId="9" fillId="0" borderId="77" xfId="2" applyNumberFormat="1" applyFont="1" applyFill="1" applyBorder="1" applyAlignment="1">
      <alignment horizontal="center" vertical="center" wrapText="1"/>
    </xf>
    <xf numFmtId="0" fontId="9" fillId="0" borderId="14" xfId="11" applyFont="1" applyBorder="1" applyAlignment="1">
      <alignment horizontal="center" vertical="center" wrapText="1"/>
    </xf>
    <xf numFmtId="2" fontId="9" fillId="0" borderId="77" xfId="11" applyNumberFormat="1" applyFont="1" applyBorder="1" applyAlignment="1">
      <alignment horizontal="center" vertical="center" wrapText="1"/>
    </xf>
    <xf numFmtId="0" fontId="9" fillId="12" borderId="77" xfId="11" applyFont="1" applyFill="1" applyBorder="1" applyAlignment="1">
      <alignment horizontal="center" vertical="center" wrapText="1"/>
    </xf>
    <xf numFmtId="0" fontId="9" fillId="0" borderId="12" xfId="11" applyFont="1" applyBorder="1" applyAlignment="1">
      <alignment horizontal="center" vertical="center" wrapText="1"/>
    </xf>
    <xf numFmtId="0" fontId="18" fillId="0" borderId="77" xfId="11" applyFont="1" applyBorder="1" applyAlignment="1">
      <alignment horizontal="center" vertical="center" wrapText="1"/>
    </xf>
    <xf numFmtId="166" fontId="9" fillId="13" borderId="13" xfId="2" applyNumberFormat="1" applyFont="1" applyFill="1" applyBorder="1" applyAlignment="1">
      <alignment horizontal="center" vertical="center" wrapText="1"/>
    </xf>
    <xf numFmtId="166" fontId="43" fillId="13" borderId="77" xfId="2" applyNumberFormat="1" applyFont="1" applyFill="1" applyBorder="1" applyAlignment="1">
      <alignment horizontal="center" vertical="center" wrapText="1"/>
    </xf>
    <xf numFmtId="166" fontId="18" fillId="13" borderId="77" xfId="2" applyNumberFormat="1" applyFont="1" applyFill="1" applyBorder="1" applyAlignment="1">
      <alignment horizontal="center" vertical="center" wrapText="1"/>
    </xf>
    <xf numFmtId="49" fontId="42" fillId="0" borderId="4" xfId="11" applyNumberFormat="1" applyFont="1" applyBorder="1" applyAlignment="1">
      <alignment vertical="center" wrapText="1"/>
    </xf>
    <xf numFmtId="2" fontId="42" fillId="0" borderId="25" xfId="11" applyNumberFormat="1" applyFont="1" applyBorder="1" applyAlignment="1">
      <alignment vertical="center" wrapText="1"/>
    </xf>
    <xf numFmtId="1" fontId="42" fillId="15" borderId="26" xfId="11" applyNumberFormat="1" applyFont="1" applyFill="1" applyBorder="1" applyAlignment="1">
      <alignment horizontal="center"/>
    </xf>
    <xf numFmtId="1" fontId="42" fillId="12" borderId="88" xfId="11" applyNumberFormat="1" applyFont="1" applyFill="1" applyBorder="1" applyAlignment="1">
      <alignment horizontal="center"/>
    </xf>
    <xf numFmtId="1" fontId="42" fillId="15" borderId="35" xfId="11" applyNumberFormat="1" applyFont="1" applyFill="1" applyBorder="1" applyAlignment="1">
      <alignment horizontal="center"/>
    </xf>
    <xf numFmtId="1" fontId="47" fillId="15" borderId="88" xfId="11" applyNumberFormat="1" applyFont="1" applyFill="1" applyBorder="1" applyAlignment="1">
      <alignment horizontal="center"/>
    </xf>
    <xf numFmtId="1" fontId="47" fillId="15" borderId="25" xfId="11" applyNumberFormat="1" applyFont="1" applyFill="1" applyBorder="1" applyAlignment="1">
      <alignment horizontal="center"/>
    </xf>
    <xf numFmtId="166" fontId="9" fillId="15" borderId="90" xfId="2" applyNumberFormat="1" applyFont="1" applyFill="1" applyBorder="1" applyAlignment="1">
      <alignment horizontal="center" vertical="center"/>
    </xf>
    <xf numFmtId="0" fontId="13" fillId="0" borderId="25" xfId="11" applyFont="1" applyBorder="1" applyAlignment="1"/>
    <xf numFmtId="166" fontId="47" fillId="0" borderId="88" xfId="2" applyNumberFormat="1" applyFont="1" applyFill="1" applyBorder="1"/>
    <xf numFmtId="49" fontId="42" fillId="0" borderId="8" xfId="11" applyNumberFormat="1" applyFont="1" applyBorder="1" applyAlignment="1">
      <alignment vertical="center" wrapText="1"/>
    </xf>
    <xf numFmtId="14" fontId="13" fillId="0" borderId="0" xfId="4" applyNumberFormat="1" applyFont="1"/>
    <xf numFmtId="0" fontId="41" fillId="0" borderId="15" xfId="4" applyFont="1" applyBorder="1" applyAlignment="1">
      <alignment horizontal="left"/>
    </xf>
    <xf numFmtId="0" fontId="13" fillId="0" borderId="16" xfId="4" applyFont="1" applyBorder="1" applyAlignment="1">
      <alignment horizontal="right" vertical="top"/>
    </xf>
    <xf numFmtId="0" fontId="13" fillId="0" borderId="16" xfId="4" applyFont="1" applyBorder="1" applyAlignment="1">
      <alignment horizontal="right"/>
    </xf>
    <xf numFmtId="0" fontId="13" fillId="0" borderId="16" xfId="4" applyFont="1" applyBorder="1"/>
    <xf numFmtId="0" fontId="13" fillId="0" borderId="17" xfId="4" applyFont="1" applyBorder="1"/>
    <xf numFmtId="166" fontId="18" fillId="0" borderId="0" xfId="2" applyNumberFormat="1" applyFont="1" applyFill="1" applyBorder="1"/>
    <xf numFmtId="49" fontId="60" fillId="14" borderId="18" xfId="11" applyNumberFormat="1" applyFont="1" applyFill="1" applyBorder="1" applyAlignment="1" applyProtection="1">
      <alignment horizontal="left" vertical="center"/>
      <protection locked="0"/>
    </xf>
    <xf numFmtId="49" fontId="60" fillId="14" borderId="0" xfId="11" applyNumberFormat="1" applyFont="1" applyFill="1" applyAlignment="1" applyProtection="1">
      <alignment horizontal="left" vertical="center"/>
      <protection locked="0"/>
    </xf>
    <xf numFmtId="14" fontId="60" fillId="14" borderId="0" xfId="11" applyNumberFormat="1" applyFont="1" applyFill="1" applyAlignment="1" applyProtection="1">
      <alignment horizontal="left" vertical="center"/>
      <protection locked="0"/>
    </xf>
    <xf numFmtId="166" fontId="60" fillId="14" borderId="0" xfId="2" applyNumberFormat="1" applyFont="1" applyFill="1" applyBorder="1" applyAlignment="1" applyProtection="1">
      <alignment horizontal="right" vertical="center"/>
      <protection locked="0"/>
    </xf>
    <xf numFmtId="49" fontId="60" fillId="16" borderId="18" xfId="11" applyNumberFormat="1" applyFont="1" applyFill="1" applyBorder="1" applyAlignment="1" applyProtection="1">
      <alignment horizontal="left" vertical="center"/>
      <protection locked="0"/>
    </xf>
    <xf numFmtId="49" fontId="60" fillId="16" borderId="0" xfId="11" applyNumberFormat="1" applyFont="1" applyFill="1" applyAlignment="1" applyProtection="1">
      <alignment horizontal="left" vertical="center"/>
      <protection locked="0"/>
    </xf>
    <xf numFmtId="14" fontId="60" fillId="16" borderId="0" xfId="11" applyNumberFormat="1" applyFont="1" applyFill="1" applyAlignment="1" applyProtection="1">
      <alignment horizontal="left" vertical="center"/>
      <protection locked="0"/>
    </xf>
    <xf numFmtId="166" fontId="60" fillId="16" borderId="0" xfId="2" applyNumberFormat="1" applyFont="1" applyFill="1" applyBorder="1" applyAlignment="1" applyProtection="1">
      <alignment horizontal="right" vertical="center"/>
      <protection locked="0"/>
    </xf>
    <xf numFmtId="0" fontId="21" fillId="0" borderId="18" xfId="0" applyFont="1" applyBorder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19" xfId="0" applyFont="1" applyBorder="1" applyAlignment="1" applyProtection="1">
      <alignment horizontal="left" vertical="top"/>
      <protection locked="0"/>
    </xf>
    <xf numFmtId="0" fontId="32" fillId="7" borderId="0" xfId="0" applyFont="1" applyFill="1"/>
    <xf numFmtId="171" fontId="32" fillId="0" borderId="0" xfId="2" applyNumberFormat="1" applyFont="1"/>
    <xf numFmtId="10" fontId="32" fillId="0" borderId="0" xfId="0" applyNumberFormat="1" applyFont="1"/>
    <xf numFmtId="171" fontId="32" fillId="0" borderId="0" xfId="0" applyNumberFormat="1" applyFont="1"/>
    <xf numFmtId="3" fontId="56" fillId="0" borderId="0" xfId="0" applyNumberFormat="1" applyFont="1" applyAlignment="1">
      <alignment horizontal="left"/>
    </xf>
    <xf numFmtId="0" fontId="6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62" fillId="0" borderId="11" xfId="11" applyFont="1" applyBorder="1" applyAlignment="1"/>
    <xf numFmtId="171" fontId="14" fillId="0" borderId="11" xfId="14" applyNumberFormat="1" applyFont="1" applyBorder="1"/>
    <xf numFmtId="0" fontId="62" fillId="0" borderId="0" xfId="11" applyFont="1" applyAlignment="1">
      <alignment horizontal="right"/>
    </xf>
    <xf numFmtId="0" fontId="62" fillId="0" borderId="0" xfId="11" applyFont="1" applyAlignment="1">
      <alignment horizontal="left"/>
    </xf>
    <xf numFmtId="0" fontId="13" fillId="0" borderId="9" xfId="0" applyFont="1" applyBorder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14" fontId="9" fillId="5" borderId="3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6" xfId="9" applyNumberFormat="1" applyFont="1" applyFill="1" applyBorder="1" applyAlignment="1" applyProtection="1">
      <alignment horizontal="center" vertical="center" wrapText="1"/>
      <protection hidden="1"/>
    </xf>
    <xf numFmtId="166" fontId="13" fillId="0" borderId="62" xfId="2" applyNumberFormat="1" applyFont="1" applyBorder="1" applyAlignment="1">
      <alignment horizontal="center"/>
    </xf>
    <xf numFmtId="0" fontId="9" fillId="5" borderId="11" xfId="0" applyFont="1" applyFill="1" applyBorder="1" applyAlignment="1">
      <alignment horizontal="center" vertical="center" wrapText="1"/>
    </xf>
    <xf numFmtId="166" fontId="13" fillId="0" borderId="60" xfId="2" applyNumberFormat="1" applyFont="1" applyBorder="1" applyAlignment="1">
      <alignment horizontal="center"/>
    </xf>
    <xf numFmtId="166" fontId="13" fillId="0" borderId="66" xfId="2" applyNumberFormat="1" applyFont="1" applyBorder="1" applyAlignment="1">
      <alignment horizontal="center"/>
    </xf>
    <xf numFmtId="4" fontId="36" fillId="0" borderId="0" xfId="0" applyNumberFormat="1" applyFont="1" applyAlignment="1">
      <alignment horizontal="left" wrapText="1"/>
    </xf>
    <xf numFmtId="4" fontId="36" fillId="0" borderId="18" xfId="0" applyNumberFormat="1" applyFont="1" applyBorder="1" applyAlignment="1">
      <alignment horizontal="left" vertical="top"/>
    </xf>
    <xf numFmtId="4" fontId="36" fillId="0" borderId="0" xfId="0" quotePrefix="1" applyNumberFormat="1" applyFont="1" applyAlignment="1">
      <alignment horizontal="left" vertical="top"/>
    </xf>
    <xf numFmtId="0" fontId="13" fillId="0" borderId="37" xfId="0" applyFont="1" applyBorder="1" applyAlignment="1">
      <alignment vertical="center" wrapText="1"/>
    </xf>
    <xf numFmtId="0" fontId="9" fillId="5" borderId="54" xfId="0" applyFont="1" applyFill="1" applyBorder="1" applyAlignment="1">
      <alignment vertical="center"/>
    </xf>
    <xf numFmtId="14" fontId="9" fillId="5" borderId="37" xfId="9" applyNumberFormat="1" applyFont="1" applyFill="1" applyBorder="1" applyAlignment="1" applyProtection="1">
      <alignment vertical="center" wrapText="1"/>
      <protection hidden="1"/>
    </xf>
    <xf numFmtId="14" fontId="9" fillId="5" borderId="4" xfId="9" applyNumberFormat="1" applyFont="1" applyFill="1" applyBorder="1" applyAlignment="1" applyProtection="1">
      <alignment vertical="center" wrapText="1"/>
      <protection hidden="1"/>
    </xf>
    <xf numFmtId="0" fontId="9" fillId="6" borderId="7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172" fontId="13" fillId="0" borderId="8" xfId="0" applyNumberFormat="1" applyFont="1" applyBorder="1" applyAlignment="1">
      <alignment vertical="center"/>
    </xf>
    <xf numFmtId="3" fontId="13" fillId="0" borderId="74" xfId="11" applyNumberFormat="1" applyFont="1" applyBorder="1" applyAlignment="1">
      <alignment vertical="center"/>
    </xf>
    <xf numFmtId="3" fontId="13" fillId="0" borderId="65" xfId="11" applyNumberFormat="1" applyFont="1" applyBorder="1" applyAlignment="1">
      <alignment vertical="center"/>
    </xf>
    <xf numFmtId="3" fontId="13" fillId="0" borderId="70" xfId="14" applyNumberFormat="1" applyFont="1" applyBorder="1" applyAlignment="1">
      <alignment vertical="center"/>
    </xf>
    <xf numFmtId="3" fontId="13" fillId="0" borderId="28" xfId="11" applyNumberFormat="1" applyFont="1" applyBorder="1" applyAlignment="1">
      <alignment vertical="center"/>
    </xf>
    <xf numFmtId="3" fontId="13" fillId="0" borderId="9" xfId="11" applyNumberFormat="1" applyFont="1" applyBorder="1" applyAlignment="1">
      <alignment vertical="center"/>
    </xf>
    <xf numFmtId="0" fontId="9" fillId="3" borderId="28" xfId="11" applyFont="1" applyFill="1" applyBorder="1" applyAlignment="1">
      <alignment vertical="center"/>
    </xf>
    <xf numFmtId="0" fontId="9" fillId="3" borderId="9" xfId="11" applyFont="1" applyFill="1" applyBorder="1" applyAlignment="1">
      <alignment vertical="center"/>
    </xf>
    <xf numFmtId="3" fontId="9" fillId="3" borderId="9" xfId="11" applyNumberFormat="1" applyFont="1" applyFill="1" applyBorder="1" applyAlignment="1">
      <alignment vertical="center"/>
    </xf>
    <xf numFmtId="3" fontId="9" fillId="3" borderId="10" xfId="11" applyNumberFormat="1" applyFont="1" applyFill="1" applyBorder="1" applyAlignment="1">
      <alignment vertical="center"/>
    </xf>
    <xf numFmtId="3" fontId="13" fillId="0" borderId="73" xfId="11" applyNumberFormat="1" applyFont="1" applyBorder="1" applyAlignment="1">
      <alignment vertical="center"/>
    </xf>
    <xf numFmtId="3" fontId="13" fillId="0" borderId="69" xfId="11" applyNumberFormat="1" applyFont="1" applyBorder="1" applyAlignment="1">
      <alignment vertical="center"/>
    </xf>
    <xf numFmtId="3" fontId="13" fillId="0" borderId="66" xfId="15" applyNumberFormat="1" applyFont="1" applyBorder="1" applyAlignment="1">
      <alignment vertical="center"/>
    </xf>
    <xf numFmtId="3" fontId="13" fillId="7" borderId="28" xfId="11" applyNumberFormat="1" applyFont="1" applyFill="1" applyBorder="1" applyAlignment="1">
      <alignment vertical="center"/>
    </xf>
    <xf numFmtId="3" fontId="13" fillId="7" borderId="9" xfId="11" applyNumberFormat="1" applyFont="1" applyFill="1" applyBorder="1" applyAlignment="1">
      <alignment vertical="center"/>
    </xf>
    <xf numFmtId="10" fontId="9" fillId="7" borderId="8" xfId="14" applyNumberFormat="1" applyFont="1" applyFill="1" applyBorder="1" applyAlignment="1">
      <alignment vertical="center"/>
    </xf>
    <xf numFmtId="3" fontId="13" fillId="0" borderId="66" xfId="15" applyNumberFormat="1" applyFont="1" applyFill="1" applyBorder="1" applyAlignment="1">
      <alignment vertical="center"/>
    </xf>
    <xf numFmtId="3" fontId="13" fillId="3" borderId="28" xfId="11" applyNumberFormat="1" applyFont="1" applyFill="1" applyBorder="1" applyAlignment="1">
      <alignment vertical="center"/>
    </xf>
    <xf numFmtId="3" fontId="13" fillId="3" borderId="9" xfId="11" applyNumberFormat="1" applyFont="1" applyFill="1" applyBorder="1" applyAlignment="1">
      <alignment vertical="center"/>
    </xf>
    <xf numFmtId="3" fontId="9" fillId="3" borderId="28" xfId="11" applyNumberFormat="1" applyFont="1" applyFill="1" applyBorder="1" applyAlignment="1">
      <alignment vertical="center"/>
    </xf>
    <xf numFmtId="171" fontId="13" fillId="0" borderId="11" xfId="14" applyNumberFormat="1" applyFont="1" applyFill="1" applyBorder="1" applyAlignment="1">
      <alignment vertical="center"/>
    </xf>
    <xf numFmtId="9" fontId="13" fillId="0" borderId="11" xfId="15" applyFont="1" applyFill="1" applyBorder="1" applyAlignment="1">
      <alignment vertical="center"/>
    </xf>
    <xf numFmtId="3" fontId="18" fillId="0" borderId="0" xfId="14" quotePrefix="1" applyNumberFormat="1" applyFont="1" applyFill="1" applyBorder="1" applyAlignment="1">
      <alignment vertical="top" wrapText="1"/>
    </xf>
    <xf numFmtId="3" fontId="18" fillId="0" borderId="0" xfId="14" applyNumberFormat="1" applyFont="1" applyFill="1" applyBorder="1" applyAlignment="1">
      <alignment vertical="top" wrapText="1"/>
    </xf>
    <xf numFmtId="10" fontId="9" fillId="7" borderId="8" xfId="15" applyNumberFormat="1" applyFont="1" applyFill="1" applyBorder="1" applyAlignment="1">
      <alignment vertical="center"/>
    </xf>
    <xf numFmtId="3" fontId="13" fillId="0" borderId="8" xfId="14" applyNumberFormat="1" applyFont="1" applyFill="1" applyBorder="1" applyAlignment="1">
      <alignment vertical="center"/>
    </xf>
    <xf numFmtId="0" fontId="13" fillId="0" borderId="66" xfId="0" applyFont="1" applyBorder="1" applyAlignment="1">
      <alignment vertical="center"/>
    </xf>
    <xf numFmtId="0" fontId="13" fillId="0" borderId="62" xfId="0" applyFont="1" applyBorder="1" applyAlignment="1">
      <alignment vertical="center"/>
    </xf>
    <xf numFmtId="0" fontId="13" fillId="0" borderId="60" xfId="0" applyFont="1" applyBorder="1" applyAlignment="1">
      <alignment vertical="center"/>
    </xf>
    <xf numFmtId="0" fontId="13" fillId="0" borderId="49" xfId="0" applyFont="1" applyBorder="1" applyAlignment="1">
      <alignment vertical="center"/>
    </xf>
    <xf numFmtId="0" fontId="9" fillId="0" borderId="49" xfId="0" applyFont="1" applyBorder="1" applyAlignment="1">
      <alignment vertical="center" wrapText="1"/>
    </xf>
    <xf numFmtId="166" fontId="13" fillId="0" borderId="66" xfId="2" applyNumberFormat="1" applyFont="1" applyFill="1" applyBorder="1" applyAlignment="1">
      <alignment vertical="center"/>
    </xf>
    <xf numFmtId="166" fontId="13" fillId="0" borderId="60" xfId="2" applyNumberFormat="1" applyFont="1" applyFill="1" applyBorder="1" applyAlignment="1">
      <alignment vertical="center"/>
    </xf>
    <xf numFmtId="166" fontId="13" fillId="0" borderId="93" xfId="2" applyNumberFormat="1" applyFont="1" applyFill="1" applyBorder="1" applyAlignment="1">
      <alignment vertical="center"/>
    </xf>
    <xf numFmtId="166" fontId="13" fillId="0" borderId="64" xfId="2" applyNumberFormat="1" applyFont="1" applyFill="1" applyBorder="1" applyAlignment="1">
      <alignment vertical="center"/>
    </xf>
    <xf numFmtId="166" fontId="13" fillId="0" borderId="66" xfId="2" applyNumberFormat="1" applyFont="1" applyFill="1" applyBorder="1" applyAlignment="1"/>
    <xf numFmtId="166" fontId="13" fillId="0" borderId="62" xfId="2" applyNumberFormat="1" applyFont="1" applyFill="1" applyBorder="1" applyAlignment="1"/>
    <xf numFmtId="166" fontId="13" fillId="0" borderId="60" xfId="2" applyNumberFormat="1" applyFont="1" applyFill="1" applyBorder="1" applyAlignment="1"/>
    <xf numFmtId="166" fontId="9" fillId="3" borderId="0" xfId="2" applyNumberFormat="1" applyFont="1" applyFill="1" applyBorder="1" applyAlignment="1">
      <alignment vertical="top"/>
    </xf>
    <xf numFmtId="166" fontId="9" fillId="0" borderId="0" xfId="2" applyNumberFormat="1" applyFont="1" applyFill="1" applyBorder="1" applyAlignment="1">
      <alignment vertical="top"/>
    </xf>
    <xf numFmtId="166" fontId="9" fillId="0" borderId="0" xfId="2" applyNumberFormat="1" applyFont="1" applyBorder="1" applyAlignment="1">
      <alignment vertical="center"/>
    </xf>
    <xf numFmtId="166" fontId="13" fillId="0" borderId="62" xfId="2" applyNumberFormat="1" applyFont="1" applyFill="1" applyBorder="1" applyAlignment="1">
      <alignment vertical="center"/>
    </xf>
    <xf numFmtId="166" fontId="9" fillId="5" borderId="11" xfId="2" applyNumberFormat="1" applyFont="1" applyFill="1" applyBorder="1" applyAlignment="1">
      <alignment vertical="center"/>
    </xf>
    <xf numFmtId="166" fontId="9" fillId="0" borderId="11" xfId="2" applyNumberFormat="1" applyFont="1" applyFill="1" applyBorder="1" applyAlignment="1">
      <alignment vertical="top"/>
    </xf>
    <xf numFmtId="166" fontId="33" fillId="5" borderId="11" xfId="2" applyNumberFormat="1" applyFont="1" applyFill="1" applyBorder="1" applyAlignment="1"/>
    <xf numFmtId="166" fontId="13" fillId="0" borderId="0" xfId="2" applyNumberFormat="1" applyFont="1" applyFill="1" applyBorder="1" applyProtection="1">
      <protection locked="0"/>
    </xf>
    <xf numFmtId="166" fontId="9" fillId="0" borderId="0" xfId="2" applyNumberFormat="1" applyFont="1" applyFill="1" applyBorder="1" applyAlignment="1">
      <alignment vertical="center"/>
    </xf>
    <xf numFmtId="166" fontId="33" fillId="0" borderId="0" xfId="2" applyNumberFormat="1" applyFont="1" applyFill="1" applyBorder="1" applyAlignment="1"/>
    <xf numFmtId="166" fontId="9" fillId="5" borderId="11" xfId="2" applyNumberFormat="1" applyFont="1" applyFill="1" applyBorder="1" applyAlignment="1"/>
    <xf numFmtId="0" fontId="6" fillId="0" borderId="17" xfId="0" applyFont="1" applyBorder="1" applyProtection="1">
      <protection locked="0"/>
    </xf>
    <xf numFmtId="0" fontId="6" fillId="0" borderId="79" xfId="0" applyFont="1" applyBorder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vertical="center" wrapText="1"/>
      <protection locked="0"/>
    </xf>
    <xf numFmtId="0" fontId="13" fillId="0" borderId="14" xfId="0" applyFont="1" applyBorder="1" applyAlignment="1" applyProtection="1">
      <alignment vertical="center" wrapText="1"/>
      <protection locked="0"/>
    </xf>
    <xf numFmtId="166" fontId="13" fillId="0" borderId="23" xfId="2" applyNumberFormat="1" applyFont="1" applyFill="1" applyBorder="1" applyAlignment="1" applyProtection="1">
      <alignment vertical="center" wrapText="1"/>
      <protection locked="0"/>
    </xf>
    <xf numFmtId="166" fontId="13" fillId="0" borderId="14" xfId="2" applyNumberFormat="1" applyFont="1" applyFill="1" applyBorder="1" applyAlignment="1" applyProtection="1">
      <alignment vertical="center" wrapText="1"/>
      <protection locked="0"/>
    </xf>
    <xf numFmtId="0" fontId="13" fillId="0" borderId="9" xfId="0" applyFont="1" applyBorder="1" applyAlignment="1" applyProtection="1">
      <alignment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30" xfId="0" applyFont="1" applyBorder="1" applyAlignment="1" applyProtection="1">
      <alignment horizontal="left" vertical="center"/>
      <protection locked="0"/>
    </xf>
    <xf numFmtId="14" fontId="21" fillId="0" borderId="20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66" fontId="13" fillId="0" borderId="0" xfId="18" applyNumberFormat="1" applyFont="1" applyFill="1" applyBorder="1" applyAlignment="1"/>
    <xf numFmtId="166" fontId="13" fillId="0" borderId="0" xfId="18" applyNumberFormat="1" applyFont="1" applyFill="1" applyBorder="1" applyAlignment="1" applyProtection="1">
      <protection locked="0"/>
    </xf>
    <xf numFmtId="166" fontId="21" fillId="0" borderId="0" xfId="18" applyNumberFormat="1" applyFont="1" applyFill="1" applyBorder="1" applyAlignment="1"/>
    <xf numFmtId="3" fontId="13" fillId="0" borderId="70" xfId="14" applyNumberFormat="1" applyFont="1" applyBorder="1" applyAlignment="1">
      <alignment horizontal="center" vertical="center"/>
    </xf>
    <xf numFmtId="3" fontId="13" fillId="0" borderId="11" xfId="14" applyNumberFormat="1" applyFont="1" applyBorder="1" applyAlignment="1">
      <alignment horizontal="center" vertical="center"/>
    </xf>
    <xf numFmtId="3" fontId="13" fillId="0" borderId="66" xfId="15" applyNumberFormat="1" applyFont="1" applyBorder="1" applyAlignment="1">
      <alignment horizontal="center" vertical="center"/>
    </xf>
    <xf numFmtId="3" fontId="13" fillId="0" borderId="66" xfId="14" applyNumberFormat="1" applyFont="1" applyBorder="1" applyAlignment="1">
      <alignment horizontal="center" vertical="center"/>
    </xf>
    <xf numFmtId="3" fontId="9" fillId="0" borderId="8" xfId="14" applyNumberFormat="1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166" fontId="13" fillId="0" borderId="0" xfId="18" applyNumberFormat="1" applyFont="1" applyFill="1" applyBorder="1"/>
    <xf numFmtId="166" fontId="13" fillId="0" borderId="0" xfId="18" applyNumberFormat="1" applyFont="1" applyFill="1" applyBorder="1" applyProtection="1">
      <protection locked="0"/>
    </xf>
    <xf numFmtId="166" fontId="33" fillId="0" borderId="0" xfId="18" applyNumberFormat="1" applyFont="1" applyFill="1" applyBorder="1" applyAlignment="1">
      <alignment horizontal="right" vertical="center" indent="2"/>
    </xf>
    <xf numFmtId="3" fontId="13" fillId="0" borderId="8" xfId="14" applyNumberFormat="1" applyFont="1" applyFill="1" applyBorder="1" applyAlignment="1">
      <alignment horizontal="center" vertical="center"/>
    </xf>
    <xf numFmtId="3" fontId="13" fillId="0" borderId="8" xfId="15" applyNumberFormat="1" applyFont="1" applyBorder="1" applyAlignment="1">
      <alignment horizontal="center" vertical="center"/>
    </xf>
    <xf numFmtId="166" fontId="33" fillId="0" borderId="0" xfId="18" applyNumberFormat="1" applyFont="1" applyFill="1" applyBorder="1" applyAlignment="1"/>
    <xf numFmtId="166" fontId="33" fillId="0" borderId="0" xfId="18" applyNumberFormat="1" applyFont="1" applyFill="1" applyBorder="1" applyAlignment="1">
      <alignment vertical="center"/>
    </xf>
    <xf numFmtId="3" fontId="13" fillId="0" borderId="8" xfId="14" applyNumberFormat="1" applyFont="1" applyBorder="1" applyAlignment="1">
      <alignment horizontal="center" vertical="center"/>
    </xf>
    <xf numFmtId="166" fontId="9" fillId="0" borderId="0" xfId="18" applyNumberFormat="1" applyFont="1" applyFill="1" applyBorder="1" applyAlignment="1"/>
    <xf numFmtId="3" fontId="9" fillId="3" borderId="28" xfId="18" applyNumberFormat="1" applyFont="1" applyFill="1" applyBorder="1" applyAlignment="1">
      <alignment horizontal="center" vertical="center"/>
    </xf>
    <xf numFmtId="3" fontId="9" fillId="3" borderId="8" xfId="11" applyNumberFormat="1" applyFont="1" applyFill="1" applyBorder="1" applyAlignment="1">
      <alignment horizontal="center" vertical="center"/>
    </xf>
    <xf numFmtId="0" fontId="13" fillId="0" borderId="0" xfId="11" applyFont="1" applyAlignment="1">
      <alignment horizontal="center"/>
    </xf>
    <xf numFmtId="175" fontId="9" fillId="0" borderId="0" xfId="18" applyNumberFormat="1" applyFont="1" applyFill="1" applyAlignment="1" applyProtection="1">
      <alignment horizontal="right"/>
      <protection locked="0"/>
    </xf>
    <xf numFmtId="10" fontId="9" fillId="7" borderId="8" xfId="14" applyNumberFormat="1" applyFont="1" applyFill="1" applyBorder="1" applyAlignment="1">
      <alignment horizontal="center" vertical="center"/>
    </xf>
    <xf numFmtId="174" fontId="9" fillId="7" borderId="8" xfId="15" applyNumberFormat="1" applyFont="1" applyFill="1" applyBorder="1" applyAlignment="1">
      <alignment horizontal="center" vertical="center"/>
    </xf>
    <xf numFmtId="175" fontId="9" fillId="0" borderId="0" xfId="18" applyNumberFormat="1" applyFont="1" applyFill="1" applyAlignment="1" applyProtection="1">
      <alignment horizontal="center"/>
      <protection locked="0"/>
    </xf>
    <xf numFmtId="3" fontId="13" fillId="0" borderId="66" xfId="15" applyNumberFormat="1" applyFont="1" applyFill="1" applyBorder="1" applyAlignment="1">
      <alignment horizontal="center" vertical="center"/>
    </xf>
    <xf numFmtId="176" fontId="9" fillId="3" borderId="8" xfId="14" applyNumberFormat="1" applyFont="1" applyFill="1" applyBorder="1" applyAlignment="1">
      <alignment horizontal="center" vertical="center"/>
    </xf>
    <xf numFmtId="3" fontId="9" fillId="0" borderId="0" xfId="14" applyNumberFormat="1" applyFont="1" applyFill="1" applyBorder="1" applyAlignment="1">
      <alignment horizontal="center" vertical="center"/>
    </xf>
    <xf numFmtId="3" fontId="9" fillId="3" borderId="11" xfId="14" applyNumberFormat="1" applyFont="1" applyFill="1" applyBorder="1" applyAlignment="1">
      <alignment horizontal="center" vertical="center" wrapText="1"/>
    </xf>
    <xf numFmtId="3" fontId="9" fillId="0" borderId="0" xfId="14" applyNumberFormat="1" applyFont="1" applyFill="1" applyBorder="1" applyAlignment="1">
      <alignment horizontal="center" vertical="center" wrapText="1"/>
    </xf>
    <xf numFmtId="9" fontId="13" fillId="0" borderId="0" xfId="15" applyFont="1" applyFill="1" applyBorder="1" applyAlignment="1">
      <alignment vertical="center"/>
    </xf>
    <xf numFmtId="164" fontId="13" fillId="0" borderId="0" xfId="18" applyFont="1" applyBorder="1" applyAlignment="1"/>
    <xf numFmtId="175" fontId="13" fillId="0" borderId="70" xfId="18" applyNumberFormat="1" applyFont="1" applyBorder="1" applyAlignment="1">
      <alignment vertical="center"/>
    </xf>
    <xf numFmtId="175" fontId="13" fillId="0" borderId="66" xfId="18" applyNumberFormat="1" applyFont="1" applyBorder="1" applyAlignment="1">
      <alignment vertical="center"/>
    </xf>
    <xf numFmtId="175" fontId="9" fillId="0" borderId="8" xfId="18" applyNumberFormat="1" applyFont="1" applyBorder="1" applyAlignment="1">
      <alignment vertical="center"/>
    </xf>
    <xf numFmtId="164" fontId="13" fillId="0" borderId="0" xfId="18" applyFont="1" applyBorder="1" applyAlignment="1">
      <alignment horizontal="center" vertical="center"/>
    </xf>
    <xf numFmtId="175" fontId="13" fillId="0" borderId="8" xfId="18" applyNumberFormat="1" applyFont="1" applyBorder="1" applyAlignment="1">
      <alignment vertical="center"/>
    </xf>
    <xf numFmtId="175" fontId="13" fillId="0" borderId="8" xfId="18" applyNumberFormat="1" applyFont="1" applyBorder="1" applyAlignment="1">
      <alignment horizontal="center" vertical="center"/>
    </xf>
    <xf numFmtId="164" fontId="13" fillId="0" borderId="70" xfId="18" applyFont="1" applyBorder="1" applyAlignment="1">
      <alignment vertical="center"/>
    </xf>
    <xf numFmtId="177" fontId="9" fillId="7" borderId="8" xfId="3" applyNumberFormat="1" applyFont="1" applyFill="1" applyBorder="1" applyAlignment="1">
      <alignment vertical="center"/>
    </xf>
    <xf numFmtId="164" fontId="9" fillId="7" borderId="8" xfId="18" applyFont="1" applyFill="1" applyBorder="1" applyAlignment="1">
      <alignment vertical="center"/>
    </xf>
    <xf numFmtId="178" fontId="9" fillId="3" borderId="8" xfId="18" applyNumberFormat="1" applyFont="1" applyFill="1" applyBorder="1" applyAlignment="1">
      <alignment vertical="center"/>
    </xf>
    <xf numFmtId="164" fontId="9" fillId="3" borderId="8" xfId="18" applyFont="1" applyFill="1" applyBorder="1" applyAlignment="1">
      <alignment vertical="center"/>
    </xf>
    <xf numFmtId="175" fontId="13" fillId="0" borderId="11" xfId="18" applyNumberFormat="1" applyFont="1" applyFill="1" applyBorder="1" applyAlignment="1">
      <alignment vertical="center"/>
    </xf>
    <xf numFmtId="9" fontId="13" fillId="0" borderId="11" xfId="3" applyFont="1" applyFill="1" applyBorder="1" applyAlignment="1">
      <alignment vertical="center"/>
    </xf>
    <xf numFmtId="164" fontId="13" fillId="0" borderId="0" xfId="18" applyFont="1" applyFill="1" applyBorder="1" applyAlignment="1">
      <alignment vertical="center"/>
    </xf>
    <xf numFmtId="164" fontId="13" fillId="0" borderId="0" xfId="18" applyFont="1" applyFill="1" applyBorder="1" applyAlignment="1"/>
    <xf numFmtId="175" fontId="13" fillId="0" borderId="0" xfId="18" applyNumberFormat="1" applyFont="1" applyBorder="1" applyAlignment="1"/>
    <xf numFmtId="164" fontId="13" fillId="0" borderId="66" xfId="18" applyFont="1" applyBorder="1" applyAlignment="1">
      <alignment vertical="center"/>
    </xf>
    <xf numFmtId="165" fontId="9" fillId="0" borderId="0" xfId="18" applyNumberFormat="1" applyFont="1" applyFill="1" applyAlignment="1" applyProtection="1">
      <alignment horizontal="center"/>
      <protection locked="0"/>
    </xf>
    <xf numFmtId="0" fontId="65" fillId="0" borderId="0" xfId="11" applyFont="1" applyAlignment="1"/>
    <xf numFmtId="0" fontId="9" fillId="0" borderId="11" xfId="11" applyFont="1" applyBorder="1" applyAlignment="1">
      <alignment horizontal="right"/>
    </xf>
    <xf numFmtId="0" fontId="9" fillId="0" borderId="11" xfId="11" applyFont="1" applyBorder="1" applyAlignment="1">
      <alignment horizontal="center" vertical="center"/>
    </xf>
    <xf numFmtId="0" fontId="33" fillId="0" borderId="11" xfId="11" applyFont="1" applyBorder="1" applyAlignment="1">
      <alignment horizontal="center" vertical="center"/>
    </xf>
    <xf numFmtId="0" fontId="33" fillId="0" borderId="11" xfId="11" applyFont="1" applyBorder="1" applyAlignment="1">
      <alignment horizontal="center" vertical="center" wrapText="1"/>
    </xf>
    <xf numFmtId="0" fontId="33" fillId="0" borderId="11" xfId="11" applyFont="1" applyBorder="1" applyAlignment="1"/>
    <xf numFmtId="9" fontId="33" fillId="0" borderId="11" xfId="15" applyFont="1" applyBorder="1"/>
    <xf numFmtId="171" fontId="9" fillId="0" borderId="11" xfId="11" applyNumberFormat="1" applyFont="1" applyBorder="1" applyAlignment="1"/>
    <xf numFmtId="171" fontId="9" fillId="0" borderId="0" xfId="11" applyNumberFormat="1" applyFont="1" applyAlignment="1"/>
    <xf numFmtId="0" fontId="9" fillId="0" borderId="0" xfId="11" applyFont="1" applyAlignment="1"/>
    <xf numFmtId="0" fontId="21" fillId="0" borderId="0" xfId="11" applyFont="1" applyAlignment="1"/>
    <xf numFmtId="3" fontId="13" fillId="0" borderId="70" xfId="14" applyNumberFormat="1" applyFont="1" applyFill="1" applyBorder="1" applyAlignment="1">
      <alignment horizontal="center" vertical="center"/>
    </xf>
    <xf numFmtId="175" fontId="13" fillId="0" borderId="70" xfId="18" applyNumberFormat="1" applyFont="1" applyFill="1" applyBorder="1" applyAlignment="1">
      <alignment vertical="center"/>
    </xf>
    <xf numFmtId="175" fontId="13" fillId="0" borderId="66" xfId="18" applyNumberFormat="1" applyFont="1" applyFill="1" applyBorder="1" applyAlignment="1">
      <alignment vertical="center"/>
    </xf>
    <xf numFmtId="171" fontId="13" fillId="0" borderId="8" xfId="14" applyNumberFormat="1" applyFont="1" applyBorder="1" applyAlignment="1">
      <alignment vertical="center"/>
    </xf>
    <xf numFmtId="4" fontId="18" fillId="0" borderId="18" xfId="0" applyNumberFormat="1" applyFont="1" applyBorder="1" applyAlignment="1">
      <alignment horizontal="left" wrapText="1"/>
    </xf>
    <xf numFmtId="0" fontId="18" fillId="0" borderId="18" xfId="4" applyFont="1" applyBorder="1" applyAlignment="1">
      <alignment horizontal="left"/>
    </xf>
    <xf numFmtId="4" fontId="18" fillId="0" borderId="0" xfId="0" applyNumberFormat="1" applyFont="1" applyAlignment="1">
      <alignment horizontal="left" wrapText="1"/>
    </xf>
    <xf numFmtId="164" fontId="13" fillId="0" borderId="66" xfId="18" applyFont="1" applyFill="1" applyBorder="1" applyAlignment="1">
      <alignment vertical="center"/>
    </xf>
    <xf numFmtId="175" fontId="13" fillId="0" borderId="8" xfId="18" applyNumberFormat="1" applyFont="1" applyFill="1" applyBorder="1" applyAlignment="1">
      <alignment vertical="center"/>
    </xf>
    <xf numFmtId="0" fontId="34" fillId="0" borderId="0" xfId="6" applyFill="1" applyBorder="1" applyAlignment="1" applyProtection="1">
      <alignment horizontal="center"/>
    </xf>
    <xf numFmtId="167" fontId="34" fillId="0" borderId="0" xfId="6" applyNumberFormat="1" applyFill="1" applyBorder="1" applyAlignment="1" applyProtection="1">
      <alignment horizontal="center" vertical="center"/>
    </xf>
    <xf numFmtId="0" fontId="67" fillId="17" borderId="8" xfId="11" applyFont="1" applyFill="1" applyBorder="1" applyAlignment="1">
      <alignment horizontal="center" vertical="center"/>
    </xf>
    <xf numFmtId="1" fontId="67" fillId="17" borderId="8" xfId="11" applyNumberFormat="1" applyFont="1" applyFill="1" applyBorder="1" applyAlignment="1">
      <alignment horizontal="center" vertical="center"/>
    </xf>
    <xf numFmtId="0" fontId="67" fillId="17" borderId="11" xfId="11" applyFont="1" applyFill="1" applyBorder="1" applyAlignment="1">
      <alignment horizontal="center" vertical="center"/>
    </xf>
    <xf numFmtId="0" fontId="67" fillId="17" borderId="10" xfId="11" applyFont="1" applyFill="1" applyBorder="1" applyAlignment="1">
      <alignment horizontal="center" vertical="center"/>
    </xf>
    <xf numFmtId="0" fontId="67" fillId="17" borderId="10" xfId="11" applyFont="1" applyFill="1" applyBorder="1" applyAlignment="1">
      <alignment vertical="center"/>
    </xf>
    <xf numFmtId="0" fontId="67" fillId="17" borderId="11" xfId="11" applyFont="1" applyFill="1" applyBorder="1" applyAlignment="1">
      <alignment vertical="center"/>
    </xf>
    <xf numFmtId="164" fontId="67" fillId="17" borderId="8" xfId="18" applyFont="1" applyFill="1" applyBorder="1" applyAlignment="1">
      <alignment vertical="center"/>
    </xf>
    <xf numFmtId="0" fontId="52" fillId="0" borderId="27" xfId="6" applyFont="1" applyFill="1" applyBorder="1" applyAlignment="1" applyProtection="1">
      <alignment horizontal="left" vertical="center"/>
      <protection locked="0"/>
    </xf>
    <xf numFmtId="0" fontId="13" fillId="0" borderId="71" xfId="0" applyFont="1" applyBorder="1" applyAlignment="1" applyProtection="1">
      <alignment horizontal="left" vertical="top" wrapText="1"/>
      <protection locked="0"/>
    </xf>
    <xf numFmtId="0" fontId="13" fillId="0" borderId="30" xfId="0" applyFont="1" applyBorder="1" applyAlignment="1" applyProtection="1">
      <alignment horizontal="left" vertical="top" wrapText="1"/>
      <protection locked="0"/>
    </xf>
    <xf numFmtId="0" fontId="13" fillId="0" borderId="72" xfId="0" applyFont="1" applyBorder="1" applyAlignment="1" applyProtection="1">
      <alignment horizontal="left" vertical="top" wrapText="1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left" vertical="top" wrapText="1"/>
      <protection locked="0"/>
    </xf>
    <xf numFmtId="0" fontId="47" fillId="0" borderId="21" xfId="0" applyFont="1" applyBorder="1" applyAlignment="1" applyProtection="1">
      <alignment horizontal="left" vertical="top"/>
      <protection locked="0"/>
    </xf>
    <xf numFmtId="0" fontId="47" fillId="0" borderId="22" xfId="0" applyFont="1" applyBorder="1" applyAlignment="1" applyProtection="1">
      <alignment horizontal="left" vertical="top"/>
      <protection locked="0"/>
    </xf>
    <xf numFmtId="0" fontId="9" fillId="0" borderId="25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18" fillId="0" borderId="71" xfId="0" applyFont="1" applyBorder="1" applyAlignment="1" applyProtection="1">
      <alignment horizontal="center" vertical="center"/>
      <protection locked="0"/>
    </xf>
    <xf numFmtId="0" fontId="18" fillId="0" borderId="33" xfId="0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center" vertical="center"/>
      <protection locked="0"/>
    </xf>
    <xf numFmtId="0" fontId="53" fillId="0" borderId="34" xfId="0" applyFont="1" applyBorder="1" applyAlignment="1" applyProtection="1">
      <alignment horizontal="left" vertical="center"/>
      <protection locked="0"/>
    </xf>
    <xf numFmtId="0" fontId="53" fillId="0" borderId="72" xfId="0" applyFont="1" applyBorder="1" applyAlignment="1" applyProtection="1">
      <alignment horizontal="left" vertical="center"/>
      <protection locked="0"/>
    </xf>
    <xf numFmtId="0" fontId="9" fillId="0" borderId="25" xfId="0" applyFont="1" applyBorder="1" applyAlignment="1" applyProtection="1">
      <alignment horizontal="left"/>
      <protection locked="0"/>
    </xf>
    <xf numFmtId="0" fontId="9" fillId="0" borderId="26" xfId="0" applyFont="1" applyBorder="1" applyAlignment="1" applyProtection="1">
      <alignment horizontal="left"/>
      <protection locked="0"/>
    </xf>
    <xf numFmtId="0" fontId="9" fillId="0" borderId="27" xfId="0" applyFont="1" applyBorder="1" applyAlignment="1" applyProtection="1">
      <alignment horizontal="left"/>
      <protection locked="0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35" xfId="0" applyFont="1" applyBorder="1" applyAlignment="1" applyProtection="1">
      <alignment horizontal="center" vertical="center"/>
      <protection locked="0"/>
    </xf>
    <xf numFmtId="0" fontId="52" fillId="17" borderId="36" xfId="6" applyFont="1" applyFill="1" applyBorder="1" applyAlignment="1" applyProtection="1">
      <alignment horizontal="left" vertical="center"/>
      <protection locked="0"/>
    </xf>
    <xf numFmtId="0" fontId="52" fillId="17" borderId="27" xfId="6" applyFont="1" applyFill="1" applyBorder="1" applyAlignment="1" applyProtection="1">
      <alignment horizontal="left" vertical="center"/>
      <protection locked="0"/>
    </xf>
    <xf numFmtId="0" fontId="13" fillId="0" borderId="36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14" fontId="16" fillId="0" borderId="1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9" fillId="0" borderId="32" xfId="0" applyFont="1" applyBorder="1" applyAlignment="1" applyProtection="1">
      <alignment horizontal="center" wrapText="1"/>
      <protection locked="0"/>
    </xf>
    <xf numFmtId="0" fontId="9" fillId="0" borderId="14" xfId="0" applyFont="1" applyBorder="1" applyAlignment="1" applyProtection="1">
      <alignment horizontal="center" wrapText="1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left" vertical="center" wrapText="1" indent="3"/>
      <protection locked="0"/>
    </xf>
    <xf numFmtId="0" fontId="9" fillId="0" borderId="13" xfId="0" applyFont="1" applyBorder="1" applyAlignment="1" applyProtection="1">
      <alignment horizontal="left" vertical="center" wrapText="1" indent="3"/>
      <protection locked="0"/>
    </xf>
    <xf numFmtId="0" fontId="9" fillId="0" borderId="31" xfId="0" applyFont="1" applyBorder="1" applyAlignment="1" applyProtection="1">
      <alignment horizontal="left" vertical="center" wrapText="1" indent="3"/>
      <protection locked="0"/>
    </xf>
    <xf numFmtId="14" fontId="17" fillId="0" borderId="18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19" xfId="0" applyNumberFormat="1" applyFont="1" applyBorder="1" applyAlignment="1" applyProtection="1">
      <alignment horizontal="center" vertical="center"/>
      <protection locked="0"/>
    </xf>
    <xf numFmtId="14" fontId="17" fillId="0" borderId="20" xfId="0" applyNumberFormat="1" applyFont="1" applyBorder="1" applyAlignment="1" applyProtection="1">
      <alignment horizontal="center" vertical="center"/>
      <protection locked="0"/>
    </xf>
    <xf numFmtId="14" fontId="17" fillId="0" borderId="21" xfId="0" applyNumberFormat="1" applyFont="1" applyBorder="1" applyAlignment="1" applyProtection="1">
      <alignment horizontal="center" vertical="center"/>
      <protection locked="0"/>
    </xf>
    <xf numFmtId="14" fontId="17" fillId="0" borderId="22" xfId="0" applyNumberFormat="1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left" vertical="center" wrapText="1" indent="2"/>
      <protection locked="0"/>
    </xf>
    <xf numFmtId="0" fontId="9" fillId="0" borderId="13" xfId="0" applyFont="1" applyBorder="1" applyAlignment="1" applyProtection="1">
      <alignment horizontal="left" vertical="center" wrapText="1" indent="2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49" fontId="19" fillId="0" borderId="15" xfId="0" applyNumberFormat="1" applyFont="1" applyBorder="1" applyAlignment="1" applyProtection="1">
      <alignment horizontal="center" vertical="center"/>
      <protection locked="0"/>
    </xf>
    <xf numFmtId="49" fontId="19" fillId="0" borderId="16" xfId="0" applyNumberFormat="1" applyFont="1" applyBorder="1" applyAlignment="1" applyProtection="1">
      <alignment horizontal="center" vertical="center"/>
      <protection locked="0"/>
    </xf>
    <xf numFmtId="49" fontId="19" fillId="0" borderId="17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49" fontId="19" fillId="0" borderId="21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left" vertical="top" wrapText="1"/>
      <protection locked="0"/>
    </xf>
    <xf numFmtId="0" fontId="28" fillId="0" borderId="9" xfId="0" applyFont="1" applyBorder="1" applyProtection="1">
      <protection locked="0"/>
    </xf>
    <xf numFmtId="0" fontId="28" fillId="0" borderId="10" xfId="0" applyFont="1" applyBorder="1" applyProtection="1"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29" fillId="0" borderId="8" xfId="0" applyFont="1" applyBorder="1" applyAlignment="1" applyProtection="1">
      <alignment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6" fillId="0" borderId="37" xfId="0" applyFont="1" applyBorder="1" applyAlignment="1" applyProtection="1">
      <alignment horizontal="left" vertical="top" wrapText="1"/>
      <protection locked="0"/>
    </xf>
    <xf numFmtId="0" fontId="28" fillId="0" borderId="2" xfId="0" applyFont="1" applyBorder="1" applyProtection="1">
      <protection locked="0"/>
    </xf>
    <xf numFmtId="0" fontId="28" fillId="0" borderId="1" xfId="0" applyFont="1" applyBorder="1" applyProtection="1">
      <protection locked="0"/>
    </xf>
    <xf numFmtId="0" fontId="5" fillId="0" borderId="8" xfId="0" applyFont="1" applyBorder="1" applyAlignment="1" applyProtection="1">
      <alignment vertical="center" wrapText="1"/>
      <protection locked="0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14" fontId="16" fillId="0" borderId="15" xfId="0" applyNumberFormat="1" applyFont="1" applyBorder="1" applyAlignment="1" applyProtection="1">
      <alignment horizontal="center" vertical="center"/>
      <protection locked="0"/>
    </xf>
    <xf numFmtId="14" fontId="16" fillId="0" borderId="16" xfId="0" applyNumberFormat="1" applyFont="1" applyBorder="1" applyAlignment="1" applyProtection="1">
      <alignment horizontal="center" vertical="center"/>
      <protection locked="0"/>
    </xf>
    <xf numFmtId="14" fontId="16" fillId="0" borderId="17" xfId="0" applyNumberFormat="1" applyFont="1" applyBorder="1" applyAlignment="1" applyProtection="1">
      <alignment horizontal="center" vertical="center"/>
      <protection locked="0"/>
    </xf>
    <xf numFmtId="14" fontId="16" fillId="0" borderId="20" xfId="0" applyNumberFormat="1" applyFont="1" applyBorder="1" applyAlignment="1" applyProtection="1">
      <alignment horizontal="center" vertical="center"/>
      <protection locked="0"/>
    </xf>
    <xf numFmtId="14" fontId="16" fillId="0" borderId="21" xfId="0" applyNumberFormat="1" applyFont="1" applyBorder="1" applyAlignment="1" applyProtection="1">
      <alignment horizontal="center" vertical="center"/>
      <protection locked="0"/>
    </xf>
    <xf numFmtId="14" fontId="16" fillId="0" borderId="22" xfId="0" applyNumberFormat="1" applyFont="1" applyBorder="1" applyAlignment="1" applyProtection="1">
      <alignment horizontal="center" vertical="center"/>
      <protection locked="0"/>
    </xf>
    <xf numFmtId="14" fontId="21" fillId="0" borderId="20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66" fontId="13" fillId="0" borderId="23" xfId="2" applyNumberFormat="1" applyFont="1" applyFill="1" applyBorder="1" applyAlignment="1" applyProtection="1">
      <alignment horizontal="center" vertical="center" wrapText="1"/>
      <protection locked="0"/>
    </xf>
    <xf numFmtId="166" fontId="13" fillId="0" borderId="14" xfId="2" applyNumberFormat="1" applyFont="1" applyFill="1" applyBorder="1" applyAlignment="1" applyProtection="1">
      <alignment horizontal="center" vertical="center" wrapText="1"/>
      <protection locked="0"/>
    </xf>
    <xf numFmtId="0" fontId="35" fillId="0" borderId="13" xfId="6" applyFont="1" applyBorder="1" applyAlignment="1" applyProtection="1">
      <alignment horizontal="center" vertical="center"/>
      <protection locked="0"/>
    </xf>
    <xf numFmtId="49" fontId="24" fillId="0" borderId="41" xfId="5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 wrapText="1"/>
      <protection locked="0"/>
    </xf>
    <xf numFmtId="0" fontId="5" fillId="0" borderId="41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43" xfId="0" applyBorder="1" applyAlignment="1" applyProtection="1">
      <alignment vertical="center" wrapText="1"/>
      <protection locked="0"/>
    </xf>
    <xf numFmtId="0" fontId="0" fillId="0" borderId="44" xfId="0" applyBorder="1" applyAlignment="1" applyProtection="1">
      <alignment vertical="center" wrapText="1"/>
      <protection locked="0"/>
    </xf>
    <xf numFmtId="0" fontId="0" fillId="0" borderId="45" xfId="0" applyBorder="1" applyProtection="1">
      <protection locked="0"/>
    </xf>
    <xf numFmtId="49" fontId="30" fillId="0" borderId="38" xfId="5" applyFont="1" applyFill="1" applyBorder="1" applyAlignment="1" applyProtection="1">
      <alignment vertical="center" wrapText="1"/>
      <protection locked="0"/>
    </xf>
    <xf numFmtId="0" fontId="28" fillId="0" borderId="39" xfId="0" applyFont="1" applyBorder="1" applyProtection="1">
      <protection locked="0"/>
    </xf>
    <xf numFmtId="0" fontId="24" fillId="0" borderId="39" xfId="0" applyFont="1" applyBorder="1" applyAlignment="1" applyProtection="1">
      <alignment horizontal="center" wrapText="1"/>
      <protection locked="0"/>
    </xf>
    <xf numFmtId="49" fontId="31" fillId="0" borderId="41" xfId="5" applyFont="1" applyFill="1" applyBorder="1" applyAlignment="1" applyProtection="1">
      <alignment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22" fillId="0" borderId="0" xfId="0" applyFont="1" applyAlignment="1">
      <alignment wrapText="1"/>
    </xf>
    <xf numFmtId="14" fontId="9" fillId="5" borderId="3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6" xfId="9" applyNumberFormat="1" applyFont="1" applyFill="1" applyBorder="1" applyAlignment="1" applyProtection="1">
      <alignment horizontal="center" vertical="center" wrapText="1"/>
      <protection hidden="1"/>
    </xf>
    <xf numFmtId="14" fontId="9" fillId="5" borderId="11" xfId="9" applyNumberFormat="1" applyFont="1" applyFill="1" applyBorder="1" applyAlignment="1" applyProtection="1">
      <alignment horizontal="center" vertical="center" wrapText="1"/>
      <protection hidden="1"/>
    </xf>
    <xf numFmtId="4" fontId="9" fillId="0" borderId="11" xfId="0" applyNumberFormat="1" applyFont="1" applyBorder="1" applyAlignment="1">
      <alignment horizontal="center"/>
    </xf>
    <xf numFmtId="0" fontId="22" fillId="0" borderId="12" xfId="0" applyFont="1" applyBorder="1" applyAlignment="1" applyProtection="1">
      <alignment horizontal="left" vertical="top" wrapText="1"/>
      <protection locked="0"/>
    </xf>
    <xf numFmtId="0" fontId="13" fillId="0" borderId="13" xfId="0" applyFont="1" applyBorder="1" applyAlignment="1" applyProtection="1">
      <alignment horizontal="left" vertical="top"/>
      <protection locked="0"/>
    </xf>
    <xf numFmtId="0" fontId="13" fillId="0" borderId="14" xfId="0" applyFont="1" applyBorder="1" applyAlignment="1" applyProtection="1">
      <alignment horizontal="left" vertical="top"/>
      <protection locked="0"/>
    </xf>
    <xf numFmtId="0" fontId="13" fillId="0" borderId="21" xfId="0" applyFont="1" applyBorder="1" applyAlignment="1" applyProtection="1">
      <alignment horizontal="left" vertical="top"/>
      <protection locked="0"/>
    </xf>
    <xf numFmtId="0" fontId="13" fillId="0" borderId="22" xfId="0" applyFont="1" applyBorder="1" applyAlignment="1" applyProtection="1">
      <alignment horizontal="left" vertical="top"/>
      <protection locked="0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left" vertical="top"/>
      <protection locked="0"/>
    </xf>
    <xf numFmtId="0" fontId="21" fillId="0" borderId="9" xfId="0" applyFont="1" applyBorder="1" applyAlignment="1" applyProtection="1">
      <alignment horizontal="left" vertical="top"/>
      <protection locked="0"/>
    </xf>
    <xf numFmtId="0" fontId="21" fillId="0" borderId="29" xfId="0" applyFont="1" applyBorder="1" applyAlignment="1" applyProtection="1">
      <alignment horizontal="left" vertical="top"/>
      <protection locked="0"/>
    </xf>
    <xf numFmtId="172" fontId="18" fillId="0" borderId="8" xfId="0" applyNumberFormat="1" applyFont="1" applyBorder="1" applyAlignment="1">
      <alignment horizontal="center" vertical="center"/>
    </xf>
    <xf numFmtId="172" fontId="18" fillId="0" borderId="9" xfId="0" applyNumberFormat="1" applyFont="1" applyBorder="1" applyAlignment="1">
      <alignment horizontal="center" vertical="center"/>
    </xf>
    <xf numFmtId="172" fontId="18" fillId="0" borderId="10" xfId="0" applyNumberFormat="1" applyFont="1" applyBorder="1" applyAlignment="1">
      <alignment horizontal="center" vertical="center"/>
    </xf>
    <xf numFmtId="172" fontId="13" fillId="0" borderId="8" xfId="0" applyNumberFormat="1" applyFont="1" applyBorder="1" applyAlignment="1">
      <alignment horizontal="center" vertical="center"/>
    </xf>
    <xf numFmtId="172" fontId="13" fillId="0" borderId="9" xfId="0" applyNumberFormat="1" applyFont="1" applyBorder="1" applyAlignment="1">
      <alignment horizontal="center" vertical="center"/>
    </xf>
    <xf numFmtId="172" fontId="13" fillId="0" borderId="10" xfId="0" applyNumberFormat="1" applyFont="1" applyBorder="1" applyAlignment="1">
      <alignment horizontal="center" vertical="center"/>
    </xf>
    <xf numFmtId="14" fontId="33" fillId="0" borderId="15" xfId="0" applyNumberFormat="1" applyFont="1" applyBorder="1" applyAlignment="1" applyProtection="1">
      <alignment horizontal="center" vertical="center"/>
      <protection locked="0"/>
    </xf>
    <xf numFmtId="14" fontId="33" fillId="0" borderId="16" xfId="0" applyNumberFormat="1" applyFont="1" applyBorder="1" applyAlignment="1" applyProtection="1">
      <alignment horizontal="center" vertical="center"/>
      <protection locked="0"/>
    </xf>
    <xf numFmtId="14" fontId="33" fillId="0" borderId="17" xfId="0" applyNumberFormat="1" applyFont="1" applyBorder="1" applyAlignment="1" applyProtection="1">
      <alignment horizontal="center" vertical="center"/>
      <protection locked="0"/>
    </xf>
    <xf numFmtId="14" fontId="33" fillId="0" borderId="20" xfId="0" applyNumberFormat="1" applyFont="1" applyBorder="1" applyAlignment="1" applyProtection="1">
      <alignment horizontal="center" vertical="center"/>
      <protection locked="0"/>
    </xf>
    <xf numFmtId="14" fontId="33" fillId="0" borderId="21" xfId="0" applyNumberFormat="1" applyFont="1" applyBorder="1" applyAlignment="1" applyProtection="1">
      <alignment horizontal="center" vertical="center"/>
      <protection locked="0"/>
    </xf>
    <xf numFmtId="14" fontId="33" fillId="0" borderId="22" xfId="0" applyNumberFormat="1" applyFont="1" applyBorder="1" applyAlignment="1" applyProtection="1">
      <alignment horizontal="center" vertical="center"/>
      <protection locked="0"/>
    </xf>
    <xf numFmtId="14" fontId="9" fillId="0" borderId="18" xfId="0" applyNumberFormat="1" applyFont="1" applyBorder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14" fontId="9" fillId="0" borderId="19" xfId="0" applyNumberFormat="1" applyFont="1" applyBorder="1" applyAlignment="1" applyProtection="1">
      <alignment horizontal="center" vertical="center"/>
      <protection locked="0"/>
    </xf>
    <xf numFmtId="14" fontId="9" fillId="0" borderId="20" xfId="0" applyNumberFormat="1" applyFont="1" applyBorder="1" applyAlignment="1" applyProtection="1">
      <alignment horizontal="center" vertical="center"/>
      <protection locked="0"/>
    </xf>
    <xf numFmtId="14" fontId="9" fillId="0" borderId="21" xfId="0" applyNumberFormat="1" applyFont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 vertical="center"/>
      <protection locked="0"/>
    </xf>
    <xf numFmtId="49" fontId="13" fillId="0" borderId="15" xfId="0" applyNumberFormat="1" applyFont="1" applyBorder="1" applyAlignment="1" applyProtection="1">
      <alignment horizontal="center" vertical="center"/>
      <protection locked="0"/>
    </xf>
    <xf numFmtId="49" fontId="13" fillId="0" borderId="16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21" xfId="0" applyNumberFormat="1" applyFont="1" applyBorder="1" applyAlignment="1" applyProtection="1">
      <alignment horizontal="center" vertical="center"/>
      <protection locked="0"/>
    </xf>
    <xf numFmtId="49" fontId="13" fillId="0" borderId="22" xfId="0" applyNumberFormat="1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8" fillId="0" borderId="22" xfId="0" applyFont="1" applyBorder="1" applyAlignment="1" applyProtection="1">
      <alignment horizontal="center" vertical="center"/>
      <protection locked="0"/>
    </xf>
    <xf numFmtId="4" fontId="33" fillId="3" borderId="0" xfId="0" applyNumberFormat="1" applyFont="1" applyFill="1" applyAlignment="1">
      <alignment horizontal="right"/>
    </xf>
    <xf numFmtId="4" fontId="33" fillId="3" borderId="49" xfId="0" applyNumberFormat="1" applyFont="1" applyFill="1" applyBorder="1" applyAlignment="1">
      <alignment horizontal="right"/>
    </xf>
    <xf numFmtId="0" fontId="9" fillId="0" borderId="0" xfId="11" applyFont="1" applyAlignment="1">
      <alignment horizontal="right" vertical="top"/>
    </xf>
    <xf numFmtId="0" fontId="9" fillId="0" borderId="49" xfId="11" applyFont="1" applyBorder="1" applyAlignment="1">
      <alignment horizontal="right" vertical="top"/>
    </xf>
    <xf numFmtId="0" fontId="9" fillId="0" borderId="0" xfId="11" applyFont="1" applyAlignment="1">
      <alignment horizontal="right" vertical="center"/>
    </xf>
    <xf numFmtId="0" fontId="9" fillId="0" borderId="49" xfId="11" applyFont="1" applyBorder="1" applyAlignment="1">
      <alignment horizontal="right" vertical="center"/>
    </xf>
    <xf numFmtId="166" fontId="13" fillId="0" borderId="62" xfId="2" applyNumberFormat="1" applyFont="1" applyBorder="1" applyAlignment="1">
      <alignment horizontal="center"/>
    </xf>
    <xf numFmtId="166" fontId="13" fillId="0" borderId="63" xfId="2" applyNumberFormat="1" applyFont="1" applyBorder="1" applyAlignment="1">
      <alignment horizontal="center"/>
    </xf>
    <xf numFmtId="166" fontId="13" fillId="0" borderId="66" xfId="2" applyNumberFormat="1" applyFont="1" applyBorder="1" applyAlignment="1">
      <alignment horizontal="center"/>
    </xf>
    <xf numFmtId="166" fontId="13" fillId="0" borderId="67" xfId="2" applyNumberFormat="1" applyFont="1" applyBorder="1" applyAlignment="1">
      <alignment horizontal="center"/>
    </xf>
    <xf numFmtId="0" fontId="9" fillId="5" borderId="11" xfId="0" applyFont="1" applyFill="1" applyBorder="1" applyAlignment="1">
      <alignment horizontal="center" vertical="center" wrapText="1"/>
    </xf>
    <xf numFmtId="166" fontId="13" fillId="0" borderId="60" xfId="2" applyNumberFormat="1" applyFont="1" applyBorder="1" applyAlignment="1">
      <alignment horizontal="center"/>
    </xf>
    <xf numFmtId="166" fontId="13" fillId="0" borderId="61" xfId="2" applyNumberFormat="1" applyFont="1" applyBorder="1" applyAlignment="1">
      <alignment horizontal="center"/>
    </xf>
    <xf numFmtId="0" fontId="13" fillId="0" borderId="20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left"/>
    </xf>
    <xf numFmtId="166" fontId="13" fillId="0" borderId="23" xfId="18" applyNumberFormat="1" applyFont="1" applyFill="1" applyBorder="1" applyAlignment="1" applyProtection="1">
      <alignment horizontal="center" vertical="center" wrapText="1"/>
      <protection locked="0"/>
    </xf>
    <xf numFmtId="166" fontId="13" fillId="0" borderId="14" xfId="18" applyNumberFormat="1" applyFont="1" applyFill="1" applyBorder="1" applyAlignment="1" applyProtection="1">
      <alignment horizontal="center" vertical="center" wrapText="1"/>
      <protection locked="0"/>
    </xf>
    <xf numFmtId="0" fontId="9" fillId="0" borderId="8" xfId="11" applyFont="1" applyBorder="1" applyAlignment="1">
      <alignment horizontal="center"/>
    </xf>
    <xf numFmtId="0" fontId="9" fillId="0" borderId="9" xfId="11" applyFont="1" applyBorder="1" applyAlignment="1">
      <alignment horizontal="center"/>
    </xf>
    <xf numFmtId="0" fontId="9" fillId="0" borderId="10" xfId="11" applyFont="1" applyBorder="1" applyAlignment="1">
      <alignment horizontal="center"/>
    </xf>
    <xf numFmtId="0" fontId="33" fillId="0" borderId="0" xfId="0" applyFont="1" applyAlignment="1">
      <alignment horizontal="left"/>
    </xf>
    <xf numFmtId="3" fontId="9" fillId="3" borderId="28" xfId="11" applyNumberFormat="1" applyFont="1" applyFill="1" applyBorder="1" applyAlignment="1">
      <alignment horizontal="right" vertical="center"/>
    </xf>
    <xf numFmtId="3" fontId="9" fillId="3" borderId="9" xfId="11" applyNumberFormat="1" applyFont="1" applyFill="1" applyBorder="1" applyAlignment="1">
      <alignment horizontal="right" vertical="center"/>
    </xf>
    <xf numFmtId="3" fontId="9" fillId="3" borderId="10" xfId="11" applyNumberFormat="1" applyFont="1" applyFill="1" applyBorder="1" applyAlignment="1">
      <alignment horizontal="right" vertical="center"/>
    </xf>
    <xf numFmtId="0" fontId="43" fillId="0" borderId="0" xfId="11" quotePrefix="1" applyFont="1" applyAlignment="1">
      <alignment horizontal="left" vertical="top" wrapText="1"/>
    </xf>
    <xf numFmtId="0" fontId="43" fillId="0" borderId="0" xfId="11" applyFont="1" applyAlignment="1">
      <alignment horizontal="left" vertical="top" wrapText="1"/>
    </xf>
    <xf numFmtId="0" fontId="21" fillId="0" borderId="78" xfId="0" applyFont="1" applyBorder="1" applyAlignment="1" applyProtection="1">
      <alignment horizontal="left" vertical="top"/>
      <protection locked="0"/>
    </xf>
    <xf numFmtId="0" fontId="21" fillId="0" borderId="7" xfId="0" applyFont="1" applyBorder="1" applyAlignment="1" applyProtection="1">
      <alignment horizontal="left" vertical="top"/>
      <protection locked="0"/>
    </xf>
    <xf numFmtId="0" fontId="21" fillId="0" borderId="79" xfId="0" applyFont="1" applyBorder="1" applyAlignment="1" applyProtection="1">
      <alignment horizontal="left" vertical="top"/>
      <protection locked="0"/>
    </xf>
    <xf numFmtId="0" fontId="18" fillId="0" borderId="21" xfId="0" applyFont="1" applyBorder="1" applyAlignment="1" applyProtection="1">
      <alignment horizontal="left" vertical="top"/>
      <protection locked="0"/>
    </xf>
    <xf numFmtId="0" fontId="18" fillId="0" borderId="22" xfId="0" applyFont="1" applyBorder="1" applyAlignment="1" applyProtection="1">
      <alignment horizontal="left" vertical="top"/>
      <protection locked="0"/>
    </xf>
    <xf numFmtId="0" fontId="9" fillId="0" borderId="15" xfId="11" applyFont="1" applyBorder="1" applyAlignment="1">
      <alignment horizontal="center"/>
    </xf>
    <xf numFmtId="0" fontId="9" fillId="0" borderId="16" xfId="11" applyFont="1" applyBorder="1" applyAlignment="1">
      <alignment horizontal="center"/>
    </xf>
    <xf numFmtId="0" fontId="9" fillId="0" borderId="17" xfId="11" applyFont="1" applyBorder="1" applyAlignment="1">
      <alignment horizontal="center"/>
    </xf>
    <xf numFmtId="0" fontId="9" fillId="0" borderId="12" xfId="11" applyFont="1" applyBorder="1" applyAlignment="1">
      <alignment horizontal="center"/>
    </xf>
    <xf numFmtId="0" fontId="9" fillId="0" borderId="13" xfId="11" applyFont="1" applyBorder="1" applyAlignment="1">
      <alignment horizontal="center"/>
    </xf>
    <xf numFmtId="0" fontId="9" fillId="0" borderId="14" xfId="11" applyFont="1" applyBorder="1" applyAlignment="1">
      <alignment horizontal="center"/>
    </xf>
    <xf numFmtId="4" fontId="36" fillId="0" borderId="0" xfId="0" applyNumberFormat="1" applyFont="1" applyAlignment="1">
      <alignment horizontal="left" wrapText="1"/>
    </xf>
    <xf numFmtId="4" fontId="13" fillId="0" borderId="18" xfId="0" applyNumberFormat="1" applyFont="1" applyBorder="1" applyAlignment="1">
      <alignment horizontal="left" wrapText="1"/>
    </xf>
    <xf numFmtId="4" fontId="13" fillId="0" borderId="0" xfId="0" applyNumberFormat="1" applyFont="1" applyAlignment="1">
      <alignment horizontal="left" wrapText="1"/>
    </xf>
    <xf numFmtId="4" fontId="36" fillId="0" borderId="18" xfId="0" applyNumberFormat="1" applyFont="1" applyBorder="1" applyAlignment="1">
      <alignment horizontal="left" vertical="top"/>
    </xf>
    <xf numFmtId="4" fontId="36" fillId="0" borderId="0" xfId="0" quotePrefix="1" applyNumberFormat="1" applyFont="1" applyAlignment="1">
      <alignment horizontal="left" vertical="top"/>
    </xf>
    <xf numFmtId="0" fontId="21" fillId="0" borderId="91" xfId="0" applyFont="1" applyBorder="1" applyAlignment="1" applyProtection="1">
      <alignment horizontal="left" vertical="top"/>
      <protection locked="0"/>
    </xf>
    <xf numFmtId="0" fontId="21" fillId="0" borderId="2" xfId="0" applyFont="1" applyBorder="1" applyAlignment="1" applyProtection="1">
      <alignment horizontal="left" vertical="top"/>
      <protection locked="0"/>
    </xf>
    <xf numFmtId="0" fontId="21" fillId="0" borderId="92" xfId="0" applyFont="1" applyBorder="1" applyAlignment="1" applyProtection="1">
      <alignment horizontal="left" vertical="top"/>
      <protection locked="0"/>
    </xf>
    <xf numFmtId="0" fontId="21" fillId="0" borderId="28" xfId="0" applyFont="1" applyBorder="1" applyAlignment="1" applyProtection="1">
      <alignment horizontal="left" vertical="top" wrapText="1"/>
      <protection locked="0"/>
    </xf>
    <xf numFmtId="9" fontId="9" fillId="0" borderId="64" xfId="15" applyFont="1" applyBorder="1" applyAlignment="1">
      <alignment horizontal="center" vertical="center"/>
    </xf>
  </cellXfs>
  <cellStyles count="21">
    <cellStyle name="Lien hypertexte" xfId="6" builtinId="8"/>
    <cellStyle name="Lien hypertexte 2" xfId="16" xr:uid="{F29B9C60-1F02-4BA2-8D91-40AF67879897}"/>
    <cellStyle name="Milliers" xfId="2" builtinId="3"/>
    <cellStyle name="Milliers 2" xfId="12" xr:uid="{00000000-0005-0000-0000-000002000000}"/>
    <cellStyle name="Milliers 2 2" xfId="14" xr:uid="{00000000-0005-0000-0000-000003000000}"/>
    <cellStyle name="Milliers 3" xfId="18" xr:uid="{2C55ACD1-CDDE-439B-83A6-2219806A460D}"/>
    <cellStyle name="NiveauLigne_1" xfId="1" builtinId="1" iLevel="0"/>
    <cellStyle name="Normal" xfId="0" builtinId="0"/>
    <cellStyle name="Normal 2" xfId="4" xr:uid="{00000000-0005-0000-0000-000006000000}"/>
    <cellStyle name="Normal 2 2" xfId="11" xr:uid="{00000000-0005-0000-0000-000007000000}"/>
    <cellStyle name="Normal 3" xfId="17" xr:uid="{FD56716B-5035-457D-8704-D32118F6ADC5}"/>
    <cellStyle name="Normal 4" xfId="7" xr:uid="{00000000-0005-0000-0000-000008000000}"/>
    <cellStyle name="Normal 5" xfId="19" xr:uid="{22F6C0CD-40B2-444C-A1C4-88345EBCFBB2}"/>
    <cellStyle name="Normal 6" xfId="20" xr:uid="{09398659-37D9-4D7C-A833-125123421B07}"/>
    <cellStyle name="Normal_Analyse_Etats_Financiers" xfId="10" xr:uid="{00000000-0005-0000-0000-000009000000}"/>
    <cellStyle name="Normal_Projet Lead RA 3" xfId="9" xr:uid="{00000000-0005-0000-0000-00000A000000}"/>
    <cellStyle name="Pourcentage" xfId="3" builtinId="5"/>
    <cellStyle name="Pourcentage 2" xfId="13" xr:uid="{00000000-0005-0000-0000-00000C000000}"/>
    <cellStyle name="Pourcentage 2 2" xfId="15" xr:uid="{00000000-0005-0000-0000-00000D000000}"/>
    <cellStyle name="Pourcentage 3" xfId="8" xr:uid="{00000000-0005-0000-0000-00000E000000}"/>
    <cellStyle name="Texte de fond" xfId="5" xr:uid="{00000000-0005-0000-0000-00000F000000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73467</xdr:rowOff>
    </xdr:from>
    <xdr:ext cx="1040544" cy="812358"/>
    <xdr:pic>
      <xdr:nvPicPr>
        <xdr:cNvPr id="4" name="Image 3">
          <a:extLst>
            <a:ext uri="{FF2B5EF4-FFF2-40B4-BE49-F238E27FC236}">
              <a16:creationId xmlns:a16="http://schemas.microsoft.com/office/drawing/2014/main" id="{C33A9334-13AD-4C71-9CC4-78F3487AA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73467"/>
          <a:ext cx="1040544" cy="812358"/>
        </a:xfrm>
        <a:prstGeom prst="rect">
          <a:avLst/>
        </a:prstGeom>
      </xdr:spPr>
    </xdr:pic>
    <xdr:clientData/>
  </xdr:oneCellAnchor>
  <xdr:oneCellAnchor>
    <xdr:from>
      <xdr:col>13</xdr:col>
      <xdr:colOff>718771</xdr:colOff>
      <xdr:row>0</xdr:row>
      <xdr:rowOff>109727</xdr:rowOff>
    </xdr:from>
    <xdr:ext cx="1529129" cy="795147"/>
    <xdr:pic>
      <xdr:nvPicPr>
        <xdr:cNvPr id="5" name="Image 4">
          <a:extLst>
            <a:ext uri="{FF2B5EF4-FFF2-40B4-BE49-F238E27FC236}">
              <a16:creationId xmlns:a16="http://schemas.microsoft.com/office/drawing/2014/main" id="{24679E07-77BC-470C-BDDC-3640D5B6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746" y="109727"/>
          <a:ext cx="1529129" cy="7951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25</xdr:row>
      <xdr:rowOff>167640</xdr:rowOff>
    </xdr:from>
    <xdr:to>
      <xdr:col>5</xdr:col>
      <xdr:colOff>495299</xdr:colOff>
      <xdr:row>41</xdr:row>
      <xdr:rowOff>119063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369B811B-EEA0-4B50-819B-AF8D2E698CC5}"/>
            </a:ext>
          </a:extLst>
        </xdr:cNvPr>
        <xdr:cNvSpPr>
          <a:spLocks noChangeShapeType="1"/>
        </xdr:cNvSpPr>
      </xdr:nvSpPr>
      <xdr:spPr bwMode="auto">
        <a:xfrm flipH="1">
          <a:off x="5629750" y="6911340"/>
          <a:ext cx="435769" cy="273272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73467</xdr:rowOff>
    </xdr:from>
    <xdr:ext cx="1040544" cy="812358"/>
    <xdr:pic>
      <xdr:nvPicPr>
        <xdr:cNvPr id="4" name="Image 3">
          <a:extLst>
            <a:ext uri="{FF2B5EF4-FFF2-40B4-BE49-F238E27FC236}">
              <a16:creationId xmlns:a16="http://schemas.microsoft.com/office/drawing/2014/main" id="{F49F0CDE-13F9-4073-AD3D-1D057FB82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73467"/>
          <a:ext cx="1040544" cy="812358"/>
        </a:xfrm>
        <a:prstGeom prst="rect">
          <a:avLst/>
        </a:prstGeom>
      </xdr:spPr>
    </xdr:pic>
    <xdr:clientData/>
  </xdr:oneCellAnchor>
  <xdr:oneCellAnchor>
    <xdr:from>
      <xdr:col>13</xdr:col>
      <xdr:colOff>718771</xdr:colOff>
      <xdr:row>0</xdr:row>
      <xdr:rowOff>109727</xdr:rowOff>
    </xdr:from>
    <xdr:ext cx="1529129" cy="795147"/>
    <xdr:pic>
      <xdr:nvPicPr>
        <xdr:cNvPr id="5" name="Image 4">
          <a:extLst>
            <a:ext uri="{FF2B5EF4-FFF2-40B4-BE49-F238E27FC236}">
              <a16:creationId xmlns:a16="http://schemas.microsoft.com/office/drawing/2014/main" id="{ADC15C9C-84E3-4883-B0CF-1E5EB5A8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746" y="109727"/>
          <a:ext cx="1529129" cy="79514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giaire/Desktop/GT/F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is.geffrault/Desktop/G&#233;n&#233;rateur%20DA/F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ian.laury/Downloads/20XX_XX_YYY_S_Stock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giaire/Desktop/GT/GT%20-%20BALANCE%20EXERCICE%20201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rex1.sharepoint.com/sites/villefranche-automobiles/Documents%20partages/2016/2016/Dossier%20de%20Travail%20FIREX%20VASA/D%20-%20Stocks/DOCS/STOCKS/TRAME%20DEPRECIATION%20VN%20rectifi&#233;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Balance N Vs N-1"/>
      <sheetName val="Bilan"/>
      <sheetName val="EBIT"/>
      <sheetName val="Actif détaillé"/>
      <sheetName val="Passif détaillé"/>
      <sheetName val="P&amp;L détaillé"/>
      <sheetName val="Tréso"/>
      <sheetName val="AACE"/>
      <sheetName val="A0"/>
      <sheetName val="C0"/>
      <sheetName val="E0"/>
      <sheetName val="F0"/>
      <sheetName val="I0"/>
      <sheetName val="P0"/>
      <sheetName val="S0"/>
      <sheetName val="T0"/>
      <sheetName val="V0"/>
      <sheetName val="X0"/>
    </sheetNames>
    <sheetDataSet>
      <sheetData sheetId="0"/>
      <sheetData sheetId="1">
        <row r="10">
          <cell r="D10">
            <v>-1067144</v>
          </cell>
          <cell r="E10">
            <v>-1067144</v>
          </cell>
          <cell r="K10" t="str">
            <v>Capital social</v>
          </cell>
          <cell r="L10" t="str">
            <v>Capital social</v>
          </cell>
        </row>
        <row r="11">
          <cell r="D11">
            <v>-106714.31</v>
          </cell>
          <cell r="E11">
            <v>-106714.31</v>
          </cell>
          <cell r="K11" t="str">
            <v>Réserves</v>
          </cell>
          <cell r="L11" t="str">
            <v>Réserves</v>
          </cell>
        </row>
        <row r="12">
          <cell r="D12">
            <v>-832139.18</v>
          </cell>
          <cell r="E12">
            <v>-812729.15</v>
          </cell>
          <cell r="K12" t="str">
            <v>Réserves</v>
          </cell>
          <cell r="L12" t="str">
            <v>Réserves</v>
          </cell>
        </row>
        <row r="13">
          <cell r="D13">
            <v>0</v>
          </cell>
          <cell r="E13">
            <v>0</v>
          </cell>
          <cell r="K13" t="str">
            <v>Résultat de l'exercice</v>
          </cell>
          <cell r="L13" t="str">
            <v>Résultat de l'exercice</v>
          </cell>
        </row>
        <row r="14">
          <cell r="D14">
            <v>-245230</v>
          </cell>
          <cell r="E14">
            <v>-245230</v>
          </cell>
          <cell r="K14" t="str">
            <v>Subventions d'investissement</v>
          </cell>
          <cell r="L14" t="str">
            <v>Subventions d'investissement</v>
          </cell>
        </row>
        <row r="15">
          <cell r="D15">
            <v>113509.41</v>
          </cell>
          <cell r="E15">
            <v>79700.070000000007</v>
          </cell>
          <cell r="K15" t="str">
            <v>Subventions d'investissement</v>
          </cell>
          <cell r="L15" t="str">
            <v>Subventions d'investissement</v>
          </cell>
        </row>
        <row r="16">
          <cell r="D16">
            <v>-80000</v>
          </cell>
          <cell r="E16">
            <v>-275145.09000000003</v>
          </cell>
          <cell r="K16" t="str">
            <v>Provisions pour risques</v>
          </cell>
          <cell r="L16" t="str">
            <v>Provisions pour risques</v>
          </cell>
        </row>
        <row r="17">
          <cell r="D17">
            <v>-58281.69</v>
          </cell>
          <cell r="E17">
            <v>-119709.29</v>
          </cell>
          <cell r="K17" t="str">
            <v>Emprunts et dettes auprès d'établissements de crédit</v>
          </cell>
          <cell r="L17" t="str">
            <v>Emprunts et dettes auprès d'établissements de crédit</v>
          </cell>
        </row>
        <row r="18">
          <cell r="D18">
            <v>0</v>
          </cell>
          <cell r="E18">
            <v>0</v>
          </cell>
          <cell r="K18" t="str">
            <v>Emprunts et dettes auprès d'établissements de crédit</v>
          </cell>
          <cell r="L18" t="str">
            <v>Emprunts et dettes auprès d'établissements de crédit</v>
          </cell>
        </row>
        <row r="19">
          <cell r="D19">
            <v>-259351.55</v>
          </cell>
          <cell r="E19">
            <v>0</v>
          </cell>
          <cell r="K19" t="str">
            <v>Emprunts et dettes auprès d'établissements de crédit</v>
          </cell>
          <cell r="L19" t="str">
            <v>Emprunts et dettes auprès d'établissements de crédit</v>
          </cell>
        </row>
        <row r="20">
          <cell r="D20">
            <v>-443.48</v>
          </cell>
          <cell r="E20">
            <v>-439.82</v>
          </cell>
          <cell r="K20" t="str">
            <v>Emprunts et dettes financières</v>
          </cell>
          <cell r="L20" t="str">
            <v>Emprunts et dettes financières</v>
          </cell>
        </row>
        <row r="21">
          <cell r="D21">
            <v>-700000</v>
          </cell>
          <cell r="E21">
            <v>-500000</v>
          </cell>
          <cell r="K21" t="str">
            <v>Emprunts et dettes financières</v>
          </cell>
          <cell r="L21" t="str">
            <v>Emprunts et dettes financières</v>
          </cell>
        </row>
        <row r="22">
          <cell r="D22">
            <v>0</v>
          </cell>
          <cell r="E22">
            <v>0</v>
          </cell>
          <cell r="K22" t="str">
            <v>Emprunts et dettes financières</v>
          </cell>
          <cell r="L22" t="str">
            <v>Emprunts et dettes financières</v>
          </cell>
        </row>
        <row r="23">
          <cell r="D23">
            <v>-3811.23</v>
          </cell>
          <cell r="E23">
            <v>-3811.23</v>
          </cell>
          <cell r="K23" t="str">
            <v>Emprunts et dettes financières</v>
          </cell>
          <cell r="L23" t="str">
            <v>Emprunts et dettes financières</v>
          </cell>
        </row>
        <row r="24">
          <cell r="D24">
            <v>-2.65</v>
          </cell>
          <cell r="E24">
            <v>-2.72</v>
          </cell>
          <cell r="K24" t="str">
            <v>Emprunts et dettes auprès d'établissements de crédit</v>
          </cell>
          <cell r="L24" t="str">
            <v>Emprunts et dettes auprès d'établissements de crédit</v>
          </cell>
        </row>
        <row r="25">
          <cell r="D25">
            <v>30971.190000000002</v>
          </cell>
          <cell r="E25">
            <v>28573.93</v>
          </cell>
          <cell r="K25" t="str">
            <v>Concessions, brvts, licences, logiciels, drts &amp; val. similaire</v>
          </cell>
          <cell r="L25" t="str">
            <v>Concessions, brvts, licences, logiciels, drts &amp; val. similaire</v>
          </cell>
        </row>
        <row r="26">
          <cell r="D26">
            <v>12424.59</v>
          </cell>
          <cell r="E26">
            <v>12424.59</v>
          </cell>
          <cell r="K26" t="str">
            <v>Fonds commercial</v>
          </cell>
          <cell r="L26" t="str">
            <v>Fonds commercial</v>
          </cell>
        </row>
        <row r="27">
          <cell r="D27">
            <v>369598.6</v>
          </cell>
          <cell r="E27">
            <v>338098.6</v>
          </cell>
          <cell r="K27" t="str">
            <v>Constructions</v>
          </cell>
          <cell r="L27" t="str">
            <v>Constructions</v>
          </cell>
        </row>
        <row r="28">
          <cell r="D28">
            <v>758996.4</v>
          </cell>
          <cell r="E28">
            <v>758996.4</v>
          </cell>
          <cell r="K28" t="str">
            <v>Constructions</v>
          </cell>
          <cell r="L28" t="str">
            <v>Constructions</v>
          </cell>
        </row>
        <row r="29">
          <cell r="D29">
            <v>263615.51</v>
          </cell>
          <cell r="E29">
            <v>250818.69999999998</v>
          </cell>
          <cell r="K29" t="str">
            <v>Installations techniques, matériel et outillage industriels</v>
          </cell>
          <cell r="L29" t="str">
            <v>Installations techniques, matériel et outillage industriels</v>
          </cell>
        </row>
        <row r="30">
          <cell r="D30">
            <v>83268.040000000008</v>
          </cell>
          <cell r="E30">
            <v>55907.9</v>
          </cell>
          <cell r="K30" t="str">
            <v>Installations techniques, matériel et outillage industriels</v>
          </cell>
          <cell r="L30" t="str">
            <v>Installations techniques, matériel et outillage industriels</v>
          </cell>
        </row>
        <row r="31">
          <cell r="D31">
            <v>731701.33000000007</v>
          </cell>
          <cell r="E31">
            <v>640562.82000000007</v>
          </cell>
          <cell r="K31" t="str">
            <v>Autres immobilisations corporelles</v>
          </cell>
          <cell r="L31" t="str">
            <v>Autres immobilisations corporelles</v>
          </cell>
        </row>
        <row r="32">
          <cell r="D32">
            <v>84236.61</v>
          </cell>
          <cell r="E32">
            <v>84236.61</v>
          </cell>
          <cell r="K32" t="str">
            <v>Autres immobilisations corporelles</v>
          </cell>
          <cell r="L32" t="str">
            <v>Autres immobilisations corporelles</v>
          </cell>
        </row>
        <row r="33">
          <cell r="D33">
            <v>71572.45</v>
          </cell>
          <cell r="E33">
            <v>170572.41999999998</v>
          </cell>
          <cell r="K33" t="str">
            <v>Autres immobilisations corporelles</v>
          </cell>
          <cell r="L33" t="str">
            <v>Autres immobilisations corporelles</v>
          </cell>
        </row>
        <row r="34">
          <cell r="D34">
            <v>120247.35</v>
          </cell>
          <cell r="E34">
            <v>117490.04000000001</v>
          </cell>
          <cell r="K34" t="str">
            <v>Autres immobilisations corporelles</v>
          </cell>
          <cell r="L34" t="str">
            <v>Autres immobilisations corporelles</v>
          </cell>
        </row>
        <row r="35">
          <cell r="D35">
            <v>58712.41</v>
          </cell>
          <cell r="E35">
            <v>56032.19</v>
          </cell>
          <cell r="K35" t="str">
            <v>Autres immobilisations corporelles</v>
          </cell>
          <cell r="L35" t="str">
            <v>Autres immobilisations corporelles</v>
          </cell>
        </row>
        <row r="36">
          <cell r="D36">
            <v>310260.7</v>
          </cell>
          <cell r="E36">
            <v>8350</v>
          </cell>
          <cell r="K36" t="str">
            <v>Immobilisations corporelles en cours</v>
          </cell>
          <cell r="L36" t="str">
            <v>Immobilisations corporelles en cours</v>
          </cell>
        </row>
        <row r="37">
          <cell r="D37">
            <v>4300</v>
          </cell>
          <cell r="E37">
            <v>4300</v>
          </cell>
          <cell r="K37" t="str">
            <v>Participations</v>
          </cell>
          <cell r="L37" t="str">
            <v>Participations</v>
          </cell>
        </row>
        <row r="38">
          <cell r="D38">
            <v>2095.79</v>
          </cell>
          <cell r="E38">
            <v>2095.79</v>
          </cell>
          <cell r="K38" t="str">
            <v>Dépôts et cautionnements versés</v>
          </cell>
          <cell r="L38" t="str">
            <v>Dépôts et cautionnements versés</v>
          </cell>
        </row>
        <row r="39">
          <cell r="D39">
            <v>-29789</v>
          </cell>
          <cell r="E39">
            <v>-27230.53</v>
          </cell>
          <cell r="K39" t="str">
            <v>Concessions, brvts, licences, logiciels, drts &amp; val. similaire</v>
          </cell>
          <cell r="L39" t="str">
            <v>Concessions, brvts, licences, logiciels, drts &amp; val. similaire</v>
          </cell>
        </row>
        <row r="40">
          <cell r="D40">
            <v>-311072.23</v>
          </cell>
          <cell r="E40">
            <v>-300207.13</v>
          </cell>
          <cell r="K40" t="str">
            <v>Constructions</v>
          </cell>
          <cell r="L40" t="str">
            <v>Constructions</v>
          </cell>
        </row>
        <row r="41">
          <cell r="D41">
            <v>-499298.74</v>
          </cell>
          <cell r="E41">
            <v>-437519.26</v>
          </cell>
          <cell r="K41" t="str">
            <v>Constructions</v>
          </cell>
          <cell r="L41" t="str">
            <v>Constructions</v>
          </cell>
        </row>
        <row r="42">
          <cell r="D42">
            <v>-224815</v>
          </cell>
          <cell r="E42">
            <v>-212549.96</v>
          </cell>
          <cell r="K42" t="str">
            <v>Installations techniques, matériel et outillage industriels</v>
          </cell>
          <cell r="L42" t="str">
            <v>Installations techniques, matériel et outillage industriels</v>
          </cell>
        </row>
        <row r="43">
          <cell r="D43">
            <v>-52610.38</v>
          </cell>
          <cell r="E43">
            <v>-47767.93</v>
          </cell>
          <cell r="K43" t="str">
            <v>Installations techniques, matériel et outillage industriels</v>
          </cell>
          <cell r="L43" t="str">
            <v>Installations techniques, matériel et outillage industriels</v>
          </cell>
        </row>
        <row r="44">
          <cell r="D44">
            <v>-385509.21</v>
          </cell>
          <cell r="E44">
            <v>-326819.65999999997</v>
          </cell>
          <cell r="K44" t="str">
            <v>Autres immobilisations corporelles</v>
          </cell>
          <cell r="L44" t="str">
            <v>Autres immobilisations corporelles</v>
          </cell>
        </row>
        <row r="45">
          <cell r="D45">
            <v>-84236.61</v>
          </cell>
          <cell r="E45">
            <v>-84236.61</v>
          </cell>
          <cell r="K45" t="str">
            <v>Autres immobilisations corporelles</v>
          </cell>
          <cell r="L45" t="str">
            <v>Autres immobilisations corporelles</v>
          </cell>
        </row>
        <row r="46">
          <cell r="D46">
            <v>-35225.51</v>
          </cell>
          <cell r="E46">
            <v>-87024.46</v>
          </cell>
          <cell r="K46" t="str">
            <v>Autres immobilisations corporelles</v>
          </cell>
          <cell r="L46" t="str">
            <v>Autres immobilisations corporelles</v>
          </cell>
        </row>
        <row r="47">
          <cell r="D47">
            <v>-117372.65</v>
          </cell>
          <cell r="E47">
            <v>-114261.17</v>
          </cell>
          <cell r="K47" t="str">
            <v>Autres immobilisations corporelles</v>
          </cell>
          <cell r="L47" t="str">
            <v>Autres immobilisations corporelles</v>
          </cell>
        </row>
        <row r="48">
          <cell r="D48">
            <v>-51991.02</v>
          </cell>
          <cell r="E48">
            <v>-43973.49</v>
          </cell>
          <cell r="K48" t="str">
            <v>Autres immobilisations corporelles</v>
          </cell>
          <cell r="L48" t="str">
            <v>Autres immobilisations corporelles</v>
          </cell>
        </row>
        <row r="49">
          <cell r="D49">
            <v>1428</v>
          </cell>
          <cell r="E49">
            <v>343.5</v>
          </cell>
          <cell r="K49" t="str">
            <v>En-cours de production (biens et services)</v>
          </cell>
          <cell r="L49" t="str">
            <v>En-cours de production (biens et services)</v>
          </cell>
        </row>
        <row r="50">
          <cell r="D50">
            <v>9453.7999999999993</v>
          </cell>
          <cell r="E50">
            <v>3099.73</v>
          </cell>
          <cell r="K50" t="str">
            <v>En-cours de production (biens et services)</v>
          </cell>
          <cell r="L50" t="str">
            <v>En-cours de production (biens et services)</v>
          </cell>
        </row>
        <row r="51">
          <cell r="D51">
            <v>108.1</v>
          </cell>
          <cell r="E51">
            <v>133.06</v>
          </cell>
          <cell r="K51" t="str">
            <v>En-cours de production (biens et services)</v>
          </cell>
          <cell r="L51" t="str">
            <v>En-cours de production (biens et services)</v>
          </cell>
        </row>
        <row r="52">
          <cell r="D52">
            <v>4101266.95</v>
          </cell>
          <cell r="E52">
            <v>4194275.99</v>
          </cell>
          <cell r="K52" t="str">
            <v>Marchandises</v>
          </cell>
          <cell r="L52" t="str">
            <v>Marchandises</v>
          </cell>
        </row>
        <row r="53">
          <cell r="D53">
            <v>973411.46</v>
          </cell>
          <cell r="E53">
            <v>684653.33</v>
          </cell>
          <cell r="K53" t="str">
            <v>Marchandises</v>
          </cell>
          <cell r="L53" t="str">
            <v>Marchandises</v>
          </cell>
        </row>
        <row r="54">
          <cell r="D54">
            <v>34909.800000000003</v>
          </cell>
          <cell r="E54">
            <v>9512.6200000000008</v>
          </cell>
          <cell r="K54" t="str">
            <v>Marchandises</v>
          </cell>
          <cell r="L54" t="str">
            <v>Marchandises</v>
          </cell>
        </row>
        <row r="55">
          <cell r="D55">
            <v>230210.53</v>
          </cell>
          <cell r="E55">
            <v>293361.28999999998</v>
          </cell>
          <cell r="K55" t="str">
            <v>Marchandises</v>
          </cell>
          <cell r="L55" t="str">
            <v>Marchandises</v>
          </cell>
        </row>
        <row r="56">
          <cell r="D56">
            <v>1494833.82</v>
          </cell>
          <cell r="E56">
            <v>1428460.4</v>
          </cell>
          <cell r="K56" t="str">
            <v>Marchandises</v>
          </cell>
          <cell r="L56" t="str">
            <v>Marchandises</v>
          </cell>
        </row>
        <row r="57">
          <cell r="D57">
            <v>46796.39</v>
          </cell>
          <cell r="E57">
            <v>42810.33</v>
          </cell>
          <cell r="K57" t="str">
            <v>Marchandises</v>
          </cell>
          <cell r="L57" t="str">
            <v>Marchandises</v>
          </cell>
        </row>
        <row r="58">
          <cell r="D58">
            <v>56035.83</v>
          </cell>
          <cell r="E58">
            <v>185736.47</v>
          </cell>
          <cell r="K58" t="str">
            <v>Marchandises</v>
          </cell>
          <cell r="L58" t="str">
            <v>Marchandises</v>
          </cell>
        </row>
        <row r="59">
          <cell r="D59">
            <v>16486.59</v>
          </cell>
          <cell r="E59">
            <v>58113.01</v>
          </cell>
          <cell r="K59" t="str">
            <v>Marchandises</v>
          </cell>
          <cell r="L59" t="str">
            <v>Marchandises</v>
          </cell>
        </row>
        <row r="60">
          <cell r="D60">
            <v>12592.43</v>
          </cell>
          <cell r="E60">
            <v>8498.16</v>
          </cell>
          <cell r="K60" t="str">
            <v>Marchandises</v>
          </cell>
          <cell r="L60" t="str">
            <v>Marchandises</v>
          </cell>
        </row>
        <row r="61">
          <cell r="D61">
            <v>3211.87</v>
          </cell>
          <cell r="E61">
            <v>1402.74</v>
          </cell>
          <cell r="K61" t="str">
            <v>Marchandises</v>
          </cell>
          <cell r="L61" t="str">
            <v>Marchandises</v>
          </cell>
        </row>
        <row r="62">
          <cell r="D62">
            <v>-6332.1</v>
          </cell>
          <cell r="E62">
            <v>-22161.56</v>
          </cell>
          <cell r="K62" t="str">
            <v>Marchandises</v>
          </cell>
          <cell r="L62" t="str">
            <v>Marchandises</v>
          </cell>
        </row>
        <row r="63">
          <cell r="D63">
            <v>-32326.39</v>
          </cell>
          <cell r="E63">
            <v>0</v>
          </cell>
          <cell r="K63" t="str">
            <v>Marchandises</v>
          </cell>
          <cell r="L63" t="str">
            <v>Marchandises</v>
          </cell>
        </row>
        <row r="64">
          <cell r="D64">
            <v>-16407.099999999999</v>
          </cell>
          <cell r="E64">
            <v>-12398</v>
          </cell>
          <cell r="K64" t="str">
            <v>Marchandises</v>
          </cell>
          <cell r="L64" t="str">
            <v>Marchandises</v>
          </cell>
        </row>
        <row r="65">
          <cell r="D65">
            <v>-9731.4699999999993</v>
          </cell>
          <cell r="E65">
            <v>-53415.91</v>
          </cell>
          <cell r="K65" t="str">
            <v>Marchandises</v>
          </cell>
          <cell r="L65" t="str">
            <v>Marchandises</v>
          </cell>
        </row>
        <row r="66">
          <cell r="D66">
            <v>-267065.25</v>
          </cell>
          <cell r="E66">
            <v>-133190.23000000001</v>
          </cell>
          <cell r="K66" t="str">
            <v>Fournisseurs et comptes rattachés</v>
          </cell>
          <cell r="L66" t="str">
            <v>Fournisseurs et comptes rattachés</v>
          </cell>
        </row>
        <row r="67">
          <cell r="D67">
            <v>-6529.78</v>
          </cell>
          <cell r="E67">
            <v>-24208.36</v>
          </cell>
          <cell r="K67" t="str">
            <v>Fournisseurs et comptes rattachés</v>
          </cell>
          <cell r="L67" t="str">
            <v>Fournisseurs et comptes rattachés</v>
          </cell>
        </row>
        <row r="68">
          <cell r="D68">
            <v>-359561.11</v>
          </cell>
          <cell r="E68">
            <v>-630746.84</v>
          </cell>
          <cell r="K68" t="str">
            <v>Fournisseurs et comptes rattachés</v>
          </cell>
          <cell r="L68" t="str">
            <v>Fournisseurs et comptes rattachés</v>
          </cell>
        </row>
        <row r="69">
          <cell r="D69">
            <v>-88311.57</v>
          </cell>
          <cell r="E69">
            <v>-589781.16</v>
          </cell>
          <cell r="K69" t="str">
            <v>Fournisseurs et comptes rattachés</v>
          </cell>
          <cell r="L69" t="str">
            <v>Fournisseurs et comptes rattachés</v>
          </cell>
        </row>
        <row r="70">
          <cell r="D70">
            <v>-3820304.4</v>
          </cell>
          <cell r="E70">
            <v>-4138438.8</v>
          </cell>
          <cell r="K70" t="str">
            <v>Fournisseurs et comptes rattachés</v>
          </cell>
          <cell r="L70" t="str">
            <v>Fournisseurs et comptes rattachés</v>
          </cell>
        </row>
        <row r="71">
          <cell r="D71">
            <v>471089.94</v>
          </cell>
          <cell r="E71">
            <v>456740.95</v>
          </cell>
          <cell r="K71" t="str">
            <v>Fournisseurs débiteurs</v>
          </cell>
          <cell r="L71" t="str">
            <v>Fournisseurs débiteurs</v>
          </cell>
        </row>
        <row r="72">
          <cell r="D72">
            <v>-32095.11</v>
          </cell>
          <cell r="E72">
            <v>-20437.07</v>
          </cell>
          <cell r="K72" t="str">
            <v>Fournisseurs et comptes rattachés</v>
          </cell>
          <cell r="L72" t="str">
            <v>Fournisseurs et comptes rattachés</v>
          </cell>
        </row>
        <row r="73">
          <cell r="D73">
            <v>-168193.21</v>
          </cell>
          <cell r="E73">
            <v>-13110.59</v>
          </cell>
          <cell r="K73" t="str">
            <v>Fournisseurs et comptes rattachés</v>
          </cell>
          <cell r="L73" t="str">
            <v>Fournisseurs et comptes rattachés</v>
          </cell>
        </row>
        <row r="74">
          <cell r="D74">
            <v>-35793.83</v>
          </cell>
          <cell r="E74">
            <v>-27388.75</v>
          </cell>
          <cell r="K74" t="str">
            <v>Fournisseurs et comptes rattachés</v>
          </cell>
          <cell r="L74" t="str">
            <v>Fournisseurs et comptes rattachés</v>
          </cell>
        </row>
        <row r="75">
          <cell r="D75">
            <v>-115182.35</v>
          </cell>
          <cell r="E75">
            <v>-123767.56</v>
          </cell>
          <cell r="K75" t="str">
            <v>Fournisseurs et comptes rattachés</v>
          </cell>
          <cell r="L75" t="str">
            <v>Fournisseurs et comptes rattachés</v>
          </cell>
        </row>
        <row r="76">
          <cell r="D76">
            <v>-13065.87</v>
          </cell>
          <cell r="E76">
            <v>-16453.75</v>
          </cell>
          <cell r="K76" t="str">
            <v>Fournisseurs et comptes rattachés</v>
          </cell>
          <cell r="L76" t="str">
            <v>Fournisseurs et comptes rattachés</v>
          </cell>
        </row>
        <row r="77">
          <cell r="D77">
            <v>708.35</v>
          </cell>
          <cell r="E77">
            <v>0</v>
          </cell>
          <cell r="K77" t="str">
            <v>Fournisseurs débiteurs</v>
          </cell>
          <cell r="L77" t="str">
            <v>Fournisseurs débiteurs</v>
          </cell>
        </row>
        <row r="78">
          <cell r="D78">
            <v>473475.57</v>
          </cell>
          <cell r="E78">
            <v>525942.51</v>
          </cell>
          <cell r="K78" t="str">
            <v>Avances et acomptes versés sur commandes</v>
          </cell>
          <cell r="L78" t="str">
            <v>Avances et acomptes versés sur commandes</v>
          </cell>
        </row>
        <row r="79">
          <cell r="D79">
            <v>366.31</v>
          </cell>
          <cell r="E79">
            <v>12280.21</v>
          </cell>
          <cell r="K79" t="str">
            <v>Avances et acomptes versés sur commandes</v>
          </cell>
          <cell r="L79" t="str">
            <v>Avances et acomptes versés sur commandes</v>
          </cell>
        </row>
        <row r="80">
          <cell r="D80">
            <v>228261.78</v>
          </cell>
          <cell r="E80">
            <v>105902.07</v>
          </cell>
          <cell r="K80" t="str">
            <v>Clients et comptes rattachés</v>
          </cell>
          <cell r="L80" t="str">
            <v>Clients et comptes rattachés</v>
          </cell>
        </row>
        <row r="81">
          <cell r="D81">
            <v>27118.75</v>
          </cell>
          <cell r="E81">
            <v>50817.71</v>
          </cell>
          <cell r="K81" t="str">
            <v>Clients et comptes rattachés</v>
          </cell>
          <cell r="L81" t="str">
            <v>Clients et comptes rattachés</v>
          </cell>
        </row>
        <row r="82">
          <cell r="D82">
            <v>13961.59</v>
          </cell>
          <cell r="E82">
            <v>21351.93</v>
          </cell>
          <cell r="K82" t="str">
            <v>Clients et comptes rattachés</v>
          </cell>
          <cell r="L82" t="str">
            <v>Clients et comptes rattachés</v>
          </cell>
        </row>
        <row r="83">
          <cell r="D83">
            <v>669142.12</v>
          </cell>
          <cell r="E83">
            <v>471886.54</v>
          </cell>
          <cell r="K83" t="str">
            <v>Clients et comptes rattachés</v>
          </cell>
          <cell r="L83" t="str">
            <v>Clients et comptes rattachés</v>
          </cell>
        </row>
        <row r="84">
          <cell r="D84">
            <v>2990</v>
          </cell>
          <cell r="E84">
            <v>11941.42</v>
          </cell>
          <cell r="K84" t="str">
            <v>Clients et comptes rattachés</v>
          </cell>
          <cell r="L84" t="str">
            <v>Clients et comptes rattachés</v>
          </cell>
        </row>
        <row r="85">
          <cell r="D85">
            <v>29768.720000000001</v>
          </cell>
          <cell r="E85">
            <v>41165.29</v>
          </cell>
          <cell r="K85" t="str">
            <v>Clients et comptes rattachés</v>
          </cell>
          <cell r="L85" t="str">
            <v>Clients et comptes rattachés</v>
          </cell>
        </row>
        <row r="86">
          <cell r="D86">
            <v>0</v>
          </cell>
          <cell r="E86">
            <v>390.72</v>
          </cell>
          <cell r="K86" t="str">
            <v>Clients et comptes rattachés</v>
          </cell>
          <cell r="L86" t="str">
            <v>Clients et comptes rattachés</v>
          </cell>
        </row>
        <row r="87">
          <cell r="D87">
            <v>63742.57</v>
          </cell>
          <cell r="E87">
            <v>37944.57</v>
          </cell>
          <cell r="K87" t="str">
            <v>Clients et comptes rattachés</v>
          </cell>
          <cell r="L87" t="str">
            <v>Clients et comptes rattachés</v>
          </cell>
        </row>
        <row r="88">
          <cell r="D88">
            <v>7462.47</v>
          </cell>
          <cell r="E88">
            <v>7273.16</v>
          </cell>
          <cell r="K88" t="str">
            <v>Clients et comptes rattachés</v>
          </cell>
          <cell r="L88" t="str">
            <v>Clients et comptes rattachés</v>
          </cell>
        </row>
        <row r="89">
          <cell r="D89">
            <v>0</v>
          </cell>
          <cell r="E89">
            <v>0</v>
          </cell>
          <cell r="K89" t="str">
            <v>Clients et comptes rattachés</v>
          </cell>
          <cell r="L89" t="str">
            <v>Clients et comptes rattachés</v>
          </cell>
        </row>
        <row r="90">
          <cell r="D90">
            <v>176484.25</v>
          </cell>
          <cell r="E90">
            <v>169843.16</v>
          </cell>
          <cell r="K90" t="str">
            <v>Clients et comptes rattachés</v>
          </cell>
          <cell r="L90" t="str">
            <v>Clients et comptes rattachés</v>
          </cell>
        </row>
        <row r="91">
          <cell r="D91">
            <v>0</v>
          </cell>
          <cell r="E91">
            <v>300</v>
          </cell>
          <cell r="K91" t="str">
            <v>Clients et comptes rattachés</v>
          </cell>
          <cell r="L91" t="str">
            <v>Clients et comptes rattachés</v>
          </cell>
        </row>
        <row r="92">
          <cell r="D92">
            <v>-4426.5</v>
          </cell>
          <cell r="E92">
            <v>0</v>
          </cell>
          <cell r="K92" t="str">
            <v>Avances et acomptes reçus sur commandes en cours</v>
          </cell>
          <cell r="L92" t="str">
            <v>Clients et comptes rattachés</v>
          </cell>
        </row>
        <row r="93">
          <cell r="D93">
            <v>-88327.64</v>
          </cell>
          <cell r="E93">
            <v>-187704.63</v>
          </cell>
          <cell r="K93" t="str">
            <v>Avances et acomptes reçus sur commandes en cours</v>
          </cell>
          <cell r="L93" t="str">
            <v>Avances et acomptes reçus sur commandes en cours</v>
          </cell>
        </row>
        <row r="94">
          <cell r="D94">
            <v>23.03</v>
          </cell>
          <cell r="E94">
            <v>0</v>
          </cell>
          <cell r="K94" t="str">
            <v>Créances sociales</v>
          </cell>
          <cell r="L94" t="str">
            <v>Créances sociales</v>
          </cell>
        </row>
        <row r="95">
          <cell r="D95">
            <v>-1207.29</v>
          </cell>
          <cell r="E95">
            <v>-280.47000000000003</v>
          </cell>
          <cell r="K95" t="str">
            <v>Dettes sociales</v>
          </cell>
          <cell r="L95" t="str">
            <v>Dettes sociales</v>
          </cell>
        </row>
        <row r="96">
          <cell r="D96">
            <v>0</v>
          </cell>
          <cell r="E96">
            <v>0</v>
          </cell>
          <cell r="K96" t="str">
            <v>Créances sociales</v>
          </cell>
          <cell r="L96" t="str">
            <v>Créances sociales</v>
          </cell>
        </row>
        <row r="97">
          <cell r="D97">
            <v>0</v>
          </cell>
          <cell r="E97">
            <v>1100</v>
          </cell>
          <cell r="K97" t="str">
            <v>Créances sociales</v>
          </cell>
          <cell r="L97" t="str">
            <v>Créances sociales</v>
          </cell>
        </row>
        <row r="98">
          <cell r="D98">
            <v>0</v>
          </cell>
          <cell r="E98">
            <v>-770</v>
          </cell>
          <cell r="K98" t="str">
            <v>Créances sociales</v>
          </cell>
          <cell r="L98" t="str">
            <v>Dettes sociales</v>
          </cell>
        </row>
        <row r="99">
          <cell r="D99">
            <v>-102414.78</v>
          </cell>
          <cell r="E99">
            <v>-104817.43</v>
          </cell>
          <cell r="K99" t="str">
            <v>Dettes sociales</v>
          </cell>
          <cell r="L99" t="str">
            <v>Dettes sociales</v>
          </cell>
        </row>
        <row r="100">
          <cell r="D100">
            <v>-15067.13</v>
          </cell>
          <cell r="E100">
            <v>-10028.299999999999</v>
          </cell>
          <cell r="K100" t="str">
            <v>Dettes sociales</v>
          </cell>
          <cell r="L100" t="str">
            <v>Dettes sociales</v>
          </cell>
        </row>
        <row r="101">
          <cell r="D101">
            <v>0</v>
          </cell>
          <cell r="E101">
            <v>0</v>
          </cell>
          <cell r="K101" t="str">
            <v>Créances sociales</v>
          </cell>
          <cell r="L101" t="str">
            <v>Créances sociales</v>
          </cell>
        </row>
        <row r="102">
          <cell r="D102">
            <v>-32727.32</v>
          </cell>
          <cell r="E102">
            <v>-78788.240000000005</v>
          </cell>
          <cell r="K102" t="str">
            <v>Dettes sociales</v>
          </cell>
          <cell r="L102" t="str">
            <v>Dettes sociales</v>
          </cell>
        </row>
        <row r="103">
          <cell r="D103">
            <v>0</v>
          </cell>
          <cell r="E103">
            <v>3381.21</v>
          </cell>
          <cell r="K103" t="str">
            <v>Créances sociales</v>
          </cell>
          <cell r="L103" t="str">
            <v>Créances sociales</v>
          </cell>
        </row>
        <row r="104">
          <cell r="D104">
            <v>-71542.52</v>
          </cell>
          <cell r="E104">
            <v>-67894.210000000006</v>
          </cell>
          <cell r="K104" t="str">
            <v>Dettes sociales</v>
          </cell>
          <cell r="L104" t="str">
            <v>Dettes sociales</v>
          </cell>
        </row>
        <row r="105">
          <cell r="D105">
            <v>-465.68</v>
          </cell>
          <cell r="E105">
            <v>2285.3200000000002</v>
          </cell>
          <cell r="K105" t="str">
            <v>Dettes sociales</v>
          </cell>
          <cell r="L105" t="str">
            <v>Créances sociales</v>
          </cell>
        </row>
        <row r="106">
          <cell r="D106">
            <v>0</v>
          </cell>
          <cell r="E106">
            <v>0</v>
          </cell>
          <cell r="K106" t="str">
            <v>Créances sociales</v>
          </cell>
          <cell r="L106" t="str">
            <v>Créances sociales</v>
          </cell>
        </row>
        <row r="107">
          <cell r="D107">
            <v>-32796.74</v>
          </cell>
          <cell r="E107">
            <v>-21878</v>
          </cell>
          <cell r="K107" t="str">
            <v>Dettes sociales</v>
          </cell>
          <cell r="L107" t="str">
            <v>Dettes sociales</v>
          </cell>
        </row>
        <row r="108">
          <cell r="D108">
            <v>-5696.11</v>
          </cell>
          <cell r="E108">
            <v>-4598.84</v>
          </cell>
          <cell r="K108" t="str">
            <v>Dettes sociales</v>
          </cell>
          <cell r="L108" t="str">
            <v>Dettes sociales</v>
          </cell>
        </row>
        <row r="109">
          <cell r="D109">
            <v>-3786.81</v>
          </cell>
          <cell r="E109">
            <v>-5107.72</v>
          </cell>
          <cell r="K109" t="str">
            <v>Dettes sociales</v>
          </cell>
          <cell r="L109" t="str">
            <v>Dettes sociales</v>
          </cell>
        </row>
        <row r="110">
          <cell r="D110">
            <v>-24031.45</v>
          </cell>
          <cell r="E110">
            <v>-23589</v>
          </cell>
          <cell r="K110" t="str">
            <v>Dettes sociales</v>
          </cell>
          <cell r="L110" t="str">
            <v>Dettes sociales</v>
          </cell>
        </row>
        <row r="111">
          <cell r="D111">
            <v>0</v>
          </cell>
          <cell r="E111">
            <v>0</v>
          </cell>
          <cell r="K111" t="str">
            <v>Créances sociales</v>
          </cell>
          <cell r="L111" t="str">
            <v>Créances sociales</v>
          </cell>
        </row>
        <row r="112">
          <cell r="D112">
            <v>-7510.01</v>
          </cell>
          <cell r="E112">
            <v>-7232.72</v>
          </cell>
          <cell r="K112" t="str">
            <v>Dettes sociales</v>
          </cell>
          <cell r="L112" t="str">
            <v>Dettes sociales</v>
          </cell>
        </row>
        <row r="113">
          <cell r="D113">
            <v>-8708.4</v>
          </cell>
          <cell r="E113">
            <v>-8025.6</v>
          </cell>
          <cell r="K113" t="str">
            <v>Dettes sociales</v>
          </cell>
          <cell r="L113" t="str">
            <v>Dettes sociales</v>
          </cell>
        </row>
        <row r="114">
          <cell r="D114">
            <v>0</v>
          </cell>
          <cell r="E114">
            <v>15</v>
          </cell>
          <cell r="K114" t="str">
            <v>Créances sociales</v>
          </cell>
          <cell r="L114" t="str">
            <v>Créances sociales</v>
          </cell>
        </row>
        <row r="115">
          <cell r="D115">
            <v>0</v>
          </cell>
          <cell r="E115">
            <v>0</v>
          </cell>
          <cell r="K115" t="str">
            <v>Créances sociales</v>
          </cell>
          <cell r="L115" t="str">
            <v>Créances sociales</v>
          </cell>
        </row>
        <row r="116">
          <cell r="D116">
            <v>-11348.08</v>
          </cell>
          <cell r="E116">
            <v>-10601.09</v>
          </cell>
          <cell r="K116" t="str">
            <v>Dettes sociales</v>
          </cell>
          <cell r="L116" t="str">
            <v>Dettes sociales</v>
          </cell>
        </row>
        <row r="117">
          <cell r="D117">
            <v>-46909.279999999999</v>
          </cell>
          <cell r="E117">
            <v>-47624.7</v>
          </cell>
          <cell r="K117" t="str">
            <v>Dettes sociales</v>
          </cell>
          <cell r="L117" t="str">
            <v>Dettes sociales</v>
          </cell>
        </row>
        <row r="118">
          <cell r="D118">
            <v>-7783.18</v>
          </cell>
          <cell r="E118">
            <v>-5379.56</v>
          </cell>
          <cell r="K118" t="str">
            <v>Dettes sociales</v>
          </cell>
          <cell r="L118" t="str">
            <v>Dettes sociales</v>
          </cell>
        </row>
        <row r="119">
          <cell r="D119">
            <v>-23499.05</v>
          </cell>
          <cell r="E119">
            <v>-47976.32</v>
          </cell>
          <cell r="K119" t="str">
            <v>Dettes sociales</v>
          </cell>
          <cell r="L119" t="str">
            <v>Dettes sociales</v>
          </cell>
        </row>
        <row r="120">
          <cell r="D120">
            <v>10000</v>
          </cell>
          <cell r="E120">
            <v>10000</v>
          </cell>
          <cell r="K120" t="str">
            <v>Créances fiscales</v>
          </cell>
          <cell r="L120" t="str">
            <v>Créances fiscales</v>
          </cell>
        </row>
        <row r="121">
          <cell r="D121">
            <v>-1154</v>
          </cell>
          <cell r="E121">
            <v>-488</v>
          </cell>
          <cell r="K121" t="str">
            <v>Dettes fiscales</v>
          </cell>
          <cell r="L121" t="str">
            <v>Dettes fiscales</v>
          </cell>
        </row>
        <row r="122">
          <cell r="D122">
            <v>0</v>
          </cell>
          <cell r="E122">
            <v>0</v>
          </cell>
          <cell r="K122" t="str">
            <v>Créances fiscales</v>
          </cell>
          <cell r="L122" t="str">
            <v>Créances fiscales</v>
          </cell>
        </row>
        <row r="123">
          <cell r="D123">
            <v>0</v>
          </cell>
          <cell r="E123">
            <v>0</v>
          </cell>
          <cell r="K123" t="str">
            <v>Créances fiscales</v>
          </cell>
          <cell r="L123" t="str">
            <v>Créances fiscales</v>
          </cell>
        </row>
        <row r="124">
          <cell r="D124">
            <v>153484.53</v>
          </cell>
          <cell r="E124">
            <v>0</v>
          </cell>
          <cell r="K124" t="str">
            <v>Créances fiscales</v>
          </cell>
          <cell r="L124" t="str">
            <v>Créances fiscales</v>
          </cell>
        </row>
        <row r="125">
          <cell r="D125">
            <v>0</v>
          </cell>
          <cell r="E125">
            <v>-220.62</v>
          </cell>
          <cell r="K125" t="str">
            <v>Créances fiscales</v>
          </cell>
          <cell r="L125" t="str">
            <v>Dettes fiscales</v>
          </cell>
        </row>
        <row r="126">
          <cell r="D126">
            <v>77526</v>
          </cell>
          <cell r="E126">
            <v>49749</v>
          </cell>
          <cell r="K126" t="str">
            <v>Créances fiscales</v>
          </cell>
          <cell r="L126" t="str">
            <v>Créances fiscales</v>
          </cell>
        </row>
        <row r="127">
          <cell r="D127">
            <v>0</v>
          </cell>
          <cell r="E127">
            <v>0</v>
          </cell>
          <cell r="K127" t="str">
            <v>Créances fiscales</v>
          </cell>
          <cell r="L127" t="str">
            <v>Créances fiscales</v>
          </cell>
        </row>
        <row r="128">
          <cell r="D128">
            <v>0</v>
          </cell>
          <cell r="E128">
            <v>0</v>
          </cell>
          <cell r="K128" t="str">
            <v>Créances fiscales</v>
          </cell>
          <cell r="L128" t="str">
            <v>Créances fiscales</v>
          </cell>
        </row>
        <row r="129">
          <cell r="D129">
            <v>10525.14</v>
          </cell>
          <cell r="E129">
            <v>-5272.47</v>
          </cell>
          <cell r="K129" t="str">
            <v>Créances fiscales</v>
          </cell>
          <cell r="L129" t="str">
            <v>Dettes fiscales</v>
          </cell>
        </row>
        <row r="130">
          <cell r="D130">
            <v>-47511.409999999996</v>
          </cell>
          <cell r="E130">
            <v>-58129.62</v>
          </cell>
          <cell r="K130" t="str">
            <v>Dettes fiscales</v>
          </cell>
          <cell r="L130" t="str">
            <v>Dettes fiscales</v>
          </cell>
        </row>
        <row r="131">
          <cell r="D131">
            <v>-8421.83</v>
          </cell>
          <cell r="E131">
            <v>6949.09</v>
          </cell>
          <cell r="K131" t="str">
            <v>Dettes fiscales</v>
          </cell>
          <cell r="L131" t="str">
            <v>Créances fiscales</v>
          </cell>
        </row>
        <row r="132">
          <cell r="D132">
            <v>-12578</v>
          </cell>
          <cell r="E132">
            <v>-12269</v>
          </cell>
          <cell r="K132" t="str">
            <v>Dettes fiscales</v>
          </cell>
          <cell r="L132" t="str">
            <v>Dettes fiscales</v>
          </cell>
        </row>
        <row r="133">
          <cell r="D133">
            <v>-5932</v>
          </cell>
          <cell r="E133">
            <v>-11338.45</v>
          </cell>
          <cell r="K133" t="str">
            <v>Dettes fiscales</v>
          </cell>
          <cell r="L133" t="str">
            <v>Dettes fiscales</v>
          </cell>
        </row>
        <row r="134">
          <cell r="D134">
            <v>6000</v>
          </cell>
          <cell r="E134">
            <v>3553</v>
          </cell>
          <cell r="K134" t="str">
            <v>Créances fiscales</v>
          </cell>
          <cell r="L134" t="str">
            <v>Créances fiscales</v>
          </cell>
        </row>
        <row r="135">
          <cell r="D135">
            <v>68400.759999999995</v>
          </cell>
          <cell r="E135">
            <v>0</v>
          </cell>
          <cell r="K135" t="str">
            <v>Créances fiscales</v>
          </cell>
          <cell r="L135" t="str">
            <v>Créances fiscales</v>
          </cell>
        </row>
        <row r="136">
          <cell r="D136">
            <v>-600000</v>
          </cell>
          <cell r="E136">
            <v>-150000</v>
          </cell>
          <cell r="K136" t="str">
            <v>Emprunts et dettes financières</v>
          </cell>
          <cell r="L136" t="str">
            <v>Emprunts et dettes financières</v>
          </cell>
        </row>
        <row r="137">
          <cell r="D137">
            <v>0</v>
          </cell>
          <cell r="E137">
            <v>0</v>
          </cell>
          <cell r="K137" t="str">
            <v>Comptes courants débiteurs</v>
          </cell>
          <cell r="L137" t="str">
            <v>Comptes courants débiteurs</v>
          </cell>
        </row>
        <row r="138">
          <cell r="D138">
            <v>4070.54</v>
          </cell>
          <cell r="E138">
            <v>4070.54</v>
          </cell>
          <cell r="K138" t="str">
            <v>Comptes courants débiteurs</v>
          </cell>
          <cell r="L138" t="str">
            <v>Comptes courants débiteurs</v>
          </cell>
        </row>
        <row r="139">
          <cell r="D139">
            <v>20000</v>
          </cell>
          <cell r="E139">
            <v>51600</v>
          </cell>
          <cell r="K139" t="str">
            <v>Comptes courants débiteurs</v>
          </cell>
          <cell r="L139" t="str">
            <v>Comptes courants débiteurs</v>
          </cell>
        </row>
        <row r="140">
          <cell r="D140">
            <v>0</v>
          </cell>
          <cell r="E140">
            <v>94934.81</v>
          </cell>
          <cell r="K140" t="str">
            <v>Comptes courants débiteurs</v>
          </cell>
          <cell r="L140" t="str">
            <v>Comptes courants débiteurs</v>
          </cell>
        </row>
        <row r="141">
          <cell r="D141">
            <v>12835.16</v>
          </cell>
          <cell r="E141">
            <v>2628.99</v>
          </cell>
          <cell r="K141" t="str">
            <v>Créances diverses</v>
          </cell>
          <cell r="L141" t="str">
            <v>Créances diverses</v>
          </cell>
        </row>
        <row r="142">
          <cell r="D142">
            <v>19208.939999999999</v>
          </cell>
          <cell r="E142">
            <v>18206.47</v>
          </cell>
          <cell r="K142" t="str">
            <v>Créances diverses</v>
          </cell>
          <cell r="L142" t="str">
            <v>Créances diverses</v>
          </cell>
        </row>
        <row r="143">
          <cell r="D143">
            <v>-19504.7</v>
          </cell>
          <cell r="E143">
            <v>-32622.44</v>
          </cell>
          <cell r="K143" t="str">
            <v>Dettes diverses</v>
          </cell>
          <cell r="L143" t="str">
            <v>Dettes diverses</v>
          </cell>
        </row>
        <row r="144">
          <cell r="D144">
            <v>14457.8</v>
          </cell>
          <cell r="E144">
            <v>17742.75</v>
          </cell>
          <cell r="K144" t="str">
            <v>Créances diverses</v>
          </cell>
          <cell r="L144" t="str">
            <v>Créances diverses</v>
          </cell>
        </row>
        <row r="145">
          <cell r="D145">
            <v>0</v>
          </cell>
          <cell r="E145">
            <v>0</v>
          </cell>
          <cell r="K145" t="str">
            <v>Créances diverses</v>
          </cell>
          <cell r="L145" t="str">
            <v>Créances diverses</v>
          </cell>
        </row>
        <row r="146">
          <cell r="D146">
            <v>0</v>
          </cell>
          <cell r="E146">
            <v>0</v>
          </cell>
          <cell r="K146" t="str">
            <v>Créances diverses</v>
          </cell>
          <cell r="L146" t="str">
            <v>Créances diverses</v>
          </cell>
        </row>
        <row r="147">
          <cell r="D147">
            <v>0</v>
          </cell>
          <cell r="E147">
            <v>0</v>
          </cell>
          <cell r="K147" t="str">
            <v>Créances diverses</v>
          </cell>
          <cell r="L147" t="str">
            <v>Créances diverses</v>
          </cell>
        </row>
        <row r="148">
          <cell r="D148">
            <v>0</v>
          </cell>
          <cell r="E148">
            <v>0</v>
          </cell>
          <cell r="K148" t="str">
            <v>Créances diverses</v>
          </cell>
          <cell r="L148" t="str">
            <v>Créances diverses</v>
          </cell>
        </row>
        <row r="149">
          <cell r="D149">
            <v>0</v>
          </cell>
          <cell r="E149">
            <v>0</v>
          </cell>
          <cell r="K149" t="str">
            <v>Créances diverses</v>
          </cell>
          <cell r="L149" t="str">
            <v>Créances diverses</v>
          </cell>
        </row>
        <row r="150">
          <cell r="D150">
            <v>0</v>
          </cell>
          <cell r="E150">
            <v>0</v>
          </cell>
          <cell r="K150" t="str">
            <v>Créances diverses</v>
          </cell>
          <cell r="L150" t="str">
            <v>Créances diverses</v>
          </cell>
        </row>
        <row r="151">
          <cell r="D151">
            <v>0</v>
          </cell>
          <cell r="E151">
            <v>0</v>
          </cell>
          <cell r="K151" t="str">
            <v>Créances diverses</v>
          </cell>
          <cell r="L151" t="str">
            <v>Créances diverses</v>
          </cell>
        </row>
        <row r="152">
          <cell r="D152">
            <v>0</v>
          </cell>
          <cell r="E152">
            <v>0</v>
          </cell>
          <cell r="K152" t="str">
            <v>Créances diverses</v>
          </cell>
          <cell r="L152" t="str">
            <v>Créances diverses</v>
          </cell>
        </row>
        <row r="153">
          <cell r="D153">
            <v>0</v>
          </cell>
          <cell r="E153">
            <v>0</v>
          </cell>
          <cell r="K153" t="str">
            <v>Créances diverses</v>
          </cell>
          <cell r="L153" t="str">
            <v>Créances diverses</v>
          </cell>
        </row>
        <row r="154">
          <cell r="D154">
            <v>0</v>
          </cell>
          <cell r="E154">
            <v>0</v>
          </cell>
          <cell r="K154" t="str">
            <v>Créances diverses</v>
          </cell>
          <cell r="L154" t="str">
            <v>Créances diverses</v>
          </cell>
        </row>
        <row r="155">
          <cell r="D155">
            <v>0</v>
          </cell>
          <cell r="E155">
            <v>0</v>
          </cell>
          <cell r="K155" t="str">
            <v>Créances diverses</v>
          </cell>
          <cell r="L155" t="str">
            <v>Créances diverses</v>
          </cell>
        </row>
        <row r="156">
          <cell r="D156">
            <v>0</v>
          </cell>
          <cell r="E156">
            <v>0</v>
          </cell>
          <cell r="K156" t="str">
            <v>Créances diverses</v>
          </cell>
          <cell r="L156" t="str">
            <v>Créances diverses</v>
          </cell>
        </row>
        <row r="157">
          <cell r="D157">
            <v>0</v>
          </cell>
          <cell r="E157">
            <v>0</v>
          </cell>
          <cell r="K157" t="str">
            <v>Créances diverses</v>
          </cell>
          <cell r="L157" t="str">
            <v>Créances diverses</v>
          </cell>
        </row>
        <row r="158">
          <cell r="D158">
            <v>0</v>
          </cell>
          <cell r="E158">
            <v>0</v>
          </cell>
          <cell r="K158" t="str">
            <v>Créances diverses</v>
          </cell>
          <cell r="L158" t="str">
            <v>Créances diverses</v>
          </cell>
        </row>
        <row r="159">
          <cell r="D159">
            <v>0</v>
          </cell>
          <cell r="E159">
            <v>0</v>
          </cell>
          <cell r="K159" t="str">
            <v>Créances diverses</v>
          </cell>
          <cell r="L159" t="str">
            <v>Créances diverses</v>
          </cell>
        </row>
        <row r="160">
          <cell r="D160">
            <v>28242.12</v>
          </cell>
          <cell r="E160">
            <v>10321.59</v>
          </cell>
          <cell r="K160" t="str">
            <v>Charges constatées d'avance</v>
          </cell>
          <cell r="L160" t="str">
            <v>Charges constatées d'avance</v>
          </cell>
        </row>
        <row r="161">
          <cell r="D161">
            <v>-6859</v>
          </cell>
          <cell r="E161">
            <v>-22856.440000000002</v>
          </cell>
          <cell r="K161" t="str">
            <v>Produits constatés d'avance</v>
          </cell>
          <cell r="L161" t="str">
            <v>Produits constatés d'avance</v>
          </cell>
        </row>
        <row r="162">
          <cell r="D162">
            <v>0</v>
          </cell>
          <cell r="E162">
            <v>0</v>
          </cell>
          <cell r="K162" t="str">
            <v>Produits constatés d'avance</v>
          </cell>
          <cell r="L162" t="str">
            <v>Produits constatés d'avance</v>
          </cell>
        </row>
        <row r="163">
          <cell r="D163">
            <v>0</v>
          </cell>
          <cell r="E163">
            <v>0</v>
          </cell>
          <cell r="K163" t="str">
            <v>Produits constatés d'avance</v>
          </cell>
          <cell r="L163" t="str">
            <v>Produits constatés d'avance</v>
          </cell>
        </row>
        <row r="164">
          <cell r="D164">
            <v>0</v>
          </cell>
          <cell r="E164">
            <v>0</v>
          </cell>
          <cell r="K164" t="str">
            <v>Produits constatés d'avance</v>
          </cell>
          <cell r="L164" t="str">
            <v>Produits constatés d'avance</v>
          </cell>
        </row>
        <row r="165">
          <cell r="D165">
            <v>0</v>
          </cell>
          <cell r="E165">
            <v>0</v>
          </cell>
          <cell r="K165" t="str">
            <v>Produits constatés d'avance</v>
          </cell>
          <cell r="L165" t="str">
            <v>Produits constatés d'avance</v>
          </cell>
        </row>
        <row r="166">
          <cell r="D166">
            <v>0</v>
          </cell>
          <cell r="E166">
            <v>0</v>
          </cell>
          <cell r="K166" t="str">
            <v>Produits constatés d'avance</v>
          </cell>
          <cell r="L166" t="str">
            <v>Produits constatés d'avance</v>
          </cell>
        </row>
        <row r="167">
          <cell r="D167">
            <v>0</v>
          </cell>
          <cell r="E167">
            <v>0</v>
          </cell>
          <cell r="K167" t="str">
            <v>Produits constatés d'avance</v>
          </cell>
          <cell r="L167" t="str">
            <v>Produits constatés d'avance</v>
          </cell>
        </row>
        <row r="168">
          <cell r="D168">
            <v>0</v>
          </cell>
          <cell r="E168">
            <v>0</v>
          </cell>
          <cell r="K168" t="str">
            <v>Produits constatés d'avance</v>
          </cell>
          <cell r="L168" t="str">
            <v>Produits constatés d'avance</v>
          </cell>
        </row>
        <row r="169">
          <cell r="D169">
            <v>0</v>
          </cell>
          <cell r="E169">
            <v>0</v>
          </cell>
          <cell r="K169" t="str">
            <v>Produits constatés d'avance</v>
          </cell>
          <cell r="L169" t="str">
            <v>Produits constatés d'avance</v>
          </cell>
        </row>
        <row r="170">
          <cell r="D170">
            <v>0</v>
          </cell>
          <cell r="E170">
            <v>0</v>
          </cell>
          <cell r="K170" t="str">
            <v>Produits constatés d'avance</v>
          </cell>
          <cell r="L170" t="str">
            <v>Produits constatés d'avance</v>
          </cell>
        </row>
        <row r="171">
          <cell r="D171">
            <v>0</v>
          </cell>
          <cell r="E171">
            <v>0</v>
          </cell>
          <cell r="K171" t="str">
            <v>Produits constatés d'avance</v>
          </cell>
          <cell r="L171" t="str">
            <v>Produits constatés d'avance</v>
          </cell>
        </row>
        <row r="172">
          <cell r="D172">
            <v>0</v>
          </cell>
          <cell r="E172">
            <v>0</v>
          </cell>
          <cell r="K172" t="str">
            <v>Produits constatés d'avance</v>
          </cell>
          <cell r="L172" t="str">
            <v>Produits constatés d'avance</v>
          </cell>
        </row>
        <row r="173">
          <cell r="D173">
            <v>0</v>
          </cell>
          <cell r="E173">
            <v>0</v>
          </cell>
          <cell r="K173" t="str">
            <v>Produits constatés d'avance</v>
          </cell>
          <cell r="L173" t="str">
            <v>Produits constatés d'avance</v>
          </cell>
        </row>
        <row r="174">
          <cell r="D174">
            <v>0</v>
          </cell>
          <cell r="E174">
            <v>0</v>
          </cell>
          <cell r="K174" t="str">
            <v>Produits constatés d'avance</v>
          </cell>
          <cell r="L174" t="str">
            <v>Produits constatés d'avance</v>
          </cell>
        </row>
        <row r="175">
          <cell r="D175">
            <v>0</v>
          </cell>
          <cell r="E175">
            <v>0</v>
          </cell>
          <cell r="K175" t="str">
            <v>Produits constatés d'avance</v>
          </cell>
          <cell r="L175" t="str">
            <v>Produits constatés d'avance</v>
          </cell>
        </row>
        <row r="176">
          <cell r="D176">
            <v>0</v>
          </cell>
          <cell r="E176">
            <v>0</v>
          </cell>
          <cell r="K176" t="str">
            <v>Produits constatés d'avance</v>
          </cell>
          <cell r="L176" t="str">
            <v>Produits constatés d'avance</v>
          </cell>
        </row>
        <row r="177">
          <cell r="D177">
            <v>0</v>
          </cell>
          <cell r="E177">
            <v>0</v>
          </cell>
          <cell r="K177" t="str">
            <v>Produits constatés d'avance</v>
          </cell>
          <cell r="L177" t="str">
            <v>Produits constatés d'avance</v>
          </cell>
        </row>
        <row r="178">
          <cell r="D178">
            <v>0</v>
          </cell>
          <cell r="E178">
            <v>0</v>
          </cell>
          <cell r="K178" t="str">
            <v>Produits constatés d'avance</v>
          </cell>
          <cell r="L178" t="str">
            <v>Produits constatés d'avance</v>
          </cell>
        </row>
        <row r="179">
          <cell r="D179">
            <v>0</v>
          </cell>
          <cell r="E179">
            <v>0</v>
          </cell>
          <cell r="K179" t="str">
            <v>Produits constatés d'avance</v>
          </cell>
          <cell r="L179" t="str">
            <v>Produits constatés d'avance</v>
          </cell>
        </row>
        <row r="180">
          <cell r="D180">
            <v>0</v>
          </cell>
          <cell r="E180">
            <v>0</v>
          </cell>
          <cell r="K180" t="str">
            <v>Produits constatés d'avance</v>
          </cell>
          <cell r="L180" t="str">
            <v>Produits constatés d'avance</v>
          </cell>
        </row>
        <row r="181">
          <cell r="D181">
            <v>0</v>
          </cell>
          <cell r="E181">
            <v>0</v>
          </cell>
          <cell r="K181" t="str">
            <v>Produits constatés d'avance</v>
          </cell>
          <cell r="L181" t="str">
            <v>Produits constatés d'avance</v>
          </cell>
        </row>
        <row r="182">
          <cell r="D182">
            <v>0</v>
          </cell>
          <cell r="E182">
            <v>0</v>
          </cell>
          <cell r="K182" t="str">
            <v>Produits constatés d'avance</v>
          </cell>
          <cell r="L182" t="str">
            <v>Produits constatés d'avance</v>
          </cell>
        </row>
        <row r="183">
          <cell r="D183">
            <v>0</v>
          </cell>
          <cell r="E183">
            <v>0</v>
          </cell>
          <cell r="K183" t="str">
            <v>Produits constatés d'avance</v>
          </cell>
          <cell r="L183" t="str">
            <v>Produits constatés d'avance</v>
          </cell>
        </row>
        <row r="184">
          <cell r="D184">
            <v>0</v>
          </cell>
          <cell r="E184">
            <v>0</v>
          </cell>
          <cell r="K184" t="str">
            <v>Produits constatés d'avance</v>
          </cell>
          <cell r="L184" t="str">
            <v>Produits constatés d'avance</v>
          </cell>
        </row>
        <row r="185">
          <cell r="D185">
            <v>0</v>
          </cell>
          <cell r="E185">
            <v>0</v>
          </cell>
          <cell r="K185" t="str">
            <v>Produits constatés d'avance</v>
          </cell>
          <cell r="L185" t="str">
            <v>Produits constatés d'avance</v>
          </cell>
        </row>
        <row r="186">
          <cell r="D186">
            <v>0</v>
          </cell>
          <cell r="E186">
            <v>0</v>
          </cell>
          <cell r="K186" t="str">
            <v>Produits constatés d'avance</v>
          </cell>
          <cell r="L186" t="str">
            <v>Produits constatés d'avance</v>
          </cell>
        </row>
        <row r="187">
          <cell r="D187">
            <v>0</v>
          </cell>
          <cell r="E187">
            <v>0</v>
          </cell>
          <cell r="K187" t="str">
            <v>Produits constatés d'avance</v>
          </cell>
          <cell r="L187" t="str">
            <v>Produits constatés d'avance</v>
          </cell>
        </row>
        <row r="188">
          <cell r="D188">
            <v>0</v>
          </cell>
          <cell r="E188">
            <v>0</v>
          </cell>
          <cell r="K188" t="str">
            <v>Produits constatés d'avance</v>
          </cell>
          <cell r="L188" t="str">
            <v>Produits constatés d'avance</v>
          </cell>
        </row>
        <row r="189">
          <cell r="D189">
            <v>0</v>
          </cell>
          <cell r="E189">
            <v>0</v>
          </cell>
          <cell r="K189" t="str">
            <v>Produits constatés d'avance</v>
          </cell>
          <cell r="L189" t="str">
            <v>Produits constatés d'avance</v>
          </cell>
        </row>
        <row r="190">
          <cell r="D190">
            <v>-7468.65</v>
          </cell>
          <cell r="E190">
            <v>-7211.21</v>
          </cell>
          <cell r="K190" t="str">
            <v>Clients et comptes rattachés</v>
          </cell>
          <cell r="L190" t="str">
            <v>Clients et comptes rattachés</v>
          </cell>
        </row>
        <row r="191">
          <cell r="D191">
            <v>20500</v>
          </cell>
          <cell r="E191">
            <v>19400</v>
          </cell>
          <cell r="K191" t="str">
            <v>Disponibilités</v>
          </cell>
          <cell r="L191" t="str">
            <v>Disponibilités</v>
          </cell>
        </row>
        <row r="192">
          <cell r="D192">
            <v>0</v>
          </cell>
          <cell r="E192">
            <v>0</v>
          </cell>
          <cell r="K192" t="str">
            <v>Disponibilités</v>
          </cell>
          <cell r="L192" t="str">
            <v>Disponibilités</v>
          </cell>
        </row>
        <row r="193">
          <cell r="D193">
            <v>792</v>
          </cell>
          <cell r="E193">
            <v>1035</v>
          </cell>
          <cell r="K193" t="str">
            <v>Disponibilités</v>
          </cell>
          <cell r="L193" t="str">
            <v>Disponibilités</v>
          </cell>
        </row>
        <row r="194">
          <cell r="D194">
            <v>0</v>
          </cell>
          <cell r="E194">
            <v>0</v>
          </cell>
          <cell r="K194" t="str">
            <v>Disponibilités</v>
          </cell>
          <cell r="L194" t="str">
            <v>Disponibilités</v>
          </cell>
        </row>
        <row r="195">
          <cell r="D195">
            <v>-1339743.42</v>
          </cell>
          <cell r="E195">
            <v>-287722.08</v>
          </cell>
          <cell r="K195" t="str">
            <v>Emprunts et dettes auprès d'établissements de crédit</v>
          </cell>
          <cell r="L195" t="str">
            <v>Emprunts et dettes auprès d'établissements de crédit</v>
          </cell>
        </row>
        <row r="196">
          <cell r="D196">
            <v>107301.62</v>
          </cell>
          <cell r="E196">
            <v>197448.95999999999</v>
          </cell>
          <cell r="K196" t="str">
            <v>Disponibilités</v>
          </cell>
          <cell r="L196" t="str">
            <v>Disponibilités</v>
          </cell>
        </row>
        <row r="197">
          <cell r="D197">
            <v>0</v>
          </cell>
          <cell r="E197">
            <v>0</v>
          </cell>
          <cell r="K197" t="str">
            <v>Disponibilités</v>
          </cell>
          <cell r="L197" t="str">
            <v>Disponibilités</v>
          </cell>
        </row>
        <row r="198">
          <cell r="D198">
            <v>-1400.09</v>
          </cell>
          <cell r="E198">
            <v>0</v>
          </cell>
          <cell r="K198" t="str">
            <v>Emprunts et dettes auprès d'établissements de crédit</v>
          </cell>
          <cell r="L198" t="str">
            <v>Disponibilités</v>
          </cell>
        </row>
        <row r="199">
          <cell r="D199">
            <v>0</v>
          </cell>
          <cell r="E199">
            <v>0</v>
          </cell>
          <cell r="K199" t="str">
            <v>Disponibilités</v>
          </cell>
          <cell r="L199" t="str">
            <v>Disponibilités</v>
          </cell>
        </row>
        <row r="200">
          <cell r="D200">
            <v>0</v>
          </cell>
          <cell r="E200">
            <v>0</v>
          </cell>
          <cell r="K200" t="str">
            <v>Disponibilités</v>
          </cell>
          <cell r="L200" t="str">
            <v>Disponibilités</v>
          </cell>
        </row>
        <row r="201">
          <cell r="D201">
            <v>355.22</v>
          </cell>
          <cell r="E201">
            <v>588.91999999999996</v>
          </cell>
          <cell r="K201" t="str">
            <v>Disponibilités</v>
          </cell>
          <cell r="L201" t="str">
            <v>Disponibilités</v>
          </cell>
        </row>
        <row r="202">
          <cell r="D202">
            <v>400</v>
          </cell>
          <cell r="E202">
            <v>400</v>
          </cell>
          <cell r="K202" t="str">
            <v>Disponibilités</v>
          </cell>
          <cell r="L202" t="str">
            <v>Disponibilités</v>
          </cell>
        </row>
        <row r="203">
          <cell r="D203">
            <v>100</v>
          </cell>
          <cell r="E203">
            <v>100</v>
          </cell>
          <cell r="K203" t="str">
            <v>Disponibilités</v>
          </cell>
          <cell r="L203" t="str">
            <v>Disponibilités</v>
          </cell>
        </row>
        <row r="204">
          <cell r="D204">
            <v>0</v>
          </cell>
          <cell r="E204">
            <v>0</v>
          </cell>
          <cell r="K204" t="str">
            <v>Disponibilités</v>
          </cell>
          <cell r="L204" t="str">
            <v>Disponibilités</v>
          </cell>
        </row>
        <row r="205">
          <cell r="D205">
            <v>9531.98</v>
          </cell>
          <cell r="E205">
            <v>8817.880000000001</v>
          </cell>
          <cell r="K205" t="str">
            <v>Achat de matières premières et autres approvisionnements</v>
          </cell>
          <cell r="L205" t="str">
            <v>Achat de matières premières et autres approvisionnements</v>
          </cell>
        </row>
        <row r="206">
          <cell r="D206">
            <v>23065.19</v>
          </cell>
          <cell r="E206">
            <v>19908.29</v>
          </cell>
          <cell r="K206" t="str">
            <v>Achat de matières premières et autres approvisionnements</v>
          </cell>
          <cell r="L206" t="str">
            <v>Achat de matières premières et autres approvisionnements</v>
          </cell>
        </row>
        <row r="207">
          <cell r="D207">
            <v>2685.91</v>
          </cell>
          <cell r="E207">
            <v>2488</v>
          </cell>
          <cell r="K207" t="str">
            <v>Achat de matières premières et autres approvisionnements</v>
          </cell>
          <cell r="L207" t="str">
            <v>Achat de matières premières et autres approvisionnements</v>
          </cell>
        </row>
        <row r="208">
          <cell r="D208">
            <v>-62931.329999999987</v>
          </cell>
          <cell r="E208">
            <v>692972.05</v>
          </cell>
          <cell r="K208" t="str">
            <v>Variation de stocks de marchandises</v>
          </cell>
          <cell r="L208" t="str">
            <v>Variation de stocks de marchandises</v>
          </cell>
        </row>
        <row r="209">
          <cell r="D209">
            <v>172945.62999999998</v>
          </cell>
          <cell r="E209">
            <v>82169.02</v>
          </cell>
          <cell r="K209" t="str">
            <v>Autres achats et charges externes</v>
          </cell>
          <cell r="L209" t="str">
            <v>Autres achats et charges externes</v>
          </cell>
        </row>
        <row r="210">
          <cell r="D210">
            <v>81351.540000000008</v>
          </cell>
          <cell r="E210">
            <v>41082.020000000004</v>
          </cell>
          <cell r="K210" t="str">
            <v>Autres achats et charges externes</v>
          </cell>
          <cell r="L210" t="str">
            <v>Autres achats et charges externes</v>
          </cell>
        </row>
        <row r="211">
          <cell r="D211">
            <v>13798.79</v>
          </cell>
          <cell r="E211">
            <v>15648.65</v>
          </cell>
          <cell r="K211" t="str">
            <v>Autres achats et charges externes</v>
          </cell>
          <cell r="L211" t="str">
            <v>Autres achats et charges externes</v>
          </cell>
        </row>
        <row r="212">
          <cell r="D212">
            <v>15444.34</v>
          </cell>
          <cell r="E212">
            <v>8381.36</v>
          </cell>
          <cell r="K212" t="str">
            <v>Autres achats et charges externes</v>
          </cell>
          <cell r="L212" t="str">
            <v>Autres achats et charges externes</v>
          </cell>
        </row>
        <row r="213">
          <cell r="D213">
            <v>5561.41</v>
          </cell>
          <cell r="E213">
            <v>3072.48</v>
          </cell>
          <cell r="K213" t="str">
            <v>Autres achats et charges externes</v>
          </cell>
          <cell r="L213" t="str">
            <v>Autres achats et charges externes</v>
          </cell>
        </row>
        <row r="214">
          <cell r="D214">
            <v>28280.45</v>
          </cell>
          <cell r="E214">
            <v>35542.369999999995</v>
          </cell>
          <cell r="K214" t="str">
            <v>Autres achats et charges externes</v>
          </cell>
          <cell r="L214" t="str">
            <v>Autres achats et charges externes</v>
          </cell>
        </row>
        <row r="215">
          <cell r="D215">
            <v>29014.62</v>
          </cell>
          <cell r="E215">
            <v>28275.71</v>
          </cell>
          <cell r="K215" t="str">
            <v>Autres achats et charges externes</v>
          </cell>
          <cell r="L215" t="str">
            <v>Autres achats et charges externes</v>
          </cell>
        </row>
        <row r="216">
          <cell r="D216">
            <v>4573.3900000000003</v>
          </cell>
          <cell r="E216">
            <v>6820.4299999999994</v>
          </cell>
          <cell r="K216" t="str">
            <v>Autres achats et charges externes</v>
          </cell>
          <cell r="L216" t="str">
            <v>Autres achats et charges externes</v>
          </cell>
        </row>
        <row r="217">
          <cell r="D217">
            <v>13123.79</v>
          </cell>
          <cell r="E217">
            <v>11828.600000000002</v>
          </cell>
          <cell r="K217" t="str">
            <v>Autres achats et charges externes</v>
          </cell>
          <cell r="L217" t="str">
            <v>Autres achats et charges externes</v>
          </cell>
        </row>
        <row r="218">
          <cell r="D218">
            <v>594.75</v>
          </cell>
          <cell r="E218">
            <v>199.78</v>
          </cell>
          <cell r="K218" t="str">
            <v>Autres achats et charges externes</v>
          </cell>
          <cell r="L218" t="str">
            <v>Autres achats et charges externes</v>
          </cell>
        </row>
        <row r="219">
          <cell r="D219">
            <v>184.13</v>
          </cell>
          <cell r="E219">
            <v>747.26</v>
          </cell>
          <cell r="K219" t="str">
            <v>Autres achats et charges externes</v>
          </cell>
          <cell r="L219" t="str">
            <v>Autres achats et charges externes</v>
          </cell>
        </row>
        <row r="220">
          <cell r="D220">
            <v>1637.31</v>
          </cell>
          <cell r="E220">
            <v>1559.77</v>
          </cell>
          <cell r="K220" t="str">
            <v>Autres achats et charges externes</v>
          </cell>
          <cell r="L220" t="str">
            <v>Autres achats et charges externes</v>
          </cell>
        </row>
        <row r="221">
          <cell r="D221">
            <v>20086.86</v>
          </cell>
          <cell r="E221">
            <v>18790.190000000002</v>
          </cell>
          <cell r="K221" t="str">
            <v>Achats de marchandises</v>
          </cell>
          <cell r="L221" t="str">
            <v>Achats de marchandises</v>
          </cell>
        </row>
        <row r="222">
          <cell r="D222">
            <v>19994455.449999999</v>
          </cell>
          <cell r="E222">
            <v>21408470.489999998</v>
          </cell>
          <cell r="K222" t="str">
            <v>Achats de marchandises</v>
          </cell>
          <cell r="L222" t="str">
            <v>Achats de marchandises</v>
          </cell>
        </row>
        <row r="223">
          <cell r="D223">
            <v>24529</v>
          </cell>
          <cell r="E223">
            <v>36611.81</v>
          </cell>
          <cell r="K223" t="str">
            <v>Achats de marchandises</v>
          </cell>
          <cell r="L223" t="str">
            <v>Achats de marchandises</v>
          </cell>
        </row>
        <row r="224">
          <cell r="D224">
            <v>0</v>
          </cell>
          <cell r="E224">
            <v>63.97</v>
          </cell>
          <cell r="K224" t="str">
            <v>Achats de marchandises</v>
          </cell>
          <cell r="L224" t="str">
            <v>Achats de marchandises</v>
          </cell>
        </row>
        <row r="225">
          <cell r="D225">
            <v>4730495.92</v>
          </cell>
          <cell r="E225">
            <v>5020240.01</v>
          </cell>
          <cell r="K225" t="str">
            <v>Achats de marchandises</v>
          </cell>
          <cell r="L225" t="str">
            <v>Achats de marchandises</v>
          </cell>
        </row>
        <row r="226">
          <cell r="D226">
            <v>1</v>
          </cell>
          <cell r="E226">
            <v>0</v>
          </cell>
          <cell r="K226" t="str">
            <v>Achats de marchandises</v>
          </cell>
          <cell r="L226" t="str">
            <v>Achats de marchandises</v>
          </cell>
        </row>
        <row r="227">
          <cell r="D227">
            <v>91459.01999999999</v>
          </cell>
          <cell r="E227">
            <v>66450</v>
          </cell>
          <cell r="K227" t="str">
            <v>Achats de marchandises</v>
          </cell>
          <cell r="L227" t="str">
            <v>Achats de marchandises</v>
          </cell>
        </row>
        <row r="228">
          <cell r="D228">
            <v>640005.30000000005</v>
          </cell>
          <cell r="E228">
            <v>2971701.62</v>
          </cell>
          <cell r="K228" t="str">
            <v>Achats de marchandises</v>
          </cell>
          <cell r="L228" t="str">
            <v>Achats de marchandises</v>
          </cell>
        </row>
        <row r="229">
          <cell r="D229">
            <v>26290.120000000003</v>
          </cell>
          <cell r="E229">
            <v>33571.56</v>
          </cell>
          <cell r="K229" t="str">
            <v>Achats de marchandises</v>
          </cell>
          <cell r="L229" t="str">
            <v>Achats de marchandises</v>
          </cell>
        </row>
        <row r="230">
          <cell r="D230">
            <v>227115.22999999998</v>
          </cell>
          <cell r="E230">
            <v>0</v>
          </cell>
          <cell r="K230" t="str">
            <v>Achats de marchandises</v>
          </cell>
          <cell r="L230" t="str">
            <v>Achats de marchandises</v>
          </cell>
        </row>
        <row r="231">
          <cell r="D231">
            <v>781.74</v>
          </cell>
          <cell r="E231">
            <v>0</v>
          </cell>
          <cell r="K231" t="str">
            <v>Achats de marchandises</v>
          </cell>
          <cell r="L231" t="str">
            <v>Achats de marchandises</v>
          </cell>
        </row>
        <row r="232">
          <cell r="D232">
            <v>14077.77</v>
          </cell>
          <cell r="E232">
            <v>0</v>
          </cell>
          <cell r="K232" t="str">
            <v>Achats de marchandises</v>
          </cell>
          <cell r="L232" t="str">
            <v>Achats de marchandises</v>
          </cell>
        </row>
        <row r="233">
          <cell r="D233">
            <v>12719.69</v>
          </cell>
          <cell r="E233">
            <v>0</v>
          </cell>
          <cell r="K233" t="str">
            <v>Achats de marchandises</v>
          </cell>
          <cell r="L233" t="str">
            <v>Achats de marchandises</v>
          </cell>
        </row>
        <row r="234">
          <cell r="D234">
            <v>11461.32</v>
          </cell>
          <cell r="E234">
            <v>0</v>
          </cell>
          <cell r="K234" t="str">
            <v>Achats de marchandises</v>
          </cell>
          <cell r="L234" t="str">
            <v>Achats de marchandises</v>
          </cell>
        </row>
        <row r="235">
          <cell r="D235">
            <v>16913.87</v>
          </cell>
          <cell r="E235">
            <v>0</v>
          </cell>
          <cell r="K235" t="str">
            <v>Achats de marchandises</v>
          </cell>
          <cell r="L235" t="str">
            <v>Achats de marchandises</v>
          </cell>
        </row>
        <row r="236">
          <cell r="D236">
            <v>116.88</v>
          </cell>
          <cell r="E236">
            <v>0</v>
          </cell>
          <cell r="K236" t="str">
            <v>Achats de marchandises</v>
          </cell>
          <cell r="L236" t="str">
            <v>Achats de marchandises</v>
          </cell>
        </row>
        <row r="237">
          <cell r="D237">
            <v>725.27</v>
          </cell>
          <cell r="E237">
            <v>0</v>
          </cell>
          <cell r="K237" t="str">
            <v>Achats de marchandises</v>
          </cell>
          <cell r="L237" t="str">
            <v>Achats de marchandises</v>
          </cell>
        </row>
        <row r="238">
          <cell r="D238">
            <v>11194.51</v>
          </cell>
          <cell r="E238">
            <v>0</v>
          </cell>
          <cell r="K238" t="str">
            <v>Achats de marchandises</v>
          </cell>
          <cell r="L238" t="str">
            <v>Achats de marchandises</v>
          </cell>
        </row>
        <row r="239">
          <cell r="D239">
            <v>778.05</v>
          </cell>
          <cell r="E239">
            <v>0</v>
          </cell>
          <cell r="K239" t="str">
            <v>Achats de marchandises</v>
          </cell>
          <cell r="L239" t="str">
            <v>Achats de marchandises</v>
          </cell>
        </row>
        <row r="240">
          <cell r="D240">
            <v>3818.48</v>
          </cell>
          <cell r="E240">
            <v>0</v>
          </cell>
          <cell r="K240" t="str">
            <v>Achats de marchandises</v>
          </cell>
          <cell r="L240" t="str">
            <v>Achats de marchandises</v>
          </cell>
        </row>
        <row r="241">
          <cell r="D241">
            <v>0</v>
          </cell>
          <cell r="E241">
            <v>0</v>
          </cell>
          <cell r="K241" t="str">
            <v>Autres achats et charges externes</v>
          </cell>
          <cell r="L241" t="str">
            <v>Autres achats et charges externes</v>
          </cell>
        </row>
        <row r="242">
          <cell r="D242">
            <v>-609305.01</v>
          </cell>
          <cell r="E242">
            <v>-554955.28999999992</v>
          </cell>
          <cell r="K242" t="str">
            <v>Achats de marchandises</v>
          </cell>
          <cell r="L242" t="str">
            <v>Achats de marchandises</v>
          </cell>
        </row>
        <row r="243">
          <cell r="D243">
            <v>-97646.87</v>
          </cell>
          <cell r="E243">
            <v>-41200</v>
          </cell>
          <cell r="K243" t="str">
            <v>Achats de marchandises</v>
          </cell>
          <cell r="L243" t="str">
            <v>Achats de marchandises</v>
          </cell>
        </row>
        <row r="244">
          <cell r="D244">
            <v>-21550</v>
          </cell>
          <cell r="E244">
            <v>0</v>
          </cell>
          <cell r="K244" t="str">
            <v>Achats de marchandises</v>
          </cell>
          <cell r="L244" t="str">
            <v>Achats de marchandises</v>
          </cell>
        </row>
        <row r="245">
          <cell r="D245">
            <v>-4831901.41</v>
          </cell>
          <cell r="E245">
            <v>-5931649.0899999999</v>
          </cell>
          <cell r="K245" t="str">
            <v>Achats de marchandises</v>
          </cell>
          <cell r="L245" t="str">
            <v>Achats de marchandises</v>
          </cell>
        </row>
        <row r="246">
          <cell r="D246">
            <v>-118.81</v>
          </cell>
          <cell r="E246">
            <v>-40227.629999999997</v>
          </cell>
          <cell r="K246" t="str">
            <v>Achats de marchandises</v>
          </cell>
          <cell r="L246" t="str">
            <v>Achats de marchandises</v>
          </cell>
        </row>
        <row r="247">
          <cell r="D247">
            <v>79187.77</v>
          </cell>
          <cell r="E247">
            <v>61731.59</v>
          </cell>
          <cell r="K247" t="str">
            <v>Autres achats et charges externes</v>
          </cell>
          <cell r="L247" t="str">
            <v>Autres achats et charges externes</v>
          </cell>
        </row>
        <row r="248">
          <cell r="D248">
            <v>25439.979999999996</v>
          </cell>
          <cell r="E248">
            <v>20932.649999999998</v>
          </cell>
          <cell r="K248" t="str">
            <v>Autres achats et charges externes</v>
          </cell>
          <cell r="L248" t="str">
            <v>Autres achats et charges externes</v>
          </cell>
        </row>
        <row r="249">
          <cell r="D249">
            <v>625</v>
          </cell>
          <cell r="E249">
            <v>780</v>
          </cell>
          <cell r="K249" t="str">
            <v>Autres achats et charges externes</v>
          </cell>
          <cell r="L249" t="str">
            <v>Autres achats et charges externes</v>
          </cell>
        </row>
        <row r="250">
          <cell r="D250">
            <v>0</v>
          </cell>
          <cell r="E250">
            <v>0</v>
          </cell>
          <cell r="K250" t="str">
            <v>Autres achats et charges externes</v>
          </cell>
          <cell r="L250" t="str">
            <v>Autres achats et charges externes</v>
          </cell>
        </row>
        <row r="251">
          <cell r="D251">
            <v>0</v>
          </cell>
          <cell r="E251">
            <v>170.4</v>
          </cell>
          <cell r="K251" t="str">
            <v>Autres achats et charges externes</v>
          </cell>
          <cell r="L251" t="str">
            <v>Autres achats et charges externes</v>
          </cell>
        </row>
        <row r="252">
          <cell r="D252">
            <v>1620</v>
          </cell>
          <cell r="E252">
            <v>1659.75</v>
          </cell>
          <cell r="K252" t="str">
            <v>Autres achats et charges externes</v>
          </cell>
          <cell r="L252" t="str">
            <v>Autres achats et charges externes</v>
          </cell>
        </row>
        <row r="253">
          <cell r="D253">
            <v>15602.09</v>
          </cell>
          <cell r="E253">
            <v>13493.7</v>
          </cell>
          <cell r="K253" t="str">
            <v>Autres achats et charges externes</v>
          </cell>
          <cell r="L253" t="str">
            <v>Autres achats et charges externes</v>
          </cell>
        </row>
        <row r="254">
          <cell r="D254">
            <v>0</v>
          </cell>
          <cell r="E254">
            <v>530</v>
          </cell>
          <cell r="K254" t="str">
            <v>Autres achats et charges externes</v>
          </cell>
          <cell r="L254" t="str">
            <v>Autres achats et charges externes</v>
          </cell>
        </row>
        <row r="255">
          <cell r="D255">
            <v>224845.3</v>
          </cell>
          <cell r="E255">
            <v>208461</v>
          </cell>
          <cell r="K255" t="str">
            <v>Autres achats et charges externes</v>
          </cell>
          <cell r="L255" t="str">
            <v>Autres achats et charges externes</v>
          </cell>
        </row>
        <row r="256">
          <cell r="D256">
            <v>20268.97</v>
          </cell>
          <cell r="E256">
            <v>21963.089999999997</v>
          </cell>
          <cell r="K256" t="str">
            <v>Autres achats et charges externes</v>
          </cell>
          <cell r="L256" t="str">
            <v>Autres achats et charges externes</v>
          </cell>
        </row>
        <row r="257">
          <cell r="D257">
            <v>19653.61</v>
          </cell>
          <cell r="E257">
            <v>0</v>
          </cell>
          <cell r="K257" t="str">
            <v>Autres achats et charges externes</v>
          </cell>
          <cell r="L257" t="str">
            <v>Autres achats et charges externes</v>
          </cell>
        </row>
        <row r="258">
          <cell r="D258">
            <v>39017.160000000003</v>
          </cell>
          <cell r="E258">
            <v>39017.160000000003</v>
          </cell>
          <cell r="K258" t="str">
            <v>Autres achats et charges externes</v>
          </cell>
          <cell r="L258" t="str">
            <v>Autres achats et charges externes</v>
          </cell>
        </row>
        <row r="259">
          <cell r="D259">
            <v>41900.9</v>
          </cell>
          <cell r="E259">
            <v>49083.49</v>
          </cell>
          <cell r="K259" t="str">
            <v>Autres achats et charges externes</v>
          </cell>
          <cell r="L259" t="str">
            <v>Autres achats et charges externes</v>
          </cell>
        </row>
        <row r="260">
          <cell r="D260">
            <v>1256.6600000000001</v>
          </cell>
          <cell r="E260">
            <v>0</v>
          </cell>
          <cell r="K260" t="str">
            <v>Autres achats et charges externes</v>
          </cell>
          <cell r="L260" t="str">
            <v>Autres achats et charges externes</v>
          </cell>
        </row>
        <row r="261">
          <cell r="D261">
            <v>10636.38</v>
          </cell>
          <cell r="E261">
            <v>13581.91</v>
          </cell>
          <cell r="K261" t="str">
            <v>Autres achats et charges externes</v>
          </cell>
          <cell r="L261" t="str">
            <v>Autres achats et charges externes</v>
          </cell>
        </row>
        <row r="262">
          <cell r="D262">
            <v>13116.69</v>
          </cell>
          <cell r="E262">
            <v>8050.12</v>
          </cell>
          <cell r="K262" t="str">
            <v>Autres achats et charges externes</v>
          </cell>
          <cell r="L262" t="str">
            <v>Autres achats et charges externes</v>
          </cell>
        </row>
        <row r="263">
          <cell r="D263">
            <v>5043.47</v>
          </cell>
          <cell r="E263">
            <v>1644.37</v>
          </cell>
          <cell r="K263" t="str">
            <v>Autres achats et charges externes</v>
          </cell>
          <cell r="L263" t="str">
            <v>Autres achats et charges externes</v>
          </cell>
        </row>
        <row r="264">
          <cell r="D264">
            <v>5988</v>
          </cell>
          <cell r="E264">
            <v>0</v>
          </cell>
          <cell r="K264" t="str">
            <v>Autres achats et charges externes</v>
          </cell>
          <cell r="L264" t="str">
            <v>Autres achats et charges externes</v>
          </cell>
        </row>
        <row r="265">
          <cell r="D265">
            <v>13003.490000000002</v>
          </cell>
          <cell r="E265">
            <v>6682.52</v>
          </cell>
          <cell r="K265" t="str">
            <v>Autres achats et charges externes</v>
          </cell>
          <cell r="L265" t="str">
            <v>Autres achats et charges externes</v>
          </cell>
        </row>
        <row r="266">
          <cell r="D266">
            <v>3519.1400000000003</v>
          </cell>
          <cell r="E266">
            <v>3177.4399999999996</v>
          </cell>
          <cell r="K266" t="str">
            <v>Autres achats et charges externes</v>
          </cell>
          <cell r="L266" t="str">
            <v>Autres achats et charges externes</v>
          </cell>
        </row>
        <row r="267">
          <cell r="D267">
            <v>8839.25</v>
          </cell>
          <cell r="E267">
            <v>9118.09</v>
          </cell>
          <cell r="K267" t="str">
            <v>Autres achats et charges externes</v>
          </cell>
          <cell r="L267" t="str">
            <v>Autres achats et charges externes</v>
          </cell>
        </row>
        <row r="268">
          <cell r="D268">
            <v>0</v>
          </cell>
          <cell r="E268">
            <v>4787</v>
          </cell>
          <cell r="K268" t="str">
            <v>Autres achats et charges externes</v>
          </cell>
          <cell r="L268" t="str">
            <v>Autres achats et charges externes</v>
          </cell>
        </row>
        <row r="269">
          <cell r="D269">
            <v>42617.2</v>
          </cell>
          <cell r="E269">
            <v>49519.23</v>
          </cell>
          <cell r="K269" t="str">
            <v>Autres achats et charges externes</v>
          </cell>
          <cell r="L269" t="str">
            <v>Autres achats et charges externes</v>
          </cell>
        </row>
        <row r="270">
          <cell r="D270">
            <v>8321.6</v>
          </cell>
          <cell r="E270">
            <v>10305</v>
          </cell>
          <cell r="K270" t="str">
            <v>Autres achats et charges externes</v>
          </cell>
          <cell r="L270" t="str">
            <v>Autres achats et charges externes</v>
          </cell>
        </row>
        <row r="271">
          <cell r="D271">
            <v>1520</v>
          </cell>
          <cell r="E271">
            <v>2280</v>
          </cell>
          <cell r="K271" t="str">
            <v>Autres achats et charges externes</v>
          </cell>
          <cell r="L271" t="str">
            <v>Autres achats et charges externes</v>
          </cell>
        </row>
        <row r="272">
          <cell r="D272">
            <v>6413.5599999999995</v>
          </cell>
          <cell r="E272">
            <v>5923.79</v>
          </cell>
          <cell r="K272" t="str">
            <v>Autres achats et charges externes</v>
          </cell>
          <cell r="L272" t="str">
            <v>Autres achats et charges externes</v>
          </cell>
        </row>
        <row r="273">
          <cell r="D273">
            <v>156.16</v>
          </cell>
          <cell r="E273">
            <v>0</v>
          </cell>
          <cell r="K273" t="str">
            <v>Autres achats et charges externes</v>
          </cell>
          <cell r="L273" t="str">
            <v>Autres achats et charges externes</v>
          </cell>
        </row>
        <row r="274">
          <cell r="D274">
            <v>82203.509999999995</v>
          </cell>
          <cell r="E274">
            <v>63534.19</v>
          </cell>
          <cell r="K274" t="str">
            <v>Autres achats et charges externes</v>
          </cell>
          <cell r="L274" t="str">
            <v>Autres achats et charges externes</v>
          </cell>
        </row>
        <row r="275">
          <cell r="D275">
            <v>60434.34</v>
          </cell>
          <cell r="E275">
            <v>98620.57</v>
          </cell>
          <cell r="K275" t="str">
            <v>Autres achats et charges externes</v>
          </cell>
          <cell r="L275" t="str">
            <v>Autres achats et charges externes</v>
          </cell>
        </row>
        <row r="276">
          <cell r="D276">
            <v>26191.079999999998</v>
          </cell>
          <cell r="E276">
            <v>23173.059999999998</v>
          </cell>
          <cell r="K276" t="str">
            <v>Autres achats et charges externes</v>
          </cell>
          <cell r="L276" t="str">
            <v>Autres achats et charges externes</v>
          </cell>
        </row>
        <row r="277">
          <cell r="D277">
            <v>2641</v>
          </cell>
          <cell r="E277">
            <v>0</v>
          </cell>
          <cell r="K277" t="str">
            <v>Autres achats et charges externes</v>
          </cell>
          <cell r="L277" t="str">
            <v>Autres achats et charges externes</v>
          </cell>
        </row>
        <row r="278">
          <cell r="D278">
            <v>501.03999999999996</v>
          </cell>
          <cell r="E278">
            <v>235.42000000000002</v>
          </cell>
          <cell r="K278" t="str">
            <v>Autres achats et charges externes</v>
          </cell>
          <cell r="L278" t="str">
            <v>Autres achats et charges externes</v>
          </cell>
        </row>
        <row r="279">
          <cell r="D279">
            <v>177664.75</v>
          </cell>
          <cell r="E279">
            <v>164000.00999999998</v>
          </cell>
          <cell r="K279" t="str">
            <v>Autres achats et charges externes</v>
          </cell>
          <cell r="L279" t="str">
            <v>Autres achats et charges externes</v>
          </cell>
        </row>
        <row r="280">
          <cell r="D280">
            <v>10916.78</v>
          </cell>
          <cell r="E280">
            <v>6433.7</v>
          </cell>
          <cell r="K280" t="str">
            <v>Autres achats et charges externes</v>
          </cell>
          <cell r="L280" t="str">
            <v>Autres achats et charges externes</v>
          </cell>
        </row>
        <row r="281">
          <cell r="D281">
            <v>1323.85</v>
          </cell>
          <cell r="E281">
            <v>755.09</v>
          </cell>
          <cell r="K281" t="str">
            <v>Autres achats et charges externes</v>
          </cell>
          <cell r="L281" t="str">
            <v>Autres achats et charges externes</v>
          </cell>
        </row>
        <row r="282">
          <cell r="D282">
            <v>442</v>
          </cell>
          <cell r="E282">
            <v>370</v>
          </cell>
          <cell r="K282" t="str">
            <v>Autres achats et charges externes</v>
          </cell>
          <cell r="L282" t="str">
            <v>Autres achats et charges externes</v>
          </cell>
        </row>
        <row r="283">
          <cell r="D283">
            <v>0</v>
          </cell>
          <cell r="E283">
            <v>133.33000000000001</v>
          </cell>
          <cell r="K283" t="str">
            <v>Autres achats et charges externes</v>
          </cell>
          <cell r="L283" t="str">
            <v>Autres achats et charges externes</v>
          </cell>
        </row>
        <row r="284">
          <cell r="D284">
            <v>79458.180000000008</v>
          </cell>
          <cell r="E284">
            <v>163450.07</v>
          </cell>
          <cell r="K284" t="str">
            <v>Autres achats et charges externes</v>
          </cell>
          <cell r="L284" t="str">
            <v>Autres achats et charges externes</v>
          </cell>
        </row>
        <row r="285">
          <cell r="D285">
            <v>79330.440000000017</v>
          </cell>
          <cell r="E285">
            <v>66405.030000000013</v>
          </cell>
          <cell r="K285" t="str">
            <v>Autres achats et charges externes</v>
          </cell>
          <cell r="L285" t="str">
            <v>Autres achats et charges externes</v>
          </cell>
        </row>
        <row r="286">
          <cell r="D286">
            <v>103.33999999999999</v>
          </cell>
          <cell r="E286">
            <v>0</v>
          </cell>
          <cell r="K286" t="str">
            <v>Autres achats et charges externes</v>
          </cell>
          <cell r="L286" t="str">
            <v>Autres achats et charges externes</v>
          </cell>
        </row>
        <row r="287">
          <cell r="D287">
            <v>14736.949999999997</v>
          </cell>
          <cell r="E287">
            <v>11617.039999999999</v>
          </cell>
          <cell r="K287" t="str">
            <v>Autres achats et charges externes</v>
          </cell>
          <cell r="L287" t="str">
            <v>Autres achats et charges externes</v>
          </cell>
        </row>
        <row r="288">
          <cell r="D288">
            <v>470.54999999999995</v>
          </cell>
          <cell r="E288">
            <v>266.13</v>
          </cell>
          <cell r="K288" t="str">
            <v>Autres achats et charges externes</v>
          </cell>
          <cell r="L288" t="str">
            <v>Autres achats et charges externes</v>
          </cell>
        </row>
        <row r="289">
          <cell r="D289">
            <v>4457.2700000000004</v>
          </cell>
          <cell r="E289">
            <v>2542.7800000000002</v>
          </cell>
          <cell r="K289" t="str">
            <v>Autres achats et charges externes</v>
          </cell>
          <cell r="L289" t="str">
            <v>Autres achats et charges externes</v>
          </cell>
        </row>
        <row r="290">
          <cell r="D290">
            <v>912.44999999999993</v>
          </cell>
          <cell r="E290">
            <v>43.09</v>
          </cell>
          <cell r="K290" t="str">
            <v>Autres achats et charges externes</v>
          </cell>
          <cell r="L290" t="str">
            <v>Autres achats et charges externes</v>
          </cell>
        </row>
        <row r="291">
          <cell r="D291">
            <v>12544.12</v>
          </cell>
          <cell r="E291">
            <v>10822.51</v>
          </cell>
          <cell r="K291" t="str">
            <v>Autres achats et charges externes</v>
          </cell>
          <cell r="L291" t="str">
            <v>Autres achats et charges externes</v>
          </cell>
        </row>
        <row r="292">
          <cell r="D292">
            <v>360</v>
          </cell>
          <cell r="E292">
            <v>439.42</v>
          </cell>
          <cell r="K292" t="str">
            <v>Autres achats et charges externes</v>
          </cell>
          <cell r="L292" t="str">
            <v>Autres achats et charges externes</v>
          </cell>
        </row>
        <row r="293">
          <cell r="D293">
            <v>16044.640000000001</v>
          </cell>
          <cell r="E293">
            <v>16800.13</v>
          </cell>
          <cell r="K293" t="str">
            <v>Autres achats et charges externes</v>
          </cell>
          <cell r="L293" t="str">
            <v>Autres achats et charges externes</v>
          </cell>
        </row>
        <row r="294">
          <cell r="D294">
            <v>9798.6200000000008</v>
          </cell>
          <cell r="E294">
            <v>10782.75</v>
          </cell>
          <cell r="K294" t="str">
            <v>Autres achats et charges externes</v>
          </cell>
          <cell r="L294" t="str">
            <v>Autres achats et charges externes</v>
          </cell>
        </row>
        <row r="295">
          <cell r="D295">
            <v>0</v>
          </cell>
          <cell r="E295">
            <v>149.02000000000001</v>
          </cell>
          <cell r="K295" t="str">
            <v>Autres achats et charges externes</v>
          </cell>
          <cell r="L295" t="str">
            <v>Autres achats et charges externes</v>
          </cell>
        </row>
        <row r="296">
          <cell r="D296">
            <v>3975</v>
          </cell>
          <cell r="E296">
            <v>5230</v>
          </cell>
          <cell r="K296" t="str">
            <v>Autres achats et charges externes</v>
          </cell>
          <cell r="L296" t="str">
            <v>Autres achats et charges externes</v>
          </cell>
        </row>
        <row r="297">
          <cell r="D297">
            <v>214472.95999999999</v>
          </cell>
          <cell r="E297">
            <v>214472.95999999999</v>
          </cell>
          <cell r="K297" t="str">
            <v>Autres achats et charges externes</v>
          </cell>
          <cell r="L297" t="str">
            <v>Autres achats et charges externes</v>
          </cell>
        </row>
        <row r="298">
          <cell r="D298">
            <v>1903.84</v>
          </cell>
          <cell r="E298">
            <v>3307.48</v>
          </cell>
          <cell r="K298" t="str">
            <v>Autres achats et charges externes</v>
          </cell>
          <cell r="L298" t="str">
            <v>Autres achats et charges externes</v>
          </cell>
        </row>
        <row r="299">
          <cell r="D299">
            <v>0</v>
          </cell>
          <cell r="E299">
            <v>3717</v>
          </cell>
          <cell r="K299" t="str">
            <v>Autres achats et charges externes</v>
          </cell>
          <cell r="L299" t="str">
            <v>Autres achats et charges externes</v>
          </cell>
        </row>
        <row r="300">
          <cell r="D300">
            <v>5660</v>
          </cell>
          <cell r="E300">
            <v>5245.4</v>
          </cell>
          <cell r="K300" t="str">
            <v>Autres achats et charges externes</v>
          </cell>
          <cell r="L300" t="str">
            <v>Autres achats et charges externes</v>
          </cell>
        </row>
        <row r="301">
          <cell r="D301">
            <v>1453.25</v>
          </cell>
          <cell r="E301">
            <v>1246.45</v>
          </cell>
          <cell r="K301" t="str">
            <v>Autres achats et charges externes</v>
          </cell>
          <cell r="L301" t="str">
            <v>Autres achats et charges externes</v>
          </cell>
        </row>
        <row r="302">
          <cell r="D302">
            <v>557.20000000000005</v>
          </cell>
          <cell r="E302">
            <v>100.4</v>
          </cell>
          <cell r="K302" t="str">
            <v>Autres achats et charges externes</v>
          </cell>
          <cell r="L302" t="str">
            <v>Autres achats et charges externes</v>
          </cell>
        </row>
        <row r="303">
          <cell r="D303">
            <v>47397.319999999992</v>
          </cell>
          <cell r="E303">
            <v>53248.009999999987</v>
          </cell>
          <cell r="K303" t="str">
            <v>Impôts, taxes et versements assimilés</v>
          </cell>
          <cell r="L303" t="str">
            <v>Impôts, taxes et versements assimilés</v>
          </cell>
        </row>
        <row r="304">
          <cell r="D304">
            <v>794.85</v>
          </cell>
          <cell r="E304">
            <v>0</v>
          </cell>
          <cell r="K304" t="str">
            <v>Impôts, taxes et versements assimilés</v>
          </cell>
          <cell r="L304" t="str">
            <v>Impôts, taxes et versements assimilés</v>
          </cell>
        </row>
        <row r="305">
          <cell r="D305">
            <v>7510.22</v>
          </cell>
          <cell r="E305">
            <v>7232.73</v>
          </cell>
          <cell r="K305" t="str">
            <v>Impôts, taxes et versements assimilés</v>
          </cell>
          <cell r="L305" t="str">
            <v>Impôts, taxes et versements assimilés</v>
          </cell>
        </row>
        <row r="306">
          <cell r="D306">
            <v>11348.27</v>
          </cell>
          <cell r="E306">
            <v>10601.15</v>
          </cell>
          <cell r="K306" t="str">
            <v>Impôts, taxes et versements assimilés</v>
          </cell>
          <cell r="L306" t="str">
            <v>Impôts, taxes et versements assimilés</v>
          </cell>
        </row>
        <row r="307">
          <cell r="D307">
            <v>57639.15</v>
          </cell>
          <cell r="E307">
            <v>61593</v>
          </cell>
          <cell r="K307" t="str">
            <v>Impôts, taxes et versements assimilés</v>
          </cell>
          <cell r="L307" t="str">
            <v>Impôts, taxes et versements assimilés</v>
          </cell>
        </row>
        <row r="308">
          <cell r="D308">
            <v>26781</v>
          </cell>
          <cell r="E308">
            <v>25911</v>
          </cell>
          <cell r="K308" t="str">
            <v>Impôts, taxes et versements assimilés</v>
          </cell>
          <cell r="L308" t="str">
            <v>Impôts, taxes et versements assimilés</v>
          </cell>
        </row>
        <row r="309">
          <cell r="D309">
            <v>737.5</v>
          </cell>
          <cell r="E309">
            <v>1205</v>
          </cell>
          <cell r="K309" t="str">
            <v>Impôts, taxes et versements assimilés</v>
          </cell>
          <cell r="L309" t="str">
            <v>Impôts, taxes et versements assimilés</v>
          </cell>
        </row>
        <row r="310">
          <cell r="D310">
            <v>5253.6</v>
          </cell>
          <cell r="E310">
            <v>4916.84</v>
          </cell>
          <cell r="K310" t="str">
            <v>Impôts, taxes et versements assimilés</v>
          </cell>
          <cell r="L310" t="str">
            <v>Impôts, taxes et versements assimilés</v>
          </cell>
        </row>
        <row r="311">
          <cell r="D311">
            <v>5893.55</v>
          </cell>
          <cell r="E311">
            <v>11320.45</v>
          </cell>
          <cell r="K311" t="str">
            <v>Impôts, taxes et versements assimilés</v>
          </cell>
          <cell r="L311" t="str">
            <v>Impôts, taxes et versements assimilés</v>
          </cell>
        </row>
        <row r="312">
          <cell r="D312">
            <v>13672</v>
          </cell>
          <cell r="E312">
            <v>11484</v>
          </cell>
          <cell r="K312" t="str">
            <v>Impôts, taxes et versements assimilés</v>
          </cell>
          <cell r="L312" t="str">
            <v>Impôts, taxes et versements assimilés</v>
          </cell>
        </row>
        <row r="313">
          <cell r="D313">
            <v>1438.8</v>
          </cell>
          <cell r="E313">
            <v>1532.4</v>
          </cell>
          <cell r="K313" t="str">
            <v>Impôts, taxes et versements assimilés</v>
          </cell>
          <cell r="L313" t="str">
            <v>Impôts, taxes et versements assimilés</v>
          </cell>
        </row>
        <row r="314">
          <cell r="D314">
            <v>1064239.4799999997</v>
          </cell>
          <cell r="E314">
            <v>1142954.78</v>
          </cell>
          <cell r="K314" t="str">
            <v>Salaires et traitements</v>
          </cell>
          <cell r="L314" t="str">
            <v>Salaires et traitements</v>
          </cell>
        </row>
        <row r="315">
          <cell r="D315">
            <v>16508.060000000001</v>
          </cell>
          <cell r="E315">
            <v>6811.07</v>
          </cell>
          <cell r="K315" t="str">
            <v>Salaires et traitements</v>
          </cell>
          <cell r="L315" t="str">
            <v>Salaires et traitements</v>
          </cell>
        </row>
        <row r="316">
          <cell r="D316">
            <v>135911.38</v>
          </cell>
          <cell r="E316">
            <v>133387.57999999999</v>
          </cell>
          <cell r="K316" t="str">
            <v>Salaires et traitements</v>
          </cell>
          <cell r="L316" t="str">
            <v>Salaires et traitements</v>
          </cell>
        </row>
        <row r="317">
          <cell r="D317">
            <v>5038.83</v>
          </cell>
          <cell r="E317">
            <v>-922.24</v>
          </cell>
          <cell r="K317" t="str">
            <v>Salaires et traitements</v>
          </cell>
          <cell r="L317" t="str">
            <v>Salaires et traitements</v>
          </cell>
        </row>
        <row r="318">
          <cell r="D318">
            <v>-2402.65</v>
          </cell>
          <cell r="E318">
            <v>-3336.14</v>
          </cell>
          <cell r="K318" t="str">
            <v>Salaires et traitements</v>
          </cell>
          <cell r="L318" t="str">
            <v>Salaires et traitements</v>
          </cell>
        </row>
        <row r="319">
          <cell r="D319">
            <v>360064.88</v>
          </cell>
          <cell r="E319">
            <v>357262.15</v>
          </cell>
          <cell r="K319" t="str">
            <v>Salaires et traitements</v>
          </cell>
          <cell r="L319" t="str">
            <v>Salaires et traitements</v>
          </cell>
        </row>
        <row r="320">
          <cell r="D320">
            <v>0</v>
          </cell>
          <cell r="E320">
            <v>-29940.16</v>
          </cell>
          <cell r="K320" t="str">
            <v>Salaires et traitements</v>
          </cell>
          <cell r="L320" t="str">
            <v>Salaires et traitements</v>
          </cell>
        </row>
        <row r="321">
          <cell r="D321">
            <v>20447.34</v>
          </cell>
          <cell r="E321">
            <v>16640.010000000002</v>
          </cell>
          <cell r="K321" t="str">
            <v>Salaires et traitements</v>
          </cell>
          <cell r="L321" t="str">
            <v>Salaires et traitements</v>
          </cell>
        </row>
        <row r="322">
          <cell r="D322">
            <v>0</v>
          </cell>
          <cell r="E322">
            <v>0</v>
          </cell>
          <cell r="K322" t="str">
            <v>Salaires et traitements</v>
          </cell>
          <cell r="L322" t="str">
            <v>Salaires et traitements</v>
          </cell>
        </row>
        <row r="323">
          <cell r="D323">
            <v>479114.23999999999</v>
          </cell>
          <cell r="E323">
            <v>451877.2300000001</v>
          </cell>
          <cell r="K323" t="str">
            <v>Charges sociales</v>
          </cell>
          <cell r="L323" t="str">
            <v>Charges sociales</v>
          </cell>
        </row>
        <row r="324">
          <cell r="D324">
            <v>165.29</v>
          </cell>
          <cell r="E324">
            <v>0</v>
          </cell>
          <cell r="K324" t="str">
            <v>Charges sociales</v>
          </cell>
          <cell r="L324" t="str">
            <v>Charges sociales</v>
          </cell>
        </row>
        <row r="325">
          <cell r="D325">
            <v>24507.140000000003</v>
          </cell>
          <cell r="E325">
            <v>23840.699999999997</v>
          </cell>
          <cell r="K325" t="str">
            <v>Charges sociales</v>
          </cell>
          <cell r="L325" t="str">
            <v>Charges sociales</v>
          </cell>
        </row>
        <row r="326">
          <cell r="D326">
            <v>191623.51999999996</v>
          </cell>
          <cell r="E326">
            <v>188942.32</v>
          </cell>
          <cell r="K326" t="str">
            <v>Charges sociales</v>
          </cell>
          <cell r="L326" t="str">
            <v>Charges sociales</v>
          </cell>
        </row>
        <row r="327">
          <cell r="D327">
            <v>6028.85</v>
          </cell>
          <cell r="E327">
            <v>1755.2599999999998</v>
          </cell>
          <cell r="K327" t="str">
            <v>Charges sociales</v>
          </cell>
          <cell r="L327" t="str">
            <v>Charges sociales</v>
          </cell>
        </row>
        <row r="328">
          <cell r="D328">
            <v>-24477.27</v>
          </cell>
          <cell r="E328">
            <v>23670.400000000001</v>
          </cell>
          <cell r="K328" t="str">
            <v>Charges sociales</v>
          </cell>
          <cell r="L328" t="str">
            <v>Charges sociales</v>
          </cell>
        </row>
        <row r="329">
          <cell r="D329">
            <v>24185.120000000003</v>
          </cell>
          <cell r="E329">
            <v>25637.59</v>
          </cell>
          <cell r="K329" t="str">
            <v>Charges sociales</v>
          </cell>
          <cell r="L329" t="str">
            <v>Charges sociales</v>
          </cell>
        </row>
        <row r="330">
          <cell r="D330">
            <v>0</v>
          </cell>
          <cell r="E330">
            <v>-22021.56</v>
          </cell>
          <cell r="K330" t="str">
            <v>Charges sociales</v>
          </cell>
          <cell r="L330" t="str">
            <v>Charges sociales</v>
          </cell>
        </row>
        <row r="331">
          <cell r="D331">
            <v>-715.42</v>
          </cell>
          <cell r="E331">
            <v>-2018.44</v>
          </cell>
          <cell r="K331" t="str">
            <v>Charges sociales</v>
          </cell>
          <cell r="L331" t="str">
            <v>Charges sociales</v>
          </cell>
        </row>
        <row r="332">
          <cell r="D332">
            <v>2403.62</v>
          </cell>
          <cell r="E332">
            <v>5379.56</v>
          </cell>
          <cell r="K332" t="str">
            <v>Charges sociales</v>
          </cell>
          <cell r="L332" t="str">
            <v>Charges sociales</v>
          </cell>
        </row>
        <row r="333">
          <cell r="D333">
            <v>3337.8799999999997</v>
          </cell>
          <cell r="E333">
            <v>3214.54</v>
          </cell>
          <cell r="K333" t="str">
            <v>Charges sociales</v>
          </cell>
          <cell r="L333" t="str">
            <v>Charges sociales</v>
          </cell>
        </row>
        <row r="334">
          <cell r="D334">
            <v>92.44</v>
          </cell>
          <cell r="E334">
            <v>28.740000000000002</v>
          </cell>
          <cell r="K334" t="str">
            <v>Charges sociales</v>
          </cell>
          <cell r="L334" t="str">
            <v>Charges sociales</v>
          </cell>
        </row>
        <row r="335">
          <cell r="D335">
            <v>5331.69</v>
          </cell>
          <cell r="E335">
            <v>5343.1399999999994</v>
          </cell>
          <cell r="K335" t="str">
            <v>Charges sociales</v>
          </cell>
          <cell r="L335" t="str">
            <v>Charges sociales</v>
          </cell>
        </row>
        <row r="336">
          <cell r="D336">
            <v>174941.31</v>
          </cell>
          <cell r="E336">
            <v>62385.29</v>
          </cell>
          <cell r="K336" t="str">
            <v>Charges sociales</v>
          </cell>
          <cell r="L336" t="str">
            <v>Charges sociales</v>
          </cell>
        </row>
        <row r="337">
          <cell r="D337">
            <v>-68400.77</v>
          </cell>
          <cell r="E337">
            <v>-50469.310000000005</v>
          </cell>
          <cell r="K337" t="str">
            <v>Charges sociales</v>
          </cell>
          <cell r="L337" t="str">
            <v>Charges sociales</v>
          </cell>
        </row>
        <row r="338">
          <cell r="D338">
            <v>180</v>
          </cell>
          <cell r="E338">
            <v>180</v>
          </cell>
          <cell r="K338" t="str">
            <v>Autres charges d'exploitation</v>
          </cell>
          <cell r="L338" t="str">
            <v>Autres charges d'exploitation</v>
          </cell>
        </row>
        <row r="339">
          <cell r="D339">
            <v>0</v>
          </cell>
          <cell r="E339">
            <v>0</v>
          </cell>
          <cell r="K339" t="str">
            <v>Autres charges d'exploitation</v>
          </cell>
          <cell r="L339" t="str">
            <v>Autres charges d'exploitation</v>
          </cell>
        </row>
        <row r="340">
          <cell r="D340">
            <v>957.67</v>
          </cell>
          <cell r="E340">
            <v>1960.51</v>
          </cell>
          <cell r="K340" t="str">
            <v>Autres charges d'exploitation</v>
          </cell>
          <cell r="L340" t="str">
            <v>Autres charges d'exploitation</v>
          </cell>
        </row>
        <row r="341">
          <cell r="D341">
            <v>4484.3599999999997</v>
          </cell>
          <cell r="E341">
            <v>675.1</v>
          </cell>
          <cell r="K341" t="str">
            <v>Autres charges d'exploitation</v>
          </cell>
          <cell r="L341" t="str">
            <v>Autres charges d'exploitation</v>
          </cell>
        </row>
        <row r="342">
          <cell r="D342">
            <v>0</v>
          </cell>
          <cell r="E342">
            <v>6262.27</v>
          </cell>
          <cell r="K342" t="str">
            <v>Autres charges d'exploitation</v>
          </cell>
          <cell r="L342" t="str">
            <v>Autres charges d'exploitation</v>
          </cell>
        </row>
        <row r="343">
          <cell r="D343">
            <v>3499.55</v>
          </cell>
          <cell r="E343">
            <v>5741.8</v>
          </cell>
          <cell r="K343" t="str">
            <v>Intérêts et charges assimilées</v>
          </cell>
          <cell r="L343" t="str">
            <v>Intérêts et charges assimilées</v>
          </cell>
        </row>
        <row r="344">
          <cell r="D344">
            <v>3.59</v>
          </cell>
          <cell r="E344">
            <v>54.59</v>
          </cell>
          <cell r="K344" t="str">
            <v>Intérêts et charges assimilées</v>
          </cell>
          <cell r="L344" t="str">
            <v>Intérêts et charges assimilées</v>
          </cell>
        </row>
        <row r="345">
          <cell r="D345">
            <v>0</v>
          </cell>
          <cell r="E345">
            <v>750</v>
          </cell>
          <cell r="K345" t="str">
            <v>Intérêts et charges assimilées</v>
          </cell>
          <cell r="L345" t="str">
            <v>Intérêts et charges assimilées</v>
          </cell>
        </row>
        <row r="346">
          <cell r="D346">
            <v>762.05</v>
          </cell>
          <cell r="E346">
            <v>3530.38</v>
          </cell>
          <cell r="K346" t="str">
            <v>Intérêts et charges assimilées</v>
          </cell>
          <cell r="L346" t="str">
            <v>Intérêts et charges assimilées</v>
          </cell>
        </row>
        <row r="347">
          <cell r="D347">
            <v>1035.5</v>
          </cell>
          <cell r="E347">
            <v>9679.34</v>
          </cell>
          <cell r="K347" t="str">
            <v>Intérêts et charges assimilées</v>
          </cell>
          <cell r="L347" t="str">
            <v>Intérêts et charges assimilées</v>
          </cell>
        </row>
        <row r="348">
          <cell r="D348">
            <v>0</v>
          </cell>
          <cell r="E348">
            <v>1234.02</v>
          </cell>
          <cell r="K348" t="str">
            <v>Intérêts et charges assimilées</v>
          </cell>
          <cell r="L348" t="str">
            <v>Intérêts et charges assimilées</v>
          </cell>
        </row>
        <row r="349">
          <cell r="D349">
            <v>3170.46</v>
          </cell>
          <cell r="E349">
            <v>3240.25</v>
          </cell>
          <cell r="K349" t="str">
            <v>Intérêts et charges assimilées</v>
          </cell>
          <cell r="L349" t="str">
            <v>Intérêts et charges assimilées</v>
          </cell>
        </row>
        <row r="350">
          <cell r="D350">
            <v>11671.41</v>
          </cell>
          <cell r="E350">
            <v>0</v>
          </cell>
          <cell r="K350" t="str">
            <v>Intérêts et charges assimilées</v>
          </cell>
          <cell r="L350" t="str">
            <v>Intérêts et charges assimilées</v>
          </cell>
        </row>
        <row r="351">
          <cell r="D351">
            <v>2311.64</v>
          </cell>
          <cell r="E351">
            <v>0</v>
          </cell>
          <cell r="K351" t="str">
            <v>Intérêts et charges assimilées</v>
          </cell>
          <cell r="L351" t="str">
            <v>Intérêts et charges assimilées</v>
          </cell>
        </row>
        <row r="352">
          <cell r="D352">
            <v>0</v>
          </cell>
          <cell r="E352">
            <v>14190.86</v>
          </cell>
          <cell r="K352" t="str">
            <v>Intérêts et charges assimilées</v>
          </cell>
          <cell r="L352" t="str">
            <v>Intérêts et charges assimilées</v>
          </cell>
        </row>
        <row r="353">
          <cell r="D353">
            <v>885.97</v>
          </cell>
          <cell r="E353">
            <v>12960.86</v>
          </cell>
          <cell r="K353" t="str">
            <v>Intérêts et charges assimilées</v>
          </cell>
          <cell r="L353" t="str">
            <v>Intérêts et charges assimilées</v>
          </cell>
        </row>
        <row r="354">
          <cell r="D354">
            <v>0</v>
          </cell>
          <cell r="E354">
            <v>135</v>
          </cell>
          <cell r="K354" t="str">
            <v>Charges sur opérations de gestion</v>
          </cell>
          <cell r="L354" t="str">
            <v>Charges sur opérations de gestion</v>
          </cell>
        </row>
        <row r="355">
          <cell r="D355">
            <v>37311.64</v>
          </cell>
          <cell r="E355">
            <v>17561.8</v>
          </cell>
          <cell r="K355" t="str">
            <v>Charges sur opérations en capital</v>
          </cell>
          <cell r="L355" t="str">
            <v>Charges sur opérations en capital</v>
          </cell>
        </row>
        <row r="356">
          <cell r="D356">
            <v>2568.06</v>
          </cell>
          <cell r="E356">
            <v>0</v>
          </cell>
          <cell r="K356" t="str">
            <v>Charges sur opérations en capital</v>
          </cell>
          <cell r="L356" t="str">
            <v>Charges sur opérations en capital</v>
          </cell>
        </row>
        <row r="357">
          <cell r="D357">
            <v>2558.4699999999998</v>
          </cell>
          <cell r="E357">
            <v>2445.4899999999998</v>
          </cell>
          <cell r="K357" t="str">
            <v>Dotations aux amortissements sur Immobilisations</v>
          </cell>
          <cell r="L357" t="str">
            <v>Dotations aux amortissements sur Immobilisations</v>
          </cell>
        </row>
        <row r="358">
          <cell r="D358">
            <v>182571.81</v>
          </cell>
          <cell r="E358">
            <v>180653.47</v>
          </cell>
          <cell r="K358" t="str">
            <v>Dotations aux amortissements sur Immobilisations</v>
          </cell>
          <cell r="L358" t="str">
            <v>Dotations aux amortissements sur Immobilisations</v>
          </cell>
        </row>
        <row r="359">
          <cell r="D359">
            <v>18533.099999999999</v>
          </cell>
          <cell r="E359">
            <v>41085.289999999994</v>
          </cell>
          <cell r="K359" t="str">
            <v>Dotations aux amortissements sur Immobilisations</v>
          </cell>
          <cell r="L359" t="str">
            <v>Dotations aux amortissements sur Immobilisations</v>
          </cell>
        </row>
        <row r="360">
          <cell r="D360">
            <v>80000</v>
          </cell>
          <cell r="E360">
            <v>0</v>
          </cell>
          <cell r="K360" t="str">
            <v>Dotations aux provisions pour risques et charges</v>
          </cell>
          <cell r="L360" t="str">
            <v>Dotations aux provisions pour risques et charges</v>
          </cell>
        </row>
        <row r="361">
          <cell r="D361">
            <v>64797.06</v>
          </cell>
          <cell r="E361">
            <v>87975.47</v>
          </cell>
          <cell r="K361" t="str">
            <v>Dotations aux dépréciations sur Actif circulant</v>
          </cell>
          <cell r="L361" t="str">
            <v>Dotations aux dépréciations sur Actif circulant</v>
          </cell>
        </row>
        <row r="362">
          <cell r="D362">
            <v>1485.15</v>
          </cell>
          <cell r="E362">
            <v>1356.58</v>
          </cell>
          <cell r="K362" t="str">
            <v>Dotations aux dépréciations sur Actif circulant</v>
          </cell>
          <cell r="L362" t="str">
            <v>Dotations aux dépréciations sur Actif circulant</v>
          </cell>
        </row>
        <row r="363">
          <cell r="D363">
            <v>0</v>
          </cell>
          <cell r="E363">
            <v>-4465.32</v>
          </cell>
          <cell r="K363" t="str">
            <v>Impôts sur les bénéfices</v>
          </cell>
          <cell r="L363" t="str">
            <v>Impôts sur les bénéfices</v>
          </cell>
        </row>
        <row r="364">
          <cell r="D364">
            <v>-1938.99</v>
          </cell>
          <cell r="E364">
            <v>-3154.55</v>
          </cell>
          <cell r="K364" t="str">
            <v>Production vendue (Biens et Services)</v>
          </cell>
          <cell r="L364" t="str">
            <v>Production vendue (Biens et Services)</v>
          </cell>
        </row>
        <row r="365">
          <cell r="D365">
            <v>-711699.30999999994</v>
          </cell>
          <cell r="E365">
            <v>-851984.77</v>
          </cell>
          <cell r="K365" t="str">
            <v>Production vendue (Biens et Services)</v>
          </cell>
          <cell r="L365" t="str">
            <v>Production vendue (Biens et Services)</v>
          </cell>
        </row>
        <row r="366">
          <cell r="D366">
            <v>-263664.70999999996</v>
          </cell>
          <cell r="E366">
            <v>-112029.35</v>
          </cell>
          <cell r="K366" t="str">
            <v>Production vendue (Biens et Services)</v>
          </cell>
          <cell r="L366" t="str">
            <v>Production vendue (Biens et Services)</v>
          </cell>
        </row>
        <row r="367">
          <cell r="D367">
            <v>-7581.74</v>
          </cell>
          <cell r="E367">
            <v>-9964.24</v>
          </cell>
          <cell r="K367" t="str">
            <v>Production vendue (Biens et Services)</v>
          </cell>
          <cell r="L367" t="str">
            <v>Production vendue (Biens et Services)</v>
          </cell>
        </row>
        <row r="368">
          <cell r="D368">
            <v>-24981.360000000001</v>
          </cell>
          <cell r="E368">
            <v>-20289.79</v>
          </cell>
          <cell r="K368" t="str">
            <v>Production vendue (Biens et Services)</v>
          </cell>
          <cell r="L368" t="str">
            <v>Production vendue (Biens et Services)</v>
          </cell>
        </row>
        <row r="369">
          <cell r="D369">
            <v>-610.64</v>
          </cell>
          <cell r="E369">
            <v>-432.5</v>
          </cell>
          <cell r="K369" t="str">
            <v>Production vendue (Biens et Services)</v>
          </cell>
          <cell r="L369" t="str">
            <v>Production vendue (Biens et Services)</v>
          </cell>
        </row>
        <row r="370">
          <cell r="D370">
            <v>-51.92</v>
          </cell>
          <cell r="E370">
            <v>0</v>
          </cell>
          <cell r="K370" t="str">
            <v>Production vendue (Biens et Services)</v>
          </cell>
          <cell r="L370" t="str">
            <v>Production vendue (Biens et Services)</v>
          </cell>
        </row>
        <row r="371">
          <cell r="D371">
            <v>-163.91</v>
          </cell>
          <cell r="E371">
            <v>-34.78</v>
          </cell>
          <cell r="K371" t="str">
            <v>Production vendue (Biens et Services)</v>
          </cell>
          <cell r="L371" t="str">
            <v>Production vendue (Biens et Services)</v>
          </cell>
        </row>
        <row r="372">
          <cell r="D372">
            <v>-37323.42</v>
          </cell>
          <cell r="E372">
            <v>-38154.469999999994</v>
          </cell>
          <cell r="K372" t="str">
            <v>Production vendue (Biens et Services)</v>
          </cell>
          <cell r="L372" t="str">
            <v>Production vendue (Biens et Services)</v>
          </cell>
        </row>
        <row r="373">
          <cell r="D373">
            <v>-141.66</v>
          </cell>
          <cell r="E373">
            <v>-209.01</v>
          </cell>
          <cell r="K373" t="str">
            <v>Production vendue (Biens et Services)</v>
          </cell>
          <cell r="L373" t="str">
            <v>Production vendue (Biens et Services)</v>
          </cell>
        </row>
        <row r="374">
          <cell r="D374">
            <v>-9773.7900000000009</v>
          </cell>
          <cell r="E374">
            <v>-13893.47</v>
          </cell>
          <cell r="K374" t="str">
            <v>Production vendue (Biens et Services)</v>
          </cell>
          <cell r="L374" t="str">
            <v>Production vendue (Biens et Services)</v>
          </cell>
        </row>
        <row r="375">
          <cell r="D375">
            <v>-21698755.379999999</v>
          </cell>
          <cell r="E375">
            <v>-24653446.759999998</v>
          </cell>
          <cell r="K375" t="str">
            <v>Ventes de marchandises</v>
          </cell>
          <cell r="L375" t="str">
            <v>Ventes de marchandises</v>
          </cell>
        </row>
        <row r="376">
          <cell r="D376">
            <v>-17255.95</v>
          </cell>
          <cell r="E376">
            <v>-18579.45</v>
          </cell>
          <cell r="K376" t="str">
            <v>Ventes de marchandises</v>
          </cell>
          <cell r="L376" t="str">
            <v>Ventes de marchandises</v>
          </cell>
        </row>
        <row r="377">
          <cell r="D377">
            <v>-113507.91</v>
          </cell>
          <cell r="E377">
            <v>-70821.94</v>
          </cell>
          <cell r="K377" t="str">
            <v>Ventes de marchandises</v>
          </cell>
          <cell r="L377" t="str">
            <v>Ventes de marchandises</v>
          </cell>
        </row>
        <row r="378">
          <cell r="D378">
            <v>-21581.18</v>
          </cell>
          <cell r="E378">
            <v>-18923.73</v>
          </cell>
          <cell r="K378" t="str">
            <v>Ventes de marchandises</v>
          </cell>
          <cell r="L378" t="str">
            <v>Ventes de marchandises</v>
          </cell>
        </row>
        <row r="379">
          <cell r="D379">
            <v>-4679416.6300000008</v>
          </cell>
          <cell r="E379">
            <v>-4490155.74</v>
          </cell>
          <cell r="K379" t="str">
            <v>Ventes de marchandises</v>
          </cell>
          <cell r="L379" t="str">
            <v>Ventes de marchandises</v>
          </cell>
        </row>
        <row r="380">
          <cell r="D380">
            <v>-795251.65</v>
          </cell>
          <cell r="E380">
            <v>-776748.32000000007</v>
          </cell>
          <cell r="K380" t="str">
            <v>Ventes de marchandises</v>
          </cell>
          <cell r="L380" t="str">
            <v>Ventes de marchandises</v>
          </cell>
        </row>
        <row r="381">
          <cell r="D381">
            <v>-11067.22</v>
          </cell>
          <cell r="E381">
            <v>-10619.09</v>
          </cell>
          <cell r="K381" t="str">
            <v>Ventes de marchandises</v>
          </cell>
          <cell r="L381" t="str">
            <v>Ventes de marchandises</v>
          </cell>
        </row>
        <row r="382">
          <cell r="D382">
            <v>0</v>
          </cell>
          <cell r="E382">
            <v>-500.01</v>
          </cell>
          <cell r="K382" t="str">
            <v>Ventes de marchandises</v>
          </cell>
          <cell r="L382" t="str">
            <v>Ventes de marchandises</v>
          </cell>
        </row>
        <row r="383">
          <cell r="D383">
            <v>0</v>
          </cell>
          <cell r="E383">
            <v>-95166.69</v>
          </cell>
          <cell r="K383" t="str">
            <v>Ventes de marchandises</v>
          </cell>
          <cell r="L383" t="str">
            <v>Ventes de marchandises</v>
          </cell>
        </row>
        <row r="384">
          <cell r="D384">
            <v>-185198.90000000002</v>
          </cell>
          <cell r="E384">
            <v>-182592.37</v>
          </cell>
          <cell r="K384" t="str">
            <v>Ventes de marchandises</v>
          </cell>
          <cell r="L384" t="str">
            <v>Ventes de marchandises</v>
          </cell>
        </row>
        <row r="385">
          <cell r="D385">
            <v>-586889.41999999993</v>
          </cell>
          <cell r="E385">
            <v>-3843534.7099999995</v>
          </cell>
          <cell r="K385" t="str">
            <v>Ventes de marchandises</v>
          </cell>
          <cell r="L385" t="str">
            <v>Ventes de marchandises</v>
          </cell>
        </row>
        <row r="386">
          <cell r="D386">
            <v>-948</v>
          </cell>
          <cell r="E386">
            <v>-3516.13</v>
          </cell>
          <cell r="K386" t="str">
            <v>Ventes de marchandises</v>
          </cell>
          <cell r="L386" t="str">
            <v>Ventes de marchandises</v>
          </cell>
        </row>
        <row r="387">
          <cell r="D387">
            <v>-5020.4799999999996</v>
          </cell>
          <cell r="E387">
            <v>-360592.06999999995</v>
          </cell>
          <cell r="K387" t="str">
            <v>Ventes de marchandises</v>
          </cell>
          <cell r="L387" t="str">
            <v>Ventes de marchandises</v>
          </cell>
        </row>
        <row r="388">
          <cell r="D388">
            <v>-55977.81</v>
          </cell>
          <cell r="E388">
            <v>-99325.909999999989</v>
          </cell>
          <cell r="K388" t="str">
            <v>Ventes de marchandises</v>
          </cell>
          <cell r="L388" t="str">
            <v>Ventes de marchandises</v>
          </cell>
        </row>
        <row r="389">
          <cell r="D389">
            <v>-4808.4399999999996</v>
          </cell>
          <cell r="E389">
            <v>-8594.2999999999993</v>
          </cell>
          <cell r="K389" t="str">
            <v>Ventes de marchandises</v>
          </cell>
          <cell r="L389" t="str">
            <v>Ventes de marchandises</v>
          </cell>
        </row>
        <row r="390">
          <cell r="D390">
            <v>-670869.46</v>
          </cell>
          <cell r="E390">
            <v>-546410.04999999993</v>
          </cell>
          <cell r="K390" t="str">
            <v>Production vendue (Biens et Services)</v>
          </cell>
          <cell r="L390" t="str">
            <v>Production vendue (Biens et Services)</v>
          </cell>
        </row>
        <row r="391">
          <cell r="D391">
            <v>-26032.67</v>
          </cell>
          <cell r="E391">
            <v>0</v>
          </cell>
          <cell r="K391" t="str">
            <v>Production vendue (Biens et Services)</v>
          </cell>
          <cell r="L391" t="str">
            <v>Production vendue (Biens et Services)</v>
          </cell>
        </row>
        <row r="392">
          <cell r="D392">
            <v>35</v>
          </cell>
          <cell r="E392">
            <v>-5881</v>
          </cell>
          <cell r="K392" t="str">
            <v>Production vendue (Biens et Services)</v>
          </cell>
          <cell r="L392" t="str">
            <v>Production vendue (Biens et Services)</v>
          </cell>
        </row>
        <row r="393">
          <cell r="D393">
            <v>-43473.66</v>
          </cell>
          <cell r="E393">
            <v>-35000</v>
          </cell>
          <cell r="K393" t="str">
            <v>Production vendue (Biens et Services)</v>
          </cell>
          <cell r="L393" t="str">
            <v>Production vendue (Biens et Services)</v>
          </cell>
        </row>
        <row r="394">
          <cell r="D394">
            <v>-51797.259999999995</v>
          </cell>
          <cell r="E394">
            <v>-50139.75</v>
          </cell>
          <cell r="K394" t="str">
            <v>Production vendue (Biens et Services)</v>
          </cell>
          <cell r="L394" t="str">
            <v>Production vendue (Biens et Services)</v>
          </cell>
        </row>
        <row r="395">
          <cell r="D395">
            <v>-3212.62</v>
          </cell>
          <cell r="E395">
            <v>0</v>
          </cell>
          <cell r="K395" t="str">
            <v>Production vendue (Biens et Services)</v>
          </cell>
          <cell r="L395" t="str">
            <v>Production vendue (Biens et Services)</v>
          </cell>
        </row>
        <row r="396">
          <cell r="D396">
            <v>-25.13</v>
          </cell>
          <cell r="E396">
            <v>0</v>
          </cell>
          <cell r="K396" t="str">
            <v>Production vendue (Biens et Services)</v>
          </cell>
          <cell r="L396" t="str">
            <v>Production vendue (Biens et Services)</v>
          </cell>
        </row>
        <row r="397">
          <cell r="D397">
            <v>-371624.02999999997</v>
          </cell>
          <cell r="E397">
            <v>-386182.55000000005</v>
          </cell>
          <cell r="K397" t="str">
            <v>Production vendue (Biens et Services)</v>
          </cell>
          <cell r="L397" t="str">
            <v>Production vendue (Biens et Services)</v>
          </cell>
        </row>
        <row r="398">
          <cell r="D398">
            <v>2160</v>
          </cell>
          <cell r="E398">
            <v>-2065</v>
          </cell>
          <cell r="K398" t="str">
            <v>Production vendue (Biens et Services)</v>
          </cell>
          <cell r="L398" t="str">
            <v>Production vendue (Biens et Services)</v>
          </cell>
        </row>
        <row r="399">
          <cell r="D399">
            <v>-966.53</v>
          </cell>
          <cell r="E399">
            <v>0</v>
          </cell>
          <cell r="K399" t="str">
            <v>Production vendue (Biens et Services)</v>
          </cell>
          <cell r="L399" t="str">
            <v>Production vendue (Biens et Services)</v>
          </cell>
        </row>
        <row r="400">
          <cell r="D400">
            <v>22560.850000000002</v>
          </cell>
          <cell r="E400">
            <v>31802.04</v>
          </cell>
          <cell r="K400" t="str">
            <v>Production vendue (Biens et Services)</v>
          </cell>
          <cell r="L400" t="str">
            <v>Production vendue (Biens et Services)</v>
          </cell>
        </row>
        <row r="401">
          <cell r="D401">
            <v>14239.95</v>
          </cell>
          <cell r="E401">
            <v>14042.89</v>
          </cell>
          <cell r="K401" t="str">
            <v>Production vendue (Biens et Services)</v>
          </cell>
          <cell r="L401" t="str">
            <v>Production vendue (Biens et Services)</v>
          </cell>
        </row>
        <row r="402">
          <cell r="D402">
            <v>35857.25</v>
          </cell>
          <cell r="E402">
            <v>18413.689999999999</v>
          </cell>
          <cell r="K402" t="str">
            <v>Production vendue (Biens et Services)</v>
          </cell>
          <cell r="L402" t="str">
            <v>Production vendue (Biens et Services)</v>
          </cell>
        </row>
        <row r="403">
          <cell r="D403">
            <v>390.39</v>
          </cell>
          <cell r="E403">
            <v>70129.84</v>
          </cell>
          <cell r="K403" t="str">
            <v>Production vendue (Biens et Services)</v>
          </cell>
          <cell r="L403" t="str">
            <v>Production vendue (Biens et Services)</v>
          </cell>
        </row>
        <row r="404">
          <cell r="D404">
            <v>6233422.46</v>
          </cell>
          <cell r="E404">
            <v>8388170.6199999992</v>
          </cell>
          <cell r="K404" t="str">
            <v>Ventes de marchandises</v>
          </cell>
          <cell r="L404" t="str">
            <v>Ventes de marchandises</v>
          </cell>
        </row>
        <row r="405">
          <cell r="D405">
            <v>15609.990000000002</v>
          </cell>
          <cell r="E405">
            <v>83363.01999999999</v>
          </cell>
          <cell r="K405" t="str">
            <v>Ventes de marchandises</v>
          </cell>
          <cell r="L405" t="str">
            <v>Ventes de marchandises</v>
          </cell>
        </row>
        <row r="406">
          <cell r="D406">
            <v>0</v>
          </cell>
          <cell r="E406">
            <v>206.75</v>
          </cell>
          <cell r="K406" t="str">
            <v>Production vendue (Biens et Services)</v>
          </cell>
          <cell r="L406" t="str">
            <v>Production vendue (Biens et Services)</v>
          </cell>
        </row>
        <row r="407">
          <cell r="D407">
            <v>-1084.5</v>
          </cell>
          <cell r="E407">
            <v>753</v>
          </cell>
          <cell r="K407" t="str">
            <v>Production stockée</v>
          </cell>
          <cell r="L407" t="str">
            <v>Production stockée</v>
          </cell>
        </row>
        <row r="408">
          <cell r="D408">
            <v>-6354.07</v>
          </cell>
          <cell r="E408">
            <v>8419.44</v>
          </cell>
          <cell r="K408" t="str">
            <v>Production stockée</v>
          </cell>
          <cell r="L408" t="str">
            <v>Production stockée</v>
          </cell>
        </row>
        <row r="409">
          <cell r="D409">
            <v>24.96</v>
          </cell>
          <cell r="E409">
            <v>428.13</v>
          </cell>
          <cell r="K409" t="str">
            <v>Production stockée</v>
          </cell>
          <cell r="L409" t="str">
            <v>Production stockée</v>
          </cell>
        </row>
        <row r="410">
          <cell r="D410">
            <v>0</v>
          </cell>
          <cell r="E410">
            <v>0</v>
          </cell>
          <cell r="K410" t="str">
            <v>Production immobilisée</v>
          </cell>
          <cell r="L410" t="str">
            <v>Production immobilisée</v>
          </cell>
        </row>
        <row r="411">
          <cell r="D411">
            <v>-39287.15</v>
          </cell>
          <cell r="E411">
            <v>-12298.67</v>
          </cell>
          <cell r="K411" t="str">
            <v>Production immobilisée</v>
          </cell>
          <cell r="L411" t="str">
            <v>Production immobilisée</v>
          </cell>
        </row>
        <row r="412">
          <cell r="D412">
            <v>-33809.339999999997</v>
          </cell>
          <cell r="E412">
            <v>-38438.400000000001</v>
          </cell>
          <cell r="K412" t="str">
            <v>Subventions d'exploitation</v>
          </cell>
          <cell r="L412" t="str">
            <v>Subventions d'exploitation</v>
          </cell>
        </row>
        <row r="413">
          <cell r="D413">
            <v>0</v>
          </cell>
          <cell r="E413">
            <v>0</v>
          </cell>
          <cell r="K413" t="str">
            <v>Autres produits</v>
          </cell>
          <cell r="L413" t="str">
            <v>Autres produits</v>
          </cell>
        </row>
        <row r="414">
          <cell r="D414">
            <v>-3225.65</v>
          </cell>
          <cell r="E414">
            <v>-7791.92</v>
          </cell>
          <cell r="K414" t="str">
            <v>Autres produits</v>
          </cell>
          <cell r="L414" t="str">
            <v>Autres produits</v>
          </cell>
        </row>
        <row r="415">
          <cell r="D415">
            <v>-8000</v>
          </cell>
          <cell r="E415">
            <v>-149.01</v>
          </cell>
          <cell r="K415" t="str">
            <v>Autres intérêts et produits assimilés</v>
          </cell>
          <cell r="L415" t="str">
            <v>Autres intérêts et produits assimilés</v>
          </cell>
        </row>
        <row r="416">
          <cell r="D416">
            <v>-5394.51</v>
          </cell>
          <cell r="E416">
            <v>-2558.16</v>
          </cell>
          <cell r="K416" t="str">
            <v>Autres intérêts et produits assimilés</v>
          </cell>
          <cell r="L416" t="str">
            <v>Autres intérêts et produits assimilés</v>
          </cell>
        </row>
        <row r="417">
          <cell r="D417">
            <v>-39</v>
          </cell>
          <cell r="E417">
            <v>-150.5</v>
          </cell>
          <cell r="K417" t="str">
            <v>Autres intérêts et produits assimilés</v>
          </cell>
          <cell r="L417" t="str">
            <v>Autres intérêts et produits assimilés</v>
          </cell>
        </row>
        <row r="418">
          <cell r="D418">
            <v>0</v>
          </cell>
          <cell r="E418">
            <v>-4.17</v>
          </cell>
          <cell r="K418" t="str">
            <v>Autres intérêts et produits assimilés</v>
          </cell>
          <cell r="L418" t="str">
            <v>Autres intérêts et produits assimilés</v>
          </cell>
        </row>
        <row r="419">
          <cell r="D419">
            <v>-90593.239999999991</v>
          </cell>
          <cell r="E419">
            <v>-51681.09</v>
          </cell>
          <cell r="K419" t="str">
            <v>Produits sur opérations en capital</v>
          </cell>
          <cell r="L419" t="str">
            <v>Produits sur opérations en capital</v>
          </cell>
        </row>
        <row r="420">
          <cell r="D420">
            <v>0</v>
          </cell>
          <cell r="E420">
            <v>-4500</v>
          </cell>
          <cell r="K420" t="str">
            <v>Reprises sur provisions d'exploitation</v>
          </cell>
          <cell r="L420" t="str">
            <v>Reprises sur provisions d'exploitation</v>
          </cell>
        </row>
        <row r="421">
          <cell r="D421">
            <v>-87975.47</v>
          </cell>
          <cell r="E421">
            <v>-61082.729999999996</v>
          </cell>
          <cell r="K421" t="str">
            <v>Reprises sur provisions d'exploitation</v>
          </cell>
          <cell r="L421" t="str">
            <v>Reprises sur provisions d'exploitation</v>
          </cell>
        </row>
        <row r="422">
          <cell r="D422">
            <v>-1227.71</v>
          </cell>
          <cell r="E422">
            <v>-1836.27</v>
          </cell>
          <cell r="K422" t="str">
            <v>Reprises sur provisions d'exploitation</v>
          </cell>
          <cell r="L422" t="str">
            <v>Reprises sur provisions d'exploitation</v>
          </cell>
        </row>
        <row r="423">
          <cell r="D423">
            <v>-275145.09000000003</v>
          </cell>
          <cell r="E423">
            <v>0</v>
          </cell>
          <cell r="K423" t="str">
            <v>Reprises sur dépréciations, provisions exceptionnelles</v>
          </cell>
          <cell r="L423" t="str">
            <v>Reprises sur dépréciations, provisions exceptionnelles</v>
          </cell>
        </row>
        <row r="424">
          <cell r="D424">
            <v>-20455.3</v>
          </cell>
          <cell r="E424">
            <v>-16640.010000000002</v>
          </cell>
          <cell r="K424" t="str">
            <v>Transfert de charges d'exploitation</v>
          </cell>
          <cell r="L424" t="str">
            <v>Transfert de charges d'exploitation</v>
          </cell>
        </row>
        <row r="425">
          <cell r="D425">
            <v>-1100.7</v>
          </cell>
          <cell r="E425">
            <v>-744.53</v>
          </cell>
          <cell r="K425" t="str">
            <v>Transfert de charges d'exploitation</v>
          </cell>
          <cell r="L425" t="str">
            <v>Transfert de charges d'exploitation</v>
          </cell>
        </row>
        <row r="426">
          <cell r="D426">
            <v>-943.5</v>
          </cell>
          <cell r="E426">
            <v>-943.5</v>
          </cell>
          <cell r="K426" t="str">
            <v>Transfert de charges d'exploitation</v>
          </cell>
          <cell r="L426" t="str">
            <v>Transfert de charges d'exploitation</v>
          </cell>
        </row>
        <row r="427">
          <cell r="D427">
            <v>0</v>
          </cell>
          <cell r="E427">
            <v>0</v>
          </cell>
          <cell r="K427" t="str">
            <v>Transfert de charges d'exploitation</v>
          </cell>
          <cell r="L427" t="str">
            <v>Transfert de charges d'exploitation</v>
          </cell>
        </row>
        <row r="428">
          <cell r="D428">
            <v>-4374.6400000000003</v>
          </cell>
          <cell r="E428">
            <v>-4711.68</v>
          </cell>
          <cell r="K428" t="str">
            <v>Transfert de charges d'exploitation</v>
          </cell>
          <cell r="L428" t="str">
            <v>Transfert de charges d'exploitation</v>
          </cell>
        </row>
        <row r="429">
          <cell r="D429">
            <v>0</v>
          </cell>
          <cell r="E429">
            <v>-97.61</v>
          </cell>
          <cell r="K429" t="str">
            <v>Transfert de charges d'exploitation</v>
          </cell>
          <cell r="L429" t="str">
            <v>Transfert de charges d'exploitation</v>
          </cell>
        </row>
        <row r="430">
          <cell r="D430">
            <v>-10716.75</v>
          </cell>
          <cell r="E430">
            <v>-3447.8300000000004</v>
          </cell>
          <cell r="K430" t="str">
            <v>Transfert de charges d'exploitation</v>
          </cell>
          <cell r="L430" t="str">
            <v>Transfert de charges d'exploitation</v>
          </cell>
        </row>
        <row r="431">
          <cell r="D431">
            <v>-57110.21</v>
          </cell>
          <cell r="E431">
            <v>-38149.880000000005</v>
          </cell>
          <cell r="K431" t="str">
            <v>Transfert de charges d'exploitation</v>
          </cell>
          <cell r="L431" t="str">
            <v>Transfert de charges d'exploitation</v>
          </cell>
        </row>
        <row r="432">
          <cell r="D432">
            <v>0</v>
          </cell>
          <cell r="E432">
            <v>-450</v>
          </cell>
          <cell r="K432" t="str">
            <v>Transfert de charges d'exploitation</v>
          </cell>
          <cell r="L432" t="str">
            <v>Transfert de charges d'exploitation</v>
          </cell>
        </row>
        <row r="433">
          <cell r="D433">
            <v>2615.83</v>
          </cell>
          <cell r="E433">
            <v>-2747.15</v>
          </cell>
          <cell r="K433" t="str">
            <v>Transfert de charges d'exploitation</v>
          </cell>
          <cell r="L433" t="str">
            <v>Transfert de charges d'exploitation</v>
          </cell>
        </row>
        <row r="434">
          <cell r="D434">
            <v>-14605.81</v>
          </cell>
          <cell r="E434">
            <v>-6943.79</v>
          </cell>
          <cell r="K434" t="str">
            <v>Transfert de charges d'exploitation</v>
          </cell>
          <cell r="L434" t="str">
            <v>Transfert de charges d'exploitation</v>
          </cell>
        </row>
        <row r="435">
          <cell r="D435">
            <v>-14544.45</v>
          </cell>
          <cell r="E435">
            <v>-2444.44</v>
          </cell>
          <cell r="K435" t="str">
            <v>Transfert de charges d'exploitation</v>
          </cell>
          <cell r="L435" t="str">
            <v>Transfert de charges d'exploitation</v>
          </cell>
        </row>
        <row r="436">
          <cell r="D436">
            <v>0</v>
          </cell>
          <cell r="E436">
            <v>-39</v>
          </cell>
          <cell r="K436" t="str">
            <v>Transfert de charges d'exploitation</v>
          </cell>
          <cell r="L436" t="str">
            <v>Transfert de charges d'exploitation</v>
          </cell>
        </row>
        <row r="437">
          <cell r="D437">
            <v>-261.72000000000003</v>
          </cell>
          <cell r="E437">
            <v>-1165.6500000000001</v>
          </cell>
          <cell r="K437" t="str">
            <v>Transfert de charges d'exploitation</v>
          </cell>
          <cell r="L437" t="str">
            <v>Transfert de charges d'exploitation</v>
          </cell>
        </row>
        <row r="438">
          <cell r="D438">
            <v>-11161.71</v>
          </cell>
          <cell r="E438">
            <v>-8441.15</v>
          </cell>
          <cell r="K438" t="str">
            <v>Transfert de charges d'exploitation</v>
          </cell>
          <cell r="L438" t="str">
            <v>Transfert de charges d'exploitation</v>
          </cell>
        </row>
        <row r="439">
          <cell r="D439">
            <v>-14349.28</v>
          </cell>
          <cell r="E439">
            <v>418.70000000000005</v>
          </cell>
          <cell r="K439" t="str">
            <v>Transfert de charges d'exploitation</v>
          </cell>
          <cell r="L439" t="str">
            <v>Transfert de charges d'exploitation</v>
          </cell>
        </row>
        <row r="440">
          <cell r="D440">
            <v>-1848</v>
          </cell>
          <cell r="E440">
            <v>0</v>
          </cell>
          <cell r="K440" t="str">
            <v>Transfert de charges d'exploitation</v>
          </cell>
          <cell r="L440" t="str">
            <v>Transfert de charges d'exploitation</v>
          </cell>
        </row>
        <row r="441">
          <cell r="D441">
            <v>-299702.81</v>
          </cell>
          <cell r="E441">
            <v>0</v>
          </cell>
          <cell r="K441" t="str">
            <v>Transfert de charges d'exploitation</v>
          </cell>
          <cell r="L441" t="str">
            <v>Transfert de charges d'exploitation</v>
          </cell>
        </row>
        <row r="444">
          <cell r="D444">
            <v>10737355.76</v>
          </cell>
          <cell r="E444">
            <v>10071374.630000005</v>
          </cell>
        </row>
        <row r="451">
          <cell r="D451">
            <v>60292.179999999702</v>
          </cell>
          <cell r="E451">
            <v>89410.030000012368</v>
          </cell>
        </row>
      </sheetData>
      <sheetData sheetId="2"/>
      <sheetData sheetId="3"/>
      <sheetData sheetId="4">
        <row r="10">
          <cell r="B10" t="str">
            <v>Capital souscrit non appelé</v>
          </cell>
          <cell r="D10">
            <v>0</v>
          </cell>
          <cell r="E10">
            <v>0</v>
          </cell>
        </row>
        <row r="12">
          <cell r="B12" t="str">
            <v>Frais d'établissement</v>
          </cell>
          <cell r="D12">
            <v>0</v>
          </cell>
          <cell r="E12">
            <v>0</v>
          </cell>
        </row>
        <row r="13">
          <cell r="B13" t="str">
            <v>Frais de recherche et développement</v>
          </cell>
          <cell r="D13">
            <v>0</v>
          </cell>
          <cell r="E13">
            <v>0</v>
          </cell>
        </row>
        <row r="14">
          <cell r="B14" t="str">
            <v>Concessions, brvts, licences, logiciels, drts &amp; val. similaire</v>
          </cell>
          <cell r="D14">
            <v>1182.1900000000023</v>
          </cell>
          <cell r="E14">
            <v>1343.4000000000015</v>
          </cell>
        </row>
        <row r="15">
          <cell r="B15" t="str">
            <v>Droit au bail</v>
          </cell>
          <cell r="D15">
            <v>0</v>
          </cell>
          <cell r="E15">
            <v>0</v>
          </cell>
        </row>
        <row r="16">
          <cell r="B16" t="str">
            <v>Fonds commercial</v>
          </cell>
          <cell r="D16">
            <v>12424.59</v>
          </cell>
          <cell r="E16">
            <v>12424.59</v>
          </cell>
        </row>
        <row r="17">
          <cell r="B17" t="str">
            <v>Autres immobilisations incorporelles</v>
          </cell>
          <cell r="D17">
            <v>0</v>
          </cell>
          <cell r="E17">
            <v>0</v>
          </cell>
        </row>
        <row r="18">
          <cell r="B18" t="str">
            <v>Immobilisations incorporelles en cours</v>
          </cell>
          <cell r="D18">
            <v>0</v>
          </cell>
          <cell r="E18">
            <v>0</v>
          </cell>
        </row>
        <row r="19">
          <cell r="B19" t="str">
            <v>Avances et acomptes sur immobilisations incorporelles</v>
          </cell>
          <cell r="D19">
            <v>0</v>
          </cell>
          <cell r="E19">
            <v>0</v>
          </cell>
        </row>
        <row r="20">
          <cell r="B20" t="str">
            <v>Immobilisations incorporelles</v>
          </cell>
          <cell r="D20">
            <v>13606.780000000002</v>
          </cell>
          <cell r="E20">
            <v>13767.990000000002</v>
          </cell>
        </row>
        <row r="22">
          <cell r="B22" t="str">
            <v>Terrains</v>
          </cell>
          <cell r="D22">
            <v>0</v>
          </cell>
          <cell r="E22">
            <v>0</v>
          </cell>
        </row>
        <row r="23">
          <cell r="B23" t="str">
            <v>Constructions</v>
          </cell>
          <cell r="D23">
            <v>318224.03000000003</v>
          </cell>
          <cell r="E23">
            <v>359368.61</v>
          </cell>
        </row>
        <row r="24">
          <cell r="B24" t="str">
            <v>Installations techniques, matériel et outillage industriels</v>
          </cell>
          <cell r="D24">
            <v>69458.170000000042</v>
          </cell>
          <cell r="E24">
            <v>46408.709999999985</v>
          </cell>
        </row>
        <row r="25">
          <cell r="B25" t="str">
            <v>Autres immobilisations corporelles</v>
          </cell>
          <cell r="D25">
            <v>392135.14999999991</v>
          </cell>
          <cell r="E25">
            <v>412578.69000000024</v>
          </cell>
        </row>
        <row r="26">
          <cell r="B26" t="str">
            <v>Immobilisations corporelles en cours</v>
          </cell>
          <cell r="D26">
            <v>310260.7</v>
          </cell>
          <cell r="E26">
            <v>8350</v>
          </cell>
        </row>
        <row r="27">
          <cell r="B27" t="str">
            <v>Avances et acomptes sur immobilisations corporelles</v>
          </cell>
          <cell r="D27">
            <v>0</v>
          </cell>
          <cell r="E27">
            <v>0</v>
          </cell>
        </row>
        <row r="28">
          <cell r="B28" t="str">
            <v>Immobilisations corporelles</v>
          </cell>
          <cell r="D28">
            <v>1090078.05</v>
          </cell>
          <cell r="E28">
            <v>826706.01000000024</v>
          </cell>
        </row>
        <row r="30">
          <cell r="B30" t="str">
            <v>Participations</v>
          </cell>
          <cell r="D30">
            <v>4300</v>
          </cell>
          <cell r="E30">
            <v>4300</v>
          </cell>
        </row>
        <row r="31">
          <cell r="B31" t="str">
            <v>Créances rattachées à des participations</v>
          </cell>
          <cell r="D31">
            <v>0</v>
          </cell>
          <cell r="E31">
            <v>0</v>
          </cell>
        </row>
        <row r="32">
          <cell r="B32" t="str">
            <v>Autres titres immobilisés</v>
          </cell>
          <cell r="D32">
            <v>0</v>
          </cell>
          <cell r="E32">
            <v>0</v>
          </cell>
        </row>
        <row r="33">
          <cell r="B33" t="str">
            <v>Prêts</v>
          </cell>
          <cell r="D33">
            <v>0</v>
          </cell>
          <cell r="E33">
            <v>0</v>
          </cell>
        </row>
        <row r="34">
          <cell r="B34" t="str">
            <v>Dépôts et cautionnements versés</v>
          </cell>
          <cell r="D34">
            <v>2095.79</v>
          </cell>
          <cell r="E34">
            <v>2095.79</v>
          </cell>
        </row>
        <row r="35">
          <cell r="B35" t="str">
            <v>Autres créances immobilisées</v>
          </cell>
          <cell r="D35">
            <v>0</v>
          </cell>
          <cell r="E35">
            <v>0</v>
          </cell>
        </row>
        <row r="36">
          <cell r="B36" t="str">
            <v>Immobilisations financières</v>
          </cell>
          <cell r="D36">
            <v>6395.79</v>
          </cell>
          <cell r="E36">
            <v>6395.79</v>
          </cell>
        </row>
        <row r="38">
          <cell r="B38" t="str">
            <v>Actif immobilisé net</v>
          </cell>
          <cell r="D38">
            <v>1110080.6200000001</v>
          </cell>
          <cell r="E38">
            <v>846869.79000000027</v>
          </cell>
        </row>
        <row r="40">
          <cell r="B40" t="str">
            <v>Matières premières et autres approvisionnements</v>
          </cell>
          <cell r="D40">
            <v>0</v>
          </cell>
          <cell r="E40">
            <v>0</v>
          </cell>
        </row>
        <row r="41">
          <cell r="B41" t="str">
            <v>En-cours de production (biens et services)</v>
          </cell>
          <cell r="D41">
            <v>10989.9</v>
          </cell>
          <cell r="E41">
            <v>3576.29</v>
          </cell>
        </row>
        <row r="42">
          <cell r="B42" t="str">
            <v>Produits intermédiaires et finis</v>
          </cell>
          <cell r="D42">
            <v>0</v>
          </cell>
          <cell r="E42">
            <v>0</v>
          </cell>
        </row>
        <row r="43">
          <cell r="B43" t="str">
            <v>Marchandises</v>
          </cell>
          <cell r="D43">
            <v>6904958.6100000013</v>
          </cell>
          <cell r="E43">
            <v>6818848.870000001</v>
          </cell>
        </row>
        <row r="44">
          <cell r="B44" t="str">
            <v>Stocks et en-cours</v>
          </cell>
          <cell r="D44">
            <v>6915948.5100000016</v>
          </cell>
          <cell r="E44">
            <v>6822425.1600000011</v>
          </cell>
        </row>
        <row r="46">
          <cell r="B46" t="str">
            <v>Avances et acomptes versés sur commandes</v>
          </cell>
          <cell r="D46">
            <v>473841.88</v>
          </cell>
          <cell r="E46">
            <v>538222.72</v>
          </cell>
        </row>
        <row r="48">
          <cell r="B48" t="str">
            <v>Clients et comptes rattachés</v>
          </cell>
          <cell r="D48">
            <v>1211463.6000000001</v>
          </cell>
          <cell r="E48">
            <v>911605.3600000001</v>
          </cell>
        </row>
        <row r="50">
          <cell r="B50" t="str">
            <v>Fournisseurs débiteurs</v>
          </cell>
          <cell r="D50">
            <v>471798.29</v>
          </cell>
          <cell r="E50">
            <v>456740.95</v>
          </cell>
        </row>
        <row r="51">
          <cell r="B51" t="str">
            <v>Créances sociales</v>
          </cell>
          <cell r="D51">
            <v>23.03</v>
          </cell>
          <cell r="E51">
            <v>6781.5300000000007</v>
          </cell>
        </row>
        <row r="52">
          <cell r="B52" t="str">
            <v>Créances fiscales</v>
          </cell>
          <cell r="D52">
            <v>325936.43</v>
          </cell>
          <cell r="E52">
            <v>70251.09</v>
          </cell>
        </row>
        <row r="53">
          <cell r="B53" t="str">
            <v>Comptes courants débiteurs</v>
          </cell>
          <cell r="D53">
            <v>24070.54</v>
          </cell>
          <cell r="E53">
            <v>150605.35</v>
          </cell>
        </row>
        <row r="54">
          <cell r="B54" t="str">
            <v>Créances diverses</v>
          </cell>
          <cell r="D54">
            <v>46501.899999999994</v>
          </cell>
          <cell r="E54">
            <v>38578.21</v>
          </cell>
        </row>
        <row r="55">
          <cell r="B55" t="str">
            <v>Autres créances</v>
          </cell>
          <cell r="D55">
            <v>868330.19000000006</v>
          </cell>
          <cell r="E55">
            <v>722957.13</v>
          </cell>
        </row>
        <row r="56">
          <cell r="B56" t="str">
            <v>Capital souscrit - appelé, non versé</v>
          </cell>
          <cell r="D56">
            <v>0</v>
          </cell>
          <cell r="E56">
            <v>0</v>
          </cell>
        </row>
        <row r="57">
          <cell r="B57" t="str">
            <v>Créances</v>
          </cell>
          <cell r="D57">
            <v>2079793.79</v>
          </cell>
          <cell r="E57">
            <v>1634562.4900000002</v>
          </cell>
        </row>
        <row r="59">
          <cell r="B59" t="str">
            <v>Valeurs mobilières de placement</v>
          </cell>
          <cell r="D59">
            <v>0</v>
          </cell>
          <cell r="E59">
            <v>0</v>
          </cell>
        </row>
        <row r="60">
          <cell r="B60" t="str">
            <v>Disponibilités</v>
          </cell>
          <cell r="D60">
            <v>129448.84</v>
          </cell>
          <cell r="E60">
            <v>218972.88</v>
          </cell>
        </row>
        <row r="61">
          <cell r="B61" t="str">
            <v>Trésorerie</v>
          </cell>
          <cell r="D61">
            <v>129448.84</v>
          </cell>
          <cell r="E61">
            <v>218972.88</v>
          </cell>
        </row>
        <row r="63">
          <cell r="B63" t="str">
            <v>Actif circulant</v>
          </cell>
          <cell r="D63">
            <v>9599033.0199999996</v>
          </cell>
          <cell r="E63">
            <v>9214183.2500000019</v>
          </cell>
        </row>
        <row r="65">
          <cell r="B65" t="str">
            <v>Charges constatées d'avance</v>
          </cell>
          <cell r="D65">
            <v>28242.12</v>
          </cell>
          <cell r="E65">
            <v>10321.59</v>
          </cell>
        </row>
        <row r="66">
          <cell r="B66" t="str">
            <v>Charges à répartir sur plusieurs exercices</v>
          </cell>
          <cell r="D66">
            <v>0</v>
          </cell>
          <cell r="E66">
            <v>0</v>
          </cell>
        </row>
        <row r="67">
          <cell r="B67" t="str">
            <v>Primes de remboursement des emprunts</v>
          </cell>
          <cell r="D67">
            <v>0</v>
          </cell>
          <cell r="E67">
            <v>0</v>
          </cell>
        </row>
        <row r="68">
          <cell r="B68" t="str">
            <v>Ecarts de conversion Actif</v>
          </cell>
          <cell r="D68">
            <v>0</v>
          </cell>
          <cell r="E68">
            <v>0</v>
          </cell>
        </row>
        <row r="69">
          <cell r="B69" t="str">
            <v>Comptes de régularisation</v>
          </cell>
          <cell r="D69">
            <v>28242.12</v>
          </cell>
          <cell r="E69">
            <v>10321.59</v>
          </cell>
        </row>
        <row r="71">
          <cell r="B71" t="str">
            <v>TOTAL ACTIF</v>
          </cell>
          <cell r="D71">
            <v>10737355.759999998</v>
          </cell>
          <cell r="E71">
            <v>10071374.630000001</v>
          </cell>
        </row>
      </sheetData>
      <sheetData sheetId="5">
        <row r="10">
          <cell r="B10" t="str">
            <v>Capital social</v>
          </cell>
          <cell r="D10">
            <v>1067144</v>
          </cell>
          <cell r="E10">
            <v>1067144</v>
          </cell>
        </row>
        <row r="11">
          <cell r="B11" t="str">
            <v>Primes d'émission, de fusion, d'apport</v>
          </cell>
          <cell r="D11">
            <v>0</v>
          </cell>
          <cell r="E11">
            <v>0</v>
          </cell>
        </row>
        <row r="12">
          <cell r="B12" t="str">
            <v>Ecarts de réévaluation</v>
          </cell>
          <cell r="D12">
            <v>0</v>
          </cell>
          <cell r="E12">
            <v>0</v>
          </cell>
        </row>
        <row r="13">
          <cell r="B13" t="str">
            <v>Ecart d'équivalence</v>
          </cell>
          <cell r="D13">
            <v>0</v>
          </cell>
          <cell r="E13">
            <v>0</v>
          </cell>
        </row>
        <row r="14">
          <cell r="B14" t="str">
            <v>Réserves</v>
          </cell>
          <cell r="D14">
            <v>938853.49</v>
          </cell>
          <cell r="E14">
            <v>919443.46</v>
          </cell>
        </row>
        <row r="15">
          <cell r="B15" t="str">
            <v>Report à nouveau</v>
          </cell>
          <cell r="D15">
            <v>0</v>
          </cell>
          <cell r="E15">
            <v>0</v>
          </cell>
        </row>
        <row r="16">
          <cell r="B16" t="str">
            <v>Résultat de l'exercice</v>
          </cell>
          <cell r="D16">
            <v>60292.179999999702</v>
          </cell>
          <cell r="E16">
            <v>89410.030000012368</v>
          </cell>
        </row>
        <row r="17">
          <cell r="B17" t="str">
            <v>Subventions d'investissement</v>
          </cell>
          <cell r="D17">
            <v>131720.59</v>
          </cell>
          <cell r="E17">
            <v>165529.93</v>
          </cell>
        </row>
        <row r="18">
          <cell r="B18" t="str">
            <v>Provisions réglementées</v>
          </cell>
          <cell r="D18">
            <v>0</v>
          </cell>
          <cell r="E18">
            <v>0</v>
          </cell>
        </row>
        <row r="19">
          <cell r="B19" t="str">
            <v>Capitaux propres</v>
          </cell>
          <cell r="D19">
            <v>2198010.2599999998</v>
          </cell>
          <cell r="E19">
            <v>2241527.4200000125</v>
          </cell>
        </row>
        <row r="21">
          <cell r="B21" t="str">
            <v>Produits des émissions de titres participatifs</v>
          </cell>
          <cell r="D21">
            <v>0</v>
          </cell>
          <cell r="E21">
            <v>0</v>
          </cell>
        </row>
        <row r="22">
          <cell r="B22" t="str">
            <v>Avances conditionnées</v>
          </cell>
          <cell r="D22">
            <v>0</v>
          </cell>
          <cell r="E22">
            <v>0</v>
          </cell>
        </row>
        <row r="23">
          <cell r="B23" t="str">
            <v>Autres fonds propres</v>
          </cell>
          <cell r="D23">
            <v>0</v>
          </cell>
          <cell r="E23">
            <v>0</v>
          </cell>
        </row>
        <row r="25">
          <cell r="B25" t="str">
            <v>Provisions pour risques</v>
          </cell>
          <cell r="D25">
            <v>80000</v>
          </cell>
          <cell r="E25">
            <v>275145.09000000003</v>
          </cell>
        </row>
        <row r="26">
          <cell r="B26" t="str">
            <v>Provisions pour charges</v>
          </cell>
          <cell r="D26">
            <v>0</v>
          </cell>
          <cell r="E26">
            <v>0</v>
          </cell>
        </row>
        <row r="27">
          <cell r="B27" t="str">
            <v>Provisions pour risques et charges</v>
          </cell>
          <cell r="D27">
            <v>80000</v>
          </cell>
          <cell r="E27">
            <v>275145.09000000003</v>
          </cell>
        </row>
        <row r="29">
          <cell r="B29" t="str">
            <v>Emprunts obligataires convertibles</v>
          </cell>
          <cell r="D29">
            <v>0</v>
          </cell>
          <cell r="E29">
            <v>0</v>
          </cell>
        </row>
        <row r="30">
          <cell r="B30" t="str">
            <v>Autres emprunts obligataires</v>
          </cell>
          <cell r="D30">
            <v>0</v>
          </cell>
          <cell r="E30">
            <v>0</v>
          </cell>
        </row>
        <row r="31">
          <cell r="B31" t="str">
            <v>Emprunts et dettes auprès d'établissements de crédit</v>
          </cell>
          <cell r="D31">
            <v>1658779.4000000001</v>
          </cell>
          <cell r="E31">
            <v>407434.09</v>
          </cell>
        </row>
        <row r="32">
          <cell r="B32" t="str">
            <v>Emprunts et dettes financières</v>
          </cell>
          <cell r="D32">
            <v>1304254.71</v>
          </cell>
          <cell r="E32">
            <v>654251.05000000005</v>
          </cell>
        </row>
        <row r="33">
          <cell r="B33" t="str">
            <v>Avances et acomptes reçus sur commandes en cours</v>
          </cell>
          <cell r="D33">
            <v>92754.14</v>
          </cell>
          <cell r="E33">
            <v>187704.63</v>
          </cell>
        </row>
        <row r="34">
          <cell r="B34" t="str">
            <v>Fournisseurs et comptes rattachés</v>
          </cell>
          <cell r="D34">
            <v>4906102.4799999995</v>
          </cell>
          <cell r="E34">
            <v>5717523.1099999994</v>
          </cell>
        </row>
        <row r="36">
          <cell r="B36" t="str">
            <v>Dettes sociales</v>
          </cell>
          <cell r="D36">
            <v>395493.82999999996</v>
          </cell>
          <cell r="E36">
            <v>444592.2</v>
          </cell>
        </row>
        <row r="37">
          <cell r="B37" t="str">
            <v>Dettes fiscales</v>
          </cell>
          <cell r="D37">
            <v>75597.239999999991</v>
          </cell>
          <cell r="E37">
            <v>87718.16</v>
          </cell>
        </row>
        <row r="38">
          <cell r="B38" t="str">
            <v>Dettes fiscales et sociales</v>
          </cell>
          <cell r="D38">
            <v>471091.06999999995</v>
          </cell>
          <cell r="E38">
            <v>532310.36</v>
          </cell>
        </row>
        <row r="39">
          <cell r="B39" t="str">
            <v>Dettes sur immobilisations et comptes rattachés</v>
          </cell>
          <cell r="D39">
            <v>0</v>
          </cell>
          <cell r="E39">
            <v>0</v>
          </cell>
        </row>
        <row r="41">
          <cell r="B41" t="str">
            <v>Clients créditeurs</v>
          </cell>
          <cell r="D41">
            <v>0</v>
          </cell>
          <cell r="E41">
            <v>0</v>
          </cell>
        </row>
        <row r="42">
          <cell r="B42" t="str">
            <v>Versements restant sur immobilisations financières</v>
          </cell>
          <cell r="D42">
            <v>0</v>
          </cell>
          <cell r="E42">
            <v>0</v>
          </cell>
        </row>
        <row r="43">
          <cell r="B43" t="str">
            <v>Dividendes à payer</v>
          </cell>
          <cell r="D43">
            <v>0</v>
          </cell>
          <cell r="E43">
            <v>0</v>
          </cell>
        </row>
        <row r="44">
          <cell r="B44" t="str">
            <v>Dettes diverses</v>
          </cell>
          <cell r="D44">
            <v>19504.7</v>
          </cell>
          <cell r="E44">
            <v>32622.44</v>
          </cell>
        </row>
        <row r="45">
          <cell r="B45" t="str">
            <v>Autres dettes</v>
          </cell>
          <cell r="D45">
            <v>19504.7</v>
          </cell>
          <cell r="E45">
            <v>32622.44</v>
          </cell>
        </row>
        <row r="46">
          <cell r="B46" t="str">
            <v>Dettes</v>
          </cell>
          <cell r="D46">
            <v>8452486.5</v>
          </cell>
          <cell r="E46">
            <v>7531845.6799999997</v>
          </cell>
        </row>
        <row r="48">
          <cell r="B48" t="str">
            <v>Produits constatés d'avance</v>
          </cell>
          <cell r="D48">
            <v>6859</v>
          </cell>
          <cell r="E48">
            <v>22856.440000000002</v>
          </cell>
        </row>
        <row r="49">
          <cell r="B49" t="str">
            <v>Ecarts de conversion Passif</v>
          </cell>
          <cell r="D49">
            <v>0</v>
          </cell>
          <cell r="E49">
            <v>0</v>
          </cell>
        </row>
        <row r="50">
          <cell r="B50" t="str">
            <v>Comptes de régularisation</v>
          </cell>
          <cell r="D50">
            <v>6859</v>
          </cell>
          <cell r="E50">
            <v>22856.440000000002</v>
          </cell>
        </row>
        <row r="52">
          <cell r="B52" t="str">
            <v>TOTAL PASSIF</v>
          </cell>
          <cell r="D52">
            <v>10737355.759999998</v>
          </cell>
          <cell r="E52">
            <v>10071374.63000001</v>
          </cell>
        </row>
      </sheetData>
      <sheetData sheetId="6">
        <row r="10">
          <cell r="B10" t="str">
            <v>Ventes de marchandises</v>
          </cell>
          <cell r="D10">
            <v>21926646.519999996</v>
          </cell>
          <cell r="E10">
            <v>26161583.580000002</v>
          </cell>
        </row>
        <row r="11">
          <cell r="B11" t="str">
            <v>Production vendue (Biens et Services)</v>
          </cell>
          <cell r="D11">
            <v>2150689.3699999992</v>
          </cell>
          <cell r="E11">
            <v>1941230.07</v>
          </cell>
        </row>
        <row r="12">
          <cell r="B12" t="str">
            <v>Chiffre d'affaires</v>
          </cell>
          <cell r="D12">
            <v>24077335.889999993</v>
          </cell>
          <cell r="E12">
            <v>28102813.650000002</v>
          </cell>
        </row>
        <row r="13">
          <cell r="B13" t="str">
            <v>Production stockée</v>
          </cell>
          <cell r="D13">
            <v>7413.61</v>
          </cell>
          <cell r="E13">
            <v>-9600.57</v>
          </cell>
        </row>
        <row r="14">
          <cell r="B14" t="str">
            <v>Production immobilisée</v>
          </cell>
          <cell r="D14">
            <v>39287.15</v>
          </cell>
          <cell r="E14">
            <v>12298.67</v>
          </cell>
        </row>
        <row r="15">
          <cell r="B15" t="str">
            <v>Produits nets partiels sur opérations à long terme</v>
          </cell>
          <cell r="D15">
            <v>0</v>
          </cell>
          <cell r="E15">
            <v>0</v>
          </cell>
        </row>
        <row r="16">
          <cell r="B16" t="str">
            <v>Subventions d'exploitation</v>
          </cell>
          <cell r="D16">
            <v>33809.339999999997</v>
          </cell>
          <cell r="E16">
            <v>38438.400000000001</v>
          </cell>
        </row>
        <row r="18">
          <cell r="B18" t="str">
            <v>Reprises sur provisions d'exploitation</v>
          </cell>
          <cell r="D18">
            <v>89203.180000000008</v>
          </cell>
          <cell r="E18">
            <v>67419</v>
          </cell>
        </row>
        <row r="19">
          <cell r="B19" t="str">
            <v>Transfert de charges d'exploitation</v>
          </cell>
          <cell r="D19">
            <v>448559.05</v>
          </cell>
          <cell r="E19">
            <v>86547.51999999999</v>
          </cell>
        </row>
        <row r="20">
          <cell r="B20" t="str">
            <v>Reprises sur provisions et transfert de charges</v>
          </cell>
          <cell r="D20">
            <v>537762.23</v>
          </cell>
          <cell r="E20">
            <v>153966.51999999999</v>
          </cell>
        </row>
        <row r="21">
          <cell r="B21" t="str">
            <v>Autres produits</v>
          </cell>
          <cell r="D21">
            <v>3225.65</v>
          </cell>
          <cell r="E21">
            <v>7791.92</v>
          </cell>
        </row>
        <row r="22">
          <cell r="B22" t="str">
            <v>Produits d'exploitation</v>
          </cell>
          <cell r="D22">
            <v>24698833.86999999</v>
          </cell>
          <cell r="E22">
            <v>28305708.590000004</v>
          </cell>
        </row>
        <row r="24">
          <cell r="B24" t="str">
            <v>Achats de marchandises</v>
          </cell>
          <cell r="D24">
            <v>-20266503.379999999</v>
          </cell>
          <cell r="E24">
            <v>-22987867.640000001</v>
          </cell>
        </row>
        <row r="25">
          <cell r="B25" t="str">
            <v>Variation de stocks de marchandises</v>
          </cell>
          <cell r="D25">
            <v>62931.329999999987</v>
          </cell>
          <cell r="E25">
            <v>-692972.05</v>
          </cell>
        </row>
        <row r="26">
          <cell r="B26" t="str">
            <v>Achat de matières premières et autres approvisionnements</v>
          </cell>
          <cell r="D26">
            <v>-35283.08</v>
          </cell>
          <cell r="E26">
            <v>-31214.170000000002</v>
          </cell>
        </row>
        <row r="27">
          <cell r="B27" t="str">
            <v>Variation de stocks</v>
          </cell>
          <cell r="D27">
            <v>0</v>
          </cell>
          <cell r="E27">
            <v>0</v>
          </cell>
        </row>
        <row r="28">
          <cell r="B28" t="str">
            <v>Autres achats et charges externes</v>
          </cell>
          <cell r="D28">
            <v>-1763659.6900000004</v>
          </cell>
          <cell r="E28">
            <v>-1642112.7799999998</v>
          </cell>
        </row>
        <row r="29">
          <cell r="B29" t="str">
            <v>Impôts, taxes et versements assimilés</v>
          </cell>
          <cell r="D29">
            <v>-178466.25999999998</v>
          </cell>
          <cell r="E29">
            <v>-189044.58</v>
          </cell>
        </row>
        <row r="31">
          <cell r="B31" t="str">
            <v>Salaires et traitements</v>
          </cell>
          <cell r="D31">
            <v>-1599807.32</v>
          </cell>
          <cell r="E31">
            <v>-1622857.0500000003</v>
          </cell>
        </row>
        <row r="32">
          <cell r="B32" t="str">
            <v>Charges sociales</v>
          </cell>
          <cell r="D32">
            <v>-818137.63999999966</v>
          </cell>
          <cell r="E32">
            <v>-717565.4600000002</v>
          </cell>
        </row>
        <row r="33">
          <cell r="B33" t="str">
            <v>Charges de personnel</v>
          </cell>
          <cell r="D33">
            <v>-2417944.96</v>
          </cell>
          <cell r="E33">
            <v>-2340422.5100000007</v>
          </cell>
        </row>
        <row r="35">
          <cell r="B35" t="str">
            <v>Dotations aux amortissements sur Immobilisations</v>
          </cell>
          <cell r="D35">
            <v>-203663.38</v>
          </cell>
          <cell r="E35">
            <v>-224184.25</v>
          </cell>
        </row>
        <row r="36">
          <cell r="B36" t="str">
            <v>Dotations aux dépréciations sur Immobilisations</v>
          </cell>
          <cell r="D36">
            <v>0</v>
          </cell>
          <cell r="E36">
            <v>0</v>
          </cell>
        </row>
        <row r="37">
          <cell r="B37" t="str">
            <v>Dotations aux dépréciations sur Actif circulant</v>
          </cell>
          <cell r="D37">
            <v>-66282.209999999992</v>
          </cell>
          <cell r="E37">
            <v>-89332.05</v>
          </cell>
        </row>
        <row r="38">
          <cell r="B38" t="str">
            <v>Dotations aux provisions pour risques et charges</v>
          </cell>
          <cell r="D38">
            <v>-80000</v>
          </cell>
          <cell r="E38">
            <v>0</v>
          </cell>
        </row>
        <row r="39">
          <cell r="B39" t="str">
            <v xml:space="preserve">Dotations aux amortissements, dépréciations et provisions </v>
          </cell>
          <cell r="D39">
            <v>-349945.58999999997</v>
          </cell>
          <cell r="E39">
            <v>-313516.3</v>
          </cell>
        </row>
        <row r="40">
          <cell r="B40" t="str">
            <v>Autres charges d'exploitation</v>
          </cell>
          <cell r="D40">
            <v>-5622.03</v>
          </cell>
          <cell r="E40">
            <v>-9077.880000000001</v>
          </cell>
        </row>
        <row r="41">
          <cell r="B41" t="str">
            <v>Charges d'exploitation</v>
          </cell>
          <cell r="D41">
            <v>-24954493.660000004</v>
          </cell>
          <cell r="E41">
            <v>-28206227.910000004</v>
          </cell>
        </row>
        <row r="43">
          <cell r="B43" t="str">
            <v>Résultat d'exploitation</v>
          </cell>
          <cell r="D43">
            <v>-255659.790000009</v>
          </cell>
          <cell r="E43">
            <v>99480.680000002889</v>
          </cell>
        </row>
        <row r="45">
          <cell r="B45" t="str">
            <v>Quotes-parts de résultat sur opérations faites en commun</v>
          </cell>
          <cell r="D45">
            <v>0</v>
          </cell>
          <cell r="E45">
            <v>0</v>
          </cell>
        </row>
        <row r="47">
          <cell r="B47" t="str">
            <v>Produits des participations</v>
          </cell>
          <cell r="D47">
            <v>0</v>
          </cell>
          <cell r="E47">
            <v>0</v>
          </cell>
        </row>
        <row r="48">
          <cell r="B48" t="str">
            <v>Produits d'autres valeurs mobilières et créances de l'actif immobilisé</v>
          </cell>
          <cell r="D48">
            <v>0</v>
          </cell>
          <cell r="E48">
            <v>0</v>
          </cell>
        </row>
        <row r="49">
          <cell r="B49" t="str">
            <v>Autres intérêts et produits assimilés</v>
          </cell>
          <cell r="D49">
            <v>13433.51</v>
          </cell>
          <cell r="E49">
            <v>2861.84</v>
          </cell>
        </row>
        <row r="51">
          <cell r="B51" t="str">
            <v>Reprises sur dépréciations, provisions financières</v>
          </cell>
          <cell r="D51">
            <v>0</v>
          </cell>
          <cell r="E51">
            <v>0</v>
          </cell>
        </row>
        <row r="52">
          <cell r="B52" t="str">
            <v>Tranfert de charges financières</v>
          </cell>
          <cell r="D52">
            <v>0</v>
          </cell>
          <cell r="E52">
            <v>0</v>
          </cell>
        </row>
        <row r="53">
          <cell r="B53" t="str">
            <v>Reprises sur dépréciations, provisions et tranfert de charges financières</v>
          </cell>
          <cell r="D53">
            <v>0</v>
          </cell>
          <cell r="E53">
            <v>0</v>
          </cell>
        </row>
        <row r="54">
          <cell r="B54" t="str">
            <v>Différences positives de change</v>
          </cell>
          <cell r="D54">
            <v>0</v>
          </cell>
          <cell r="E54">
            <v>0</v>
          </cell>
        </row>
        <row r="55">
          <cell r="B55" t="str">
            <v>Produits nets sur cessions de valeurs mobilières de placement</v>
          </cell>
          <cell r="D55">
            <v>0</v>
          </cell>
          <cell r="E55">
            <v>0</v>
          </cell>
        </row>
        <row r="56">
          <cell r="B56" t="str">
            <v>Produits financiers</v>
          </cell>
          <cell r="D56">
            <v>13433.51</v>
          </cell>
          <cell r="E56">
            <v>2861.84</v>
          </cell>
        </row>
        <row r="58">
          <cell r="B58" t="str">
            <v>Dotations aux amortissements, dépréciations et provisions financières</v>
          </cell>
          <cell r="D58">
            <v>0</v>
          </cell>
          <cell r="E58">
            <v>0</v>
          </cell>
        </row>
        <row r="59">
          <cell r="B59" t="str">
            <v>Intérêts et charges assimilées</v>
          </cell>
          <cell r="D59">
            <v>-23340.170000000002</v>
          </cell>
          <cell r="E59">
            <v>-51382.100000000006</v>
          </cell>
        </row>
        <row r="60">
          <cell r="B60" t="str">
            <v>Différences négatives de change</v>
          </cell>
          <cell r="D60">
            <v>0</v>
          </cell>
          <cell r="E60">
            <v>0</v>
          </cell>
        </row>
        <row r="61">
          <cell r="B61" t="str">
            <v>Charges nettes sur cessions de valeurs mobilières de placement</v>
          </cell>
          <cell r="D61">
            <v>0</v>
          </cell>
          <cell r="E61">
            <v>0</v>
          </cell>
        </row>
        <row r="62">
          <cell r="B62" t="str">
            <v>Charges financières</v>
          </cell>
          <cell r="D62">
            <v>-23340.170000000002</v>
          </cell>
          <cell r="E62">
            <v>-51382.100000000006</v>
          </cell>
        </row>
        <row r="64">
          <cell r="B64" t="str">
            <v>Résultat financier</v>
          </cell>
          <cell r="D64">
            <v>-9906.6600000000017</v>
          </cell>
          <cell r="E64">
            <v>-48520.260000000009</v>
          </cell>
        </row>
        <row r="66">
          <cell r="B66" t="str">
            <v>Résultat courant avant impôts</v>
          </cell>
          <cell r="D66">
            <v>-265566.45000000898</v>
          </cell>
          <cell r="E66">
            <v>50960.42000000288</v>
          </cell>
        </row>
        <row r="68">
          <cell r="B68" t="str">
            <v>Produits sur opérations de gestion</v>
          </cell>
          <cell r="D68">
            <v>0</v>
          </cell>
          <cell r="E68">
            <v>0</v>
          </cell>
        </row>
        <row r="69">
          <cell r="B69" t="str">
            <v>Produits sur opérations en capital</v>
          </cell>
          <cell r="D69">
            <v>90593.239999999991</v>
          </cell>
          <cell r="E69">
            <v>51681.09</v>
          </cell>
        </row>
        <row r="71">
          <cell r="B71" t="str">
            <v>Reprises sur dépréciations, provisions exceptionnelles</v>
          </cell>
          <cell r="D71">
            <v>275145.09000000003</v>
          </cell>
          <cell r="E71">
            <v>0</v>
          </cell>
        </row>
        <row r="72">
          <cell r="B72" t="str">
            <v>Tranfert de charges exceptionnelles</v>
          </cell>
          <cell r="D72">
            <v>0</v>
          </cell>
          <cell r="E72">
            <v>0</v>
          </cell>
        </row>
        <row r="73">
          <cell r="B73" t="str">
            <v>Reprises sur dépréciations, provisions et tranfert de charges financières</v>
          </cell>
          <cell r="D73">
            <v>275145.09000000003</v>
          </cell>
          <cell r="E73">
            <v>0</v>
          </cell>
        </row>
        <row r="74">
          <cell r="B74" t="str">
            <v xml:space="preserve">Produits exceptionnels </v>
          </cell>
          <cell r="D74">
            <v>365738.33</v>
          </cell>
          <cell r="E74">
            <v>51681.09</v>
          </cell>
        </row>
        <row r="76">
          <cell r="B76" t="str">
            <v>Charges sur opérations de gestion</v>
          </cell>
          <cell r="D76">
            <v>0</v>
          </cell>
          <cell r="E76">
            <v>-135</v>
          </cell>
        </row>
        <row r="77">
          <cell r="B77" t="str">
            <v>Charges sur opérations en capital</v>
          </cell>
          <cell r="D77">
            <v>-39879.699999999997</v>
          </cell>
          <cell r="E77">
            <v>-17561.8</v>
          </cell>
        </row>
        <row r="78">
          <cell r="B78" t="str">
            <v>Dotations aux amortissements, dépréciations et provisions exceptionnelles</v>
          </cell>
          <cell r="D78">
            <v>0</v>
          </cell>
          <cell r="E78">
            <v>0</v>
          </cell>
        </row>
        <row r="79">
          <cell r="B79" t="str">
            <v xml:space="preserve">Charges exceptionnelles </v>
          </cell>
          <cell r="D79">
            <v>-39879.699999999997</v>
          </cell>
          <cell r="E79">
            <v>-17696.8</v>
          </cell>
        </row>
        <row r="81">
          <cell r="B81" t="str">
            <v>Résultat exceptionnel</v>
          </cell>
          <cell r="D81">
            <v>325858.63</v>
          </cell>
          <cell r="E81">
            <v>33984.289999999994</v>
          </cell>
        </row>
        <row r="83">
          <cell r="B83" t="str">
            <v>Participation des salariés aux résultats</v>
          </cell>
          <cell r="D83">
            <v>0</v>
          </cell>
          <cell r="E83">
            <v>0</v>
          </cell>
        </row>
        <row r="84">
          <cell r="B84" t="str">
            <v>Impôts sur les bénéfices</v>
          </cell>
          <cell r="D84">
            <v>0</v>
          </cell>
          <cell r="E84">
            <v>4465.32</v>
          </cell>
        </row>
        <row r="86">
          <cell r="B86" t="str">
            <v>Résultat net</v>
          </cell>
          <cell r="D86">
            <v>60292.179999991044</v>
          </cell>
          <cell r="E86">
            <v>89410.03000000288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Balance N Vs N-1"/>
      <sheetName val="Bilan"/>
      <sheetName val="EBIT"/>
      <sheetName val="Actif détaillé"/>
      <sheetName val="Passif détaillé"/>
      <sheetName val="P&amp;L détaillé"/>
      <sheetName val="Tréso"/>
      <sheetName val="AACE"/>
      <sheetName val="A0"/>
      <sheetName val="C0"/>
      <sheetName val="E0"/>
      <sheetName val="F0"/>
      <sheetName val="I0"/>
      <sheetName val="P0"/>
      <sheetName val="S0"/>
      <sheetName val="T0"/>
      <sheetName val="V0"/>
      <sheetName val="X0"/>
    </sheetNames>
    <sheetDataSet>
      <sheetData sheetId="0"/>
      <sheetData sheetId="1">
        <row r="10">
          <cell r="D10">
            <v>-762000</v>
          </cell>
          <cell r="E10">
            <v>-762000</v>
          </cell>
          <cell r="K10" t="str">
            <v>Capital social</v>
          </cell>
          <cell r="L10" t="str">
            <v>Capital social</v>
          </cell>
        </row>
        <row r="11">
          <cell r="D11">
            <v>-76200</v>
          </cell>
          <cell r="E11">
            <v>-76200</v>
          </cell>
          <cell r="K11" t="str">
            <v>Réserves</v>
          </cell>
          <cell r="L11" t="str">
            <v>Réserves</v>
          </cell>
        </row>
        <row r="12">
          <cell r="D12">
            <v>-919590.43</v>
          </cell>
          <cell r="E12">
            <v>-879438.43</v>
          </cell>
          <cell r="K12" t="str">
            <v>Réserves</v>
          </cell>
          <cell r="L12" t="str">
            <v>Réserves</v>
          </cell>
        </row>
        <row r="13">
          <cell r="D13">
            <v>0.23</v>
          </cell>
          <cell r="E13">
            <v>0</v>
          </cell>
          <cell r="K13" t="str">
            <v>Résultat de l'exercice</v>
          </cell>
          <cell r="L13" t="str">
            <v>Résultat de l'exercice</v>
          </cell>
        </row>
        <row r="14">
          <cell r="D14">
            <v>-56486.28</v>
          </cell>
          <cell r="E14">
            <v>-45648.78</v>
          </cell>
          <cell r="K14" t="str">
            <v>Subventions d'investissement</v>
          </cell>
          <cell r="L14" t="str">
            <v>Subventions d'investissement</v>
          </cell>
        </row>
        <row r="15">
          <cell r="D15">
            <v>-229341.26</v>
          </cell>
          <cell r="E15">
            <v>-229341.26</v>
          </cell>
          <cell r="K15" t="str">
            <v>Subventions d'investissement</v>
          </cell>
          <cell r="L15" t="str">
            <v>Subventions d'investissement</v>
          </cell>
        </row>
        <row r="16">
          <cell r="D16">
            <v>43981.49</v>
          </cell>
          <cell r="E16">
            <v>36162.11</v>
          </cell>
          <cell r="K16" t="str">
            <v>Subventions d'investissement</v>
          </cell>
          <cell r="L16" t="str">
            <v>Subventions d'investissement</v>
          </cell>
        </row>
        <row r="17">
          <cell r="D17">
            <v>134279</v>
          </cell>
          <cell r="E17">
            <v>105416</v>
          </cell>
          <cell r="K17" t="str">
            <v>Subventions d'investissement</v>
          </cell>
          <cell r="L17" t="str">
            <v>Subventions d'investissement</v>
          </cell>
        </row>
        <row r="18">
          <cell r="D18">
            <v>-6000</v>
          </cell>
          <cell r="E18">
            <v>0</v>
          </cell>
          <cell r="K18" t="str">
            <v>Provisions pour risques</v>
          </cell>
          <cell r="L18" t="str">
            <v>Provisions pour risques</v>
          </cell>
        </row>
        <row r="19">
          <cell r="D19">
            <v>-12005</v>
          </cell>
          <cell r="E19">
            <v>-15200</v>
          </cell>
          <cell r="K19" t="str">
            <v>Provisions pour risques</v>
          </cell>
          <cell r="L19" t="str">
            <v>Provisions pour risques</v>
          </cell>
        </row>
        <row r="20">
          <cell r="D20">
            <v>-18450</v>
          </cell>
          <cell r="E20">
            <v>-2457</v>
          </cell>
          <cell r="K20" t="str">
            <v>Provisions pour risques</v>
          </cell>
          <cell r="L20" t="str">
            <v>Provisions pour risques</v>
          </cell>
        </row>
        <row r="21">
          <cell r="D21">
            <v>-24562.89</v>
          </cell>
          <cell r="E21">
            <v>-72472.92</v>
          </cell>
          <cell r="K21" t="str">
            <v>Emprunts et dettes auprès d'établissements de crédit</v>
          </cell>
          <cell r="L21" t="str">
            <v>Emprunts et dettes auprès d'établissements de crédit</v>
          </cell>
        </row>
        <row r="22">
          <cell r="D22">
            <v>-24980.81</v>
          </cell>
          <cell r="E22">
            <v>-22608.85</v>
          </cell>
          <cell r="K22" t="str">
            <v>Emprunts et dettes financières</v>
          </cell>
          <cell r="L22" t="str">
            <v>Emprunts et dettes financières</v>
          </cell>
        </row>
        <row r="23">
          <cell r="D23">
            <v>-52.57</v>
          </cell>
          <cell r="E23">
            <v>-155.12</v>
          </cell>
          <cell r="K23" t="str">
            <v>Emprunts et dettes financières</v>
          </cell>
          <cell r="L23" t="str">
            <v>Emprunts et dettes financières</v>
          </cell>
        </row>
        <row r="24">
          <cell r="D24">
            <v>-1000000</v>
          </cell>
          <cell r="E24">
            <v>-1000000</v>
          </cell>
          <cell r="K24" t="str">
            <v>Emprunts et dettes financières</v>
          </cell>
          <cell r="L24" t="str">
            <v>Emprunts et dettes financières</v>
          </cell>
        </row>
        <row r="25">
          <cell r="D25">
            <v>-140.91</v>
          </cell>
          <cell r="E25">
            <v>-131.30000000000001</v>
          </cell>
          <cell r="K25" t="str">
            <v>Emprunts et dettes auprès d'établissements de crédit</v>
          </cell>
          <cell r="L25" t="str">
            <v>Emprunts et dettes auprès d'établissements de crédit</v>
          </cell>
        </row>
        <row r="26">
          <cell r="D26">
            <v>49902.94</v>
          </cell>
          <cell r="E26">
            <v>47318.39</v>
          </cell>
          <cell r="K26" t="str">
            <v>Concessions, brvts, licences, logiciels, drts &amp; val. similaire</v>
          </cell>
          <cell r="L26" t="str">
            <v>Concessions, brvts, licences, logiciels, drts &amp; val. similaire</v>
          </cell>
        </row>
        <row r="27">
          <cell r="D27">
            <v>1372041.16</v>
          </cell>
          <cell r="E27">
            <v>1372041.16</v>
          </cell>
          <cell r="K27" t="str">
            <v>Fonds commercial</v>
          </cell>
          <cell r="L27" t="str">
            <v>Fonds commercial</v>
          </cell>
        </row>
        <row r="28">
          <cell r="D28">
            <v>580168.91</v>
          </cell>
          <cell r="E28">
            <v>511244.31</v>
          </cell>
          <cell r="K28" t="str">
            <v>Installations techniques, matériel et outillage industriels</v>
          </cell>
          <cell r="L28" t="str">
            <v>Installations techniques, matériel et outillage industriels</v>
          </cell>
        </row>
        <row r="29">
          <cell r="D29">
            <v>850029.29</v>
          </cell>
          <cell r="E29">
            <v>834129.27</v>
          </cell>
          <cell r="K29" t="str">
            <v>Autres immobilisations corporelles</v>
          </cell>
          <cell r="L29" t="str">
            <v>Autres immobilisations corporelles</v>
          </cell>
        </row>
        <row r="30">
          <cell r="D30">
            <v>658480.53</v>
          </cell>
          <cell r="E30">
            <v>601224.30000000005</v>
          </cell>
          <cell r="K30" t="str">
            <v>Autres immobilisations corporelles</v>
          </cell>
          <cell r="L30" t="str">
            <v>Autres immobilisations corporelles</v>
          </cell>
        </row>
        <row r="31">
          <cell r="D31">
            <v>0</v>
          </cell>
          <cell r="E31">
            <v>0</v>
          </cell>
          <cell r="K31" t="str">
            <v>Autres immobilisations corporelles</v>
          </cell>
          <cell r="L31" t="str">
            <v>Autres immobilisations corporelles</v>
          </cell>
        </row>
        <row r="32">
          <cell r="D32">
            <v>147348.85999999999</v>
          </cell>
          <cell r="E32">
            <v>144513.69</v>
          </cell>
          <cell r="K32" t="str">
            <v>Autres immobilisations corporelles</v>
          </cell>
          <cell r="L32" t="str">
            <v>Autres immobilisations corporelles</v>
          </cell>
        </row>
        <row r="33">
          <cell r="D33">
            <v>106343.45</v>
          </cell>
          <cell r="E33">
            <v>105569.85</v>
          </cell>
          <cell r="K33" t="str">
            <v>Autres immobilisations corporelles</v>
          </cell>
          <cell r="L33" t="str">
            <v>Autres immobilisations corporelles</v>
          </cell>
        </row>
        <row r="34">
          <cell r="D34">
            <v>4147.26</v>
          </cell>
          <cell r="E34">
            <v>0</v>
          </cell>
          <cell r="K34" t="str">
            <v>Immobilisations corporelles en cours</v>
          </cell>
          <cell r="L34" t="str">
            <v>Immobilisations corporelles en cours</v>
          </cell>
        </row>
        <row r="35">
          <cell r="D35">
            <v>50000</v>
          </cell>
          <cell r="E35">
            <v>50000</v>
          </cell>
          <cell r="K35" t="str">
            <v>Autres titres immobilisés</v>
          </cell>
          <cell r="L35" t="str">
            <v>Autres titres immobilisés</v>
          </cell>
        </row>
        <row r="36">
          <cell r="D36">
            <v>32537.16</v>
          </cell>
          <cell r="E36">
            <v>40526.949999999997</v>
          </cell>
          <cell r="K36" t="str">
            <v>Dépôts et cautionnements versés</v>
          </cell>
          <cell r="L36" t="str">
            <v>Dépôts et cautionnements versés</v>
          </cell>
        </row>
        <row r="37">
          <cell r="D37">
            <v>-47533.279999999999</v>
          </cell>
          <cell r="E37">
            <v>-41771.64</v>
          </cell>
          <cell r="K37" t="str">
            <v>Concessions, brvts, licences, logiciels, drts &amp; val. similaire</v>
          </cell>
          <cell r="L37" t="str">
            <v>Concessions, brvts, licences, logiciels, drts &amp; val. similaire</v>
          </cell>
        </row>
        <row r="38">
          <cell r="D38">
            <v>-480107.37</v>
          </cell>
          <cell r="E38">
            <v>-440985.89</v>
          </cell>
          <cell r="K38" t="str">
            <v>Installations techniques, matériel et outillage industriels</v>
          </cell>
          <cell r="L38" t="str">
            <v>Installations techniques, matériel et outillage industriels</v>
          </cell>
        </row>
        <row r="39">
          <cell r="D39">
            <v>-520652.29</v>
          </cell>
          <cell r="E39">
            <v>-477080.93</v>
          </cell>
          <cell r="K39" t="str">
            <v>Autres immobilisations corporelles</v>
          </cell>
          <cell r="L39" t="str">
            <v>Autres immobilisations corporelles</v>
          </cell>
        </row>
        <row r="40">
          <cell r="D40">
            <v>-165642.34</v>
          </cell>
          <cell r="E40">
            <v>-167104.43</v>
          </cell>
          <cell r="K40" t="str">
            <v>Autres immobilisations corporelles</v>
          </cell>
          <cell r="L40" t="str">
            <v>Autres immobilisations corporelles</v>
          </cell>
        </row>
        <row r="41">
          <cell r="D41">
            <v>-140244.01999999999</v>
          </cell>
          <cell r="E41">
            <v>-137114.18</v>
          </cell>
          <cell r="K41" t="str">
            <v>Autres immobilisations corporelles</v>
          </cell>
          <cell r="L41" t="str">
            <v>Autres immobilisations corporelles</v>
          </cell>
        </row>
        <row r="42">
          <cell r="D42">
            <v>-95490</v>
          </cell>
          <cell r="E42">
            <v>-86979.5</v>
          </cell>
          <cell r="K42" t="str">
            <v>Autres immobilisations corporelles</v>
          </cell>
          <cell r="L42" t="str">
            <v>Autres immobilisations corporelles</v>
          </cell>
        </row>
        <row r="43">
          <cell r="D43">
            <v>0</v>
          </cell>
          <cell r="E43">
            <v>-0.42</v>
          </cell>
          <cell r="K43" t="str">
            <v>Autres immobilisations corporelles</v>
          </cell>
          <cell r="L43" t="str">
            <v>Autres immobilisations corporelles</v>
          </cell>
        </row>
        <row r="44">
          <cell r="D44">
            <v>4330</v>
          </cell>
          <cell r="E44">
            <v>7175.7</v>
          </cell>
          <cell r="K44" t="str">
            <v>En-cours de production (biens et services)</v>
          </cell>
          <cell r="L44" t="str">
            <v>En-cours de production (biens et services)</v>
          </cell>
        </row>
        <row r="45">
          <cell r="D45">
            <v>8937289.4199999999</v>
          </cell>
          <cell r="E45">
            <v>9487173.1099999994</v>
          </cell>
          <cell r="K45" t="str">
            <v>Marchandises</v>
          </cell>
          <cell r="L45" t="str">
            <v>Marchandises</v>
          </cell>
        </row>
        <row r="46">
          <cell r="D46">
            <v>541540.18000000005</v>
          </cell>
          <cell r="E46">
            <v>1411854.67</v>
          </cell>
          <cell r="K46" t="str">
            <v>Marchandises</v>
          </cell>
          <cell r="L46" t="str">
            <v>Marchandises</v>
          </cell>
        </row>
        <row r="47">
          <cell r="D47">
            <v>2009641.95</v>
          </cell>
          <cell r="E47">
            <v>1430516.07</v>
          </cell>
          <cell r="K47" t="str">
            <v>Marchandises</v>
          </cell>
          <cell r="L47" t="str">
            <v>Marchandises</v>
          </cell>
        </row>
        <row r="48">
          <cell r="D48">
            <v>1121892.02</v>
          </cell>
          <cell r="E48">
            <v>975203.66</v>
          </cell>
          <cell r="K48" t="str">
            <v>Marchandises</v>
          </cell>
          <cell r="L48" t="str">
            <v>Marchandises</v>
          </cell>
        </row>
        <row r="49">
          <cell r="D49">
            <v>29564.75</v>
          </cell>
          <cell r="E49">
            <v>27076.95</v>
          </cell>
          <cell r="K49" t="str">
            <v>Marchandises</v>
          </cell>
          <cell r="L49" t="str">
            <v>Marchandises</v>
          </cell>
        </row>
        <row r="50">
          <cell r="D50">
            <v>6628.99</v>
          </cell>
          <cell r="E50">
            <v>6348.67</v>
          </cell>
          <cell r="K50" t="str">
            <v>Marchandises</v>
          </cell>
          <cell r="L50" t="str">
            <v>Marchandises</v>
          </cell>
        </row>
        <row r="51">
          <cell r="D51">
            <v>116887.3</v>
          </cell>
          <cell r="E51">
            <v>156508.87</v>
          </cell>
          <cell r="K51" t="str">
            <v>Marchandises</v>
          </cell>
          <cell r="L51" t="str">
            <v>Marchandises</v>
          </cell>
        </row>
        <row r="52">
          <cell r="D52">
            <v>18283.64</v>
          </cell>
          <cell r="E52">
            <v>12910.05</v>
          </cell>
          <cell r="K52" t="str">
            <v>Marchandises</v>
          </cell>
          <cell r="L52" t="str">
            <v>Marchandises</v>
          </cell>
        </row>
        <row r="53">
          <cell r="D53">
            <v>47143.21</v>
          </cell>
          <cell r="E53">
            <v>39149.4</v>
          </cell>
          <cell r="K53" t="str">
            <v>Marchandises</v>
          </cell>
          <cell r="L53" t="str">
            <v>Marchandises</v>
          </cell>
        </row>
        <row r="54">
          <cell r="D54">
            <v>14532.89</v>
          </cell>
          <cell r="E54">
            <v>12366.61</v>
          </cell>
          <cell r="K54" t="str">
            <v>Marchandises</v>
          </cell>
          <cell r="L54" t="str">
            <v>Marchandises</v>
          </cell>
        </row>
        <row r="55">
          <cell r="D55">
            <v>-2839</v>
          </cell>
          <cell r="E55">
            <v>-11349</v>
          </cell>
          <cell r="K55" t="str">
            <v>Marchandises</v>
          </cell>
          <cell r="L55" t="str">
            <v>Marchandises</v>
          </cell>
        </row>
        <row r="56">
          <cell r="D56">
            <v>-43451</v>
          </cell>
          <cell r="E56">
            <v>-51521</v>
          </cell>
          <cell r="K56" t="str">
            <v>Marchandises</v>
          </cell>
          <cell r="L56" t="str">
            <v>Marchandises</v>
          </cell>
        </row>
        <row r="57">
          <cell r="D57">
            <v>-41439</v>
          </cell>
          <cell r="E57">
            <v>-32412.89</v>
          </cell>
          <cell r="K57" t="str">
            <v>Marchandises</v>
          </cell>
          <cell r="L57" t="str">
            <v>Marchandises</v>
          </cell>
        </row>
        <row r="58">
          <cell r="D58">
            <v>-11580.47</v>
          </cell>
          <cell r="E58">
            <v>-13302.8</v>
          </cell>
          <cell r="K58" t="str">
            <v>Marchandises</v>
          </cell>
          <cell r="L58" t="str">
            <v>Marchandises</v>
          </cell>
        </row>
        <row r="59">
          <cell r="D59">
            <v>-12173579.050000001</v>
          </cell>
          <cell r="E59">
            <v>-12074689.6</v>
          </cell>
          <cell r="K59" t="str">
            <v>Fournisseurs et comptes rattachés</v>
          </cell>
          <cell r="L59" t="str">
            <v>Fournisseurs et comptes rattachés</v>
          </cell>
        </row>
        <row r="60">
          <cell r="D60">
            <v>-64036.34</v>
          </cell>
          <cell r="E60">
            <v>-50534.559999999998</v>
          </cell>
          <cell r="K60" t="str">
            <v>Fournisseurs et comptes rattachés</v>
          </cell>
          <cell r="L60" t="str">
            <v>Fournisseurs et comptes rattachés</v>
          </cell>
        </row>
        <row r="61">
          <cell r="D61">
            <v>-3020.4</v>
          </cell>
          <cell r="E61">
            <v>-7874.82</v>
          </cell>
          <cell r="K61" t="str">
            <v>Fournisseurs et comptes rattachés</v>
          </cell>
          <cell r="L61" t="str">
            <v>Fournisseurs et comptes rattachés</v>
          </cell>
        </row>
        <row r="62">
          <cell r="D62">
            <v>-262395.17</v>
          </cell>
          <cell r="E62">
            <v>-236073.54</v>
          </cell>
          <cell r="K62" t="str">
            <v>Fournisseurs et comptes rattachés</v>
          </cell>
          <cell r="L62" t="str">
            <v>Fournisseurs et comptes rattachés</v>
          </cell>
        </row>
        <row r="63">
          <cell r="D63">
            <v>-3241.69</v>
          </cell>
          <cell r="E63">
            <v>-6962.12</v>
          </cell>
          <cell r="K63" t="str">
            <v>Fournisseurs et comptes rattachés</v>
          </cell>
          <cell r="L63" t="str">
            <v>Fournisseurs et comptes rattachés</v>
          </cell>
        </row>
        <row r="64">
          <cell r="D64">
            <v>0</v>
          </cell>
          <cell r="E64">
            <v>-364557</v>
          </cell>
          <cell r="K64" t="str">
            <v>Avances et acomptes versés sur commandes</v>
          </cell>
          <cell r="L64" t="str">
            <v>Avances et acomptes versés sur commandes</v>
          </cell>
        </row>
        <row r="65">
          <cell r="D65">
            <v>0</v>
          </cell>
          <cell r="E65">
            <v>0</v>
          </cell>
          <cell r="K65" t="str">
            <v>Avances et acomptes versés sur commandes</v>
          </cell>
          <cell r="L65" t="str">
            <v>Avances et acomptes versés sur commandes</v>
          </cell>
        </row>
        <row r="66">
          <cell r="D66">
            <v>1818418.57</v>
          </cell>
          <cell r="E66">
            <v>1141055.28</v>
          </cell>
          <cell r="K66" t="str">
            <v>Avances et acomptes versés sur commandes</v>
          </cell>
          <cell r="L66" t="str">
            <v>Avances et acomptes versés sur commandes</v>
          </cell>
        </row>
        <row r="67">
          <cell r="D67">
            <v>0</v>
          </cell>
          <cell r="E67">
            <v>211206.65</v>
          </cell>
          <cell r="K67" t="str">
            <v>Avances et acomptes versés sur commandes</v>
          </cell>
          <cell r="L67" t="str">
            <v>Avances et acomptes versés sur commandes</v>
          </cell>
        </row>
        <row r="68">
          <cell r="D68">
            <v>2674921.23</v>
          </cell>
          <cell r="E68">
            <v>1563663.71</v>
          </cell>
          <cell r="K68" t="str">
            <v>Clients et comptes rattachés</v>
          </cell>
          <cell r="L68" t="str">
            <v>Clients et comptes rattachés</v>
          </cell>
        </row>
        <row r="69">
          <cell r="D69">
            <v>6282.77</v>
          </cell>
          <cell r="E69">
            <v>10218.85</v>
          </cell>
          <cell r="K69" t="str">
            <v>Clients et comptes rattachés</v>
          </cell>
          <cell r="L69" t="str">
            <v>Clients et comptes rattachés</v>
          </cell>
        </row>
        <row r="70">
          <cell r="D70">
            <v>35050.15</v>
          </cell>
          <cell r="E70">
            <v>27437.119999999999</v>
          </cell>
          <cell r="K70" t="str">
            <v>Clients et comptes rattachés</v>
          </cell>
          <cell r="L70" t="str">
            <v>Clients et comptes rattachés</v>
          </cell>
        </row>
        <row r="71">
          <cell r="D71">
            <v>-166847.88</v>
          </cell>
          <cell r="E71">
            <v>0</v>
          </cell>
          <cell r="K71" t="str">
            <v>Clients créditeurs</v>
          </cell>
          <cell r="L71" t="str">
            <v>Clients et comptes rattachés</v>
          </cell>
        </row>
        <row r="72">
          <cell r="D72">
            <v>0</v>
          </cell>
          <cell r="E72">
            <v>9188</v>
          </cell>
          <cell r="K72" t="str">
            <v>Clients et comptes rattachés</v>
          </cell>
          <cell r="L72" t="str">
            <v>Clients et comptes rattachés</v>
          </cell>
        </row>
        <row r="73">
          <cell r="D73">
            <v>631252.73</v>
          </cell>
          <cell r="E73">
            <v>687291.73</v>
          </cell>
          <cell r="K73" t="str">
            <v>Clients et comptes rattachés</v>
          </cell>
          <cell r="L73" t="str">
            <v>Clients et comptes rattachés</v>
          </cell>
        </row>
        <row r="74">
          <cell r="D74">
            <v>4376.3999999999996</v>
          </cell>
          <cell r="E74">
            <v>15568.3</v>
          </cell>
          <cell r="K74" t="str">
            <v>Clients et comptes rattachés</v>
          </cell>
          <cell r="L74" t="str">
            <v>Clients et comptes rattachés</v>
          </cell>
        </row>
        <row r="75">
          <cell r="D75">
            <v>0</v>
          </cell>
          <cell r="E75">
            <v>290792.53000000003</v>
          </cell>
          <cell r="K75" t="str">
            <v>Clients et comptes rattachés</v>
          </cell>
          <cell r="L75" t="str">
            <v>Clients et comptes rattachés</v>
          </cell>
        </row>
        <row r="76">
          <cell r="D76">
            <v>-117944.44</v>
          </cell>
          <cell r="E76">
            <v>-126714.6</v>
          </cell>
          <cell r="K76" t="str">
            <v>Avances et acomptes reçus sur commandes en cours</v>
          </cell>
          <cell r="L76" t="str">
            <v>Avances et acomptes reçus sur commandes en cours</v>
          </cell>
        </row>
        <row r="77">
          <cell r="D77">
            <v>-466951.67</v>
          </cell>
          <cell r="E77">
            <v>-479973.1</v>
          </cell>
          <cell r="K77" t="str">
            <v>Avances et acomptes reçus sur commandes en cours</v>
          </cell>
          <cell r="L77" t="str">
            <v>Avances et acomptes reçus sur commandes en cours</v>
          </cell>
        </row>
        <row r="78">
          <cell r="D78">
            <v>1136.4000000000001</v>
          </cell>
          <cell r="E78">
            <v>105.21</v>
          </cell>
          <cell r="K78" t="str">
            <v>Créances sociales</v>
          </cell>
          <cell r="L78" t="str">
            <v>Créances sociales</v>
          </cell>
        </row>
        <row r="79">
          <cell r="D79">
            <v>-3940.75</v>
          </cell>
          <cell r="E79">
            <v>-3970.81</v>
          </cell>
          <cell r="K79" t="str">
            <v>Dettes sociales</v>
          </cell>
          <cell r="L79" t="str">
            <v>Dettes sociales</v>
          </cell>
        </row>
        <row r="80">
          <cell r="D80">
            <v>0</v>
          </cell>
          <cell r="E80">
            <v>0</v>
          </cell>
          <cell r="K80" t="str">
            <v>Créances sociales</v>
          </cell>
          <cell r="L80" t="str">
            <v>Créances sociales</v>
          </cell>
        </row>
        <row r="81">
          <cell r="D81">
            <v>-120</v>
          </cell>
          <cell r="E81">
            <v>-212.25</v>
          </cell>
          <cell r="K81" t="str">
            <v>Dettes sociales</v>
          </cell>
          <cell r="L81" t="str">
            <v>Dettes sociales</v>
          </cell>
        </row>
        <row r="82">
          <cell r="D82">
            <v>-233812.71</v>
          </cell>
          <cell r="E82">
            <v>-215256.82</v>
          </cell>
          <cell r="K82" t="str">
            <v>Dettes sociales</v>
          </cell>
          <cell r="L82" t="str">
            <v>Dettes sociales</v>
          </cell>
        </row>
        <row r="83">
          <cell r="D83">
            <v>-14272.94</v>
          </cell>
          <cell r="E83">
            <v>-19495.46</v>
          </cell>
          <cell r="K83" t="str">
            <v>Dettes sociales</v>
          </cell>
          <cell r="L83" t="str">
            <v>Dettes sociales</v>
          </cell>
        </row>
        <row r="84">
          <cell r="D84">
            <v>0</v>
          </cell>
          <cell r="E84">
            <v>-53831.88</v>
          </cell>
          <cell r="K84" t="str">
            <v>Créances sociales</v>
          </cell>
          <cell r="L84" t="str">
            <v>Dettes sociales</v>
          </cell>
        </row>
        <row r="85">
          <cell r="D85">
            <v>-81196.990000000005</v>
          </cell>
          <cell r="E85">
            <v>-217985.9</v>
          </cell>
          <cell r="K85" t="str">
            <v>Dettes sociales</v>
          </cell>
          <cell r="L85" t="str">
            <v>Dettes sociales</v>
          </cell>
        </row>
        <row r="86">
          <cell r="D86">
            <v>-111664.89</v>
          </cell>
          <cell r="E86">
            <v>-116882.01</v>
          </cell>
          <cell r="K86" t="str">
            <v>Dettes sociales</v>
          </cell>
          <cell r="L86" t="str">
            <v>Dettes sociales</v>
          </cell>
        </row>
        <row r="87">
          <cell r="D87">
            <v>0</v>
          </cell>
          <cell r="E87">
            <v>141.65</v>
          </cell>
          <cell r="K87" t="str">
            <v>Créances sociales</v>
          </cell>
          <cell r="L87" t="str">
            <v>Créances sociales</v>
          </cell>
        </row>
        <row r="88">
          <cell r="D88">
            <v>0</v>
          </cell>
          <cell r="E88">
            <v>-16.45</v>
          </cell>
          <cell r="K88" t="str">
            <v>Créances sociales</v>
          </cell>
          <cell r="L88" t="str">
            <v>Dettes sociales</v>
          </cell>
        </row>
        <row r="89">
          <cell r="D89">
            <v>-35677.86</v>
          </cell>
          <cell r="E89">
            <v>-35963.67</v>
          </cell>
          <cell r="K89" t="str">
            <v>Dettes sociales</v>
          </cell>
          <cell r="L89" t="str">
            <v>Dettes sociales</v>
          </cell>
        </row>
        <row r="90">
          <cell r="D90">
            <v>-3483.36</v>
          </cell>
          <cell r="E90">
            <v>-3919.44</v>
          </cell>
          <cell r="K90" t="str">
            <v>Dettes sociales</v>
          </cell>
          <cell r="L90" t="str">
            <v>Dettes sociales</v>
          </cell>
        </row>
        <row r="91">
          <cell r="D91">
            <v>-198.44</v>
          </cell>
          <cell r="E91">
            <v>-260.26</v>
          </cell>
          <cell r="K91" t="str">
            <v>Dettes sociales</v>
          </cell>
          <cell r="L91" t="str">
            <v>Dettes sociales</v>
          </cell>
        </row>
        <row r="92">
          <cell r="D92">
            <v>-11091.98</v>
          </cell>
          <cell r="E92">
            <v>-9682.3700000000008</v>
          </cell>
          <cell r="K92" t="str">
            <v>Dettes sociales</v>
          </cell>
          <cell r="L92" t="str">
            <v>Dettes sociales</v>
          </cell>
        </row>
        <row r="93">
          <cell r="D93">
            <v>-6169.17</v>
          </cell>
          <cell r="E93">
            <v>-6897.27</v>
          </cell>
          <cell r="K93" t="str">
            <v>Dettes sociales</v>
          </cell>
          <cell r="L93" t="str">
            <v>Dettes sociales</v>
          </cell>
        </row>
        <row r="94">
          <cell r="D94">
            <v>-35680.959999999999</v>
          </cell>
          <cell r="E94">
            <v>-34368.93</v>
          </cell>
          <cell r="K94" t="str">
            <v>Dettes sociales</v>
          </cell>
          <cell r="L94" t="str">
            <v>Dettes sociales</v>
          </cell>
        </row>
        <row r="95">
          <cell r="D95">
            <v>-13380.85</v>
          </cell>
          <cell r="E95">
            <v>-12800.46</v>
          </cell>
          <cell r="K95" t="str">
            <v>Dettes sociales</v>
          </cell>
          <cell r="L95" t="str">
            <v>Dettes sociales</v>
          </cell>
        </row>
        <row r="96">
          <cell r="D96">
            <v>-24996.01</v>
          </cell>
          <cell r="E96">
            <v>-17730.27</v>
          </cell>
          <cell r="K96" t="str">
            <v>Dettes sociales</v>
          </cell>
          <cell r="L96" t="str">
            <v>Dettes sociales</v>
          </cell>
        </row>
        <row r="97">
          <cell r="D97">
            <v>0</v>
          </cell>
          <cell r="E97">
            <v>0</v>
          </cell>
          <cell r="K97" t="str">
            <v>Créances sociales</v>
          </cell>
          <cell r="L97" t="str">
            <v>Créances sociales</v>
          </cell>
        </row>
        <row r="98">
          <cell r="D98">
            <v>-20219.330000000002</v>
          </cell>
          <cell r="E98">
            <v>-18762.59</v>
          </cell>
          <cell r="K98" t="str">
            <v>Dettes sociales</v>
          </cell>
          <cell r="L98" t="str">
            <v>Dettes sociales</v>
          </cell>
        </row>
        <row r="99">
          <cell r="D99">
            <v>-75354.5</v>
          </cell>
          <cell r="E99">
            <v>-66923</v>
          </cell>
          <cell r="K99" t="str">
            <v>Dettes sociales</v>
          </cell>
          <cell r="L99" t="str">
            <v>Dettes sociales</v>
          </cell>
        </row>
        <row r="100">
          <cell r="D100">
            <v>0</v>
          </cell>
          <cell r="E100">
            <v>0</v>
          </cell>
          <cell r="K100" t="str">
            <v>Créances sociales</v>
          </cell>
          <cell r="L100" t="str">
            <v>Créances sociales</v>
          </cell>
        </row>
        <row r="101">
          <cell r="D101">
            <v>-112387.19</v>
          </cell>
          <cell r="E101">
            <v>-103089.46</v>
          </cell>
          <cell r="K101" t="str">
            <v>Dettes sociales</v>
          </cell>
          <cell r="L101" t="str">
            <v>Dettes sociales</v>
          </cell>
        </row>
        <row r="102">
          <cell r="D102">
            <v>-7571.22</v>
          </cell>
          <cell r="E102">
            <v>-10264.06</v>
          </cell>
          <cell r="K102" t="str">
            <v>Dettes sociales</v>
          </cell>
          <cell r="L102" t="str">
            <v>Dettes sociales</v>
          </cell>
        </row>
        <row r="103">
          <cell r="D103">
            <v>-40016.769999999997</v>
          </cell>
          <cell r="E103">
            <v>-124310.54</v>
          </cell>
          <cell r="K103" t="str">
            <v>Dettes sociales</v>
          </cell>
          <cell r="L103" t="str">
            <v>Dettes sociales</v>
          </cell>
        </row>
        <row r="104">
          <cell r="D104">
            <v>17960.18</v>
          </cell>
          <cell r="E104">
            <v>43135.29</v>
          </cell>
          <cell r="K104" t="str">
            <v>Créances sociales</v>
          </cell>
          <cell r="L104" t="str">
            <v>Créances sociales</v>
          </cell>
        </row>
        <row r="105">
          <cell r="D105">
            <v>-297340.09999999998</v>
          </cell>
          <cell r="E105">
            <v>1021289.6</v>
          </cell>
          <cell r="K105" t="str">
            <v>Dettes fiscales</v>
          </cell>
          <cell r="L105" t="str">
            <v>Créances fiscales</v>
          </cell>
        </row>
        <row r="106">
          <cell r="D106">
            <v>30000</v>
          </cell>
          <cell r="E106">
            <v>30509.4</v>
          </cell>
          <cell r="K106" t="str">
            <v>Créances fiscales</v>
          </cell>
          <cell r="L106" t="str">
            <v>Créances fiscales</v>
          </cell>
        </row>
        <row r="107">
          <cell r="D107">
            <v>1015718.74</v>
          </cell>
          <cell r="E107">
            <v>0</v>
          </cell>
          <cell r="K107" t="str">
            <v>Créances fiscales</v>
          </cell>
          <cell r="L107" t="str">
            <v>Créances fiscales</v>
          </cell>
        </row>
        <row r="108">
          <cell r="D108">
            <v>-606.33000000000004</v>
          </cell>
          <cell r="E108">
            <v>-602.6</v>
          </cell>
          <cell r="K108" t="str">
            <v>Dettes fiscales</v>
          </cell>
          <cell r="L108" t="str">
            <v>Dettes fiscales</v>
          </cell>
        </row>
        <row r="109">
          <cell r="D109">
            <v>0</v>
          </cell>
          <cell r="E109">
            <v>-80</v>
          </cell>
          <cell r="K109" t="str">
            <v>Créances fiscales</v>
          </cell>
          <cell r="L109" t="str">
            <v>Dettes fiscales</v>
          </cell>
        </row>
        <row r="110">
          <cell r="D110">
            <v>-37143.449999999997</v>
          </cell>
          <cell r="E110">
            <v>-20834.61</v>
          </cell>
          <cell r="K110" t="str">
            <v>Dettes fiscales</v>
          </cell>
          <cell r="L110" t="str">
            <v>Dettes fiscales</v>
          </cell>
        </row>
        <row r="111">
          <cell r="D111">
            <v>-35859.910000000003</v>
          </cell>
          <cell r="E111">
            <v>26620.02</v>
          </cell>
          <cell r="K111" t="str">
            <v>Dettes fiscales</v>
          </cell>
          <cell r="L111" t="str">
            <v>Créances fiscales</v>
          </cell>
        </row>
        <row r="112">
          <cell r="D112">
            <v>-235006.85</v>
          </cell>
          <cell r="E112">
            <v>-225377.05</v>
          </cell>
          <cell r="K112" t="str">
            <v>Dettes fiscales</v>
          </cell>
          <cell r="L112" t="str">
            <v>Dettes fiscales</v>
          </cell>
        </row>
        <row r="113">
          <cell r="D113">
            <v>-59919.48</v>
          </cell>
          <cell r="E113">
            <v>-5821.85</v>
          </cell>
          <cell r="K113" t="str">
            <v>Dettes fiscales</v>
          </cell>
          <cell r="L113" t="str">
            <v>Dettes fiscales</v>
          </cell>
        </row>
        <row r="114">
          <cell r="D114">
            <v>-1224.1400000000001</v>
          </cell>
          <cell r="E114">
            <v>-1152.05</v>
          </cell>
          <cell r="K114" t="str">
            <v>Dettes fiscales</v>
          </cell>
          <cell r="L114" t="str">
            <v>Dettes fiscales</v>
          </cell>
        </row>
        <row r="115">
          <cell r="D115">
            <v>0</v>
          </cell>
          <cell r="E115">
            <v>1835</v>
          </cell>
          <cell r="K115" t="str">
            <v>Créances fiscales</v>
          </cell>
          <cell r="L115" t="str">
            <v>Créances fiscales</v>
          </cell>
        </row>
        <row r="116">
          <cell r="D116">
            <v>126557.64</v>
          </cell>
          <cell r="E116">
            <v>0</v>
          </cell>
          <cell r="K116" t="str">
            <v>Créances fiscales</v>
          </cell>
          <cell r="L116" t="str">
            <v>Créances fiscales</v>
          </cell>
        </row>
        <row r="117">
          <cell r="D117">
            <v>-500000</v>
          </cell>
          <cell r="E117">
            <v>-500000</v>
          </cell>
          <cell r="K117" t="str">
            <v>Emprunts et dettes financières</v>
          </cell>
          <cell r="L117" t="str">
            <v>Emprunts et dettes financières</v>
          </cell>
        </row>
        <row r="118">
          <cell r="D118">
            <v>39435</v>
          </cell>
          <cell r="E118">
            <v>22904.68</v>
          </cell>
          <cell r="K118" t="str">
            <v>Comptes courants débiteurs</v>
          </cell>
          <cell r="L118" t="str">
            <v>Comptes courants débiteurs</v>
          </cell>
        </row>
        <row r="119">
          <cell r="D119">
            <v>0</v>
          </cell>
          <cell r="E119">
            <v>-1658351.96</v>
          </cell>
          <cell r="K119" t="str">
            <v>Comptes courants débiteurs</v>
          </cell>
          <cell r="L119" t="str">
            <v>Emprunts et dettes financières</v>
          </cell>
        </row>
        <row r="120">
          <cell r="D120">
            <v>0</v>
          </cell>
          <cell r="E120">
            <v>-1005651.67</v>
          </cell>
          <cell r="K120" t="str">
            <v>Comptes courants débiteurs</v>
          </cell>
          <cell r="L120" t="str">
            <v>Emprunts et dettes financières</v>
          </cell>
        </row>
        <row r="121">
          <cell r="D121">
            <v>0</v>
          </cell>
          <cell r="E121">
            <v>0</v>
          </cell>
          <cell r="K121" t="str">
            <v>Comptes courants débiteurs</v>
          </cell>
          <cell r="L121" t="str">
            <v>Comptes courants débiteurs</v>
          </cell>
        </row>
        <row r="122">
          <cell r="D122">
            <v>-38761.879999999997</v>
          </cell>
          <cell r="E122">
            <v>36544.36</v>
          </cell>
          <cell r="K122" t="str">
            <v>Dettes diverses</v>
          </cell>
          <cell r="L122" t="str">
            <v>Créances diverses</v>
          </cell>
        </row>
        <row r="123">
          <cell r="D123">
            <v>0</v>
          </cell>
          <cell r="E123">
            <v>55</v>
          </cell>
          <cell r="K123" t="str">
            <v>Créances diverses</v>
          </cell>
          <cell r="L123" t="str">
            <v>Créances diverses</v>
          </cell>
        </row>
        <row r="124">
          <cell r="D124">
            <v>-22434.959999999999</v>
          </cell>
          <cell r="E124">
            <v>-10505</v>
          </cell>
          <cell r="K124" t="str">
            <v>Dettes diverses</v>
          </cell>
          <cell r="L124" t="str">
            <v>Dettes diverses</v>
          </cell>
        </row>
        <row r="125">
          <cell r="D125">
            <v>420</v>
          </cell>
          <cell r="E125">
            <v>111.38</v>
          </cell>
          <cell r="K125" t="str">
            <v>Créances diverses</v>
          </cell>
          <cell r="L125" t="str">
            <v>Créances diverses</v>
          </cell>
        </row>
        <row r="126">
          <cell r="D126">
            <v>0</v>
          </cell>
          <cell r="E126">
            <v>-1</v>
          </cell>
          <cell r="K126" t="str">
            <v>Créances diverses</v>
          </cell>
          <cell r="L126" t="str">
            <v>Dettes diverses</v>
          </cell>
        </row>
        <row r="127">
          <cell r="D127">
            <v>-33</v>
          </cell>
          <cell r="E127">
            <v>-8</v>
          </cell>
          <cell r="K127" t="str">
            <v>Dettes diverses</v>
          </cell>
          <cell r="L127" t="str">
            <v>Dettes diverses</v>
          </cell>
        </row>
        <row r="128">
          <cell r="D128">
            <v>126000</v>
          </cell>
          <cell r="E128">
            <v>32600</v>
          </cell>
          <cell r="K128" t="str">
            <v>Créances diverses</v>
          </cell>
          <cell r="L128" t="str">
            <v>Créances diverses</v>
          </cell>
        </row>
        <row r="129">
          <cell r="D129">
            <v>6081.34</v>
          </cell>
          <cell r="E129">
            <v>29500</v>
          </cell>
          <cell r="K129" t="str">
            <v>Créances diverses</v>
          </cell>
          <cell r="L129" t="str">
            <v>Créances diverses</v>
          </cell>
        </row>
        <row r="130">
          <cell r="D130">
            <v>0</v>
          </cell>
          <cell r="E130">
            <v>0</v>
          </cell>
          <cell r="K130" t="str">
            <v>Créances diverses</v>
          </cell>
          <cell r="L130" t="str">
            <v>Créances diverses</v>
          </cell>
        </row>
        <row r="131">
          <cell r="D131">
            <v>331853.76</v>
          </cell>
          <cell r="E131">
            <v>222325.02</v>
          </cell>
          <cell r="K131" t="str">
            <v>Créances diverses</v>
          </cell>
          <cell r="L131" t="str">
            <v>Créances diverses</v>
          </cell>
        </row>
        <row r="132">
          <cell r="D132">
            <v>-0.02</v>
          </cell>
          <cell r="E132">
            <v>-0.01</v>
          </cell>
          <cell r="K132" t="str">
            <v>Dettes diverses</v>
          </cell>
          <cell r="L132" t="str">
            <v>Dettes diverses</v>
          </cell>
        </row>
        <row r="133">
          <cell r="D133">
            <v>101021.09</v>
          </cell>
          <cell r="E133">
            <v>36592.1</v>
          </cell>
          <cell r="K133" t="str">
            <v>Charges constatées d'avance</v>
          </cell>
          <cell r="L133" t="str">
            <v>Charges constatées d'avance</v>
          </cell>
        </row>
        <row r="134">
          <cell r="D134">
            <v>-191519.45</v>
          </cell>
          <cell r="E134">
            <v>-150646.72</v>
          </cell>
          <cell r="K134" t="str">
            <v>Produits constatés d'avance</v>
          </cell>
          <cell r="L134" t="str">
            <v>Produits constatés d'avance</v>
          </cell>
        </row>
        <row r="135">
          <cell r="D135">
            <v>-8380.6200000000008</v>
          </cell>
          <cell r="E135">
            <v>-7195.39</v>
          </cell>
          <cell r="K135" t="str">
            <v>Clients et comptes rattachés</v>
          </cell>
          <cell r="L135" t="str">
            <v>Clients et comptes rattachés</v>
          </cell>
        </row>
        <row r="136">
          <cell r="D136">
            <v>115245.54</v>
          </cell>
          <cell r="E136">
            <v>75303.77</v>
          </cell>
          <cell r="K136" t="str">
            <v>Disponibilités</v>
          </cell>
          <cell r="L136" t="str">
            <v>Disponibilités</v>
          </cell>
        </row>
        <row r="137">
          <cell r="D137">
            <v>0</v>
          </cell>
          <cell r="E137">
            <v>3376.88</v>
          </cell>
          <cell r="K137" t="str">
            <v>Disponibilités</v>
          </cell>
          <cell r="L137" t="str">
            <v>Disponibilités</v>
          </cell>
        </row>
        <row r="138">
          <cell r="D138">
            <v>-217300.29</v>
          </cell>
          <cell r="E138">
            <v>0</v>
          </cell>
          <cell r="K138" t="str">
            <v>Emprunts et dettes auprès d'établissements de crédit</v>
          </cell>
          <cell r="L138" t="str">
            <v>Disponibilités</v>
          </cell>
        </row>
        <row r="139">
          <cell r="D139">
            <v>-545089.72</v>
          </cell>
          <cell r="E139">
            <v>0</v>
          </cell>
          <cell r="K139" t="str">
            <v>Emprunts et dettes auprès d'établissements de crédit</v>
          </cell>
          <cell r="L139" t="str">
            <v>Disponibilités</v>
          </cell>
        </row>
        <row r="140">
          <cell r="D140">
            <v>-2181993.11</v>
          </cell>
          <cell r="E140">
            <v>0</v>
          </cell>
          <cell r="K140" t="str">
            <v>Emprunts et dettes auprès d'établissements de crédit</v>
          </cell>
          <cell r="L140" t="str">
            <v>Disponibilités</v>
          </cell>
        </row>
        <row r="141">
          <cell r="D141">
            <v>228.65</v>
          </cell>
          <cell r="E141">
            <v>228.65</v>
          </cell>
          <cell r="K141" t="str">
            <v>Disponibilités</v>
          </cell>
          <cell r="L141" t="str">
            <v>Disponibilités</v>
          </cell>
        </row>
        <row r="142">
          <cell r="D142">
            <v>795.1</v>
          </cell>
          <cell r="E142">
            <v>529.29</v>
          </cell>
          <cell r="K142" t="str">
            <v>Disponibilités</v>
          </cell>
          <cell r="L142" t="str">
            <v>Disponibilités</v>
          </cell>
        </row>
        <row r="143">
          <cell r="D143">
            <v>790593.43</v>
          </cell>
          <cell r="E143">
            <v>-2380506.27</v>
          </cell>
          <cell r="K143" t="str">
            <v>Variation de stocks de marchandises</v>
          </cell>
          <cell r="L143" t="str">
            <v>Variation de stocks de marchandises</v>
          </cell>
        </row>
        <row r="144">
          <cell r="D144">
            <v>375074.13</v>
          </cell>
          <cell r="E144">
            <v>478500.81</v>
          </cell>
          <cell r="K144" t="str">
            <v>Autres achats et charges externes</v>
          </cell>
          <cell r="L144" t="str">
            <v>Autres achats et charges externes</v>
          </cell>
        </row>
        <row r="145">
          <cell r="D145">
            <v>5076.47</v>
          </cell>
          <cell r="E145">
            <v>5154.7</v>
          </cell>
          <cell r="K145" t="str">
            <v>Autres achats et charges externes</v>
          </cell>
          <cell r="L145" t="str">
            <v>Autres achats et charges externes</v>
          </cell>
        </row>
        <row r="146">
          <cell r="D146">
            <v>104527.11</v>
          </cell>
          <cell r="E146">
            <v>100424.02</v>
          </cell>
          <cell r="K146" t="str">
            <v>Autres achats et charges externes</v>
          </cell>
          <cell r="L146" t="str">
            <v>Autres achats et charges externes</v>
          </cell>
        </row>
        <row r="147">
          <cell r="D147">
            <v>84549.49</v>
          </cell>
          <cell r="E147">
            <v>72377.88</v>
          </cell>
          <cell r="K147" t="str">
            <v>Autres achats et charges externes</v>
          </cell>
          <cell r="L147" t="str">
            <v>Autres achats et charges externes</v>
          </cell>
        </row>
        <row r="148">
          <cell r="D148">
            <v>37017.050000000003</v>
          </cell>
          <cell r="E148">
            <v>34046.1</v>
          </cell>
          <cell r="K148" t="str">
            <v>Autres achats et charges externes</v>
          </cell>
          <cell r="L148" t="str">
            <v>Autres achats et charges externes</v>
          </cell>
        </row>
        <row r="149">
          <cell r="D149">
            <v>20519.72</v>
          </cell>
          <cell r="E149">
            <v>26391.65</v>
          </cell>
          <cell r="K149" t="str">
            <v>Autres achats et charges externes</v>
          </cell>
          <cell r="L149" t="str">
            <v>Autres achats et charges externes</v>
          </cell>
        </row>
        <row r="150">
          <cell r="D150">
            <v>108.22</v>
          </cell>
          <cell r="E150">
            <v>0</v>
          </cell>
          <cell r="K150" t="str">
            <v>Autres achats et charges externes</v>
          </cell>
          <cell r="L150" t="str">
            <v>Autres achats et charges externes</v>
          </cell>
        </row>
        <row r="151">
          <cell r="D151">
            <v>92006.92</v>
          </cell>
          <cell r="E151">
            <v>82554.02</v>
          </cell>
          <cell r="K151" t="str">
            <v>Achats de marchandises</v>
          </cell>
          <cell r="L151" t="str">
            <v>Achats de marchandises</v>
          </cell>
        </row>
        <row r="152">
          <cell r="D152">
            <v>30248895.530000001</v>
          </cell>
          <cell r="E152">
            <v>28621601.760000002</v>
          </cell>
          <cell r="K152" t="str">
            <v>Achats de marchandises</v>
          </cell>
          <cell r="L152" t="str">
            <v>Achats de marchandises</v>
          </cell>
        </row>
        <row r="153">
          <cell r="D153">
            <v>3463521.36</v>
          </cell>
          <cell r="E153">
            <v>2797335.2</v>
          </cell>
          <cell r="K153" t="str">
            <v>Achats de marchandises</v>
          </cell>
          <cell r="L153" t="str">
            <v>Achats de marchandises</v>
          </cell>
        </row>
        <row r="154">
          <cell r="D154">
            <v>5381934.3700000001</v>
          </cell>
          <cell r="E154">
            <v>4886946.88</v>
          </cell>
          <cell r="K154" t="str">
            <v>Achats de marchandises</v>
          </cell>
          <cell r="L154" t="str">
            <v>Achats de marchandises</v>
          </cell>
        </row>
        <row r="155">
          <cell r="D155">
            <v>246390.17</v>
          </cell>
          <cell r="E155">
            <v>564769.84</v>
          </cell>
          <cell r="K155" t="str">
            <v>Achats de marchandises</v>
          </cell>
          <cell r="L155" t="str">
            <v>Achats de marchandises</v>
          </cell>
        </row>
        <row r="156">
          <cell r="D156">
            <v>1906336.87</v>
          </cell>
          <cell r="E156">
            <v>1039932.69</v>
          </cell>
          <cell r="K156" t="str">
            <v>Achats de marchandises</v>
          </cell>
          <cell r="L156" t="str">
            <v>Achats de marchandises</v>
          </cell>
        </row>
        <row r="157">
          <cell r="D157">
            <v>304407.24</v>
          </cell>
          <cell r="E157">
            <v>413143.65</v>
          </cell>
          <cell r="K157" t="str">
            <v>Achats de marchandises</v>
          </cell>
          <cell r="L157" t="str">
            <v>Achats de marchandises</v>
          </cell>
        </row>
        <row r="158">
          <cell r="D158">
            <v>0</v>
          </cell>
          <cell r="E158">
            <v>127.14</v>
          </cell>
          <cell r="K158" t="str">
            <v>Achats de marchandises</v>
          </cell>
          <cell r="L158" t="str">
            <v>Achats de marchandises</v>
          </cell>
        </row>
        <row r="159">
          <cell r="D159">
            <v>6459085.7800000003</v>
          </cell>
          <cell r="E159">
            <v>6090155.25</v>
          </cell>
          <cell r="K159" t="str">
            <v>Achats de marchandises</v>
          </cell>
          <cell r="L159" t="str">
            <v>Achats de marchandises</v>
          </cell>
        </row>
        <row r="160">
          <cell r="D160">
            <v>68896.009999999995</v>
          </cell>
          <cell r="E160">
            <v>80576.61</v>
          </cell>
          <cell r="K160" t="str">
            <v>Achats de marchandises</v>
          </cell>
          <cell r="L160" t="str">
            <v>Achats de marchandises</v>
          </cell>
        </row>
        <row r="161">
          <cell r="D161">
            <v>67210</v>
          </cell>
          <cell r="E161">
            <v>69927</v>
          </cell>
          <cell r="K161" t="str">
            <v>Achats de marchandises</v>
          </cell>
          <cell r="L161" t="str">
            <v>Achats de marchandises</v>
          </cell>
        </row>
        <row r="162">
          <cell r="D162">
            <v>-1044688.55</v>
          </cell>
          <cell r="E162">
            <v>-1011780.55</v>
          </cell>
          <cell r="K162" t="str">
            <v>Achats de marchandises</v>
          </cell>
          <cell r="L162" t="str">
            <v>Achats de marchandises</v>
          </cell>
        </row>
        <row r="163">
          <cell r="D163">
            <v>-200850</v>
          </cell>
          <cell r="E163">
            <v>-214696.25</v>
          </cell>
          <cell r="K163" t="str">
            <v>Achats de marchandises</v>
          </cell>
          <cell r="L163" t="str">
            <v>Achats de marchandises</v>
          </cell>
        </row>
        <row r="164">
          <cell r="D164">
            <v>-4401864.78</v>
          </cell>
          <cell r="E164">
            <v>-3108803.18</v>
          </cell>
          <cell r="K164" t="str">
            <v>Achats de marchandises</v>
          </cell>
          <cell r="L164" t="str">
            <v>Achats de marchandises</v>
          </cell>
        </row>
        <row r="165">
          <cell r="D165">
            <v>-627815.85</v>
          </cell>
          <cell r="E165">
            <v>-382872.56</v>
          </cell>
          <cell r="K165" t="str">
            <v>Achats de marchandises</v>
          </cell>
          <cell r="L165" t="str">
            <v>Achats de marchandises</v>
          </cell>
        </row>
        <row r="166">
          <cell r="D166">
            <v>-54178.73</v>
          </cell>
          <cell r="E166">
            <v>-491332.81</v>
          </cell>
          <cell r="K166" t="str">
            <v>Achats de marchandises</v>
          </cell>
          <cell r="L166" t="str">
            <v>Achats de marchandises</v>
          </cell>
        </row>
        <row r="167">
          <cell r="D167">
            <v>91874.46</v>
          </cell>
          <cell r="E167">
            <v>119296.08</v>
          </cell>
          <cell r="K167" t="str">
            <v>Autres achats et charges externes</v>
          </cell>
          <cell r="L167" t="str">
            <v>Autres achats et charges externes</v>
          </cell>
        </row>
        <row r="168">
          <cell r="D168">
            <v>19346.310000000001</v>
          </cell>
          <cell r="E168">
            <v>20306.98</v>
          </cell>
          <cell r="K168" t="str">
            <v>Autres achats et charges externes</v>
          </cell>
          <cell r="L168" t="str">
            <v>Autres achats et charges externes</v>
          </cell>
        </row>
        <row r="169">
          <cell r="D169">
            <v>21435.35</v>
          </cell>
          <cell r="E169">
            <v>21200.49</v>
          </cell>
          <cell r="K169" t="str">
            <v>Autres achats et charges externes</v>
          </cell>
          <cell r="L169" t="str">
            <v>Autres achats et charges externes</v>
          </cell>
        </row>
        <row r="170">
          <cell r="D170">
            <v>0</v>
          </cell>
          <cell r="E170">
            <v>0</v>
          </cell>
          <cell r="K170" t="str">
            <v>Autres achats et charges externes</v>
          </cell>
          <cell r="L170" t="str">
            <v>Autres achats et charges externes</v>
          </cell>
        </row>
        <row r="171">
          <cell r="D171">
            <v>4429.53</v>
          </cell>
          <cell r="E171">
            <v>0</v>
          </cell>
          <cell r="K171" t="str">
            <v>Autres achats et charges externes</v>
          </cell>
          <cell r="L171" t="str">
            <v>Autres achats et charges externes</v>
          </cell>
        </row>
        <row r="172">
          <cell r="D172">
            <v>53844.98</v>
          </cell>
          <cell r="E172">
            <v>21062</v>
          </cell>
          <cell r="K172" t="str">
            <v>Autres achats et charges externes</v>
          </cell>
          <cell r="L172" t="str">
            <v>Autres achats et charges externes</v>
          </cell>
        </row>
        <row r="173">
          <cell r="D173">
            <v>394294.78</v>
          </cell>
          <cell r="E173">
            <v>430139.76</v>
          </cell>
          <cell r="K173" t="str">
            <v>Autres achats et charges externes</v>
          </cell>
          <cell r="L173" t="str">
            <v>Autres achats et charges externes</v>
          </cell>
        </row>
        <row r="174">
          <cell r="D174">
            <v>22335.439999999999</v>
          </cell>
          <cell r="E174">
            <v>7432.01</v>
          </cell>
          <cell r="K174" t="str">
            <v>Autres achats et charges externes</v>
          </cell>
          <cell r="L174" t="str">
            <v>Autres achats et charges externes</v>
          </cell>
        </row>
        <row r="175">
          <cell r="D175">
            <v>11463.58</v>
          </cell>
          <cell r="E175">
            <v>0</v>
          </cell>
          <cell r="K175" t="str">
            <v>Autres achats et charges externes</v>
          </cell>
          <cell r="L175" t="str">
            <v>Autres achats et charges externes</v>
          </cell>
        </row>
        <row r="176">
          <cell r="D176">
            <v>73379.570000000007</v>
          </cell>
          <cell r="E176">
            <v>68090.91</v>
          </cell>
          <cell r="K176" t="str">
            <v>Autres achats et charges externes</v>
          </cell>
          <cell r="L176" t="str">
            <v>Autres achats et charges externes</v>
          </cell>
        </row>
        <row r="177">
          <cell r="D177">
            <v>61371.35</v>
          </cell>
          <cell r="E177">
            <v>59900.89</v>
          </cell>
          <cell r="K177" t="str">
            <v>Autres achats et charges externes</v>
          </cell>
          <cell r="L177" t="str">
            <v>Autres achats et charges externes</v>
          </cell>
        </row>
        <row r="178">
          <cell r="D178">
            <v>371.57</v>
          </cell>
          <cell r="E178">
            <v>1091.95</v>
          </cell>
          <cell r="K178" t="str">
            <v>Autres achats et charges externes</v>
          </cell>
          <cell r="L178" t="str">
            <v>Autres achats et charges externes</v>
          </cell>
        </row>
        <row r="179">
          <cell r="D179">
            <v>51273.18</v>
          </cell>
          <cell r="E179">
            <v>45295.96</v>
          </cell>
          <cell r="K179" t="str">
            <v>Autres achats et charges externes</v>
          </cell>
          <cell r="L179" t="str">
            <v>Autres achats et charges externes</v>
          </cell>
        </row>
        <row r="180">
          <cell r="D180">
            <v>17783.349999999999</v>
          </cell>
          <cell r="E180">
            <v>18995.59</v>
          </cell>
          <cell r="K180" t="str">
            <v>Autres achats et charges externes</v>
          </cell>
          <cell r="L180" t="str">
            <v>Autres achats et charges externes</v>
          </cell>
        </row>
        <row r="181">
          <cell r="D181">
            <v>19858.68</v>
          </cell>
          <cell r="E181">
            <v>20000.060000000001</v>
          </cell>
          <cell r="K181" t="str">
            <v>Autres achats et charges externes</v>
          </cell>
          <cell r="L181" t="str">
            <v>Autres achats et charges externes</v>
          </cell>
        </row>
        <row r="182">
          <cell r="D182">
            <v>31062.7</v>
          </cell>
          <cell r="E182">
            <v>0</v>
          </cell>
          <cell r="K182" t="str">
            <v>Autres achats et charges externes</v>
          </cell>
          <cell r="L182" t="str">
            <v>Autres achats et charges externes</v>
          </cell>
        </row>
        <row r="183">
          <cell r="D183">
            <v>42444.21</v>
          </cell>
          <cell r="E183">
            <v>76041.95</v>
          </cell>
          <cell r="K183" t="str">
            <v>Autres achats et charges externes</v>
          </cell>
          <cell r="L183" t="str">
            <v>Autres achats et charges externes</v>
          </cell>
        </row>
        <row r="184">
          <cell r="D184">
            <v>96534.99</v>
          </cell>
          <cell r="E184">
            <v>97462.39</v>
          </cell>
          <cell r="K184" t="str">
            <v>Autres achats et charges externes</v>
          </cell>
          <cell r="L184" t="str">
            <v>Autres achats et charges externes</v>
          </cell>
        </row>
        <row r="185">
          <cell r="D185">
            <v>126.34</v>
          </cell>
          <cell r="E185">
            <v>3664.23</v>
          </cell>
          <cell r="K185" t="str">
            <v>Autres achats et charges externes</v>
          </cell>
          <cell r="L185" t="str">
            <v>Autres achats et charges externes</v>
          </cell>
        </row>
        <row r="186">
          <cell r="D186">
            <v>34180.080000000002</v>
          </cell>
          <cell r="E186">
            <v>16673.68</v>
          </cell>
          <cell r="K186" t="str">
            <v>Autres achats et charges externes</v>
          </cell>
          <cell r="L186" t="str">
            <v>Autres achats et charges externes</v>
          </cell>
        </row>
        <row r="187">
          <cell r="D187">
            <v>914.21</v>
          </cell>
          <cell r="E187">
            <v>0</v>
          </cell>
          <cell r="K187" t="str">
            <v>Autres achats et charges externes</v>
          </cell>
          <cell r="L187" t="str">
            <v>Autres achats et charges externes</v>
          </cell>
        </row>
        <row r="188">
          <cell r="D188">
            <v>53290.66</v>
          </cell>
          <cell r="E188">
            <v>40183.46</v>
          </cell>
          <cell r="K188" t="str">
            <v>Autres achats et charges externes</v>
          </cell>
          <cell r="L188" t="str">
            <v>Autres achats et charges externes</v>
          </cell>
        </row>
        <row r="189">
          <cell r="D189">
            <v>586319.23</v>
          </cell>
          <cell r="E189">
            <v>575248.99</v>
          </cell>
          <cell r="K189" t="str">
            <v>Autres achats et charges externes</v>
          </cell>
          <cell r="L189" t="str">
            <v>Autres achats et charges externes</v>
          </cell>
        </row>
        <row r="190">
          <cell r="D190">
            <v>4860</v>
          </cell>
          <cell r="E190">
            <v>3113.98</v>
          </cell>
          <cell r="K190" t="str">
            <v>Autres achats et charges externes</v>
          </cell>
          <cell r="L190" t="str">
            <v>Autres achats et charges externes</v>
          </cell>
        </row>
        <row r="191">
          <cell r="D191">
            <v>18694.32</v>
          </cell>
          <cell r="E191">
            <v>14033.39</v>
          </cell>
          <cell r="K191" t="str">
            <v>Autres achats et charges externes</v>
          </cell>
          <cell r="L191" t="str">
            <v>Autres achats et charges externes</v>
          </cell>
        </row>
        <row r="192">
          <cell r="D192">
            <v>58.96</v>
          </cell>
          <cell r="E192">
            <v>13.13</v>
          </cell>
          <cell r="K192" t="str">
            <v>Autres achats et charges externes</v>
          </cell>
          <cell r="L192" t="str">
            <v>Autres achats et charges externes</v>
          </cell>
        </row>
        <row r="193">
          <cell r="D193">
            <v>347590.23</v>
          </cell>
          <cell r="E193">
            <v>378598.32</v>
          </cell>
          <cell r="K193" t="str">
            <v>Autres achats et charges externes</v>
          </cell>
          <cell r="L193" t="str">
            <v>Autres achats et charges externes</v>
          </cell>
        </row>
        <row r="194">
          <cell r="D194">
            <v>-12922.19</v>
          </cell>
          <cell r="E194">
            <v>16693.080000000002</v>
          </cell>
          <cell r="K194" t="str">
            <v>Autres achats et charges externes</v>
          </cell>
          <cell r="L194" t="str">
            <v>Autres achats et charges externes</v>
          </cell>
        </row>
        <row r="195">
          <cell r="D195">
            <v>119.8</v>
          </cell>
          <cell r="E195">
            <v>29.61</v>
          </cell>
          <cell r="K195" t="str">
            <v>Autres achats et charges externes</v>
          </cell>
          <cell r="L195" t="str">
            <v>Autres achats et charges externes</v>
          </cell>
        </row>
        <row r="196">
          <cell r="D196">
            <v>4133.5</v>
          </cell>
          <cell r="E196">
            <v>4311</v>
          </cell>
          <cell r="K196" t="str">
            <v>Autres achats et charges externes</v>
          </cell>
          <cell r="L196" t="str">
            <v>Autres achats et charges externes</v>
          </cell>
        </row>
        <row r="197">
          <cell r="D197">
            <v>60</v>
          </cell>
          <cell r="E197">
            <v>60</v>
          </cell>
          <cell r="K197" t="str">
            <v>Autres achats et charges externes</v>
          </cell>
          <cell r="L197" t="str">
            <v>Autres achats et charges externes</v>
          </cell>
        </row>
        <row r="198">
          <cell r="D198">
            <v>49863.7</v>
          </cell>
          <cell r="E198">
            <v>66072.94</v>
          </cell>
          <cell r="K198" t="str">
            <v>Autres achats et charges externes</v>
          </cell>
          <cell r="L198" t="str">
            <v>Autres achats et charges externes</v>
          </cell>
        </row>
        <row r="199">
          <cell r="D199">
            <v>18502.490000000002</v>
          </cell>
          <cell r="E199">
            <v>17805.07</v>
          </cell>
          <cell r="K199" t="str">
            <v>Autres achats et charges externes</v>
          </cell>
          <cell r="L199" t="str">
            <v>Autres achats et charges externes</v>
          </cell>
        </row>
        <row r="200">
          <cell r="D200">
            <v>66.66</v>
          </cell>
          <cell r="E200">
            <v>0</v>
          </cell>
          <cell r="K200" t="str">
            <v>Autres achats et charges externes</v>
          </cell>
          <cell r="L200" t="str">
            <v>Autres achats et charges externes</v>
          </cell>
        </row>
        <row r="201">
          <cell r="D201">
            <v>0</v>
          </cell>
          <cell r="E201">
            <v>10.19</v>
          </cell>
          <cell r="K201" t="str">
            <v>Autres achats et charges externes</v>
          </cell>
          <cell r="L201" t="str">
            <v>Autres achats et charges externes</v>
          </cell>
        </row>
        <row r="202">
          <cell r="D202">
            <v>20607.03</v>
          </cell>
          <cell r="E202">
            <v>23531.91</v>
          </cell>
          <cell r="K202" t="str">
            <v>Autres achats et charges externes</v>
          </cell>
          <cell r="L202" t="str">
            <v>Autres achats et charges externes</v>
          </cell>
        </row>
        <row r="203">
          <cell r="D203">
            <v>516.80999999999995</v>
          </cell>
          <cell r="E203">
            <v>500.28</v>
          </cell>
          <cell r="K203" t="str">
            <v>Autres achats et charges externes</v>
          </cell>
          <cell r="L203" t="str">
            <v>Autres achats et charges externes</v>
          </cell>
        </row>
        <row r="204">
          <cell r="D204">
            <v>46081.46</v>
          </cell>
          <cell r="E204">
            <v>39516.58</v>
          </cell>
          <cell r="K204" t="str">
            <v>Autres achats et charges externes</v>
          </cell>
          <cell r="L204" t="str">
            <v>Autres achats et charges externes</v>
          </cell>
        </row>
        <row r="205">
          <cell r="D205">
            <v>42975.11</v>
          </cell>
          <cell r="E205">
            <v>42309.27</v>
          </cell>
          <cell r="K205" t="str">
            <v>Autres achats et charges externes</v>
          </cell>
          <cell r="L205" t="str">
            <v>Autres achats et charges externes</v>
          </cell>
        </row>
        <row r="206">
          <cell r="D206">
            <v>0</v>
          </cell>
          <cell r="E206">
            <v>0</v>
          </cell>
          <cell r="K206" t="str">
            <v>Autres achats et charges externes</v>
          </cell>
          <cell r="L206" t="str">
            <v>Autres achats et charges externes</v>
          </cell>
        </row>
        <row r="207">
          <cell r="D207">
            <v>0</v>
          </cell>
          <cell r="E207">
            <v>4.12</v>
          </cell>
          <cell r="K207" t="str">
            <v>Autres achats et charges externes</v>
          </cell>
          <cell r="L207" t="str">
            <v>Autres achats et charges externes</v>
          </cell>
        </row>
        <row r="208">
          <cell r="D208">
            <v>17092.490000000002</v>
          </cell>
          <cell r="E208">
            <v>17054.939999999999</v>
          </cell>
          <cell r="K208" t="str">
            <v>Autres achats et charges externes</v>
          </cell>
          <cell r="L208" t="str">
            <v>Autres achats et charges externes</v>
          </cell>
        </row>
        <row r="209">
          <cell r="D209">
            <v>320150.03999999998</v>
          </cell>
          <cell r="E209">
            <v>296150.03999999998</v>
          </cell>
          <cell r="K209" t="str">
            <v>Autres achats et charges externes</v>
          </cell>
          <cell r="L209" t="str">
            <v>Autres achats et charges externes</v>
          </cell>
        </row>
        <row r="210">
          <cell r="D210">
            <v>678.82</v>
          </cell>
          <cell r="E210">
            <v>1171.8599999999999</v>
          </cell>
          <cell r="K210" t="str">
            <v>Autres achats et charges externes</v>
          </cell>
          <cell r="L210" t="str">
            <v>Autres achats et charges externes</v>
          </cell>
        </row>
        <row r="211">
          <cell r="D211">
            <v>4110.5</v>
          </cell>
          <cell r="E211">
            <v>4180.1400000000003</v>
          </cell>
          <cell r="K211" t="str">
            <v>Autres achats et charges externes</v>
          </cell>
          <cell r="L211" t="str">
            <v>Autres achats et charges externes</v>
          </cell>
        </row>
        <row r="212">
          <cell r="D212">
            <v>7654.91</v>
          </cell>
          <cell r="E212">
            <v>6636</v>
          </cell>
          <cell r="K212" t="str">
            <v>Autres achats et charges externes</v>
          </cell>
          <cell r="L212" t="str">
            <v>Autres achats et charges externes</v>
          </cell>
        </row>
        <row r="213">
          <cell r="D213">
            <v>346</v>
          </cell>
          <cell r="E213">
            <v>346</v>
          </cell>
          <cell r="K213" t="str">
            <v>Autres achats et charges externes</v>
          </cell>
          <cell r="L213" t="str">
            <v>Autres achats et charges externes</v>
          </cell>
        </row>
        <row r="214">
          <cell r="D214">
            <v>273.5</v>
          </cell>
          <cell r="E214">
            <v>408.45</v>
          </cell>
          <cell r="K214" t="str">
            <v>Autres achats et charges externes</v>
          </cell>
          <cell r="L214" t="str">
            <v>Autres achats et charges externes</v>
          </cell>
        </row>
        <row r="215">
          <cell r="D215">
            <v>284.2</v>
          </cell>
          <cell r="E215">
            <v>104.6</v>
          </cell>
          <cell r="K215" t="str">
            <v>Autres achats et charges externes</v>
          </cell>
          <cell r="L215" t="str">
            <v>Autres achats et charges externes</v>
          </cell>
        </row>
        <row r="216">
          <cell r="D216">
            <v>20219.7</v>
          </cell>
          <cell r="E216">
            <v>19342.86</v>
          </cell>
          <cell r="K216" t="str">
            <v>Impôts, taxes et versements assimilés</v>
          </cell>
          <cell r="L216" t="str">
            <v>Impôts, taxes et versements assimilés</v>
          </cell>
        </row>
        <row r="217">
          <cell r="D217">
            <v>105090.04</v>
          </cell>
          <cell r="E217">
            <v>75634.5</v>
          </cell>
          <cell r="K217" t="str">
            <v>Impôts, taxes et versements assimilés</v>
          </cell>
          <cell r="L217" t="str">
            <v>Impôts, taxes et versements assimilés</v>
          </cell>
        </row>
        <row r="218">
          <cell r="D218">
            <v>0</v>
          </cell>
          <cell r="E218">
            <v>1692.6</v>
          </cell>
          <cell r="K218" t="str">
            <v>Impôts, taxes et versements assimilés</v>
          </cell>
          <cell r="L218" t="str">
            <v>Impôts, taxes et versements assimilés</v>
          </cell>
        </row>
        <row r="219">
          <cell r="D219">
            <v>13381.22</v>
          </cell>
          <cell r="E219">
            <v>12800.68</v>
          </cell>
          <cell r="K219" t="str">
            <v>Impôts, taxes et versements assimilés</v>
          </cell>
          <cell r="L219" t="str">
            <v>Impôts, taxes et versements assimilés</v>
          </cell>
        </row>
        <row r="220">
          <cell r="D220">
            <v>106261</v>
          </cell>
          <cell r="E220">
            <v>107235</v>
          </cell>
          <cell r="K220" t="str">
            <v>Impôts, taxes et versements assimilés</v>
          </cell>
          <cell r="L220" t="str">
            <v>Impôts, taxes et versements assimilés</v>
          </cell>
        </row>
        <row r="221">
          <cell r="D221">
            <v>46539</v>
          </cell>
          <cell r="E221">
            <v>46998</v>
          </cell>
          <cell r="K221" t="str">
            <v>Impôts, taxes et versements assimilés</v>
          </cell>
          <cell r="L221" t="str">
            <v>Impôts, taxes et versements assimilés</v>
          </cell>
        </row>
        <row r="222">
          <cell r="D222">
            <v>0</v>
          </cell>
          <cell r="E222">
            <v>3106.67</v>
          </cell>
          <cell r="K222" t="str">
            <v>Impôts, taxes et versements assimilés</v>
          </cell>
          <cell r="L222" t="str">
            <v>Impôts, taxes et versements assimilés</v>
          </cell>
        </row>
        <row r="223">
          <cell r="D223">
            <v>50863.16</v>
          </cell>
          <cell r="E223">
            <v>34284.47</v>
          </cell>
          <cell r="K223" t="str">
            <v>Impôts, taxes et versements assimilés</v>
          </cell>
          <cell r="L223" t="str">
            <v>Impôts, taxes et versements assimilés</v>
          </cell>
        </row>
        <row r="224">
          <cell r="D224">
            <v>45772</v>
          </cell>
          <cell r="E224">
            <v>37503</v>
          </cell>
          <cell r="K224" t="str">
            <v>Impôts, taxes et versements assimilés</v>
          </cell>
          <cell r="L224" t="str">
            <v>Impôts, taxes et versements assimilés</v>
          </cell>
        </row>
        <row r="225">
          <cell r="D225">
            <v>29582.5</v>
          </cell>
          <cell r="E225">
            <v>29420</v>
          </cell>
          <cell r="K225" t="str">
            <v>Impôts, taxes et versements assimilés</v>
          </cell>
          <cell r="L225" t="str">
            <v>Impôts, taxes et versements assimilés</v>
          </cell>
        </row>
        <row r="226">
          <cell r="D226">
            <v>1956</v>
          </cell>
          <cell r="E226">
            <v>1956</v>
          </cell>
          <cell r="K226" t="str">
            <v>Impôts, taxes et versements assimilés</v>
          </cell>
          <cell r="L226" t="str">
            <v>Impôts, taxes et versements assimilés</v>
          </cell>
        </row>
        <row r="227">
          <cell r="D227">
            <v>138</v>
          </cell>
          <cell r="E227">
            <v>137</v>
          </cell>
          <cell r="K227" t="str">
            <v>Impôts, taxes et versements assimilés</v>
          </cell>
          <cell r="L227" t="str">
            <v>Impôts, taxes et versements assimilés</v>
          </cell>
        </row>
        <row r="228">
          <cell r="D228">
            <v>3522.37</v>
          </cell>
          <cell r="E228">
            <v>0</v>
          </cell>
          <cell r="K228" t="str">
            <v>Impôts, taxes et versements assimilés</v>
          </cell>
          <cell r="L228" t="str">
            <v>Impôts, taxes et versements assimilés</v>
          </cell>
        </row>
        <row r="229">
          <cell r="D229">
            <v>1811042.91</v>
          </cell>
          <cell r="E229">
            <v>1883501.66</v>
          </cell>
          <cell r="K229" t="str">
            <v>Salaires et traitements</v>
          </cell>
          <cell r="L229" t="str">
            <v>Salaires et traitements</v>
          </cell>
        </row>
        <row r="230">
          <cell r="D230">
            <v>236854.65</v>
          </cell>
          <cell r="E230">
            <v>233610.02</v>
          </cell>
          <cell r="K230" t="str">
            <v>Salaires et traitements</v>
          </cell>
          <cell r="L230" t="str">
            <v>Salaires et traitements</v>
          </cell>
        </row>
        <row r="231">
          <cell r="D231">
            <v>737712.18</v>
          </cell>
          <cell r="E231">
            <v>670821.31000000006</v>
          </cell>
          <cell r="K231" t="str">
            <v>Salaires et traitements</v>
          </cell>
          <cell r="L231" t="str">
            <v>Salaires et traitements</v>
          </cell>
        </row>
        <row r="232">
          <cell r="D232">
            <v>281.68</v>
          </cell>
          <cell r="E232">
            <v>0</v>
          </cell>
          <cell r="K232" t="str">
            <v>Salaires et traitements</v>
          </cell>
          <cell r="L232" t="str">
            <v>Salaires et traitements</v>
          </cell>
        </row>
        <row r="233">
          <cell r="D233">
            <v>0</v>
          </cell>
          <cell r="E233">
            <v>26.99</v>
          </cell>
          <cell r="K233" t="str">
            <v>Salaires et traitements</v>
          </cell>
          <cell r="L233" t="str">
            <v>Salaires et traitements</v>
          </cell>
        </row>
        <row r="234">
          <cell r="D234">
            <v>520.55999999999995</v>
          </cell>
          <cell r="E234">
            <v>8.52</v>
          </cell>
          <cell r="K234" t="str">
            <v>Salaires et traitements</v>
          </cell>
          <cell r="L234" t="str">
            <v>Salaires et traitements</v>
          </cell>
        </row>
        <row r="235">
          <cell r="D235">
            <v>2498.65</v>
          </cell>
          <cell r="E235">
            <v>40.89</v>
          </cell>
          <cell r="K235" t="str">
            <v>Salaires et traitements</v>
          </cell>
          <cell r="L235" t="str">
            <v>Salaires et traitements</v>
          </cell>
        </row>
        <row r="236">
          <cell r="D236">
            <v>35811.56</v>
          </cell>
          <cell r="E236">
            <v>33337.97</v>
          </cell>
          <cell r="K236" t="str">
            <v>Salaires et traitements</v>
          </cell>
          <cell r="L236" t="str">
            <v>Salaires et traitements</v>
          </cell>
        </row>
        <row r="237">
          <cell r="D237">
            <v>819009.17</v>
          </cell>
          <cell r="E237">
            <v>845343.74</v>
          </cell>
          <cell r="K237" t="str">
            <v>Charges sociales</v>
          </cell>
          <cell r="L237" t="str">
            <v>Charges sociales</v>
          </cell>
        </row>
        <row r="238">
          <cell r="D238">
            <v>294.08999999999997</v>
          </cell>
          <cell r="E238">
            <v>0</v>
          </cell>
          <cell r="K238" t="str">
            <v>Charges sociales</v>
          </cell>
          <cell r="L238" t="str">
            <v>Charges sociales</v>
          </cell>
        </row>
        <row r="239">
          <cell r="D239">
            <v>20545.009999999998</v>
          </cell>
          <cell r="E239">
            <v>18560.41</v>
          </cell>
          <cell r="K239" t="str">
            <v>Charges sociales</v>
          </cell>
          <cell r="L239" t="str">
            <v>Charges sociales</v>
          </cell>
        </row>
        <row r="240">
          <cell r="D240">
            <v>324490.82</v>
          </cell>
          <cell r="E240">
            <v>318409.82</v>
          </cell>
          <cell r="K240" t="str">
            <v>Charges sociales</v>
          </cell>
          <cell r="L240" t="str">
            <v>Charges sociales</v>
          </cell>
        </row>
        <row r="241">
          <cell r="D241">
            <v>10403.68</v>
          </cell>
          <cell r="E241">
            <v>14338.8</v>
          </cell>
          <cell r="K241" t="str">
            <v>Charges sociales</v>
          </cell>
          <cell r="L241" t="str">
            <v>Charges sociales</v>
          </cell>
        </row>
        <row r="242">
          <cell r="D242">
            <v>54336.01</v>
          </cell>
          <cell r="E242">
            <v>54077.99</v>
          </cell>
          <cell r="K242" t="str">
            <v>Charges sociales</v>
          </cell>
          <cell r="L242" t="str">
            <v>Charges sociales</v>
          </cell>
        </row>
        <row r="243">
          <cell r="D243">
            <v>50326.47</v>
          </cell>
          <cell r="E243">
            <v>47858.26</v>
          </cell>
          <cell r="K243" t="str">
            <v>Charges sociales</v>
          </cell>
          <cell r="L243" t="str">
            <v>Charges sociales</v>
          </cell>
        </row>
        <row r="244">
          <cell r="D244">
            <v>8967.6</v>
          </cell>
          <cell r="E244">
            <v>8593.86</v>
          </cell>
          <cell r="K244" t="str">
            <v>Charges sociales</v>
          </cell>
          <cell r="L244" t="str">
            <v>Charges sociales</v>
          </cell>
        </row>
        <row r="245">
          <cell r="D245">
            <v>49844.99</v>
          </cell>
          <cell r="E245">
            <v>57503.09</v>
          </cell>
          <cell r="K245" t="str">
            <v>Charges sociales</v>
          </cell>
          <cell r="L245" t="str">
            <v>Charges sociales</v>
          </cell>
        </row>
        <row r="246">
          <cell r="D246">
            <v>1445</v>
          </cell>
          <cell r="E246">
            <v>5127</v>
          </cell>
          <cell r="K246" t="str">
            <v>Charges sociales</v>
          </cell>
          <cell r="L246" t="str">
            <v>Charges sociales</v>
          </cell>
        </row>
        <row r="247">
          <cell r="D247">
            <v>-126557.7</v>
          </cell>
          <cell r="E247">
            <v>-107090.12</v>
          </cell>
          <cell r="K247" t="str">
            <v>Charges sociales</v>
          </cell>
          <cell r="L247" t="str">
            <v>Charges sociales</v>
          </cell>
        </row>
        <row r="248">
          <cell r="D248">
            <v>1816.38</v>
          </cell>
          <cell r="E248">
            <v>1390.83</v>
          </cell>
          <cell r="K248" t="str">
            <v>Autres charges d'exploitation</v>
          </cell>
          <cell r="L248" t="str">
            <v>Autres charges d'exploitation</v>
          </cell>
        </row>
        <row r="249">
          <cell r="D249">
            <v>0</v>
          </cell>
          <cell r="E249">
            <v>37.5</v>
          </cell>
          <cell r="K249" t="str">
            <v>Autres charges d'exploitation</v>
          </cell>
          <cell r="L249" t="str">
            <v>Autres charges d'exploitation</v>
          </cell>
        </row>
        <row r="250">
          <cell r="D250">
            <v>0</v>
          </cell>
          <cell r="E250">
            <v>588.94000000000005</v>
          </cell>
          <cell r="K250" t="str">
            <v>Autres charges d'exploitation</v>
          </cell>
          <cell r="L250" t="str">
            <v>Autres charges d'exploitation</v>
          </cell>
        </row>
        <row r="251">
          <cell r="D251">
            <v>3373.47</v>
          </cell>
          <cell r="E251">
            <v>757.97</v>
          </cell>
          <cell r="K251" t="str">
            <v>Autres charges d'exploitation</v>
          </cell>
          <cell r="L251" t="str">
            <v>Autres charges d'exploitation</v>
          </cell>
        </row>
        <row r="252">
          <cell r="D252">
            <v>1594.1</v>
          </cell>
          <cell r="E252">
            <v>3173.75</v>
          </cell>
          <cell r="K252" t="str">
            <v>Intérêts et charges assimilées</v>
          </cell>
          <cell r="L252" t="str">
            <v>Intérêts et charges assimilées</v>
          </cell>
        </row>
        <row r="253">
          <cell r="D253">
            <v>205.88</v>
          </cell>
          <cell r="E253">
            <v>46.98</v>
          </cell>
          <cell r="K253" t="str">
            <v>Intérêts et charges assimilées</v>
          </cell>
          <cell r="L253" t="str">
            <v>Intérêts et charges assimilées</v>
          </cell>
        </row>
        <row r="254">
          <cell r="D254">
            <v>2500</v>
          </cell>
          <cell r="E254">
            <v>2500</v>
          </cell>
          <cell r="K254" t="str">
            <v>Intérêts et charges assimilées</v>
          </cell>
          <cell r="L254" t="str">
            <v>Intérêts et charges assimilées</v>
          </cell>
        </row>
        <row r="255">
          <cell r="D255">
            <v>125607.81</v>
          </cell>
          <cell r="E255">
            <v>184817.79</v>
          </cell>
          <cell r="K255" t="str">
            <v>Intérêts et charges assimilées</v>
          </cell>
          <cell r="L255" t="str">
            <v>Intérêts et charges assimilées</v>
          </cell>
        </row>
        <row r="256">
          <cell r="D256">
            <v>4331.51</v>
          </cell>
          <cell r="E256">
            <v>0</v>
          </cell>
          <cell r="K256" t="str">
            <v>Intérêts et charges assimilées</v>
          </cell>
          <cell r="L256" t="str">
            <v>Intérêts et charges assimilées</v>
          </cell>
        </row>
        <row r="257">
          <cell r="D257">
            <v>19729.87</v>
          </cell>
          <cell r="E257">
            <v>0</v>
          </cell>
          <cell r="K257" t="str">
            <v>Intérêts et charges assimilées</v>
          </cell>
          <cell r="L257" t="str">
            <v>Intérêts et charges assimilées</v>
          </cell>
        </row>
        <row r="258">
          <cell r="D258">
            <v>39116.550000000003</v>
          </cell>
          <cell r="E258">
            <v>0</v>
          </cell>
          <cell r="K258" t="str">
            <v>Intérêts et charges assimilées</v>
          </cell>
          <cell r="L258" t="str">
            <v>Intérêts et charges assimilées</v>
          </cell>
        </row>
        <row r="259">
          <cell r="D259">
            <v>17829.419999999998</v>
          </cell>
          <cell r="E259">
            <v>17018.14</v>
          </cell>
          <cell r="K259" t="str">
            <v>Intérêts et charges assimilées</v>
          </cell>
          <cell r="L259" t="str">
            <v>Intérêts et charges assimilées</v>
          </cell>
        </row>
        <row r="260">
          <cell r="D260">
            <v>36204.449999999997</v>
          </cell>
          <cell r="E260">
            <v>0</v>
          </cell>
          <cell r="K260" t="str">
            <v>Intérêts et charges assimilées</v>
          </cell>
          <cell r="L260" t="str">
            <v>Intérêts et charges assimilées</v>
          </cell>
        </row>
        <row r="261">
          <cell r="D261">
            <v>18237.52</v>
          </cell>
          <cell r="E261">
            <v>-1274.31</v>
          </cell>
          <cell r="K261" t="str">
            <v>Charges sur opérations de gestion</v>
          </cell>
          <cell r="L261" t="str">
            <v>Charges sur opérations de gestion</v>
          </cell>
        </row>
        <row r="262">
          <cell r="D262">
            <v>52</v>
          </cell>
          <cell r="E262">
            <v>-4064.06</v>
          </cell>
          <cell r="K262" t="str">
            <v>Charges sur opérations de gestion</v>
          </cell>
          <cell r="L262" t="str">
            <v>Charges sur opérations de gestion</v>
          </cell>
        </row>
        <row r="263">
          <cell r="D263">
            <v>224414.11</v>
          </cell>
          <cell r="E263">
            <v>177466.12</v>
          </cell>
          <cell r="K263" t="str">
            <v>Charges sur opérations en capital</v>
          </cell>
          <cell r="L263" t="str">
            <v>Charges sur opérations en capital</v>
          </cell>
        </row>
        <row r="264">
          <cell r="D264">
            <v>171444.69</v>
          </cell>
          <cell r="E264">
            <v>172831.61</v>
          </cell>
          <cell r="K264" t="str">
            <v>Dotations aux amortissements sur Immobilisations</v>
          </cell>
          <cell r="L264" t="str">
            <v>Dotations aux amortissements sur Immobilisations</v>
          </cell>
        </row>
        <row r="265">
          <cell r="D265">
            <v>119901.51</v>
          </cell>
          <cell r="E265">
            <v>140521.19</v>
          </cell>
          <cell r="K265" t="str">
            <v>Dotations aux amortissements sur Immobilisations</v>
          </cell>
          <cell r="L265" t="str">
            <v>Dotations aux amortissements sur Immobilisations</v>
          </cell>
        </row>
        <row r="266">
          <cell r="D266">
            <v>30455</v>
          </cell>
          <cell r="E266">
            <v>17657</v>
          </cell>
          <cell r="K266" t="str">
            <v>Dotations aux provisions pour risques et charges</v>
          </cell>
          <cell r="L266" t="str">
            <v>Dotations aux provisions pour risques et charges</v>
          </cell>
        </row>
        <row r="267">
          <cell r="D267">
            <v>99309.47</v>
          </cell>
          <cell r="E267">
            <v>108585.69</v>
          </cell>
          <cell r="K267" t="str">
            <v>Dotations aux dépréciations sur Actif circulant</v>
          </cell>
          <cell r="L267" t="str">
            <v>Dotations aux dépréciations sur Actif circulant</v>
          </cell>
        </row>
        <row r="268">
          <cell r="D268">
            <v>1354.4</v>
          </cell>
          <cell r="E268">
            <v>5707.87</v>
          </cell>
          <cell r="K268" t="str">
            <v>Dotations aux dépréciations sur Actif circulant</v>
          </cell>
          <cell r="L268" t="str">
            <v>Dotations aux dépréciations sur Actif circulant</v>
          </cell>
        </row>
        <row r="269">
          <cell r="D269">
            <v>0</v>
          </cell>
          <cell r="E269">
            <v>53831.88</v>
          </cell>
          <cell r="K269" t="str">
            <v>Participation des salariés aux résultats</v>
          </cell>
          <cell r="L269" t="str">
            <v>Participation des salariés aux résultats</v>
          </cell>
        </row>
        <row r="270">
          <cell r="D270">
            <v>0</v>
          </cell>
          <cell r="E270">
            <v>131091.79999999999</v>
          </cell>
          <cell r="K270" t="str">
            <v>Impôts sur les bénéfices</v>
          </cell>
          <cell r="L270" t="str">
            <v>Impôts sur les bénéfices</v>
          </cell>
        </row>
        <row r="271">
          <cell r="D271">
            <v>-7539.37</v>
          </cell>
          <cell r="E271">
            <v>-8487.31</v>
          </cell>
          <cell r="K271" t="str">
            <v>Production vendue (Biens et Services)</v>
          </cell>
          <cell r="L271" t="str">
            <v>Production vendue (Biens et Services)</v>
          </cell>
        </row>
        <row r="272">
          <cell r="D272">
            <v>-296512.71000000002</v>
          </cell>
          <cell r="E272">
            <v>-305366.40999999997</v>
          </cell>
          <cell r="K272" t="str">
            <v>Production vendue (Biens et Services)</v>
          </cell>
          <cell r="L272" t="str">
            <v>Production vendue (Biens et Services)</v>
          </cell>
        </row>
        <row r="273">
          <cell r="D273">
            <v>-1234076.8799999999</v>
          </cell>
          <cell r="E273">
            <v>-1347796.64</v>
          </cell>
          <cell r="K273" t="str">
            <v>Production vendue (Biens et Services)</v>
          </cell>
          <cell r="L273" t="str">
            <v>Production vendue (Biens et Services)</v>
          </cell>
        </row>
        <row r="274">
          <cell r="D274">
            <v>-1056370.3799999999</v>
          </cell>
          <cell r="E274">
            <v>-971024.11</v>
          </cell>
          <cell r="K274" t="str">
            <v>Production vendue (Biens et Services)</v>
          </cell>
          <cell r="L274" t="str">
            <v>Production vendue (Biens et Services)</v>
          </cell>
        </row>
        <row r="275">
          <cell r="D275">
            <v>-3361.2</v>
          </cell>
          <cell r="E275">
            <v>-1624.41</v>
          </cell>
          <cell r="K275" t="str">
            <v>Production vendue (Biens et Services)</v>
          </cell>
          <cell r="L275" t="str">
            <v>Production vendue (Biens et Services)</v>
          </cell>
        </row>
        <row r="276">
          <cell r="D276">
            <v>-222482.12</v>
          </cell>
          <cell r="E276">
            <v>-180446.37</v>
          </cell>
          <cell r="K276" t="str">
            <v>Production vendue (Biens et Services)</v>
          </cell>
          <cell r="L276" t="str">
            <v>Production vendue (Biens et Services)</v>
          </cell>
        </row>
        <row r="277">
          <cell r="D277">
            <v>-16958035.66</v>
          </cell>
          <cell r="E277">
            <v>-15859938.75</v>
          </cell>
          <cell r="K277" t="str">
            <v>Ventes de marchandises</v>
          </cell>
          <cell r="L277" t="str">
            <v>Ventes de marchandises</v>
          </cell>
        </row>
        <row r="278">
          <cell r="D278">
            <v>-5497112.8600000003</v>
          </cell>
          <cell r="E278">
            <v>-5079713.1100000003</v>
          </cell>
          <cell r="K278" t="str">
            <v>Ventes de marchandises</v>
          </cell>
          <cell r="L278" t="str">
            <v>Ventes de marchandises</v>
          </cell>
        </row>
        <row r="279">
          <cell r="D279">
            <v>-779139.57</v>
          </cell>
          <cell r="E279">
            <v>-1076566.3600000001</v>
          </cell>
          <cell r="K279" t="str">
            <v>Ventes de marchandises</v>
          </cell>
          <cell r="L279" t="str">
            <v>Ventes de marchandises</v>
          </cell>
        </row>
        <row r="280">
          <cell r="D280">
            <v>-9207697</v>
          </cell>
          <cell r="E280">
            <v>-7687761.8399999999</v>
          </cell>
          <cell r="K280" t="str">
            <v>Ventes de marchandises</v>
          </cell>
          <cell r="L280" t="str">
            <v>Ventes de marchandises</v>
          </cell>
        </row>
        <row r="281">
          <cell r="D281">
            <v>-3252669.49</v>
          </cell>
          <cell r="E281">
            <v>-523416.31</v>
          </cell>
          <cell r="K281" t="str">
            <v>Ventes de marchandises</v>
          </cell>
          <cell r="L281" t="str">
            <v>Ventes de marchandises</v>
          </cell>
        </row>
        <row r="282">
          <cell r="D282">
            <v>-2762419</v>
          </cell>
          <cell r="E282">
            <v>-2364141.59</v>
          </cell>
          <cell r="K282" t="str">
            <v>Ventes de marchandises</v>
          </cell>
          <cell r="L282" t="str">
            <v>Ventes de marchandises</v>
          </cell>
        </row>
        <row r="283">
          <cell r="D283">
            <v>-6814137.3200000003</v>
          </cell>
          <cell r="E283">
            <v>-6056484.46</v>
          </cell>
          <cell r="K283" t="str">
            <v>Ventes de marchandises</v>
          </cell>
          <cell r="L283" t="str">
            <v>Ventes de marchandises</v>
          </cell>
        </row>
        <row r="284">
          <cell r="D284">
            <v>-1126380.1200000001</v>
          </cell>
          <cell r="E284">
            <v>-880408.98</v>
          </cell>
          <cell r="K284" t="str">
            <v>Ventes de marchandises</v>
          </cell>
          <cell r="L284" t="str">
            <v>Ventes de marchandises</v>
          </cell>
        </row>
        <row r="285">
          <cell r="D285">
            <v>-683499.46</v>
          </cell>
          <cell r="E285">
            <v>-748909.47</v>
          </cell>
          <cell r="K285" t="str">
            <v>Ventes de marchandises</v>
          </cell>
          <cell r="L285" t="str">
            <v>Ventes de marchandises</v>
          </cell>
        </row>
        <row r="286">
          <cell r="D286">
            <v>-465450.28</v>
          </cell>
          <cell r="E286">
            <v>-294508.38</v>
          </cell>
          <cell r="K286" t="str">
            <v>Ventes de marchandises</v>
          </cell>
          <cell r="L286" t="str">
            <v>Ventes de marchandises</v>
          </cell>
        </row>
        <row r="287">
          <cell r="D287">
            <v>-23147.61</v>
          </cell>
          <cell r="E287">
            <v>-22548.93</v>
          </cell>
          <cell r="K287" t="str">
            <v>Ventes de marchandises</v>
          </cell>
          <cell r="L287" t="str">
            <v>Ventes de marchandises</v>
          </cell>
        </row>
        <row r="288">
          <cell r="D288">
            <v>-18080.580000000002</v>
          </cell>
          <cell r="E288">
            <v>-17755.419999999998</v>
          </cell>
          <cell r="K288" t="str">
            <v>Ventes de marchandises</v>
          </cell>
          <cell r="L288" t="str">
            <v>Ventes de marchandises</v>
          </cell>
        </row>
        <row r="289">
          <cell r="D289">
            <v>-229723.2</v>
          </cell>
          <cell r="E289">
            <v>-440971.94</v>
          </cell>
          <cell r="K289" t="str">
            <v>Ventes de marchandises</v>
          </cell>
          <cell r="L289" t="str">
            <v>Ventes de marchandises</v>
          </cell>
        </row>
        <row r="290">
          <cell r="D290">
            <v>-4928</v>
          </cell>
          <cell r="E290">
            <v>-1591.67</v>
          </cell>
          <cell r="K290" t="str">
            <v>Ventes de marchandises</v>
          </cell>
          <cell r="L290" t="str">
            <v>Ventes de marchandises</v>
          </cell>
        </row>
        <row r="291">
          <cell r="D291">
            <v>-6448144.9299999997</v>
          </cell>
          <cell r="E291">
            <v>-6350176.5</v>
          </cell>
          <cell r="K291" t="str">
            <v>Ventes de marchandises</v>
          </cell>
          <cell r="L291" t="str">
            <v>Ventes de marchandises</v>
          </cell>
        </row>
        <row r="292">
          <cell r="D292">
            <v>-138378.16</v>
          </cell>
          <cell r="E292">
            <v>-80425.64</v>
          </cell>
          <cell r="K292" t="str">
            <v>Ventes de marchandises</v>
          </cell>
          <cell r="L292" t="str">
            <v>Ventes de marchandises</v>
          </cell>
        </row>
        <row r="293">
          <cell r="D293">
            <v>-1564350.14</v>
          </cell>
          <cell r="E293">
            <v>-1398317.29</v>
          </cell>
          <cell r="K293" t="str">
            <v>Ventes de marchandises</v>
          </cell>
          <cell r="L293" t="str">
            <v>Ventes de marchandises</v>
          </cell>
        </row>
        <row r="294">
          <cell r="D294">
            <v>-2176.12</v>
          </cell>
          <cell r="E294">
            <v>-698.11</v>
          </cell>
          <cell r="K294" t="str">
            <v>Ventes de marchandises</v>
          </cell>
          <cell r="L294" t="str">
            <v>Ventes de marchandises</v>
          </cell>
        </row>
        <row r="295">
          <cell r="D295">
            <v>0</v>
          </cell>
          <cell r="E295">
            <v>-74.98</v>
          </cell>
          <cell r="K295" t="str">
            <v>Production vendue (Biens et Services)</v>
          </cell>
          <cell r="L295" t="str">
            <v>Production vendue (Biens et Services)</v>
          </cell>
        </row>
        <row r="296">
          <cell r="D296">
            <v>-34775.589999999997</v>
          </cell>
          <cell r="E296">
            <v>-36157.699999999997</v>
          </cell>
          <cell r="K296" t="str">
            <v>Production vendue (Biens et Services)</v>
          </cell>
          <cell r="L296" t="str">
            <v>Production vendue (Biens et Services)</v>
          </cell>
        </row>
        <row r="297">
          <cell r="D297">
            <v>-637182.61</v>
          </cell>
          <cell r="E297">
            <v>-503815.43</v>
          </cell>
          <cell r="K297" t="str">
            <v>Production vendue (Biens et Services)</v>
          </cell>
          <cell r="L297" t="str">
            <v>Production vendue (Biens et Services)</v>
          </cell>
        </row>
        <row r="298">
          <cell r="D298">
            <v>-274.16000000000003</v>
          </cell>
          <cell r="E298">
            <v>0</v>
          </cell>
          <cell r="K298" t="str">
            <v>Production vendue (Biens et Services)</v>
          </cell>
          <cell r="L298" t="str">
            <v>Production vendue (Biens et Services)</v>
          </cell>
        </row>
        <row r="299">
          <cell r="D299">
            <v>-367.49</v>
          </cell>
          <cell r="E299">
            <v>-264.99</v>
          </cell>
          <cell r="K299" t="str">
            <v>Production vendue (Biens et Services)</v>
          </cell>
          <cell r="L299" t="str">
            <v>Production vendue (Biens et Services)</v>
          </cell>
        </row>
        <row r="300">
          <cell r="D300">
            <v>-21443.51</v>
          </cell>
          <cell r="E300">
            <v>-4935.37</v>
          </cell>
          <cell r="K300" t="str">
            <v>Production vendue (Biens et Services)</v>
          </cell>
          <cell r="L300" t="str">
            <v>Production vendue (Biens et Services)</v>
          </cell>
        </row>
        <row r="301">
          <cell r="D301">
            <v>-3191.28</v>
          </cell>
          <cell r="E301">
            <v>0</v>
          </cell>
          <cell r="K301" t="str">
            <v>Production vendue (Biens et Services)</v>
          </cell>
          <cell r="L301" t="str">
            <v>Production vendue (Biens et Services)</v>
          </cell>
        </row>
        <row r="302">
          <cell r="D302">
            <v>-30866.01</v>
          </cell>
          <cell r="E302">
            <v>-20642.64</v>
          </cell>
          <cell r="K302" t="str">
            <v>Production vendue (Biens et Services)</v>
          </cell>
          <cell r="L302" t="str">
            <v>Production vendue (Biens et Services)</v>
          </cell>
        </row>
        <row r="303">
          <cell r="D303">
            <v>-42418</v>
          </cell>
          <cell r="E303">
            <v>-24492.04</v>
          </cell>
          <cell r="K303" t="str">
            <v>Production vendue (Biens et Services)</v>
          </cell>
          <cell r="L303" t="str">
            <v>Production vendue (Biens et Services)</v>
          </cell>
        </row>
        <row r="304">
          <cell r="D304">
            <v>-245.3</v>
          </cell>
          <cell r="E304">
            <v>0</v>
          </cell>
          <cell r="K304" t="str">
            <v>Production vendue (Biens et Services)</v>
          </cell>
          <cell r="L304" t="str">
            <v>Production vendue (Biens et Services)</v>
          </cell>
        </row>
        <row r="305">
          <cell r="D305">
            <v>1855105.79</v>
          </cell>
          <cell r="E305">
            <v>1858362.95</v>
          </cell>
          <cell r="K305" t="str">
            <v>Production vendue (Biens et Services)</v>
          </cell>
          <cell r="L305" t="str">
            <v>Production vendue (Biens et Services)</v>
          </cell>
        </row>
        <row r="306">
          <cell r="D306">
            <v>44638.12</v>
          </cell>
          <cell r="E306">
            <v>26736.639999999999</v>
          </cell>
          <cell r="K306" t="str">
            <v>Production vendue (Biens et Services)</v>
          </cell>
          <cell r="L306" t="str">
            <v>Production vendue (Biens et Services)</v>
          </cell>
        </row>
        <row r="307">
          <cell r="D307">
            <v>2720167.23</v>
          </cell>
          <cell r="E307">
            <v>2563222.5499999998</v>
          </cell>
          <cell r="K307" t="str">
            <v>Ventes de marchandises</v>
          </cell>
          <cell r="L307" t="str">
            <v>Ventes de marchandises</v>
          </cell>
        </row>
        <row r="308">
          <cell r="D308">
            <v>543856.24</v>
          </cell>
          <cell r="E308">
            <v>503645.17</v>
          </cell>
          <cell r="K308" t="str">
            <v>Ventes de marchandises</v>
          </cell>
          <cell r="L308" t="str">
            <v>Ventes de marchandises</v>
          </cell>
        </row>
        <row r="309">
          <cell r="D309">
            <v>144531.35</v>
          </cell>
          <cell r="E309">
            <v>210000.44</v>
          </cell>
          <cell r="K309" t="str">
            <v>Ventes de marchandises</v>
          </cell>
          <cell r="L309" t="str">
            <v>Ventes de marchandises</v>
          </cell>
        </row>
        <row r="310">
          <cell r="D310">
            <v>2628920.9700000002</v>
          </cell>
          <cell r="E310">
            <v>1983059.05</v>
          </cell>
          <cell r="K310" t="str">
            <v>Ventes de marchandises</v>
          </cell>
          <cell r="L310" t="str">
            <v>Ventes de marchandises</v>
          </cell>
        </row>
        <row r="311">
          <cell r="D311">
            <v>971121.31</v>
          </cell>
          <cell r="E311">
            <v>120362.7</v>
          </cell>
          <cell r="K311" t="str">
            <v>Ventes de marchandises</v>
          </cell>
          <cell r="L311" t="str">
            <v>Ventes de marchandises</v>
          </cell>
        </row>
        <row r="312">
          <cell r="D312">
            <v>2845.7</v>
          </cell>
          <cell r="E312">
            <v>-877.44</v>
          </cell>
          <cell r="K312" t="str">
            <v>Production stockée</v>
          </cell>
          <cell r="L312" t="str">
            <v>Production stockée</v>
          </cell>
        </row>
        <row r="313">
          <cell r="D313">
            <v>-359939.38</v>
          </cell>
          <cell r="E313">
            <v>-97796.74</v>
          </cell>
          <cell r="K313" t="str">
            <v>Production immobilisée</v>
          </cell>
          <cell r="L313" t="str">
            <v>Production immobilisée</v>
          </cell>
        </row>
        <row r="314">
          <cell r="D314">
            <v>-36682.379999999997</v>
          </cell>
          <cell r="E314">
            <v>-41550.07</v>
          </cell>
          <cell r="K314" t="str">
            <v>Subventions d'exploitation</v>
          </cell>
          <cell r="L314" t="str">
            <v>Subventions d'exploitation</v>
          </cell>
        </row>
        <row r="315">
          <cell r="D315">
            <v>-4588.7299999999996</v>
          </cell>
          <cell r="E315">
            <v>-1267.3599999999999</v>
          </cell>
          <cell r="K315" t="str">
            <v>Autres produits</v>
          </cell>
          <cell r="L315" t="str">
            <v>Autres produits</v>
          </cell>
        </row>
        <row r="316">
          <cell r="D316">
            <v>0</v>
          </cell>
          <cell r="E316">
            <v>0</v>
          </cell>
          <cell r="K316" t="str">
            <v>Autres produits</v>
          </cell>
          <cell r="L316" t="str">
            <v>Autres produits</v>
          </cell>
        </row>
        <row r="317">
          <cell r="D317">
            <v>-36293.96</v>
          </cell>
          <cell r="E317">
            <v>-161517.84</v>
          </cell>
          <cell r="K317" t="str">
            <v>Autres intérêts et produits assimilés</v>
          </cell>
          <cell r="L317" t="str">
            <v>Autres intérêts et produits assimilés</v>
          </cell>
        </row>
        <row r="318">
          <cell r="D318">
            <v>-118297.66</v>
          </cell>
          <cell r="E318">
            <v>0</v>
          </cell>
          <cell r="K318" t="str">
            <v>Autres intérêts et produits assimilés</v>
          </cell>
          <cell r="L318" t="str">
            <v>Autres intérêts et produits assimilés</v>
          </cell>
        </row>
        <row r="319">
          <cell r="D319">
            <v>-3657.7</v>
          </cell>
          <cell r="E319">
            <v>0</v>
          </cell>
          <cell r="K319" t="str">
            <v>Autres intérêts et produits assimilés</v>
          </cell>
          <cell r="L319" t="str">
            <v>Autres intérêts et produits assimilés</v>
          </cell>
        </row>
        <row r="320">
          <cell r="D320">
            <v>-19497.009999999998</v>
          </cell>
          <cell r="E320">
            <v>0</v>
          </cell>
          <cell r="K320" t="str">
            <v>Autres intérêts et produits assimilés</v>
          </cell>
          <cell r="L320" t="str">
            <v>Autres intérêts et produits assimilés</v>
          </cell>
        </row>
        <row r="321">
          <cell r="D321">
            <v>-28397.43</v>
          </cell>
          <cell r="E321">
            <v>0</v>
          </cell>
          <cell r="K321" t="str">
            <v>Autres intérêts et produits assimilés</v>
          </cell>
          <cell r="L321" t="str">
            <v>Autres intérêts et produits assimilés</v>
          </cell>
        </row>
        <row r="322">
          <cell r="D322">
            <v>-238.77</v>
          </cell>
          <cell r="E322">
            <v>0</v>
          </cell>
          <cell r="K322" t="str">
            <v>Produits sur opérations de gestion</v>
          </cell>
          <cell r="L322" t="str">
            <v>Produits sur opérations de gestion</v>
          </cell>
        </row>
        <row r="323">
          <cell r="D323">
            <v>-271415.7</v>
          </cell>
          <cell r="E323">
            <v>-242381.92</v>
          </cell>
          <cell r="K323" t="str">
            <v>Produits sur opérations en capital</v>
          </cell>
          <cell r="L323" t="str">
            <v>Produits sur opérations en capital</v>
          </cell>
        </row>
        <row r="324">
          <cell r="D324">
            <v>-17657</v>
          </cell>
          <cell r="E324">
            <v>-21964</v>
          </cell>
          <cell r="K324" t="str">
            <v>Reprises sur provisions d'exploitation</v>
          </cell>
          <cell r="L324" t="str">
            <v>Reprises sur provisions d'exploitation</v>
          </cell>
        </row>
        <row r="325">
          <cell r="D325">
            <v>-108585.69</v>
          </cell>
          <cell r="E325">
            <v>-86921.25</v>
          </cell>
          <cell r="K325" t="str">
            <v>Reprises sur provisions d'exploitation</v>
          </cell>
          <cell r="L325" t="str">
            <v>Reprises sur provisions d'exploitation</v>
          </cell>
        </row>
        <row r="326">
          <cell r="D326">
            <v>-169.17</v>
          </cell>
          <cell r="E326">
            <v>-690.24</v>
          </cell>
          <cell r="K326" t="str">
            <v>Reprises sur provisions d'exploitation</v>
          </cell>
          <cell r="L326" t="str">
            <v>Reprises sur provisions d'exploitation</v>
          </cell>
        </row>
        <row r="327">
          <cell r="D327">
            <v>-35906.26</v>
          </cell>
          <cell r="E327">
            <v>-33459.01</v>
          </cell>
          <cell r="K327" t="str">
            <v>Transfert de charges d'exploitation</v>
          </cell>
          <cell r="L327" t="str">
            <v>Transfert de charges d'exploitation</v>
          </cell>
        </row>
        <row r="328">
          <cell r="D328">
            <v>-113302.44</v>
          </cell>
          <cell r="E328">
            <v>-159813.28</v>
          </cell>
          <cell r="K328" t="str">
            <v>Transfert de charges d'exploitation</v>
          </cell>
          <cell r="L328" t="str">
            <v>Transfert de charges d'exploitation</v>
          </cell>
        </row>
        <row r="329">
          <cell r="D329">
            <v>0</v>
          </cell>
          <cell r="E329">
            <v>0</v>
          </cell>
          <cell r="K329" t="str">
            <v>Transfert de charges d'exploitation</v>
          </cell>
          <cell r="L329" t="str">
            <v>Transfert de charges d'exploitation</v>
          </cell>
        </row>
        <row r="330">
          <cell r="D330">
            <v>-26328.9</v>
          </cell>
          <cell r="E330">
            <v>-1050</v>
          </cell>
          <cell r="K330" t="str">
            <v>Transfert de charges d'exploitation</v>
          </cell>
          <cell r="L330" t="str">
            <v>Transfert de charges d'exploitation</v>
          </cell>
        </row>
        <row r="331">
          <cell r="D331">
            <v>-125447.86</v>
          </cell>
          <cell r="E331">
            <v>-162878.35</v>
          </cell>
          <cell r="K331" t="str">
            <v>Transfert de charges d'exploitation</v>
          </cell>
          <cell r="L331" t="str">
            <v>Transfert de charges d'exploitation</v>
          </cell>
        </row>
        <row r="332">
          <cell r="D332">
            <v>-142415</v>
          </cell>
          <cell r="E332">
            <v>-142194.16</v>
          </cell>
          <cell r="K332" t="str">
            <v>Transfert de charges d'exploitation</v>
          </cell>
          <cell r="L332" t="str">
            <v>Transfert de charges d'exploitation</v>
          </cell>
        </row>
        <row r="333">
          <cell r="D333">
            <v>0</v>
          </cell>
          <cell r="E333">
            <v>-20200</v>
          </cell>
          <cell r="K333" t="str">
            <v>Tranfert de charges exceptionnelles</v>
          </cell>
          <cell r="L333" t="str">
            <v>Tranfert de charges exceptionnelles</v>
          </cell>
        </row>
        <row r="334">
          <cell r="D334">
            <v>-31367.239999999998</v>
          </cell>
          <cell r="E334">
            <v>-47026.609999999993</v>
          </cell>
          <cell r="K334" t="str">
            <v>Transfert de charges d'exploitation</v>
          </cell>
          <cell r="L334" t="str">
            <v>Transfert de charges d'exploitation</v>
          </cell>
        </row>
        <row r="335">
          <cell r="D335">
            <v>-9936.57</v>
          </cell>
          <cell r="E335">
            <v>-1389.22</v>
          </cell>
          <cell r="K335" t="str">
            <v>Transfert de charges d'exploitation</v>
          </cell>
          <cell r="L335" t="str">
            <v>Transfert de charges d'exploitation</v>
          </cell>
        </row>
        <row r="336">
          <cell r="D336">
            <v>22224129.809999995</v>
          </cell>
          <cell r="E336">
            <v>21346163.079999994</v>
          </cell>
          <cell r="K336" t="str">
            <v>Transfert de charges d'exploitation</v>
          </cell>
          <cell r="L336" t="str">
            <v>Transfert de charges d'exploitation</v>
          </cell>
        </row>
        <row r="337">
          <cell r="D337">
            <v>-12747</v>
          </cell>
          <cell r="E337">
            <v>-11173.24</v>
          </cell>
          <cell r="K337" t="str">
            <v>Transfert de charges d'exploitation</v>
          </cell>
          <cell r="L337" t="str">
            <v>Transfert de charges d'exploitation</v>
          </cell>
        </row>
        <row r="340">
          <cell r="D340">
            <v>7477278.4099999974</v>
          </cell>
          <cell r="E340">
            <v>6254022.419999999</v>
          </cell>
        </row>
        <row r="347">
          <cell r="D347">
            <v>711374.39000000432</v>
          </cell>
          <cell r="E347">
            <v>458206.17999998853</v>
          </cell>
        </row>
      </sheetData>
      <sheetData sheetId="2"/>
      <sheetData sheetId="3"/>
      <sheetData sheetId="4">
        <row r="10">
          <cell r="B10" t="str">
            <v>Capital souscrit non appelé</v>
          </cell>
          <cell r="D10">
            <v>0</v>
          </cell>
          <cell r="E10">
            <v>0</v>
          </cell>
        </row>
        <row r="12">
          <cell r="B12" t="str">
            <v>Frais d'établissement</v>
          </cell>
          <cell r="D12">
            <v>0</v>
          </cell>
          <cell r="E12">
            <v>0</v>
          </cell>
        </row>
        <row r="13">
          <cell r="B13" t="str">
            <v>Frais de recherche et développement</v>
          </cell>
          <cell r="D13">
            <v>0</v>
          </cell>
          <cell r="E13">
            <v>0</v>
          </cell>
        </row>
        <row r="14">
          <cell r="B14" t="str">
            <v>Concessions, brvts, licences, logiciels, drts &amp; val. similaire</v>
          </cell>
          <cell r="D14">
            <v>2369.6600000000035</v>
          </cell>
          <cell r="E14">
            <v>5546.75</v>
          </cell>
        </row>
        <row r="15">
          <cell r="B15" t="str">
            <v>Droit au bail</v>
          </cell>
          <cell r="D15">
            <v>0</v>
          </cell>
          <cell r="E15">
            <v>0</v>
          </cell>
        </row>
        <row r="16">
          <cell r="B16" t="str">
            <v>Fonds commercial</v>
          </cell>
          <cell r="D16">
            <v>1372041.16</v>
          </cell>
          <cell r="E16">
            <v>1372041.16</v>
          </cell>
        </row>
        <row r="17">
          <cell r="B17" t="str">
            <v>Autres immobilisations incorporelles</v>
          </cell>
          <cell r="D17">
            <v>0</v>
          </cell>
          <cell r="E17">
            <v>0</v>
          </cell>
        </row>
        <row r="18">
          <cell r="B18" t="str">
            <v>Immobilisations incorporelles en cours</v>
          </cell>
          <cell r="D18">
            <v>0</v>
          </cell>
          <cell r="E18">
            <v>0</v>
          </cell>
        </row>
        <row r="19">
          <cell r="B19" t="str">
            <v>Avances et acomptes sur immobilisations incorporelles</v>
          </cell>
          <cell r="D19">
            <v>0</v>
          </cell>
          <cell r="E19">
            <v>0</v>
          </cell>
        </row>
        <row r="20">
          <cell r="B20" t="str">
            <v>Immobilisations incorporelles</v>
          </cell>
          <cell r="D20">
            <v>1374410.8199999998</v>
          </cell>
          <cell r="E20">
            <v>1377587.91</v>
          </cell>
        </row>
        <row r="22">
          <cell r="B22" t="str">
            <v>Terrains</v>
          </cell>
          <cell r="D22">
            <v>0</v>
          </cell>
          <cell r="E22">
            <v>0</v>
          </cell>
        </row>
        <row r="23">
          <cell r="B23" t="str">
            <v>Constructions</v>
          </cell>
          <cell r="D23">
            <v>0</v>
          </cell>
          <cell r="E23">
            <v>0</v>
          </cell>
        </row>
        <row r="24">
          <cell r="B24" t="str">
            <v>Installations techniques, matériel et outillage industriels</v>
          </cell>
          <cell r="D24">
            <v>100061.54000000004</v>
          </cell>
          <cell r="E24">
            <v>70258.419999999984</v>
          </cell>
        </row>
        <row r="25">
          <cell r="B25" t="str">
            <v>Autres immobilisations corporelles</v>
          </cell>
          <cell r="D25">
            <v>840173.48</v>
          </cell>
          <cell r="E25">
            <v>817157.65000000026</v>
          </cell>
        </row>
        <row r="26">
          <cell r="B26" t="str">
            <v>Immobilisations corporelles en cours</v>
          </cell>
          <cell r="D26">
            <v>4147.26</v>
          </cell>
          <cell r="E26">
            <v>0</v>
          </cell>
        </row>
        <row r="27">
          <cell r="B27" t="str">
            <v>Avances et acomptes sur immobilisations corporelles</v>
          </cell>
          <cell r="D27">
            <v>0</v>
          </cell>
          <cell r="E27">
            <v>0</v>
          </cell>
        </row>
        <row r="28">
          <cell r="B28" t="str">
            <v>Immobilisations corporelles</v>
          </cell>
          <cell r="D28">
            <v>944382.28</v>
          </cell>
          <cell r="E28">
            <v>887416.0700000003</v>
          </cell>
        </row>
        <row r="30">
          <cell r="B30" t="str">
            <v>Participations</v>
          </cell>
          <cell r="D30">
            <v>0</v>
          </cell>
          <cell r="E30">
            <v>0</v>
          </cell>
        </row>
        <row r="31">
          <cell r="B31" t="str">
            <v>Créances rattachées à des participations</v>
          </cell>
          <cell r="D31">
            <v>0</v>
          </cell>
          <cell r="E31">
            <v>0</v>
          </cell>
        </row>
        <row r="32">
          <cell r="B32" t="str">
            <v>Autres titres immobilisés</v>
          </cell>
          <cell r="D32">
            <v>50000</v>
          </cell>
          <cell r="E32">
            <v>50000</v>
          </cell>
        </row>
        <row r="33">
          <cell r="B33" t="str">
            <v>Prêts</v>
          </cell>
          <cell r="D33">
            <v>0</v>
          </cell>
          <cell r="E33">
            <v>0</v>
          </cell>
        </row>
        <row r="34">
          <cell r="B34" t="str">
            <v>Dépôts et cautionnements versés</v>
          </cell>
          <cell r="D34">
            <v>32537.16</v>
          </cell>
          <cell r="E34">
            <v>40526.949999999997</v>
          </cell>
        </row>
        <row r="35">
          <cell r="B35" t="str">
            <v>Autres créances immobilisées</v>
          </cell>
          <cell r="D35">
            <v>0</v>
          </cell>
          <cell r="E35">
            <v>0</v>
          </cell>
        </row>
        <row r="36">
          <cell r="B36" t="str">
            <v>Immobilisations financières</v>
          </cell>
          <cell r="D36">
            <v>82537.16</v>
          </cell>
          <cell r="E36">
            <v>90526.95</v>
          </cell>
        </row>
        <row r="38">
          <cell r="B38" t="str">
            <v>Actif immobilisé net</v>
          </cell>
          <cell r="D38">
            <v>2401330.2599999998</v>
          </cell>
          <cell r="E38">
            <v>2355530.9300000002</v>
          </cell>
        </row>
        <row r="40">
          <cell r="B40" t="str">
            <v>Matières premières et autres approvisionnements</v>
          </cell>
          <cell r="D40">
            <v>0</v>
          </cell>
          <cell r="E40">
            <v>0</v>
          </cell>
        </row>
        <row r="41">
          <cell r="B41" t="str">
            <v>En-cours de production (biens et services)</v>
          </cell>
          <cell r="D41">
            <v>4330</v>
          </cell>
          <cell r="E41">
            <v>7175.7</v>
          </cell>
        </row>
        <row r="42">
          <cell r="B42" t="str">
            <v>Produits intermédiaires et finis</v>
          </cell>
          <cell r="D42">
            <v>0</v>
          </cell>
          <cell r="E42">
            <v>0</v>
          </cell>
        </row>
        <row r="43">
          <cell r="B43" t="str">
            <v>Marchandises</v>
          </cell>
          <cell r="D43">
            <v>12744094.880000001</v>
          </cell>
          <cell r="E43">
            <v>13450522.369999997</v>
          </cell>
        </row>
        <row r="44">
          <cell r="B44" t="str">
            <v>Stocks et en-cours</v>
          </cell>
          <cell r="D44">
            <v>12748424.880000001</v>
          </cell>
          <cell r="E44">
            <v>13457698.069999997</v>
          </cell>
        </row>
        <row r="46">
          <cell r="B46" t="str">
            <v>Avances et acomptes versés sur commandes</v>
          </cell>
          <cell r="D46">
            <v>1818418.57</v>
          </cell>
          <cell r="E46">
            <v>987704.93</v>
          </cell>
        </row>
        <row r="48">
          <cell r="B48" t="str">
            <v>Clients et comptes rattachés</v>
          </cell>
          <cell r="D48">
            <v>3343502.6599999997</v>
          </cell>
          <cell r="E48">
            <v>2596964.85</v>
          </cell>
        </row>
        <row r="50">
          <cell r="B50" t="str">
            <v>Fournisseurs débiteurs</v>
          </cell>
          <cell r="D50">
            <v>0</v>
          </cell>
          <cell r="E50">
            <v>0</v>
          </cell>
        </row>
        <row r="51">
          <cell r="B51" t="str">
            <v>Créances sociales</v>
          </cell>
          <cell r="D51">
            <v>19096.580000000002</v>
          </cell>
          <cell r="E51">
            <v>43382.15</v>
          </cell>
        </row>
        <row r="52">
          <cell r="B52" t="str">
            <v>Créances fiscales</v>
          </cell>
          <cell r="D52">
            <v>1172276.3799999999</v>
          </cell>
          <cell r="E52">
            <v>1080254.02</v>
          </cell>
        </row>
        <row r="53">
          <cell r="B53" t="str">
            <v>Comptes courants débiteurs</v>
          </cell>
          <cell r="D53">
            <v>39435</v>
          </cell>
          <cell r="E53">
            <v>22904.68</v>
          </cell>
        </row>
        <row r="54">
          <cell r="B54" t="str">
            <v>Créances diverses</v>
          </cell>
          <cell r="D54">
            <v>464355.1</v>
          </cell>
          <cell r="E54">
            <v>321135.76</v>
          </cell>
        </row>
        <row r="55">
          <cell r="B55" t="str">
            <v>Autres créances</v>
          </cell>
          <cell r="D55">
            <v>1695163.06</v>
          </cell>
          <cell r="E55">
            <v>1467676.6099999999</v>
          </cell>
        </row>
        <row r="56">
          <cell r="B56" t="str">
            <v>Capital souscrit - appelé, non versé</v>
          </cell>
          <cell r="D56">
            <v>0</v>
          </cell>
          <cell r="E56">
            <v>0</v>
          </cell>
        </row>
        <row r="57">
          <cell r="B57" t="str">
            <v>Créances</v>
          </cell>
          <cell r="D57">
            <v>5038665.7199999988</v>
          </cell>
          <cell r="E57">
            <v>4064641.46</v>
          </cell>
        </row>
        <row r="59">
          <cell r="B59" t="str">
            <v>Valeurs mobilières de placement</v>
          </cell>
          <cell r="D59">
            <v>0</v>
          </cell>
          <cell r="E59">
            <v>0</v>
          </cell>
        </row>
        <row r="60">
          <cell r="B60" t="str">
            <v>Disponibilités</v>
          </cell>
          <cell r="D60">
            <v>116269.29</v>
          </cell>
          <cell r="E60">
            <v>79438.59</v>
          </cell>
        </row>
        <row r="61">
          <cell r="B61" t="str">
            <v>Trésorerie</v>
          </cell>
          <cell r="D61">
            <v>116269.29</v>
          </cell>
          <cell r="E61">
            <v>79438.59</v>
          </cell>
        </row>
        <row r="63">
          <cell r="B63" t="str">
            <v>Actif circulant</v>
          </cell>
          <cell r="D63">
            <v>19721778.459999997</v>
          </cell>
          <cell r="E63">
            <v>18589483.049999997</v>
          </cell>
        </row>
        <row r="65">
          <cell r="B65" t="str">
            <v>Charges constatées d'avance</v>
          </cell>
          <cell r="D65">
            <v>101021.09</v>
          </cell>
          <cell r="E65">
            <v>36592.1</v>
          </cell>
        </row>
        <row r="66">
          <cell r="B66" t="str">
            <v>Charges à répartir sur plusieurs exercices</v>
          </cell>
          <cell r="D66">
            <v>0</v>
          </cell>
          <cell r="E66">
            <v>0</v>
          </cell>
        </row>
        <row r="67">
          <cell r="B67" t="str">
            <v>Primes de remboursement des emprunts</v>
          </cell>
          <cell r="D67">
            <v>0</v>
          </cell>
          <cell r="E67">
            <v>0</v>
          </cell>
        </row>
        <row r="68">
          <cell r="B68" t="str">
            <v>Ecarts de conversion Actif</v>
          </cell>
          <cell r="D68">
            <v>0</v>
          </cell>
          <cell r="E68">
            <v>0</v>
          </cell>
        </row>
        <row r="69">
          <cell r="B69" t="str">
            <v>Comptes de régularisation</v>
          </cell>
          <cell r="D69">
            <v>101021.09</v>
          </cell>
          <cell r="E69">
            <v>36592.1</v>
          </cell>
        </row>
        <row r="71">
          <cell r="B71" t="str">
            <v>TOTAL ACTIF</v>
          </cell>
          <cell r="D71">
            <v>22224129.809999999</v>
          </cell>
          <cell r="E71">
            <v>20981606.080000002</v>
          </cell>
        </row>
      </sheetData>
      <sheetData sheetId="5">
        <row r="10">
          <cell r="B10" t="str">
            <v>Capital social</v>
          </cell>
          <cell r="D10">
            <v>762000</v>
          </cell>
          <cell r="E10">
            <v>762000</v>
          </cell>
        </row>
        <row r="11">
          <cell r="B11" t="str">
            <v>Primes d'émission, de fusion, d'apport</v>
          </cell>
          <cell r="D11">
            <v>0</v>
          </cell>
          <cell r="E11">
            <v>0</v>
          </cell>
        </row>
        <row r="12">
          <cell r="B12" t="str">
            <v>Ecarts de réévaluation</v>
          </cell>
          <cell r="D12">
            <v>0</v>
          </cell>
          <cell r="E12">
            <v>0</v>
          </cell>
        </row>
        <row r="13">
          <cell r="B13" t="str">
            <v>Ecart d'équivalence</v>
          </cell>
          <cell r="D13">
            <v>0</v>
          </cell>
          <cell r="E13">
            <v>0</v>
          </cell>
        </row>
        <row r="14">
          <cell r="B14" t="str">
            <v>Réserves</v>
          </cell>
          <cell r="D14">
            <v>995790.43</v>
          </cell>
          <cell r="E14">
            <v>955638.43</v>
          </cell>
        </row>
        <row r="15">
          <cell r="B15" t="str">
            <v>Report à nouveau</v>
          </cell>
          <cell r="D15">
            <v>0</v>
          </cell>
          <cell r="E15">
            <v>0</v>
          </cell>
        </row>
        <row r="16">
          <cell r="B16" t="str">
            <v>Résultat de l'exercice</v>
          </cell>
          <cell r="D16">
            <v>819095.12999998778</v>
          </cell>
          <cell r="E16">
            <v>383051.77000001818</v>
          </cell>
        </row>
        <row r="17">
          <cell r="B17" t="str">
            <v>Subventions d'investissement</v>
          </cell>
          <cell r="D17">
            <v>107567.05000000005</v>
          </cell>
          <cell r="E17">
            <v>133411.93000000005</v>
          </cell>
        </row>
        <row r="18">
          <cell r="B18" t="str">
            <v>Provisions réglementées</v>
          </cell>
          <cell r="D18">
            <v>0</v>
          </cell>
          <cell r="E18">
            <v>0</v>
          </cell>
        </row>
        <row r="19">
          <cell r="B19" t="str">
            <v>Capitaux propres</v>
          </cell>
          <cell r="D19">
            <v>2684452.6099999882</v>
          </cell>
          <cell r="E19">
            <v>2234102.1300000185</v>
          </cell>
        </row>
        <row r="21">
          <cell r="B21" t="str">
            <v>Produits des émissions de titres participatifs</v>
          </cell>
          <cell r="D21">
            <v>0</v>
          </cell>
          <cell r="E21">
            <v>0</v>
          </cell>
        </row>
        <row r="22">
          <cell r="B22" t="str">
            <v>Avances conditionnées</v>
          </cell>
          <cell r="D22">
            <v>0</v>
          </cell>
          <cell r="E22">
            <v>0</v>
          </cell>
        </row>
        <row r="23">
          <cell r="B23" t="str">
            <v>Autres fonds propres</v>
          </cell>
          <cell r="D23">
            <v>0</v>
          </cell>
          <cell r="E23">
            <v>0</v>
          </cell>
        </row>
        <row r="25">
          <cell r="B25" t="str">
            <v>Provisions pour risques</v>
          </cell>
          <cell r="D25">
            <v>36455</v>
          </cell>
          <cell r="E25">
            <v>17657</v>
          </cell>
        </row>
        <row r="26">
          <cell r="B26" t="str">
            <v>Provisions pour charges</v>
          </cell>
          <cell r="D26">
            <v>0</v>
          </cell>
          <cell r="E26">
            <v>0</v>
          </cell>
        </row>
        <row r="27">
          <cell r="B27" t="str">
            <v>Provisions pour risques et charges</v>
          </cell>
          <cell r="D27">
            <v>36455</v>
          </cell>
          <cell r="E27">
            <v>17657</v>
          </cell>
        </row>
        <row r="29">
          <cell r="B29" t="str">
            <v>Emprunts obligataires convertibles</v>
          </cell>
          <cell r="D29">
            <v>0</v>
          </cell>
          <cell r="E29">
            <v>0</v>
          </cell>
        </row>
        <row r="30">
          <cell r="B30" t="str">
            <v>Autres emprunts obligataires</v>
          </cell>
          <cell r="D30">
            <v>0</v>
          </cell>
          <cell r="E30">
            <v>0</v>
          </cell>
        </row>
        <row r="31">
          <cell r="B31" t="str">
            <v>Emprunts et dettes auprès d'établissements de crédit</v>
          </cell>
          <cell r="D31">
            <v>2969086.92</v>
          </cell>
          <cell r="E31">
            <v>72604.22</v>
          </cell>
        </row>
        <row r="32">
          <cell r="B32" t="str">
            <v>Emprunts et dettes financières</v>
          </cell>
          <cell r="D32">
            <v>1525033.38</v>
          </cell>
          <cell r="E32">
            <v>4186767.5999999996</v>
          </cell>
        </row>
        <row r="33">
          <cell r="B33" t="str">
            <v>Avances et acomptes reçus sur commandes en cours</v>
          </cell>
          <cell r="D33">
            <v>584896.11</v>
          </cell>
          <cell r="E33">
            <v>606687.69999999995</v>
          </cell>
        </row>
        <row r="34">
          <cell r="B34" t="str">
            <v>Fournisseurs et comptes rattachés</v>
          </cell>
          <cell r="D34">
            <v>12506272.65</v>
          </cell>
          <cell r="E34">
            <v>12376134.639999999</v>
          </cell>
        </row>
        <row r="36">
          <cell r="B36" t="str">
            <v>Dettes sociales</v>
          </cell>
          <cell r="D36">
            <v>831235.91999999993</v>
          </cell>
          <cell r="E36">
            <v>1072623.8999999999</v>
          </cell>
        </row>
        <row r="37">
          <cell r="B37" t="str">
            <v>Dettes fiscales</v>
          </cell>
          <cell r="D37">
            <v>667100.26</v>
          </cell>
          <cell r="E37">
            <v>253868.15999999997</v>
          </cell>
        </row>
        <row r="38">
          <cell r="B38" t="str">
            <v>Dettes fiscales et sociales</v>
          </cell>
          <cell r="D38">
            <v>1498336.18</v>
          </cell>
          <cell r="E38">
            <v>1326492.0599999998</v>
          </cell>
        </row>
        <row r="39">
          <cell r="B39" t="str">
            <v>Dettes sur immobilisations et comptes rattachés</v>
          </cell>
          <cell r="D39">
            <v>0</v>
          </cell>
          <cell r="E39">
            <v>0</v>
          </cell>
        </row>
        <row r="41">
          <cell r="B41" t="str">
            <v>Clients créditeurs</v>
          </cell>
          <cell r="D41">
            <v>166847.88</v>
          </cell>
          <cell r="E41">
            <v>0</v>
          </cell>
        </row>
        <row r="42">
          <cell r="B42" t="str">
            <v>Versements restant sur immobilisations financières</v>
          </cell>
          <cell r="D42">
            <v>0</v>
          </cell>
          <cell r="E42">
            <v>0</v>
          </cell>
        </row>
        <row r="43">
          <cell r="B43" t="str">
            <v>Dividendes à payer</v>
          </cell>
          <cell r="D43">
            <v>0</v>
          </cell>
          <cell r="E43">
            <v>0</v>
          </cell>
        </row>
        <row r="44">
          <cell r="B44" t="str">
            <v>Dettes diverses</v>
          </cell>
          <cell r="D44">
            <v>61229.859999999993</v>
          </cell>
          <cell r="E44">
            <v>10514.01</v>
          </cell>
        </row>
        <row r="45">
          <cell r="B45" t="str">
            <v>Autres dettes</v>
          </cell>
          <cell r="D45">
            <v>228077.74</v>
          </cell>
          <cell r="E45">
            <v>10514.01</v>
          </cell>
        </row>
        <row r="46">
          <cell r="B46" t="str">
            <v>Dettes</v>
          </cell>
          <cell r="D46">
            <v>19311702.980000004</v>
          </cell>
          <cell r="E46">
            <v>18579200.229999997</v>
          </cell>
        </row>
        <row r="48">
          <cell r="B48" t="str">
            <v>Produits constatés d'avance</v>
          </cell>
          <cell r="D48">
            <v>191519.45</v>
          </cell>
          <cell r="E48">
            <v>150646.72</v>
          </cell>
        </row>
        <row r="49">
          <cell r="B49" t="str">
            <v>Ecarts de conversion Passif</v>
          </cell>
          <cell r="D49">
            <v>0</v>
          </cell>
          <cell r="E49">
            <v>0</v>
          </cell>
        </row>
        <row r="50">
          <cell r="B50" t="str">
            <v>Comptes de régularisation</v>
          </cell>
          <cell r="D50">
            <v>191519.45</v>
          </cell>
          <cell r="E50">
            <v>150646.72</v>
          </cell>
        </row>
        <row r="52">
          <cell r="B52" t="str">
            <v>TOTAL PASSIF</v>
          </cell>
          <cell r="D52">
            <v>22224130.039999988</v>
          </cell>
          <cell r="E52">
            <v>20981606.080000017</v>
          </cell>
        </row>
      </sheetData>
      <sheetData sheetId="6">
        <row r="10">
          <cell r="B10" t="str">
            <v>Ventes de marchandises</v>
          </cell>
          <cell r="D10">
            <v>48966872.399999991</v>
          </cell>
          <cell r="E10">
            <v>43504044.839999996</v>
          </cell>
        </row>
        <row r="11">
          <cell r="B11" t="str">
            <v>Production vendue (Biens et Services)</v>
          </cell>
          <cell r="D11">
            <v>1691362.6999999993</v>
          </cell>
          <cell r="E11">
            <v>1520028.810000001</v>
          </cell>
        </row>
        <row r="12">
          <cell r="B12" t="str">
            <v>Chiffre d'affaires</v>
          </cell>
          <cell r="D12">
            <v>50658235.099999994</v>
          </cell>
          <cell r="E12">
            <v>45024073.649999999</v>
          </cell>
        </row>
        <row r="13">
          <cell r="B13" t="str">
            <v>Production stockée</v>
          </cell>
          <cell r="D13">
            <v>-2845.7</v>
          </cell>
          <cell r="E13">
            <v>877.44</v>
          </cell>
        </row>
        <row r="14">
          <cell r="B14" t="str">
            <v>Production immobilisée</v>
          </cell>
          <cell r="D14">
            <v>359939.38</v>
          </cell>
          <cell r="E14">
            <v>97796.74</v>
          </cell>
        </row>
        <row r="15">
          <cell r="B15" t="str">
            <v>Produits nets partiels sur opérations à long terme</v>
          </cell>
          <cell r="D15">
            <v>0</v>
          </cell>
          <cell r="E15">
            <v>0</v>
          </cell>
        </row>
        <row r="16">
          <cell r="B16" t="str">
            <v>Subventions d'exploitation</v>
          </cell>
          <cell r="D16">
            <v>36682.379999999997</v>
          </cell>
          <cell r="E16">
            <v>41550.07</v>
          </cell>
        </row>
        <row r="18">
          <cell r="B18" t="str">
            <v>Reprises sur provisions d'exploitation</v>
          </cell>
          <cell r="D18">
            <v>126411.86</v>
          </cell>
          <cell r="E18">
            <v>109575.49</v>
          </cell>
        </row>
        <row r="19">
          <cell r="B19" t="str">
            <v>Transfert de charges d'exploitation</v>
          </cell>
          <cell r="D19">
            <v>443400.46</v>
          </cell>
          <cell r="E19">
            <v>499394.80000000005</v>
          </cell>
        </row>
        <row r="20">
          <cell r="B20" t="str">
            <v>Reprises sur provisions et transfert de charges</v>
          </cell>
          <cell r="D20">
            <v>569812.32000000007</v>
          </cell>
          <cell r="E20">
            <v>608970.29</v>
          </cell>
        </row>
        <row r="21">
          <cell r="B21" t="str">
            <v>Autres produits</v>
          </cell>
          <cell r="D21">
            <v>4588.7299999999996</v>
          </cell>
          <cell r="E21">
            <v>1267.3599999999999</v>
          </cell>
        </row>
        <row r="22">
          <cell r="B22" t="str">
            <v>Produits d'exploitation</v>
          </cell>
          <cell r="D22">
            <v>51626412.209999993</v>
          </cell>
          <cell r="E22">
            <v>45774535.549999997</v>
          </cell>
        </row>
        <row r="24">
          <cell r="B24" t="str">
            <v>Achats de marchandises</v>
          </cell>
          <cell r="D24">
            <v>-41909286.340000004</v>
          </cell>
          <cell r="E24">
            <v>-39437584.689999998</v>
          </cell>
        </row>
        <row r="25">
          <cell r="B25" t="str">
            <v>Variation de stocks de marchandises</v>
          </cell>
          <cell r="D25">
            <v>-790593.43</v>
          </cell>
          <cell r="E25">
            <v>2380506.27</v>
          </cell>
        </row>
        <row r="26">
          <cell r="B26" t="str">
            <v>Achat de matières premières et autres approvisionnements</v>
          </cell>
          <cell r="D26">
            <v>0</v>
          </cell>
          <cell r="E26">
            <v>0</v>
          </cell>
        </row>
        <row r="27">
          <cell r="B27" t="str">
            <v>Variation de stocks</v>
          </cell>
          <cell r="D27">
            <v>0</v>
          </cell>
          <cell r="E27">
            <v>0</v>
          </cell>
        </row>
        <row r="28">
          <cell r="B28" t="str">
            <v>Autres achats et charges externes</v>
          </cell>
          <cell r="D28">
            <v>-3206605.0800000005</v>
          </cell>
          <cell r="E28">
            <v>-3291637.4399999995</v>
          </cell>
        </row>
        <row r="29">
          <cell r="B29" t="str">
            <v>Impôts, taxes et versements assimilés</v>
          </cell>
          <cell r="D29">
            <v>-423324.99</v>
          </cell>
          <cell r="E29">
            <v>-370110.78</v>
          </cell>
        </row>
        <row r="31">
          <cell r="B31" t="str">
            <v>Salaires et traitements</v>
          </cell>
          <cell r="D31">
            <v>-2824722.19</v>
          </cell>
          <cell r="E31">
            <v>-2821347.3600000003</v>
          </cell>
        </row>
        <row r="32">
          <cell r="B32" t="str">
            <v>Charges sociales</v>
          </cell>
          <cell r="D32">
            <v>-1213105.1400000001</v>
          </cell>
          <cell r="E32">
            <v>-1262722.8500000001</v>
          </cell>
        </row>
        <row r="33">
          <cell r="B33" t="str">
            <v>Charges de personnel</v>
          </cell>
          <cell r="D33">
            <v>-4037827.33</v>
          </cell>
          <cell r="E33">
            <v>-4084070.2100000004</v>
          </cell>
        </row>
        <row r="35">
          <cell r="B35" t="str">
            <v>Dotations aux amortissements sur Immobilisations</v>
          </cell>
          <cell r="D35">
            <v>-291346.2</v>
          </cell>
          <cell r="E35">
            <v>-313352.8</v>
          </cell>
        </row>
        <row r="36">
          <cell r="B36" t="str">
            <v>Dotations aux dépréciations sur Immobilisations</v>
          </cell>
          <cell r="D36">
            <v>0</v>
          </cell>
          <cell r="E36">
            <v>0</v>
          </cell>
        </row>
        <row r="37">
          <cell r="B37" t="str">
            <v>Dotations aux dépréciations sur Actif circulant</v>
          </cell>
          <cell r="D37">
            <v>-100663.87</v>
          </cell>
          <cell r="E37">
            <v>-114293.56</v>
          </cell>
        </row>
        <row r="38">
          <cell r="B38" t="str">
            <v>Dotations aux provisions pour risques et charges</v>
          </cell>
          <cell r="D38">
            <v>-30455</v>
          </cell>
          <cell r="E38">
            <v>-17657</v>
          </cell>
        </row>
        <row r="39">
          <cell r="B39" t="str">
            <v xml:space="preserve">Dotations aux amortissements, dépréciations et provisions </v>
          </cell>
          <cell r="D39">
            <v>-422465.07</v>
          </cell>
          <cell r="E39">
            <v>-445303.36</v>
          </cell>
        </row>
        <row r="40">
          <cell r="B40" t="str">
            <v>Autres charges d'exploitation</v>
          </cell>
          <cell r="D40">
            <v>-5189.8500000000004</v>
          </cell>
          <cell r="E40">
            <v>-2775.24</v>
          </cell>
        </row>
        <row r="41">
          <cell r="B41" t="str">
            <v>Charges d'exploitation</v>
          </cell>
          <cell r="D41">
            <v>-50795292.090000004</v>
          </cell>
          <cell r="E41">
            <v>-45250975.449999996</v>
          </cell>
        </row>
        <row r="43">
          <cell r="B43" t="str">
            <v>Résultat d'exploitation</v>
          </cell>
          <cell r="D43">
            <v>831120.11999998987</v>
          </cell>
          <cell r="E43">
            <v>523560.0999999987</v>
          </cell>
        </row>
        <row r="45">
          <cell r="B45" t="str">
            <v>Quotes-parts de résultat sur opérations faites en commun</v>
          </cell>
          <cell r="D45">
            <v>0</v>
          </cell>
          <cell r="E45">
            <v>0</v>
          </cell>
        </row>
        <row r="47">
          <cell r="B47" t="str">
            <v>Produits des participations</v>
          </cell>
          <cell r="D47">
            <v>0</v>
          </cell>
          <cell r="E47">
            <v>0</v>
          </cell>
        </row>
        <row r="48">
          <cell r="B48" t="str">
            <v>Produits d'autres valeurs mobilières et créances de l'actif immobilisé</v>
          </cell>
          <cell r="D48">
            <v>0</v>
          </cell>
          <cell r="E48">
            <v>0</v>
          </cell>
        </row>
        <row r="49">
          <cell r="B49" t="str">
            <v>Autres intérêts et produits assimilés</v>
          </cell>
          <cell r="D49">
            <v>206143.76</v>
          </cell>
          <cell r="E49">
            <v>161517.84</v>
          </cell>
        </row>
        <row r="51">
          <cell r="B51" t="str">
            <v>Reprises sur dépréciations, provisions financières</v>
          </cell>
          <cell r="D51">
            <v>0</v>
          </cell>
          <cell r="E51">
            <v>0</v>
          </cell>
        </row>
        <row r="52">
          <cell r="B52" t="str">
            <v>Tranfert de charges financières</v>
          </cell>
          <cell r="D52">
            <v>0</v>
          </cell>
          <cell r="E52">
            <v>0</v>
          </cell>
        </row>
        <row r="53">
          <cell r="B53" t="str">
            <v>Reprises sur dépréciations, provisions et tranfert de charges financières</v>
          </cell>
          <cell r="D53">
            <v>0</v>
          </cell>
          <cell r="E53">
            <v>0</v>
          </cell>
        </row>
        <row r="54">
          <cell r="B54" t="str">
            <v>Différences positives de change</v>
          </cell>
          <cell r="D54">
            <v>0</v>
          </cell>
          <cell r="E54">
            <v>0</v>
          </cell>
        </row>
        <row r="55">
          <cell r="B55" t="str">
            <v>Produits nets sur cessions de valeurs mobilières de placement</v>
          </cell>
          <cell r="D55">
            <v>0</v>
          </cell>
          <cell r="E55">
            <v>0</v>
          </cell>
        </row>
        <row r="56">
          <cell r="B56" t="str">
            <v>Produits financiers</v>
          </cell>
          <cell r="D56">
            <v>206143.76</v>
          </cell>
          <cell r="E56">
            <v>161517.84</v>
          </cell>
        </row>
        <row r="58">
          <cell r="B58" t="str">
            <v>Dotations aux amortissements, dépréciations et provisions financières</v>
          </cell>
          <cell r="D58">
            <v>0</v>
          </cell>
          <cell r="E58">
            <v>0</v>
          </cell>
        </row>
        <row r="59">
          <cell r="B59" t="str">
            <v>Intérêts et charges assimilées</v>
          </cell>
          <cell r="D59">
            <v>-247119.58999999997</v>
          </cell>
          <cell r="E59">
            <v>-207556.66000000003</v>
          </cell>
        </row>
        <row r="60">
          <cell r="B60" t="str">
            <v>Différences négatives de change</v>
          </cell>
          <cell r="D60">
            <v>0</v>
          </cell>
          <cell r="E60">
            <v>0</v>
          </cell>
        </row>
        <row r="61">
          <cell r="B61" t="str">
            <v>Charges nettes sur cessions de valeurs mobilières de placement</v>
          </cell>
          <cell r="D61">
            <v>0</v>
          </cell>
          <cell r="E61">
            <v>0</v>
          </cell>
        </row>
        <row r="62">
          <cell r="B62" t="str">
            <v>Charges financières</v>
          </cell>
          <cell r="D62">
            <v>-247119.58999999997</v>
          </cell>
          <cell r="E62">
            <v>-207556.66000000003</v>
          </cell>
        </row>
        <row r="64">
          <cell r="B64" t="str">
            <v>Résultat financier</v>
          </cell>
          <cell r="D64">
            <v>-40975.829999999958</v>
          </cell>
          <cell r="E64">
            <v>-46038.820000000036</v>
          </cell>
        </row>
        <row r="66">
          <cell r="B66" t="str">
            <v>Résultat courant avant impôts</v>
          </cell>
          <cell r="D66">
            <v>790144.28999998991</v>
          </cell>
          <cell r="E66">
            <v>477521.27999999863</v>
          </cell>
        </row>
        <row r="68">
          <cell r="B68" t="str">
            <v>Produits sur opérations de gestion</v>
          </cell>
          <cell r="D68">
            <v>238.77</v>
          </cell>
          <cell r="E68">
            <v>0</v>
          </cell>
        </row>
        <row r="69">
          <cell r="B69" t="str">
            <v>Produits sur opérations en capital</v>
          </cell>
          <cell r="D69">
            <v>271415.7</v>
          </cell>
          <cell r="E69">
            <v>242381.92</v>
          </cell>
        </row>
        <row r="71">
          <cell r="B71" t="str">
            <v>Reprises sur dépréciations, provisions exceptionnelles</v>
          </cell>
          <cell r="D71">
            <v>0</v>
          </cell>
          <cell r="E71">
            <v>0</v>
          </cell>
        </row>
        <row r="72">
          <cell r="B72" t="str">
            <v>Tranfert de charges exceptionnelles</v>
          </cell>
          <cell r="D72">
            <v>0</v>
          </cell>
          <cell r="E72">
            <v>20200</v>
          </cell>
        </row>
        <row r="73">
          <cell r="B73" t="str">
            <v>Reprises sur dépréciations, provisions et tranfert de charges financières</v>
          </cell>
          <cell r="D73">
            <v>0</v>
          </cell>
          <cell r="E73">
            <v>20200</v>
          </cell>
        </row>
        <row r="74">
          <cell r="B74" t="str">
            <v xml:space="preserve">Produits exceptionnels </v>
          </cell>
          <cell r="D74">
            <v>271654.47000000003</v>
          </cell>
          <cell r="E74">
            <v>262581.92000000004</v>
          </cell>
        </row>
        <row r="76">
          <cell r="B76" t="str">
            <v>Charges sur opérations de gestion</v>
          </cell>
          <cell r="D76">
            <v>-18289.52</v>
          </cell>
          <cell r="E76">
            <v>5338.37</v>
          </cell>
        </row>
        <row r="77">
          <cell r="B77" t="str">
            <v>Charges sur opérations en capital</v>
          </cell>
          <cell r="D77">
            <v>-224414.11</v>
          </cell>
          <cell r="E77">
            <v>-177466.12</v>
          </cell>
        </row>
        <row r="78">
          <cell r="B78" t="str">
            <v>Dotations aux amortissements, dépréciations et provisions exceptionnelles</v>
          </cell>
          <cell r="D78">
            <v>0</v>
          </cell>
          <cell r="E78">
            <v>0</v>
          </cell>
        </row>
        <row r="79">
          <cell r="B79" t="str">
            <v xml:space="preserve">Charges exceptionnelles </v>
          </cell>
          <cell r="D79">
            <v>-242703.62999999998</v>
          </cell>
          <cell r="E79">
            <v>-172127.75</v>
          </cell>
        </row>
        <row r="81">
          <cell r="B81" t="str">
            <v>Résultat exceptionnel</v>
          </cell>
          <cell r="D81">
            <v>28950.840000000055</v>
          </cell>
          <cell r="E81">
            <v>90454.170000000042</v>
          </cell>
        </row>
        <row r="83">
          <cell r="B83" t="str">
            <v>Participation des salariés aux résultats</v>
          </cell>
          <cell r="D83">
            <v>0</v>
          </cell>
          <cell r="E83">
            <v>-53831.88</v>
          </cell>
        </row>
        <row r="84">
          <cell r="B84" t="str">
            <v>Impôts sur les bénéfices</v>
          </cell>
          <cell r="D84">
            <v>0</v>
          </cell>
          <cell r="E84">
            <v>-131091.79999999999</v>
          </cell>
        </row>
        <row r="86">
          <cell r="B86" t="str">
            <v>Résultat net</v>
          </cell>
          <cell r="D86">
            <v>819095.12999998999</v>
          </cell>
          <cell r="E86">
            <v>383051.76999999868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 Synthèse"/>
      <sheetName val="Questionnaire"/>
      <sheetName val="S100 Tableau var stocks"/>
      <sheetName val="S200 Rappro états stock-compta"/>
      <sheetName val="S300 Rotation stocks"/>
      <sheetName val="S400 Réconciliation IP PR"/>
      <sheetName val="S500 Boucle stock"/>
      <sheetName val="S610 Dépréciation stock VN"/>
      <sheetName val="S620 Dépréciation stock VO"/>
      <sheetName val="S630 Dépréciation stock P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36">
          <cell r="H36">
            <v>42735</v>
          </cell>
        </row>
        <row r="39">
          <cell r="G39" t="str">
            <v xml:space="preserve"> Prix
d'achat</v>
          </cell>
          <cell r="H39" t="str">
            <v>date
livraison
client</v>
          </cell>
          <cell r="I39" t="str">
            <v>Montant 
marge 2</v>
          </cell>
          <cell r="P39" t="str">
            <v>Mois à
déprécier
à 1 %</v>
          </cell>
          <cell r="Q39" t="str">
            <v>Mois à
déprécier
à 2 %si VD</v>
          </cell>
          <cell r="S39" t="str">
            <v xml:space="preserve">Dépréciation
</v>
          </cell>
          <cell r="T39" t="str">
            <v>DEPRE 
APV</v>
          </cell>
        </row>
        <row r="40">
          <cell r="G40">
            <v>28150.55</v>
          </cell>
          <cell r="I40">
            <v>3754.79</v>
          </cell>
          <cell r="P40">
            <v>5</v>
          </cell>
          <cell r="Q40">
            <v>2</v>
          </cell>
          <cell r="S40">
            <v>2533.5495000000001</v>
          </cell>
          <cell r="T40" t="str">
            <v>pas réservé</v>
          </cell>
        </row>
        <row r="41">
          <cell r="G41">
            <v>23148.05</v>
          </cell>
          <cell r="I41">
            <v>3007.28</v>
          </cell>
          <cell r="P41">
            <v>6</v>
          </cell>
          <cell r="Q41">
            <v>0</v>
          </cell>
          <cell r="S41">
            <v>1388.8829999999998</v>
          </cell>
          <cell r="T41" t="str">
            <v>pas réservé</v>
          </cell>
        </row>
        <row r="42">
          <cell r="G42">
            <v>23148.05</v>
          </cell>
          <cell r="I42">
            <v>3007.28</v>
          </cell>
          <cell r="P42">
            <v>6</v>
          </cell>
          <cell r="Q42">
            <v>0</v>
          </cell>
          <cell r="S42">
            <v>1388.8829999999998</v>
          </cell>
          <cell r="T42" t="str">
            <v>pas réservé</v>
          </cell>
        </row>
        <row r="43">
          <cell r="G43">
            <v>15319.6</v>
          </cell>
          <cell r="I43">
            <v>0</v>
          </cell>
          <cell r="P43">
            <v>4</v>
          </cell>
          <cell r="Q43">
            <v>2</v>
          </cell>
          <cell r="S43">
            <v>1225.568</v>
          </cell>
          <cell r="T43" t="str">
            <v>pas réservé</v>
          </cell>
        </row>
        <row r="44">
          <cell r="G44">
            <v>28513.05</v>
          </cell>
          <cell r="I44">
            <v>3752.95</v>
          </cell>
          <cell r="P44">
            <v>6</v>
          </cell>
          <cell r="Q44">
            <v>0</v>
          </cell>
          <cell r="S44">
            <v>1710.7829999999999</v>
          </cell>
          <cell r="T44" t="str">
            <v>pas réservé</v>
          </cell>
        </row>
      </sheetData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EXCEL"/>
      <sheetName val="Feuil2"/>
      <sheetName val="Feuil1"/>
      <sheetName val="Feuil5"/>
      <sheetName val="Feuil3"/>
      <sheetName val="Feuil4"/>
    </sheetNames>
    <sheetDataSet>
      <sheetData sheetId="0" refreshError="1"/>
      <sheetData sheetId="1" refreshError="1"/>
      <sheetData sheetId="2" refreshError="1"/>
      <sheetData sheetId="3">
        <row r="1">
          <cell r="A1">
            <v>101300</v>
          </cell>
          <cell r="B1" t="str">
            <v>CAPITAL VERSE            </v>
          </cell>
        </row>
        <row r="2">
          <cell r="A2">
            <v>106100</v>
          </cell>
          <cell r="B2" t="str">
            <v>RESERVE LEGALE           </v>
          </cell>
        </row>
        <row r="3">
          <cell r="A3">
            <v>106800</v>
          </cell>
          <cell r="B3" t="str">
            <v>RESERVE FACULTATIVE      </v>
          </cell>
        </row>
        <row r="4">
          <cell r="A4">
            <v>120000</v>
          </cell>
          <cell r="B4" t="str">
            <v>BENEFICE DE L'EXERCICE   </v>
          </cell>
        </row>
        <row r="5">
          <cell r="A5">
            <v>131000</v>
          </cell>
          <cell r="B5" t="str">
            <v>SUBVENTION D'INVESTISSEME</v>
          </cell>
        </row>
        <row r="6">
          <cell r="A6">
            <v>139000</v>
          </cell>
          <cell r="B6" t="str">
            <v>PART SUBV INVEST AU BILAN</v>
          </cell>
        </row>
        <row r="7">
          <cell r="A7">
            <v>151000</v>
          </cell>
          <cell r="B7" t="str">
            <v>PROVISION POUR LITIGES   </v>
          </cell>
        </row>
        <row r="8">
          <cell r="A8">
            <v>164000</v>
          </cell>
          <cell r="B8" t="str">
            <v>PRET BANQUE RHONE ALPES  </v>
          </cell>
        </row>
        <row r="9">
          <cell r="A9">
            <v>164002</v>
          </cell>
          <cell r="B9" t="str">
            <v>PRET SOFIB               </v>
          </cell>
        </row>
        <row r="10">
          <cell r="A10">
            <v>166000</v>
          </cell>
          <cell r="B10" t="str">
            <v>PARTICIPATION DES SALARIE</v>
          </cell>
        </row>
        <row r="11">
          <cell r="A11">
            <v>168000</v>
          </cell>
          <cell r="B11" t="str">
            <v>PRET A COURT TERME       </v>
          </cell>
        </row>
        <row r="12">
          <cell r="A12">
            <v>168100</v>
          </cell>
          <cell r="B12" t="str">
            <v>INTERETS COURUS          </v>
          </cell>
        </row>
        <row r="13">
          <cell r="A13">
            <v>168700</v>
          </cell>
          <cell r="B13" t="str">
            <v>AVANCE COMMISSIONS TOTAL </v>
          </cell>
        </row>
        <row r="14">
          <cell r="A14">
            <v>168860</v>
          </cell>
          <cell r="B14" t="str">
            <v>INTERETS COURUS/PART SAL </v>
          </cell>
        </row>
        <row r="15">
          <cell r="A15">
            <v>205000</v>
          </cell>
          <cell r="B15" t="str">
            <v>CONCESSIONS DROITS SIMIL.</v>
          </cell>
        </row>
        <row r="16">
          <cell r="A16">
            <v>205000</v>
          </cell>
          <cell r="B16" t="str">
            <v>CONCESSIONS LICENCES     </v>
          </cell>
        </row>
        <row r="17">
          <cell r="A17">
            <v>205000</v>
          </cell>
          <cell r="B17" t="str">
            <v>CONCESSIONS LICENCES     </v>
          </cell>
        </row>
        <row r="18">
          <cell r="A18">
            <v>207000</v>
          </cell>
          <cell r="B18" t="str">
            <v>FONDS DE COMMERCE        </v>
          </cell>
        </row>
        <row r="19">
          <cell r="A19">
            <v>213500</v>
          </cell>
          <cell r="B19" t="str">
            <v>AGENC.AMENAG.CONSTRUCTION</v>
          </cell>
        </row>
        <row r="20">
          <cell r="A20">
            <v>213500</v>
          </cell>
          <cell r="B20" t="str">
            <v>AGENC.AMENAG.CONSTRUCTION</v>
          </cell>
        </row>
        <row r="21">
          <cell r="A21">
            <v>213500</v>
          </cell>
          <cell r="B21" t="str">
            <v>AGENC.AMENAG.CONSTRUCTION</v>
          </cell>
        </row>
        <row r="22">
          <cell r="A22">
            <v>214500</v>
          </cell>
          <cell r="B22" t="str">
            <v>CONSTRUCT/SOL THIVOLLE SA</v>
          </cell>
        </row>
        <row r="23">
          <cell r="A23">
            <v>214500</v>
          </cell>
          <cell r="B23" t="str">
            <v>CONSTRUCT./SOL THIVOLLE  </v>
          </cell>
        </row>
        <row r="24">
          <cell r="A24">
            <v>215000</v>
          </cell>
          <cell r="B24" t="str">
            <v>MATERIEL ET OUTILLAGE    </v>
          </cell>
        </row>
        <row r="25">
          <cell r="A25">
            <v>215000</v>
          </cell>
          <cell r="B25" t="str">
            <v>MATERIEL ET OUTILLAGE    </v>
          </cell>
        </row>
        <row r="26">
          <cell r="A26">
            <v>215000</v>
          </cell>
          <cell r="B26" t="str">
            <v>MATERIEL ET OUTILLAGE    </v>
          </cell>
        </row>
        <row r="27">
          <cell r="A27">
            <v>215100</v>
          </cell>
          <cell r="B27" t="str">
            <v>INSTAL.COMPLEX.SPECIALIS.</v>
          </cell>
        </row>
        <row r="28">
          <cell r="A28">
            <v>215100</v>
          </cell>
          <cell r="B28" t="str">
            <v>INSTAL.COMPLEX.SPECIALIS.</v>
          </cell>
        </row>
        <row r="29">
          <cell r="A29">
            <v>215100</v>
          </cell>
          <cell r="B29" t="str">
            <v>INSTAL.COMPLEX.SPECIALIS.</v>
          </cell>
        </row>
        <row r="30">
          <cell r="A30">
            <v>218100</v>
          </cell>
          <cell r="B30" t="str">
            <v>AGENC.AMENAG.INST.GENERAL</v>
          </cell>
        </row>
        <row r="31">
          <cell r="A31">
            <v>218100</v>
          </cell>
          <cell r="B31" t="str">
            <v>AMENAGEMENT INST. GALE EX</v>
          </cell>
        </row>
        <row r="32">
          <cell r="A32">
            <v>218100</v>
          </cell>
          <cell r="B32" t="str">
            <v>AGENC.AMENAG.INST.GENERAL</v>
          </cell>
        </row>
        <row r="33">
          <cell r="A33">
            <v>218100</v>
          </cell>
          <cell r="B33" t="str">
            <v>AGENC.AMENAG.INST GENERAL</v>
          </cell>
        </row>
        <row r="34">
          <cell r="A34">
            <v>218100</v>
          </cell>
          <cell r="B34" t="str">
            <v>AGENC.AMENAG.INST.GENERAL</v>
          </cell>
        </row>
        <row r="35">
          <cell r="A35">
            <v>218200</v>
          </cell>
          <cell r="B35" t="str">
            <v>MATERIEL DE TRANSPORT    </v>
          </cell>
        </row>
        <row r="36">
          <cell r="A36">
            <v>218200</v>
          </cell>
          <cell r="B36" t="str">
            <v>MATERIEL TRANSPORT       </v>
          </cell>
        </row>
        <row r="37">
          <cell r="A37">
            <v>218250</v>
          </cell>
          <cell r="B37" t="str">
            <v>VEHICULES DE LOCATION    </v>
          </cell>
        </row>
        <row r="38">
          <cell r="A38">
            <v>218250</v>
          </cell>
          <cell r="B38" t="str">
            <v>VEHICULES DE LOCATION    </v>
          </cell>
        </row>
        <row r="39">
          <cell r="A39">
            <v>218250</v>
          </cell>
          <cell r="B39" t="str">
            <v>VEHICULES DE LOCATION    </v>
          </cell>
        </row>
        <row r="40">
          <cell r="A40">
            <v>218300</v>
          </cell>
          <cell r="B40" t="str">
            <v>MATERIEL BUREAU &amp; INFORM.</v>
          </cell>
        </row>
        <row r="41">
          <cell r="A41">
            <v>218300</v>
          </cell>
          <cell r="B41" t="str">
            <v>MATERIEL BUREAU ET INFORM</v>
          </cell>
        </row>
        <row r="42">
          <cell r="A42">
            <v>218300</v>
          </cell>
          <cell r="B42" t="str">
            <v>MATERIEL BUREAU ET INFORM</v>
          </cell>
        </row>
        <row r="43">
          <cell r="A43">
            <v>218400</v>
          </cell>
          <cell r="B43" t="str">
            <v>MOBILIER                 </v>
          </cell>
        </row>
        <row r="44">
          <cell r="A44">
            <v>218400</v>
          </cell>
          <cell r="B44" t="str">
            <v>MOBILIER                 </v>
          </cell>
        </row>
        <row r="45">
          <cell r="A45">
            <v>218400</v>
          </cell>
          <cell r="B45" t="str">
            <v>MOBILIER                 </v>
          </cell>
        </row>
        <row r="46">
          <cell r="A46">
            <v>231100</v>
          </cell>
          <cell r="B46" t="str">
            <v>TRAVAUX IMMO.EN COURS 20%</v>
          </cell>
        </row>
        <row r="47">
          <cell r="A47">
            <v>261000</v>
          </cell>
          <cell r="B47" t="str">
            <v>TITRES DE PARTICIPATION  </v>
          </cell>
        </row>
        <row r="48">
          <cell r="A48">
            <v>275100</v>
          </cell>
          <cell r="B48" t="str">
            <v>DEPOTS ET CAUTIONNEMENTS </v>
          </cell>
        </row>
        <row r="49">
          <cell r="A49">
            <v>280500</v>
          </cell>
          <cell r="B49" t="str">
            <v>AMORT PROCEDE INFORMATIQ </v>
          </cell>
        </row>
        <row r="50">
          <cell r="A50">
            <v>281350</v>
          </cell>
          <cell r="B50" t="str">
            <v>AMORT.AGENC.AMENAG.CONST.</v>
          </cell>
        </row>
        <row r="51">
          <cell r="A51">
            <v>281450</v>
          </cell>
          <cell r="B51" t="str">
            <v>AMORT.AGENC/SOL THIVOL.SA</v>
          </cell>
        </row>
        <row r="52">
          <cell r="A52">
            <v>281500</v>
          </cell>
          <cell r="B52" t="str">
            <v>AMORTIS.MATERIEL &amp; OUTIL.</v>
          </cell>
        </row>
        <row r="53">
          <cell r="A53">
            <v>281510</v>
          </cell>
          <cell r="B53" t="str">
            <v>AMORT.INST.COMPLEX.SPEC. </v>
          </cell>
        </row>
        <row r="54">
          <cell r="A54">
            <v>281810</v>
          </cell>
          <cell r="B54" t="str">
            <v>AMORT.AGENCEMENTS INSTAL.</v>
          </cell>
        </row>
        <row r="55">
          <cell r="A55">
            <v>281820</v>
          </cell>
          <cell r="B55" t="str">
            <v>AMORT.MATERIEL TRANSPORT </v>
          </cell>
        </row>
        <row r="56">
          <cell r="A56">
            <v>281825</v>
          </cell>
          <cell r="B56" t="str">
            <v>AMORT.VEHICULES LOCATION </v>
          </cell>
        </row>
        <row r="57">
          <cell r="A57">
            <v>281830</v>
          </cell>
          <cell r="B57" t="str">
            <v>AMORT.MAT.BUREAU &amp; INFORM</v>
          </cell>
        </row>
        <row r="58">
          <cell r="A58">
            <v>281840</v>
          </cell>
          <cell r="B58" t="str">
            <v>AMORTISSEMENT DU MOBILIER</v>
          </cell>
        </row>
        <row r="59">
          <cell r="A59">
            <v>341610</v>
          </cell>
          <cell r="B59" t="str">
            <v>ENCOURS M.O. ATELIER     </v>
          </cell>
        </row>
        <row r="60">
          <cell r="A60">
            <v>341620</v>
          </cell>
          <cell r="B60" t="str">
            <v>ENCOURS PIECES ATELIER   </v>
          </cell>
        </row>
        <row r="61">
          <cell r="A61">
            <v>341660</v>
          </cell>
          <cell r="B61" t="str">
            <v>EN-COURS LUB ATELIER     </v>
          </cell>
        </row>
        <row r="62">
          <cell r="A62">
            <v>371110</v>
          </cell>
          <cell r="B62" t="str">
            <v>STOCK VEHICULES NEUFS    </v>
          </cell>
        </row>
        <row r="63">
          <cell r="A63">
            <v>371120</v>
          </cell>
          <cell r="B63" t="str">
            <v>STOCK VN VD              </v>
          </cell>
        </row>
        <row r="64">
          <cell r="A64">
            <v>371130</v>
          </cell>
          <cell r="B64" t="str">
            <v>STOCK TRANSFO VEH NEUFS  </v>
          </cell>
        </row>
        <row r="65">
          <cell r="A65">
            <v>371210</v>
          </cell>
          <cell r="B65" t="str">
            <v>STOCK VEHICULES OCCASION </v>
          </cell>
        </row>
        <row r="66">
          <cell r="A66">
            <v>371211</v>
          </cell>
          <cell r="B66" t="str">
            <v>STOCK VO TVA RECUPERABLE </v>
          </cell>
        </row>
        <row r="67">
          <cell r="A67">
            <v>371220</v>
          </cell>
          <cell r="B67" t="str">
            <v>STOCK PREPARATION VO     </v>
          </cell>
        </row>
        <row r="68">
          <cell r="A68">
            <v>371510</v>
          </cell>
          <cell r="B68" t="str">
            <v>STOCK PIECES CITROEN     </v>
          </cell>
        </row>
        <row r="69">
          <cell r="A69">
            <v>371550</v>
          </cell>
          <cell r="B69" t="str">
            <v>STOCK PNEUS              </v>
          </cell>
        </row>
        <row r="70">
          <cell r="A70">
            <v>371560</v>
          </cell>
          <cell r="B70" t="str">
            <v>STOCK HUILES             </v>
          </cell>
        </row>
        <row r="71">
          <cell r="A71">
            <v>371730</v>
          </cell>
          <cell r="B71" t="str">
            <v>STOCK BOUTIQUE           </v>
          </cell>
        </row>
        <row r="72">
          <cell r="A72">
            <v>397130</v>
          </cell>
          <cell r="B72" t="str">
            <v>PROVISION DEP. VN        </v>
          </cell>
        </row>
        <row r="73">
          <cell r="A73">
            <v>397210</v>
          </cell>
          <cell r="B73" t="str">
            <v>PROVISION DEP. VO        </v>
          </cell>
        </row>
        <row r="74">
          <cell r="A74">
            <v>397510</v>
          </cell>
          <cell r="B74" t="str">
            <v>PROV.DEP. PIECES CITROEN </v>
          </cell>
        </row>
        <row r="75">
          <cell r="A75">
            <v>401100</v>
          </cell>
          <cell r="B75" t="str">
            <v>FOURNISSEURS DIVERS      </v>
          </cell>
        </row>
        <row r="76">
          <cell r="A76">
            <v>401101</v>
          </cell>
          <cell r="B76" t="str">
            <v>FOURN.INTERMEDIAIRES     </v>
          </cell>
        </row>
        <row r="77">
          <cell r="A77">
            <v>401102</v>
          </cell>
          <cell r="B77" t="str">
            <v>FOURNISSEURS  VO         </v>
          </cell>
        </row>
        <row r="78">
          <cell r="A78">
            <v>401103</v>
          </cell>
          <cell r="B78" t="str">
            <v>FOURN.NEUILLY PR         </v>
          </cell>
        </row>
        <row r="79">
          <cell r="A79">
            <v>401104</v>
          </cell>
          <cell r="B79" t="str">
            <v>FOURN.^NEUILLY VN        </v>
          </cell>
        </row>
        <row r="80">
          <cell r="A80">
            <v>401105</v>
          </cell>
          <cell r="B80" t="str">
            <v>FOURN.^NEUILLY COMPTE C. </v>
          </cell>
        </row>
        <row r="81">
          <cell r="A81">
            <v>401108</v>
          </cell>
          <cell r="B81" t="str">
            <v>FOURN.GROUPE THIVOLLE    </v>
          </cell>
        </row>
        <row r="82">
          <cell r="A82">
            <v>403000</v>
          </cell>
          <cell r="B82" t="str">
            <v>VIRT A PAYER             </v>
          </cell>
        </row>
        <row r="83">
          <cell r="A83">
            <v>408000</v>
          </cell>
          <cell r="B83" t="str">
            <v>** FOURN. FACT NON PARVEN</v>
          </cell>
        </row>
        <row r="84">
          <cell r="A84">
            <v>408100</v>
          </cell>
          <cell r="B84" t="str">
            <v>FOURNIS.FACT.NON PARVEN. </v>
          </cell>
        </row>
        <row r="85">
          <cell r="A85">
            <v>408199</v>
          </cell>
          <cell r="B85" t="str">
            <v>FACT A RECEVOIR GROUPE   </v>
          </cell>
        </row>
        <row r="86">
          <cell r="A86">
            <v>409800</v>
          </cell>
          <cell r="B86" t="str">
            <v>FOURN.AVOIRS/RIST.A OBTEN</v>
          </cell>
        </row>
        <row r="87">
          <cell r="A87">
            <v>409899</v>
          </cell>
          <cell r="B87" t="str">
            <v>AVOIR A RECEVOIR GROUPE  </v>
          </cell>
        </row>
        <row r="88">
          <cell r="A88">
            <v>411000</v>
          </cell>
          <cell r="B88" t="str">
            <v>CLIENTS AUTRES           </v>
          </cell>
        </row>
        <row r="89">
          <cell r="A89">
            <v>411010</v>
          </cell>
          <cell r="B89" t="str">
            <v>CLIENTS EN COMPTE MAGASIN</v>
          </cell>
        </row>
        <row r="90">
          <cell r="A90">
            <v>411020</v>
          </cell>
          <cell r="B90" t="str">
            <v>CLIENTS COMPTANT NON REGL</v>
          </cell>
        </row>
        <row r="91">
          <cell r="A91">
            <v>411030</v>
          </cell>
          <cell r="B91" t="str">
            <v>CLIENTS VN               </v>
          </cell>
        </row>
        <row r="92">
          <cell r="A92">
            <v>411040</v>
          </cell>
          <cell r="B92" t="str">
            <v>CLIENTS VO               </v>
          </cell>
        </row>
        <row r="93">
          <cell r="A93">
            <v>411050</v>
          </cell>
          <cell r="B93" t="str">
            <v>CLIENTS EN COMPTE ATELIER</v>
          </cell>
        </row>
        <row r="94">
          <cell r="A94">
            <v>411060</v>
          </cell>
          <cell r="B94" t="str">
            <v>CLT APV ASSURANCES       </v>
          </cell>
        </row>
        <row r="95">
          <cell r="A95">
            <v>411080</v>
          </cell>
          <cell r="B95" t="str">
            <v>CLIENTS GROUPE THIVOLLE  </v>
          </cell>
        </row>
        <row r="96">
          <cell r="A96">
            <v>411090</v>
          </cell>
          <cell r="B96" t="str">
            <v>CLIENTS DOUTEUX          </v>
          </cell>
        </row>
        <row r="97">
          <cell r="A97">
            <v>413000</v>
          </cell>
          <cell r="B97" t="str">
            <v>CLIENTS EFFETS A RECEVOIR</v>
          </cell>
        </row>
        <row r="98">
          <cell r="A98">
            <v>418100</v>
          </cell>
          <cell r="B98" t="str">
            <v>CLIENTS FACT.A ETABLIR   </v>
          </cell>
        </row>
        <row r="99">
          <cell r="A99">
            <v>418199</v>
          </cell>
          <cell r="B99" t="str">
            <v>FACT A ETABLIR GROUPE    </v>
          </cell>
        </row>
        <row r="100">
          <cell r="A100">
            <v>419800</v>
          </cell>
          <cell r="B100" t="str">
            <v>CLIENTS AVOIRS A ETABLIR </v>
          </cell>
        </row>
        <row r="101">
          <cell r="A101">
            <v>421000</v>
          </cell>
          <cell r="B101" t="str">
            <v>REMUNERATIONS DUES       </v>
          </cell>
        </row>
        <row r="102">
          <cell r="A102">
            <v>422100</v>
          </cell>
          <cell r="B102" t="str">
            <v>COMITE D'ENTREPRISE      </v>
          </cell>
        </row>
        <row r="103">
          <cell r="A103">
            <v>425000</v>
          </cell>
          <cell r="B103" t="str">
            <v>ACOMPTES PERSONNELS      </v>
          </cell>
        </row>
        <row r="104">
          <cell r="A104">
            <v>425100</v>
          </cell>
          <cell r="B104" t="str">
            <v>AVANCE AU PERSONNEL      </v>
          </cell>
        </row>
        <row r="105">
          <cell r="A105">
            <v>427000</v>
          </cell>
          <cell r="B105" t="str">
            <v>SAISIE-ARRET SUR SALAIRES</v>
          </cell>
        </row>
        <row r="106">
          <cell r="A106">
            <v>428200</v>
          </cell>
          <cell r="B106" t="str">
            <v>PROVISIONS CONGES PAYES  </v>
          </cell>
        </row>
        <row r="107">
          <cell r="A107">
            <v>428300</v>
          </cell>
          <cell r="B107" t="str">
            <v>PROVISION RTT            </v>
          </cell>
        </row>
        <row r="108">
          <cell r="A108">
            <v>428400</v>
          </cell>
          <cell r="B108" t="str">
            <v>DETTES PROV.PARTICIP.SAL.</v>
          </cell>
        </row>
        <row r="109">
          <cell r="A109">
            <v>428600</v>
          </cell>
          <cell r="B109" t="str">
            <v>AUTRES CHARGES A PAYER   </v>
          </cell>
        </row>
        <row r="110">
          <cell r="A110">
            <v>428700</v>
          </cell>
          <cell r="B110" t="str">
            <v>PRESONNEL PRODUIT A RECEV</v>
          </cell>
        </row>
        <row r="111">
          <cell r="A111">
            <v>431000</v>
          </cell>
          <cell r="B111" t="str">
            <v>URSSAF                   </v>
          </cell>
        </row>
        <row r="112">
          <cell r="A112">
            <v>432000</v>
          </cell>
          <cell r="B112" t="str">
            <v>INDEMN.CPAM IPSA IRP AUTO</v>
          </cell>
        </row>
        <row r="113">
          <cell r="A113">
            <v>437010</v>
          </cell>
          <cell r="B113" t="str">
            <v>MEDECINE DU TRAVAIL      </v>
          </cell>
        </row>
        <row r="114">
          <cell r="A114">
            <v>437010</v>
          </cell>
          <cell r="B114" t="str">
            <v>MEDECINE DU TRAVAIL      </v>
          </cell>
        </row>
        <row r="115">
          <cell r="A115">
            <v>437200</v>
          </cell>
          <cell r="B115" t="str">
            <v>IRP AUTO.                </v>
          </cell>
        </row>
        <row r="116">
          <cell r="A116">
            <v>437245</v>
          </cell>
          <cell r="B116" t="str">
            <v>AXA                      </v>
          </cell>
        </row>
        <row r="117">
          <cell r="A117">
            <v>437260</v>
          </cell>
          <cell r="B117" t="str">
            <v>GAN RETRAITE             </v>
          </cell>
        </row>
        <row r="118">
          <cell r="A118">
            <v>437300</v>
          </cell>
          <cell r="B118" t="str">
            <v>ORGANISMES DE FORMATION  </v>
          </cell>
        </row>
        <row r="119">
          <cell r="A119">
            <v>437500</v>
          </cell>
          <cell r="B119" t="str">
            <v>EFFORT CONSTRUCTION      </v>
          </cell>
        </row>
        <row r="120">
          <cell r="A120">
            <v>437800</v>
          </cell>
          <cell r="B120" t="str">
            <v>APICIL MUTUELLE          </v>
          </cell>
        </row>
        <row r="121">
          <cell r="A121">
            <v>437820</v>
          </cell>
          <cell r="B121" t="str">
            <v>CHEQUES DEJEUNERS        </v>
          </cell>
        </row>
        <row r="122">
          <cell r="A122">
            <v>437830</v>
          </cell>
          <cell r="B122" t="str">
            <v>AGEFIPH - HANDICAPES     </v>
          </cell>
        </row>
        <row r="123">
          <cell r="A123">
            <v>437910</v>
          </cell>
          <cell r="B123" t="str">
            <v>TAXE APPRENTISSAGE       </v>
          </cell>
        </row>
        <row r="124">
          <cell r="A124">
            <v>438000</v>
          </cell>
          <cell r="B124" t="str">
            <v>CHARGES SUR CONGES PAYES </v>
          </cell>
        </row>
        <row r="125">
          <cell r="A125">
            <v>438300</v>
          </cell>
          <cell r="B125" t="str">
            <v>PROVISION CHARGES RTT    </v>
          </cell>
        </row>
        <row r="126">
          <cell r="A126">
            <v>438600</v>
          </cell>
          <cell r="B126" t="str">
            <v>AUTRES CHARGES A PAYER   </v>
          </cell>
        </row>
        <row r="127">
          <cell r="A127">
            <v>444569</v>
          </cell>
          <cell r="B127" t="str">
            <v>TVA DEDUCT SUR SERVICES  </v>
          </cell>
        </row>
        <row r="128">
          <cell r="A128">
            <v>445510</v>
          </cell>
          <cell r="B128" t="str">
            <v>TVA A DECAISSER          </v>
          </cell>
        </row>
        <row r="129">
          <cell r="A129">
            <v>445620</v>
          </cell>
          <cell r="B129" t="str">
            <v>TVA DED / IMMO 10%       </v>
          </cell>
        </row>
        <row r="130">
          <cell r="A130">
            <v>445620</v>
          </cell>
          <cell r="B130" t="str">
            <v>TVA DEDUCTIBLE/IMMO.     </v>
          </cell>
        </row>
        <row r="131">
          <cell r="A131">
            <v>445660</v>
          </cell>
          <cell r="B131" t="str">
            <v>TVA DED./AUT.BIENS &amp; SERV</v>
          </cell>
        </row>
        <row r="132">
          <cell r="A132">
            <v>445660</v>
          </cell>
          <cell r="B132" t="str">
            <v>TVA DEDUCTIBLE 2,1       </v>
          </cell>
        </row>
        <row r="133">
          <cell r="A133">
            <v>445660</v>
          </cell>
          <cell r="B133" t="str">
            <v>TVA DEDUCT / ABS 5,5%    </v>
          </cell>
        </row>
        <row r="134">
          <cell r="A134">
            <v>445660</v>
          </cell>
          <cell r="B134" t="str">
            <v>TVA DED./AUT.BIENS &amp; SERV</v>
          </cell>
        </row>
        <row r="135">
          <cell r="A135">
            <v>445660</v>
          </cell>
          <cell r="B135" t="str">
            <v>TVA DED./AUT.BIENS &amp; SERV</v>
          </cell>
        </row>
        <row r="136">
          <cell r="A136">
            <v>445667</v>
          </cell>
          <cell r="B136" t="str">
            <v>TVA DED.DEDUITE A TORT   </v>
          </cell>
        </row>
        <row r="137">
          <cell r="A137">
            <v>445670</v>
          </cell>
          <cell r="B137" t="str">
            <v>CREDIT DE TVA            </v>
          </cell>
        </row>
        <row r="138">
          <cell r="A138">
            <v>445680</v>
          </cell>
          <cell r="B138" t="str">
            <v>ANFA 0,75%               </v>
          </cell>
        </row>
        <row r="139">
          <cell r="A139">
            <v>445710</v>
          </cell>
          <cell r="B139" t="str">
            <v>TVA COLLECT/VENTES 19,60%</v>
          </cell>
        </row>
        <row r="140">
          <cell r="A140">
            <v>445710</v>
          </cell>
          <cell r="B140" t="str">
            <v>TVA COLLECT/VENTES 5,5 % </v>
          </cell>
        </row>
        <row r="141">
          <cell r="A141">
            <v>445710</v>
          </cell>
          <cell r="B141" t="str">
            <v>TVA COLLECTEE 10 %       </v>
          </cell>
        </row>
        <row r="142">
          <cell r="A142">
            <v>445710</v>
          </cell>
          <cell r="B142" t="str">
            <v>TVA COLLECT/VENTES 20%   </v>
          </cell>
        </row>
        <row r="143">
          <cell r="A143">
            <v>445800</v>
          </cell>
          <cell r="B143" t="str">
            <v>TVA A REGULARISER/VO     </v>
          </cell>
        </row>
        <row r="144">
          <cell r="A144">
            <v>445860</v>
          </cell>
          <cell r="B144" t="str">
            <v>TVA / FACT NON-PARV 19,6%</v>
          </cell>
        </row>
        <row r="145">
          <cell r="A145">
            <v>445860</v>
          </cell>
          <cell r="B145" t="str">
            <v>TVA/FACT.NON PARVENUES   </v>
          </cell>
        </row>
        <row r="146">
          <cell r="A146">
            <v>445860</v>
          </cell>
          <cell r="B146" t="str">
            <v>TVA / FACT NON-PARV 20%  </v>
          </cell>
        </row>
        <row r="147">
          <cell r="A147">
            <v>445870</v>
          </cell>
          <cell r="B147" t="str">
            <v>TVA/FACT A ETABLIR       </v>
          </cell>
        </row>
        <row r="148">
          <cell r="A148">
            <v>445870</v>
          </cell>
          <cell r="B148" t="str">
            <v>TVA A REGUL / VTES 5,5%  </v>
          </cell>
        </row>
        <row r="149">
          <cell r="A149">
            <v>445870</v>
          </cell>
          <cell r="B149" t="str">
            <v>TVA A REGUL / VTE 10 %   </v>
          </cell>
        </row>
        <row r="150">
          <cell r="A150">
            <v>445870</v>
          </cell>
          <cell r="B150" t="str">
            <v>TVA/FACT A ETABLIR       </v>
          </cell>
        </row>
        <row r="151">
          <cell r="A151">
            <v>448600</v>
          </cell>
          <cell r="B151" t="str">
            <v>PROVIS.CHARGES FISCALES  </v>
          </cell>
        </row>
        <row r="152">
          <cell r="A152">
            <v>448602</v>
          </cell>
          <cell r="B152" t="str">
            <v>ORGANIC                  </v>
          </cell>
        </row>
        <row r="153">
          <cell r="A153">
            <v>448700</v>
          </cell>
          <cell r="B153" t="str">
            <v>ETAT, PRODUITS A RECEVOIR</v>
          </cell>
        </row>
        <row r="154">
          <cell r="A154">
            <v>448710</v>
          </cell>
          <cell r="B154" t="str">
            <v>CICE                     </v>
          </cell>
        </row>
        <row r="155">
          <cell r="A155">
            <v>451000</v>
          </cell>
          <cell r="B155" t="str">
            <v>C/C Cie FINANCIERE THIVOL</v>
          </cell>
        </row>
        <row r="156">
          <cell r="A156">
            <v>451100</v>
          </cell>
          <cell r="B156" t="str">
            <v>C.F.T. IMPOT/SOCIETES    </v>
          </cell>
        </row>
        <row r="157">
          <cell r="A157">
            <v>451500</v>
          </cell>
          <cell r="B157" t="str">
            <v>C.A.T DIVIDENDES         </v>
          </cell>
        </row>
        <row r="158">
          <cell r="A158">
            <v>451510</v>
          </cell>
          <cell r="B158" t="str">
            <v>CARROSSERIE AUTO THIVOLLE</v>
          </cell>
        </row>
        <row r="159">
          <cell r="A159">
            <v>452000</v>
          </cell>
          <cell r="B159" t="str">
            <v>C/C CFT IS               </v>
          </cell>
        </row>
        <row r="160">
          <cell r="A160">
            <v>467000</v>
          </cell>
          <cell r="B160" t="str">
            <v>DEBITEUR-CREDITEUR DIVERS</v>
          </cell>
        </row>
        <row r="161">
          <cell r="A161">
            <v>467100</v>
          </cell>
          <cell r="B161" t="str">
            <v>DEBITEUR VN - FRAIS BBACK</v>
          </cell>
        </row>
        <row r="162">
          <cell r="A162">
            <v>467630</v>
          </cell>
          <cell r="B162" t="str">
            <v>DEBOURS CARTES GRISES    </v>
          </cell>
        </row>
        <row r="163">
          <cell r="A163">
            <v>467650</v>
          </cell>
          <cell r="B163" t="str">
            <v>CONTRATS SERVICES CITROEN</v>
          </cell>
        </row>
        <row r="164">
          <cell r="A164">
            <v>470000</v>
          </cell>
          <cell r="B164" t="str">
            <v>CPTE ATTENTE ^1113#1115  </v>
          </cell>
        </row>
        <row r="165">
          <cell r="A165">
            <v>470900</v>
          </cell>
          <cell r="B165" t="str">
            <v>COMPTE ATTENTE FORMATION </v>
          </cell>
        </row>
        <row r="166">
          <cell r="A166">
            <v>470900</v>
          </cell>
          <cell r="B166" t="str">
            <v>ATTENTE VENTIL.FORMATION </v>
          </cell>
        </row>
        <row r="167">
          <cell r="A167">
            <v>471000</v>
          </cell>
          <cell r="B167" t="str">
            <v>CPTE ATTENTE A REGUL.    </v>
          </cell>
        </row>
        <row r="168">
          <cell r="A168">
            <v>471000</v>
          </cell>
          <cell r="B168" t="str">
            <v>CPTE ATTENTE VENTES DIV  </v>
          </cell>
        </row>
        <row r="169">
          <cell r="A169">
            <v>471000</v>
          </cell>
          <cell r="B169" t="str">
            <v>COMPTE D'ATTENTE 20%     </v>
          </cell>
        </row>
        <row r="170">
          <cell r="A170">
            <v>471001</v>
          </cell>
          <cell r="B170" t="str">
            <v>CPTE ATTENTE VENTES 20%  </v>
          </cell>
        </row>
        <row r="171">
          <cell r="A171">
            <v>471400</v>
          </cell>
          <cell r="B171" t="str">
            <v>COMMISSIONS VENDEURS     </v>
          </cell>
        </row>
        <row r="172">
          <cell r="A172">
            <v>472000</v>
          </cell>
          <cell r="B172" t="str">
            <v>CPTE ATTENTE VENTIL BRUTE</v>
          </cell>
        </row>
        <row r="173">
          <cell r="A173">
            <v>472100</v>
          </cell>
          <cell r="B173" t="str">
            <v>CPTE ATTENTE REMISES     </v>
          </cell>
        </row>
        <row r="174">
          <cell r="A174">
            <v>472200</v>
          </cell>
          <cell r="B174" t="str">
            <v>CPTE ATTENTE TVA         </v>
          </cell>
        </row>
        <row r="175">
          <cell r="A175">
            <v>478000</v>
          </cell>
          <cell r="B175" t="str">
            <v>CAT -  COMPTE ATTENTE    </v>
          </cell>
        </row>
        <row r="176">
          <cell r="A176">
            <v>478100</v>
          </cell>
          <cell r="B176" t="str">
            <v>VILLEFRANCHE AUTO CPTE AT</v>
          </cell>
        </row>
        <row r="177">
          <cell r="A177">
            <v>478200</v>
          </cell>
          <cell r="B177" t="str">
            <v>ASIA - COMPTE ATTENTE    </v>
          </cell>
        </row>
        <row r="178">
          <cell r="A178">
            <v>478300</v>
          </cell>
          <cell r="B178" t="str">
            <v>DAT NISSAN - CPTE ATTENTE</v>
          </cell>
        </row>
        <row r="179">
          <cell r="A179">
            <v>486000</v>
          </cell>
          <cell r="B179" t="str">
            <v>CHARGE D'AVANCE TVA 20%  </v>
          </cell>
        </row>
        <row r="180">
          <cell r="A180">
            <v>487000</v>
          </cell>
          <cell r="B180" t="str">
            <v>PRODUITS CONSTAT.D'AVANCE</v>
          </cell>
        </row>
        <row r="181">
          <cell r="A181">
            <v>487000</v>
          </cell>
          <cell r="B181" t="str">
            <v>PROD D'AVANCE 20%        </v>
          </cell>
        </row>
        <row r="182">
          <cell r="A182">
            <v>487000</v>
          </cell>
          <cell r="B182" t="str">
            <v>PRODUITS D'AVANCE TVA REC</v>
          </cell>
        </row>
        <row r="183">
          <cell r="A183">
            <v>487000</v>
          </cell>
          <cell r="B183" t="str">
            <v>PRODUITS D'AVANCE TVA REC</v>
          </cell>
        </row>
        <row r="184">
          <cell r="A184">
            <v>488611</v>
          </cell>
          <cell r="B184" t="str">
            <v>COTISATION GIE PLACE NETT</v>
          </cell>
        </row>
        <row r="185">
          <cell r="A185">
            <v>488614</v>
          </cell>
          <cell r="B185" t="str">
            <v>PRIMES RESEAU RAC        </v>
          </cell>
        </row>
        <row r="186">
          <cell r="A186">
            <v>488615</v>
          </cell>
          <cell r="B186" t="str">
            <v>ACHATS GRAVAGES EXO      </v>
          </cell>
        </row>
        <row r="187">
          <cell r="A187">
            <v>488615</v>
          </cell>
          <cell r="B187" t="str">
            <v>ACHATS GRAVAGES          </v>
          </cell>
        </row>
        <row r="188">
          <cell r="A188">
            <v>488615</v>
          </cell>
          <cell r="B188" t="str">
            <v>ENTRETIEN MATERIEL STATIO</v>
          </cell>
        </row>
        <row r="189">
          <cell r="A189">
            <v>488623</v>
          </cell>
          <cell r="B189" t="str">
            <v>PUBLICITE VN             </v>
          </cell>
        </row>
        <row r="190">
          <cell r="A190">
            <v>488623</v>
          </cell>
          <cell r="B190" t="str">
            <v>PUBLICITE APV            </v>
          </cell>
        </row>
        <row r="191">
          <cell r="A191">
            <v>488644</v>
          </cell>
          <cell r="B191" t="str">
            <v>PRIMES RESEAU PR         </v>
          </cell>
        </row>
        <row r="192">
          <cell r="A192">
            <v>488644</v>
          </cell>
          <cell r="B192" t="str">
            <v>PRIME RESEAU PR          </v>
          </cell>
        </row>
        <row r="193">
          <cell r="A193">
            <v>488651</v>
          </cell>
          <cell r="B193" t="str">
            <v>ETAI A ETALER            </v>
          </cell>
        </row>
        <row r="194">
          <cell r="A194">
            <v>488651</v>
          </cell>
          <cell r="B194" t="str">
            <v>ETAI A ETALER APV        </v>
          </cell>
        </row>
        <row r="195">
          <cell r="A195">
            <v>488652</v>
          </cell>
          <cell r="B195" t="str">
            <v>COUTS INFO DCS           </v>
          </cell>
        </row>
        <row r="196">
          <cell r="A196">
            <v>488653</v>
          </cell>
          <cell r="B196" t="str">
            <v>CONTRATS MAINTENANCE DIVE</v>
          </cell>
        </row>
        <row r="197">
          <cell r="A197">
            <v>488654</v>
          </cell>
          <cell r="B197" t="str">
            <v>Frais de Photocopies     </v>
          </cell>
        </row>
        <row r="198">
          <cell r="A198">
            <v>488655</v>
          </cell>
          <cell r="B198" t="str">
            <v>FRAIS INFORMATIQUES ^    </v>
          </cell>
        </row>
        <row r="199">
          <cell r="A199">
            <v>488656</v>
          </cell>
          <cell r="B199" t="str">
            <v>INFORMATIQUE GROUPE      </v>
          </cell>
        </row>
        <row r="200">
          <cell r="A200">
            <v>488658</v>
          </cell>
          <cell r="B200" t="str">
            <v>PAGES JAUNES             </v>
          </cell>
        </row>
        <row r="201">
          <cell r="A201">
            <v>488659</v>
          </cell>
          <cell r="B201" t="str">
            <v>FRAIS ACTES              </v>
          </cell>
        </row>
        <row r="202">
          <cell r="A202">
            <v>488659</v>
          </cell>
          <cell r="B202" t="str">
            <v>HONORAIRES+JURIDIQUE STR.</v>
          </cell>
        </row>
        <row r="203">
          <cell r="A203">
            <v>488660</v>
          </cell>
          <cell r="B203" t="str">
            <v>CREDIT BAIL DEPANNEUSES  </v>
          </cell>
        </row>
        <row r="204">
          <cell r="A204">
            <v>488663</v>
          </cell>
          <cell r="B204" t="str">
            <v>GIE CITROEN PUB.REGION   </v>
          </cell>
        </row>
        <row r="205">
          <cell r="A205">
            <v>488666</v>
          </cell>
          <cell r="B205" t="str">
            <v>ASSURANCES               </v>
          </cell>
        </row>
        <row r="206">
          <cell r="A206">
            <v>488668</v>
          </cell>
          <cell r="B206" t="str">
            <v>EDF                      </v>
          </cell>
        </row>
        <row r="207">
          <cell r="A207">
            <v>488668</v>
          </cell>
          <cell r="B207" t="str">
            <v>ELECTRICITE              </v>
          </cell>
        </row>
        <row r="208">
          <cell r="A208">
            <v>488669</v>
          </cell>
          <cell r="B208" t="str">
            <v>EAU TVA 5,5%             </v>
          </cell>
        </row>
        <row r="209">
          <cell r="A209">
            <v>488669</v>
          </cell>
          <cell r="B209" t="str">
            <v>EAU TVA 10%              </v>
          </cell>
        </row>
        <row r="210">
          <cell r="A210">
            <v>488670</v>
          </cell>
          <cell r="B210" t="str">
            <v>CHAUFFAGE TVA 5,5%       </v>
          </cell>
        </row>
        <row r="211">
          <cell r="A211">
            <v>488670</v>
          </cell>
          <cell r="B211" t="str">
            <v>CHAUFFAGE                </v>
          </cell>
        </row>
        <row r="212">
          <cell r="A212">
            <v>488681</v>
          </cell>
          <cell r="B212" t="str">
            <v>FRAIS CONSULT ARGUS VN   </v>
          </cell>
        </row>
        <row r="213">
          <cell r="A213">
            <v>488681</v>
          </cell>
          <cell r="B213" t="str">
            <v>FRAIS CONSULT ARGUS VO   </v>
          </cell>
        </row>
        <row r="214">
          <cell r="A214">
            <v>488683</v>
          </cell>
          <cell r="B214" t="str">
            <v>PUB CITROEN GENERALE+SPOR</v>
          </cell>
        </row>
        <row r="215">
          <cell r="A215">
            <v>488688</v>
          </cell>
          <cell r="B215" t="str">
            <v>COTIS SYNDICALES -DT CNPA</v>
          </cell>
        </row>
        <row r="216">
          <cell r="A216">
            <v>488689</v>
          </cell>
          <cell r="B216" t="str">
            <v>COTISATION GROUPEMENT    </v>
          </cell>
        </row>
        <row r="217">
          <cell r="A217">
            <v>488689</v>
          </cell>
          <cell r="B217" t="str">
            <v>CET = CET + CVAE         </v>
          </cell>
        </row>
        <row r="218">
          <cell r="A218">
            <v>488689</v>
          </cell>
          <cell r="B218" t="str">
            <v>TAXE VEHICULES SOCIETES  </v>
          </cell>
        </row>
        <row r="219">
          <cell r="A219">
            <v>488689</v>
          </cell>
          <cell r="B219" t="str">
            <v>ORGANIC                  </v>
          </cell>
        </row>
        <row r="220">
          <cell r="A220">
            <v>488689</v>
          </cell>
          <cell r="B220" t="str">
            <v>COTISATION GROUPEMENT 20%</v>
          </cell>
        </row>
        <row r="221">
          <cell r="A221">
            <v>488689</v>
          </cell>
          <cell r="B221" t="str">
            <v>TAXE FONCIERE 20 %       </v>
          </cell>
        </row>
        <row r="222">
          <cell r="A222">
            <v>488741</v>
          </cell>
          <cell r="B222" t="str">
            <v>PRIME CITROEN/VTES EXTERN</v>
          </cell>
        </row>
        <row r="223">
          <cell r="A223">
            <v>488742</v>
          </cell>
          <cell r="B223" t="str">
            <v>PRIME PLACQUE/VTES EXTERN</v>
          </cell>
        </row>
        <row r="224">
          <cell r="A224">
            <v>488743</v>
          </cell>
          <cell r="B224" t="str">
            <v>PRIMES PNEUS A REC -MICHE</v>
          </cell>
        </row>
        <row r="225">
          <cell r="A225">
            <v>491000</v>
          </cell>
          <cell r="B225" t="str">
            <v>PROVIS. CLIENTS DOUTEUX  </v>
          </cell>
        </row>
        <row r="226">
          <cell r="A226">
            <v>510000</v>
          </cell>
          <cell r="B226" t="str">
            <v>CHQ CLIENT DIFFERE       </v>
          </cell>
        </row>
        <row r="227">
          <cell r="A227">
            <v>511000</v>
          </cell>
          <cell r="B227" t="str">
            <v>CPTE CHEQUES A ENCAISSER </v>
          </cell>
        </row>
        <row r="228">
          <cell r="A228">
            <v>511100</v>
          </cell>
          <cell r="B228" t="str">
            <v>CARTES BLEUES A ENCAISSER</v>
          </cell>
        </row>
        <row r="229">
          <cell r="A229">
            <v>511110</v>
          </cell>
          <cell r="B229" t="str">
            <v>CARTES ROUGES A ENCAISSER</v>
          </cell>
        </row>
        <row r="230">
          <cell r="A230">
            <v>512000</v>
          </cell>
          <cell r="B230" t="str">
            <v>BANQUE RHONE-ALPES       </v>
          </cell>
        </row>
        <row r="231">
          <cell r="A231">
            <v>512200</v>
          </cell>
          <cell r="B231" t="str">
            <v>SOFIB                    </v>
          </cell>
        </row>
        <row r="232">
          <cell r="A232">
            <v>512300</v>
          </cell>
          <cell r="B232" t="str">
            <v>CREDIPAR                 </v>
          </cell>
        </row>
        <row r="233">
          <cell r="A233">
            <v>518600</v>
          </cell>
          <cell r="B233" t="str">
            <v>INTERETS COURUS A PAYER  </v>
          </cell>
        </row>
        <row r="234">
          <cell r="A234">
            <v>519000</v>
          </cell>
          <cell r="B234" t="str">
            <v>BILLET A ORDRE SOFIB     </v>
          </cell>
        </row>
        <row r="235">
          <cell r="A235">
            <v>531000</v>
          </cell>
          <cell r="B235" t="str">
            <v>CAISSE CENTRALE          </v>
          </cell>
        </row>
        <row r="236">
          <cell r="A236">
            <v>531100</v>
          </cell>
          <cell r="B236" t="str">
            <v>CAISSE                   </v>
          </cell>
        </row>
        <row r="237">
          <cell r="A237">
            <v>536100</v>
          </cell>
          <cell r="B237" t="str">
            <v>FONDS D.CAISSE STATION   </v>
          </cell>
        </row>
        <row r="238">
          <cell r="A238">
            <v>580000</v>
          </cell>
          <cell r="B238" t="str">
            <v>VIREMENT INTERNE         </v>
          </cell>
        </row>
        <row r="239">
          <cell r="A239">
            <v>602100</v>
          </cell>
          <cell r="B239" t="str">
            <v>ACH.PETITES FOURNIT.VN   </v>
          </cell>
        </row>
        <row r="240">
          <cell r="A240">
            <v>602100</v>
          </cell>
          <cell r="B240" t="str">
            <v>ACH.PETITES FOURNIT.VO   </v>
          </cell>
        </row>
        <row r="241">
          <cell r="A241">
            <v>602100</v>
          </cell>
          <cell r="B241" t="str">
            <v>ACH.PETITES FOURNIT.APV  </v>
          </cell>
        </row>
        <row r="242">
          <cell r="A242">
            <v>602100</v>
          </cell>
          <cell r="B242" t="str">
            <v>ACH.PETITES FOURNIT.STRUC</v>
          </cell>
        </row>
        <row r="243">
          <cell r="A243">
            <v>602200</v>
          </cell>
          <cell r="B243" t="str">
            <v>FOURNITURE CHAUFFAGE     </v>
          </cell>
        </row>
        <row r="244">
          <cell r="A244">
            <v>602210</v>
          </cell>
          <cell r="B244" t="str">
            <v>CHAUFFAGE 5,5%           </v>
          </cell>
        </row>
        <row r="245">
          <cell r="A245">
            <v>603710</v>
          </cell>
          <cell r="B245" t="str">
            <v>VARIATION STOCK VN       </v>
          </cell>
        </row>
        <row r="246">
          <cell r="A246">
            <v>603710</v>
          </cell>
          <cell r="B246" t="str">
            <v>VARIATION STOCK VN VD    </v>
          </cell>
        </row>
        <row r="247">
          <cell r="A247">
            <v>603710</v>
          </cell>
          <cell r="B247" t="str">
            <v>VARIATION TRANSFO VN     </v>
          </cell>
        </row>
        <row r="248">
          <cell r="A248">
            <v>603710</v>
          </cell>
          <cell r="B248" t="str">
            <v>VARIATION STOCK VO       </v>
          </cell>
        </row>
        <row r="249">
          <cell r="A249">
            <v>603710</v>
          </cell>
          <cell r="B249" t="str">
            <v>VARIATION STOCK VO TVA RE</v>
          </cell>
        </row>
        <row r="250">
          <cell r="A250">
            <v>603710</v>
          </cell>
          <cell r="B250" t="str">
            <v>VARIATION STOCK PREP VO  </v>
          </cell>
        </row>
        <row r="251">
          <cell r="A251">
            <v>603710</v>
          </cell>
          <cell r="B251" t="str">
            <v>VARIATION STOCK PR CITROE</v>
          </cell>
        </row>
        <row r="252">
          <cell r="A252">
            <v>603710</v>
          </cell>
          <cell r="B252" t="str">
            <v>VARIATION STOCK PNEUS    </v>
          </cell>
        </row>
        <row r="253">
          <cell r="A253">
            <v>603710</v>
          </cell>
          <cell r="B253" t="str">
            <v>VARIATION STOCK BOUTIQUE </v>
          </cell>
        </row>
        <row r="254">
          <cell r="A254">
            <v>603710</v>
          </cell>
          <cell r="B254" t="str">
            <v>VARIATION STOCK LUBRIFIAN</v>
          </cell>
        </row>
        <row r="255">
          <cell r="A255">
            <v>604000</v>
          </cell>
          <cell r="B255" t="str">
            <v>PREP.VN ET TVX EXT.EXO   </v>
          </cell>
        </row>
        <row r="256">
          <cell r="A256">
            <v>604000</v>
          </cell>
          <cell r="B256" t="str">
            <v>FREVO TIERS EXO.         </v>
          </cell>
        </row>
        <row r="257">
          <cell r="A257">
            <v>604000</v>
          </cell>
          <cell r="B257" t="str">
            <v>TVX EXT. APV EXO.        </v>
          </cell>
        </row>
        <row r="258">
          <cell r="A258">
            <v>604000</v>
          </cell>
          <cell r="B258" t="str">
            <v>PREP.VN ET TVX EXT.      </v>
          </cell>
        </row>
        <row r="259">
          <cell r="A259">
            <v>604000</v>
          </cell>
          <cell r="B259" t="str">
            <v>FREVO PAR TIERS          </v>
          </cell>
        </row>
        <row r="260">
          <cell r="A260">
            <v>604000</v>
          </cell>
          <cell r="B260" t="str">
            <v>TRAV.EXT.PAR TIERS APV   </v>
          </cell>
        </row>
        <row r="261">
          <cell r="A261">
            <v>604099</v>
          </cell>
          <cell r="B261" t="str">
            <v>TEX GROUPE EXO           </v>
          </cell>
        </row>
        <row r="262">
          <cell r="A262">
            <v>604099</v>
          </cell>
          <cell r="B262" t="str">
            <v>PREPARATION VN EXT.GROUP.</v>
          </cell>
        </row>
        <row r="263">
          <cell r="A263">
            <v>604099</v>
          </cell>
          <cell r="B263" t="str">
            <v>ACHAT FREVO EXT / GROUPE </v>
          </cell>
        </row>
        <row r="264">
          <cell r="A264">
            <v>604099</v>
          </cell>
          <cell r="B264" t="str">
            <v>ACHAT MO MECA GROUP.     </v>
          </cell>
        </row>
        <row r="265">
          <cell r="A265">
            <v>604099</v>
          </cell>
          <cell r="B265" t="str">
            <v>ACHAT TEX GROUP.APV      </v>
          </cell>
        </row>
        <row r="266">
          <cell r="A266">
            <v>604100</v>
          </cell>
          <cell r="B266" t="str">
            <v>GRAVAGES VEH OCCASION    </v>
          </cell>
        </row>
        <row r="267">
          <cell r="A267">
            <v>604111</v>
          </cell>
          <cell r="B267" t="str">
            <v>CONTRATS SERVICES VO     </v>
          </cell>
        </row>
        <row r="268">
          <cell r="A268">
            <v>604111</v>
          </cell>
          <cell r="B268" t="str">
            <v>CONTRATS SERVICES VO     </v>
          </cell>
        </row>
        <row r="269">
          <cell r="A269">
            <v>604400</v>
          </cell>
          <cell r="B269" t="str">
            <v>ACHAT MO EXTERIEURE      </v>
          </cell>
        </row>
        <row r="270">
          <cell r="A270">
            <v>606100</v>
          </cell>
          <cell r="B270" t="str">
            <v>EAU                      </v>
          </cell>
        </row>
        <row r="271">
          <cell r="A271">
            <v>606100</v>
          </cell>
          <cell r="B271" t="str">
            <v>EDF - GDF A 5,5%         </v>
          </cell>
        </row>
        <row r="272">
          <cell r="A272">
            <v>606100</v>
          </cell>
          <cell r="B272" t="str">
            <v>EAU 10%                  </v>
          </cell>
        </row>
        <row r="273">
          <cell r="A273">
            <v>606100</v>
          </cell>
          <cell r="B273" t="str">
            <v>ELECTRICITE EDF          </v>
          </cell>
        </row>
        <row r="274">
          <cell r="A274">
            <v>606200</v>
          </cell>
          <cell r="B274" t="str">
            <v>CARB./VENTES VN&amp;VD       </v>
          </cell>
        </row>
        <row r="275">
          <cell r="A275">
            <v>606200</v>
          </cell>
          <cell r="B275" t="str">
            <v>CARB./VENTES VO          </v>
          </cell>
        </row>
        <row r="276">
          <cell r="A276">
            <v>606300</v>
          </cell>
          <cell r="B276" t="str">
            <v>OUTILLAGE APV EXO.       </v>
          </cell>
        </row>
        <row r="277">
          <cell r="A277">
            <v>606300</v>
          </cell>
          <cell r="B277" t="str">
            <v>Outillage Petit Equipem. </v>
          </cell>
        </row>
        <row r="278">
          <cell r="A278">
            <v>606300</v>
          </cell>
          <cell r="B278" t="str">
            <v>OUTIL.PETIT EQUIPEM.VN   </v>
          </cell>
        </row>
        <row r="279">
          <cell r="A279">
            <v>606300</v>
          </cell>
          <cell r="B279" t="str">
            <v>OUTIL.PETIT EQUIPEM.VO   </v>
          </cell>
        </row>
        <row r="280">
          <cell r="A280">
            <v>606300</v>
          </cell>
          <cell r="B280" t="str">
            <v>OUTIL.PETIT EQUIPEM.APV  </v>
          </cell>
        </row>
        <row r="281">
          <cell r="A281">
            <v>606300</v>
          </cell>
          <cell r="B281" t="str">
            <v>OUTIL.PETIT EQUIPEM.STRUC</v>
          </cell>
        </row>
        <row r="282">
          <cell r="A282">
            <v>606400</v>
          </cell>
          <cell r="B282" t="str">
            <v>FOURN.ADMINISTRATIVES VN </v>
          </cell>
        </row>
        <row r="283">
          <cell r="A283">
            <v>606400</v>
          </cell>
          <cell r="B283" t="str">
            <v>FOURNITURES ADM.VO       </v>
          </cell>
        </row>
        <row r="284">
          <cell r="A284">
            <v>606400</v>
          </cell>
          <cell r="B284" t="str">
            <v>FOURNITURES ADM.STRUCTURE</v>
          </cell>
        </row>
        <row r="285">
          <cell r="A285">
            <v>606400</v>
          </cell>
          <cell r="B285" t="str">
            <v>FOURNIT.ADMINIST.VN      </v>
          </cell>
        </row>
        <row r="286">
          <cell r="A286">
            <v>606400</v>
          </cell>
          <cell r="B286" t="str">
            <v>FOURNIT.ADMINIST.VO      </v>
          </cell>
        </row>
        <row r="287">
          <cell r="A287">
            <v>606400</v>
          </cell>
          <cell r="B287" t="str">
            <v>FOURNIT.ADMINIST.PR      </v>
          </cell>
        </row>
        <row r="288">
          <cell r="A288">
            <v>606400</v>
          </cell>
          <cell r="B288" t="str">
            <v>FOURNIT.ADMINIST.APV     </v>
          </cell>
        </row>
        <row r="289">
          <cell r="A289">
            <v>606400</v>
          </cell>
          <cell r="B289" t="str">
            <v>FOURN.ADMINIST.BOUTIQU   </v>
          </cell>
        </row>
        <row r="290">
          <cell r="A290">
            <v>606400</v>
          </cell>
          <cell r="B290" t="str">
            <v>FOURNIT.ADMINIST.STRUCTUR</v>
          </cell>
        </row>
        <row r="291">
          <cell r="A291">
            <v>606450</v>
          </cell>
          <cell r="B291" t="str">
            <v>PETIT MATERIEL BUREAU APV</v>
          </cell>
        </row>
        <row r="292">
          <cell r="A292">
            <v>606499</v>
          </cell>
          <cell r="B292" t="str">
            <v>FOURN.ADM.GROUPE         </v>
          </cell>
        </row>
        <row r="293">
          <cell r="A293">
            <v>606500</v>
          </cell>
          <cell r="B293" t="str">
            <v>VET. TRAVAIL VN          </v>
          </cell>
        </row>
        <row r="294">
          <cell r="A294">
            <v>606500</v>
          </cell>
          <cell r="B294" t="str">
            <v>VET. TRAVAIL VO          </v>
          </cell>
        </row>
        <row r="295">
          <cell r="A295">
            <v>606500</v>
          </cell>
          <cell r="B295" t="str">
            <v>VETEMENT TRAVAIL PR      </v>
          </cell>
        </row>
        <row r="296">
          <cell r="A296">
            <v>606500</v>
          </cell>
          <cell r="B296" t="str">
            <v>VETEMENTS TRAVAIL APV    </v>
          </cell>
        </row>
        <row r="297">
          <cell r="A297">
            <v>606500</v>
          </cell>
          <cell r="B297" t="str">
            <v>VETEMENTS TRAVAIL STRUCT.</v>
          </cell>
        </row>
        <row r="298">
          <cell r="A298">
            <v>607000</v>
          </cell>
          <cell r="B298" t="str">
            <v>GRAVAGES VN SS TVA       </v>
          </cell>
        </row>
        <row r="299">
          <cell r="A299">
            <v>607000</v>
          </cell>
          <cell r="B299" t="str">
            <v>ACHAT TATOUAGES          </v>
          </cell>
        </row>
        <row r="300">
          <cell r="A300">
            <v>607100</v>
          </cell>
          <cell r="B300" t="str">
            <v>ACHATS VN                </v>
          </cell>
        </row>
        <row r="301">
          <cell r="A301">
            <v>607100</v>
          </cell>
          <cell r="B301" t="str">
            <v>ACHATS VN - GTIES PRIX   </v>
          </cell>
        </row>
        <row r="302">
          <cell r="A302">
            <v>607100</v>
          </cell>
          <cell r="B302" t="str">
            <v>ACHATS/VTES VD           </v>
          </cell>
        </row>
        <row r="303">
          <cell r="A303">
            <v>607100</v>
          </cell>
          <cell r="B303" t="str">
            <v>ACHATS RETRO.VN          </v>
          </cell>
        </row>
        <row r="304">
          <cell r="A304">
            <v>607110</v>
          </cell>
          <cell r="B304" t="str">
            <v>TRANSFORMATIONS VN       </v>
          </cell>
        </row>
        <row r="305">
          <cell r="A305">
            <v>607120</v>
          </cell>
          <cell r="B305" t="str">
            <v>ACH.POSE ACCESSOIRES EXT.</v>
          </cell>
        </row>
        <row r="306">
          <cell r="A306">
            <v>607400</v>
          </cell>
          <cell r="B306" t="str">
            <v>ACH VO EXTER TVA MARGE   </v>
          </cell>
        </row>
        <row r="307">
          <cell r="A307">
            <v>607400</v>
          </cell>
          <cell r="B307" t="str">
            <v>ACH VO/VN TVA / MARGE    </v>
          </cell>
        </row>
        <row r="308">
          <cell r="A308">
            <v>607400</v>
          </cell>
          <cell r="B308" t="str">
            <v>ACH VO/VO TVA / MARGE    </v>
          </cell>
        </row>
        <row r="309">
          <cell r="A309">
            <v>607400</v>
          </cell>
          <cell r="B309" t="str">
            <v>ACHATS VO EXTERIEUR.     </v>
          </cell>
        </row>
        <row r="310">
          <cell r="A310">
            <v>607400</v>
          </cell>
          <cell r="B310" t="str">
            <v>ACHATS VO/VN             </v>
          </cell>
        </row>
        <row r="311">
          <cell r="A311">
            <v>607400</v>
          </cell>
          <cell r="B311" t="str">
            <v>ACHATS VO/VO             </v>
          </cell>
        </row>
        <row r="312">
          <cell r="A312">
            <v>607400</v>
          </cell>
          <cell r="B312" t="str">
            <v>ACHAT VO BUY BACK TVA REC</v>
          </cell>
        </row>
        <row r="313">
          <cell r="A313">
            <v>607499</v>
          </cell>
          <cell r="B313" t="str">
            <v>ACHAT VO TVA MG-INTRA GRO</v>
          </cell>
        </row>
        <row r="314">
          <cell r="A314">
            <v>607499</v>
          </cell>
          <cell r="B314" t="str">
            <v>ACH VO TVA DED GROUPE    </v>
          </cell>
        </row>
        <row r="315">
          <cell r="A315">
            <v>607600</v>
          </cell>
          <cell r="B315" t="str">
            <v>ACHATS PR CITROEN EXO.   </v>
          </cell>
        </row>
        <row r="316">
          <cell r="A316">
            <v>607600</v>
          </cell>
          <cell r="B316" t="str">
            <v>ACHATS BOUTIQUE STATION 5</v>
          </cell>
        </row>
        <row r="317">
          <cell r="A317">
            <v>607600</v>
          </cell>
          <cell r="B317" t="str">
            <v>ACHATS PIECES DIVERS.    </v>
          </cell>
        </row>
        <row r="318">
          <cell r="A318">
            <v>607600</v>
          </cell>
          <cell r="B318" t="str">
            <v>ACHATS PR CITROEN        </v>
          </cell>
        </row>
        <row r="319">
          <cell r="A319">
            <v>607600</v>
          </cell>
          <cell r="B319" t="str">
            <v>ACHATS PNEUS             </v>
          </cell>
        </row>
        <row r="320">
          <cell r="A320">
            <v>607600</v>
          </cell>
          <cell r="B320" t="str">
            <v>ACHATS PR CITROEN CONSTRU</v>
          </cell>
        </row>
        <row r="321">
          <cell r="A321">
            <v>607600</v>
          </cell>
          <cell r="B321" t="str">
            <v>PIECES EXT.APV           </v>
          </cell>
        </row>
        <row r="322">
          <cell r="A322">
            <v>607600</v>
          </cell>
          <cell r="B322" t="str">
            <v>ACHATS BOUTIQUE STATION  </v>
          </cell>
        </row>
        <row r="323">
          <cell r="A323">
            <v>607600</v>
          </cell>
          <cell r="B323" t="str">
            <v>ACHATS LUBRIFIANTS       </v>
          </cell>
        </row>
        <row r="324">
          <cell r="A324">
            <v>607699</v>
          </cell>
          <cell r="B324" t="str">
            <v>ACHATS PIECES DIV.GROUPE </v>
          </cell>
        </row>
        <row r="325">
          <cell r="A325">
            <v>607699</v>
          </cell>
          <cell r="B325" t="str">
            <v>ACHATS PIECES ^ GROUPE   </v>
          </cell>
        </row>
        <row r="326">
          <cell r="A326">
            <v>609700</v>
          </cell>
          <cell r="B326" t="str">
            <v>PRIME PERFORMANCE CITROEN</v>
          </cell>
        </row>
        <row r="327">
          <cell r="A327">
            <v>609700</v>
          </cell>
          <cell r="B327" t="str">
            <v>RFA LUBRIFIANTS          </v>
          </cell>
        </row>
        <row r="328">
          <cell r="A328">
            <v>609701</v>
          </cell>
          <cell r="B328" t="str">
            <v>PRIME QUALITE CITROEN    </v>
          </cell>
        </row>
        <row r="329">
          <cell r="A329">
            <v>609701</v>
          </cell>
          <cell r="B329" t="str">
            <v>PRIME QUALITE RESEAU APV </v>
          </cell>
        </row>
        <row r="330">
          <cell r="A330">
            <v>609710</v>
          </cell>
          <cell r="B330" t="str">
            <v>RRO / VD CONCESSION      </v>
          </cell>
        </row>
        <row r="331">
          <cell r="A331">
            <v>609710</v>
          </cell>
          <cell r="B331" t="str">
            <v>PRIMES PLAN ACTION COMMER</v>
          </cell>
        </row>
        <row r="332">
          <cell r="A332">
            <v>609710</v>
          </cell>
          <cell r="B332" t="str">
            <v>PARTICIP COMMERCIALES    </v>
          </cell>
        </row>
        <row r="333">
          <cell r="A333">
            <v>609710</v>
          </cell>
          <cell r="B333" t="str">
            <v>PARTICIPATION GDES STES  </v>
          </cell>
        </row>
        <row r="334">
          <cell r="A334">
            <v>609710</v>
          </cell>
          <cell r="B334" t="str">
            <v>PRIMES LOC COURTES DUREES</v>
          </cell>
        </row>
        <row r="335">
          <cell r="A335">
            <v>609710</v>
          </cell>
          <cell r="B335" t="str">
            <v>PRIMES AUTO-ECOLE        </v>
          </cell>
        </row>
        <row r="336">
          <cell r="A336">
            <v>609710</v>
          </cell>
          <cell r="B336" t="str">
            <v>RRO / VD CONCESSION      </v>
          </cell>
        </row>
        <row r="337">
          <cell r="A337">
            <v>609710</v>
          </cell>
          <cell r="B337" t="str">
            <v>RRO / VD AGENTS          </v>
          </cell>
        </row>
        <row r="338">
          <cell r="A338">
            <v>609710</v>
          </cell>
          <cell r="B338" t="str">
            <v>PRIME ^ PTO - PEO        </v>
          </cell>
        </row>
        <row r="339">
          <cell r="A339">
            <v>609710</v>
          </cell>
          <cell r="B339" t="str">
            <v>PRIME CONJONCTURELLE PR  </v>
          </cell>
        </row>
        <row r="340">
          <cell r="A340">
            <v>609710</v>
          </cell>
          <cell r="B340" t="str">
            <v>REMISES PROMO PR CITRO   </v>
          </cell>
        </row>
        <row r="341">
          <cell r="A341">
            <v>609710</v>
          </cell>
          <cell r="B341" t="str">
            <v>PRIME PR/MICHELIN CITROEN</v>
          </cell>
        </row>
        <row r="342">
          <cell r="A342">
            <v>609710</v>
          </cell>
          <cell r="B342" t="str">
            <v>PARTICIPATION PUB.APV    </v>
          </cell>
        </row>
        <row r="343">
          <cell r="A343">
            <v>609710</v>
          </cell>
          <cell r="B343" t="str">
            <v>PROMOS PR POUR APV       </v>
          </cell>
        </row>
        <row r="344">
          <cell r="A344">
            <v>609799</v>
          </cell>
          <cell r="B344" t="str">
            <v>PRIME PNEUS ACCORD GROUPE</v>
          </cell>
        </row>
        <row r="345">
          <cell r="A345">
            <v>611000</v>
          </cell>
          <cell r="B345" t="str">
            <v>GTIES VO PAR TIERS EXO.  </v>
          </cell>
        </row>
        <row r="346">
          <cell r="A346">
            <v>611000</v>
          </cell>
          <cell r="B346" t="str">
            <v>COUT.EXT.TRAIT.INFO.VN   </v>
          </cell>
        </row>
        <row r="347">
          <cell r="A347">
            <v>611000</v>
          </cell>
          <cell r="B347" t="str">
            <v>GARANTIE VO PAR TIERS    </v>
          </cell>
        </row>
        <row r="348">
          <cell r="A348">
            <v>611000</v>
          </cell>
          <cell r="B348" t="str">
            <v>COUT EXT. TRAIT. INFORM. </v>
          </cell>
        </row>
        <row r="349">
          <cell r="A349">
            <v>611099</v>
          </cell>
          <cell r="B349" t="str">
            <v>PREST.EXT.VN BDD CRM GROU</v>
          </cell>
        </row>
        <row r="350">
          <cell r="A350">
            <v>611099</v>
          </cell>
          <cell r="B350" t="str">
            <v>PREST.EXT.VO BDD CRM GROU</v>
          </cell>
        </row>
        <row r="351">
          <cell r="A351">
            <v>611099</v>
          </cell>
          <cell r="B351" t="str">
            <v>PREST.EX.APV BDD CRM GROU</v>
          </cell>
        </row>
        <row r="352">
          <cell r="A352">
            <v>611099</v>
          </cell>
          <cell r="B352" t="str">
            <v>PREST.EXT.VN.BDD.CRM GROU</v>
          </cell>
        </row>
        <row r="353">
          <cell r="A353">
            <v>611100</v>
          </cell>
          <cell r="B353" t="str">
            <v>PRESTATION EXT.APV       </v>
          </cell>
        </row>
        <row r="354">
          <cell r="A354">
            <v>611200</v>
          </cell>
          <cell r="B354" t="str">
            <v>RETRO.LOCATION EXT.PR    </v>
          </cell>
        </row>
        <row r="355">
          <cell r="A355">
            <v>611299</v>
          </cell>
          <cell r="B355" t="str">
            <v>LOCATION/MAINTENANCE TPE </v>
          </cell>
        </row>
        <row r="356">
          <cell r="A356">
            <v>611299</v>
          </cell>
          <cell r="B356" t="str">
            <v>LOCATION/MAINTENANCE TPE </v>
          </cell>
        </row>
        <row r="357">
          <cell r="A357">
            <v>611900</v>
          </cell>
          <cell r="B357" t="str">
            <v>COUTS TRAITEMENT DECHETS </v>
          </cell>
        </row>
        <row r="358">
          <cell r="A358">
            <v>611999</v>
          </cell>
          <cell r="B358" t="str">
            <v>COUT TRAIT.DECHETS GROUPE</v>
          </cell>
        </row>
        <row r="359">
          <cell r="A359">
            <v>613299</v>
          </cell>
          <cell r="B359" t="str">
            <v>LOYER IMMOB. GROUPE      </v>
          </cell>
        </row>
        <row r="360">
          <cell r="A360">
            <v>613500</v>
          </cell>
          <cell r="B360" t="str">
            <v>LOCATION MOBILIERE       </v>
          </cell>
        </row>
        <row r="361">
          <cell r="A361">
            <v>613500</v>
          </cell>
          <cell r="B361" t="str">
            <v>LOCATION MATERIEL VN     </v>
          </cell>
        </row>
        <row r="362">
          <cell r="A362">
            <v>613500</v>
          </cell>
          <cell r="B362" t="str">
            <v>LOCATION VEH. PAR VN     </v>
          </cell>
        </row>
        <row r="363">
          <cell r="A363">
            <v>613500</v>
          </cell>
          <cell r="B363" t="str">
            <v>LOCATION VEH PAR PR      </v>
          </cell>
        </row>
        <row r="364">
          <cell r="A364">
            <v>613500</v>
          </cell>
          <cell r="B364" t="str">
            <v>LOCATION MAT-OUTILLAG.APV</v>
          </cell>
        </row>
        <row r="365">
          <cell r="A365">
            <v>613500</v>
          </cell>
          <cell r="B365" t="str">
            <v>REDEVANCE ENSEIGN.AGENC. </v>
          </cell>
        </row>
        <row r="366">
          <cell r="A366">
            <v>613500</v>
          </cell>
          <cell r="B366" t="str">
            <v>LOCATION MOBILIERE       </v>
          </cell>
        </row>
        <row r="367">
          <cell r="A367">
            <v>613560</v>
          </cell>
          <cell r="B367" t="str">
            <v>CREDIT BAIL DEPANEUSE APV</v>
          </cell>
        </row>
        <row r="368">
          <cell r="A368">
            <v>615200</v>
          </cell>
          <cell r="B368" t="str">
            <v>ENT.REPARATION LOCAUX EXO</v>
          </cell>
        </row>
        <row r="369">
          <cell r="A369">
            <v>615200</v>
          </cell>
          <cell r="B369" t="str">
            <v>ENT.REP.LOCAUX VN        </v>
          </cell>
        </row>
        <row r="370">
          <cell r="A370">
            <v>615200</v>
          </cell>
          <cell r="B370" t="str">
            <v>ENT.REP.LOCAUX VO        </v>
          </cell>
        </row>
        <row r="371">
          <cell r="A371">
            <v>615200</v>
          </cell>
          <cell r="B371" t="str">
            <v>ENT.REP.LOCAUX APV       </v>
          </cell>
        </row>
        <row r="372">
          <cell r="A372">
            <v>615200</v>
          </cell>
          <cell r="B372" t="str">
            <v>ENT.REP.LOCAUX STATION   </v>
          </cell>
        </row>
        <row r="373">
          <cell r="A373">
            <v>615200</v>
          </cell>
          <cell r="B373" t="str">
            <v>ENT.REP.LOCAUX STRUCTURE </v>
          </cell>
        </row>
        <row r="374">
          <cell r="A374">
            <v>615500</v>
          </cell>
          <cell r="B374" t="str">
            <v>ENT.REP.MATERIEL STRUCTUR</v>
          </cell>
        </row>
        <row r="375">
          <cell r="A375">
            <v>615500</v>
          </cell>
          <cell r="B375" t="str">
            <v>ENT.REP.MATERIEL VN      </v>
          </cell>
        </row>
        <row r="376">
          <cell r="A376">
            <v>615500</v>
          </cell>
          <cell r="B376" t="str">
            <v>ENT.REP.MATERIEL VO      </v>
          </cell>
        </row>
        <row r="377">
          <cell r="A377">
            <v>615500</v>
          </cell>
          <cell r="B377" t="str">
            <v>ENT.REP.MATERIEL PR      </v>
          </cell>
        </row>
        <row r="378">
          <cell r="A378">
            <v>615500</v>
          </cell>
          <cell r="B378" t="str">
            <v>ENT.REP.MATERIEL APV     </v>
          </cell>
        </row>
        <row r="379">
          <cell r="A379">
            <v>615500</v>
          </cell>
          <cell r="B379" t="str">
            <v>ENT.REP.MATERIEL STATION </v>
          </cell>
        </row>
        <row r="380">
          <cell r="A380">
            <v>615500</v>
          </cell>
          <cell r="B380" t="str">
            <v>ENT.REP.MATERIEL STRUCTUR</v>
          </cell>
        </row>
        <row r="381">
          <cell r="A381">
            <v>615510</v>
          </cell>
          <cell r="B381" t="str">
            <v>ENTRETIEN REPAR VEH ATELI</v>
          </cell>
        </row>
        <row r="382">
          <cell r="A382">
            <v>615550</v>
          </cell>
          <cell r="B382" t="str">
            <v>ENT.MAT.BUREAU STRUCTURE </v>
          </cell>
        </row>
        <row r="383">
          <cell r="A383">
            <v>615599</v>
          </cell>
          <cell r="B383" t="str">
            <v>SINIST.VOLS DEGRAD.APV GR</v>
          </cell>
        </row>
        <row r="384">
          <cell r="A384">
            <v>615599</v>
          </cell>
          <cell r="B384" t="str">
            <v>ENT.REP.MAT.GROUPE STR.  </v>
          </cell>
        </row>
        <row r="385">
          <cell r="A385">
            <v>615600</v>
          </cell>
          <cell r="B385" t="str">
            <v>MAITENANCE APV           </v>
          </cell>
        </row>
        <row r="386">
          <cell r="A386">
            <v>615600</v>
          </cell>
          <cell r="B386" t="str">
            <v>MAINTENANCE GENERALE     </v>
          </cell>
        </row>
        <row r="387">
          <cell r="A387">
            <v>615700</v>
          </cell>
          <cell r="B387" t="str">
            <v>ENTRETIEN VET.TRAVAIL VN </v>
          </cell>
        </row>
        <row r="388">
          <cell r="A388">
            <v>615700</v>
          </cell>
          <cell r="B388" t="str">
            <v>ENTRETIEN VET.TRAVAIL VO </v>
          </cell>
        </row>
        <row r="389">
          <cell r="A389">
            <v>615700</v>
          </cell>
          <cell r="B389" t="str">
            <v>ENTRETIEN VET.TRAVAIL APV</v>
          </cell>
        </row>
        <row r="390">
          <cell r="A390">
            <v>616100</v>
          </cell>
          <cell r="B390" t="str">
            <v>ASSUR ET FRANCH VN       </v>
          </cell>
        </row>
        <row r="391">
          <cell r="A391">
            <v>616199</v>
          </cell>
          <cell r="B391" t="str">
            <v>ASSURANCE AVEC TVA       </v>
          </cell>
        </row>
        <row r="392">
          <cell r="A392">
            <v>618100</v>
          </cell>
          <cell r="B392" t="str">
            <v>DOCUMENTION GENERALE VN  </v>
          </cell>
        </row>
        <row r="393">
          <cell r="A393">
            <v>618100</v>
          </cell>
          <cell r="B393" t="str">
            <v>DOCUMENTATION GENERALE PR</v>
          </cell>
        </row>
        <row r="394">
          <cell r="A394">
            <v>618100</v>
          </cell>
          <cell r="B394" t="str">
            <v>DOCUMENTATION GENERAL.APV</v>
          </cell>
        </row>
        <row r="395">
          <cell r="A395">
            <v>618101</v>
          </cell>
          <cell r="B395" t="str">
            <v>ABONNEMENT EXPRESSPAD    </v>
          </cell>
        </row>
        <row r="396">
          <cell r="A396">
            <v>618199</v>
          </cell>
          <cell r="B396" t="str">
            <v>FRAIS DE CONSULT ARGUS   </v>
          </cell>
        </row>
        <row r="397">
          <cell r="A397">
            <v>618199</v>
          </cell>
          <cell r="B397" t="str">
            <v>FRAIS DE CONSULT ARGUS   </v>
          </cell>
        </row>
        <row r="398">
          <cell r="A398">
            <v>621499</v>
          </cell>
          <cell r="B398" t="str">
            <v>PERSON.EXT.ENT.VO GROUPE </v>
          </cell>
        </row>
        <row r="399">
          <cell r="A399">
            <v>621499</v>
          </cell>
          <cell r="B399" t="str">
            <v>PERSON.EXT.ENT.APV GROUPE</v>
          </cell>
        </row>
        <row r="400">
          <cell r="A400">
            <v>621499</v>
          </cell>
          <cell r="B400" t="str">
            <v>SOUS TRAITANCE GROUPE    </v>
          </cell>
        </row>
        <row r="401">
          <cell r="A401">
            <v>622200</v>
          </cell>
          <cell r="B401" t="str">
            <v>PRIMES RESEAU PR A REVERS</v>
          </cell>
        </row>
        <row r="402">
          <cell r="A402">
            <v>622200</v>
          </cell>
          <cell r="B402" t="str">
            <v>INTERMEDIAIRES DIVERS EXO</v>
          </cell>
        </row>
        <row r="403">
          <cell r="A403">
            <v>622200</v>
          </cell>
          <cell r="B403" t="str">
            <v>COMMISSIONS /VENTES VN   </v>
          </cell>
        </row>
        <row r="404">
          <cell r="A404">
            <v>622200</v>
          </cell>
          <cell r="B404" t="str">
            <v>COMM.^OBJECT.VN AGTS     </v>
          </cell>
        </row>
        <row r="405">
          <cell r="A405">
            <v>622200</v>
          </cell>
          <cell r="B405" t="str">
            <v>COMMISSIONS/VENTES VO    </v>
          </cell>
        </row>
        <row r="406">
          <cell r="A406">
            <v>622200</v>
          </cell>
          <cell r="B406" t="str">
            <v>PRIMES RESEAU A REVERSER </v>
          </cell>
        </row>
        <row r="407">
          <cell r="A407">
            <v>622600</v>
          </cell>
          <cell r="B407" t="str">
            <v>HONORAIRES VN            </v>
          </cell>
        </row>
        <row r="408">
          <cell r="A408">
            <v>622600</v>
          </cell>
          <cell r="B408" t="str">
            <v>HONORAIRES VO            </v>
          </cell>
        </row>
        <row r="409">
          <cell r="A409">
            <v>622600</v>
          </cell>
          <cell r="B409" t="str">
            <v>HONORAIRES APV           </v>
          </cell>
        </row>
        <row r="410">
          <cell r="A410">
            <v>622600</v>
          </cell>
          <cell r="B410" t="str">
            <v>HONORAIRES STRUCTURE     </v>
          </cell>
        </row>
        <row r="411">
          <cell r="A411">
            <v>622700</v>
          </cell>
          <cell r="B411" t="str">
            <v>FRAIS ACTE ET CONTENTIEUX</v>
          </cell>
        </row>
        <row r="412">
          <cell r="A412">
            <v>622700</v>
          </cell>
          <cell r="B412" t="str">
            <v>FRAIS ACTES &amp; CONTENTIEUX</v>
          </cell>
        </row>
        <row r="413">
          <cell r="A413">
            <v>623000</v>
          </cell>
          <cell r="B413" t="str">
            <v>PUBLICITE VN EXO.        </v>
          </cell>
        </row>
        <row r="414">
          <cell r="A414">
            <v>623000</v>
          </cell>
          <cell r="B414" t="str">
            <v>LANCEMENT NOUVEAU MODELE </v>
          </cell>
        </row>
        <row r="415">
          <cell r="A415">
            <v>623000</v>
          </cell>
          <cell r="B415" t="str">
            <v>PUBLICITE STRUCTURE EXO. </v>
          </cell>
        </row>
        <row r="416">
          <cell r="A416">
            <v>623000</v>
          </cell>
          <cell r="B416" t="str">
            <v>PUBLICITE VN             </v>
          </cell>
        </row>
        <row r="417">
          <cell r="A417">
            <v>623000</v>
          </cell>
          <cell r="B417" t="str">
            <v>LANCEMENT NOUVEAU MODELE </v>
          </cell>
        </row>
        <row r="418">
          <cell r="A418">
            <v>623000</v>
          </cell>
          <cell r="B418" t="str">
            <v>PUBLICITE VN             </v>
          </cell>
        </row>
        <row r="419">
          <cell r="A419">
            <v>623000</v>
          </cell>
          <cell r="B419" t="str">
            <v>LANCEMENT NOUVEAU MODELE </v>
          </cell>
        </row>
        <row r="420">
          <cell r="A420">
            <v>623000</v>
          </cell>
          <cell r="B420" t="str">
            <v>PUBLICITE VO             </v>
          </cell>
        </row>
        <row r="421">
          <cell r="A421">
            <v>623000</v>
          </cell>
          <cell r="B421" t="str">
            <v>PUBLICITE PR             </v>
          </cell>
        </row>
        <row r="422">
          <cell r="A422">
            <v>623000</v>
          </cell>
          <cell r="B422" t="str">
            <v>PUBLICITE APV            </v>
          </cell>
        </row>
        <row r="423">
          <cell r="A423">
            <v>623000</v>
          </cell>
          <cell r="B423" t="str">
            <v>PUBLICITE STATION        </v>
          </cell>
        </row>
        <row r="424">
          <cell r="A424">
            <v>623000</v>
          </cell>
          <cell r="B424" t="str">
            <v>PUBLICITE STRUCTURE      </v>
          </cell>
        </row>
        <row r="425">
          <cell r="A425">
            <v>623000</v>
          </cell>
          <cell r="B425" t="str">
            <v>PUB.NATIONALE ^          </v>
          </cell>
        </row>
        <row r="426">
          <cell r="A426">
            <v>623000</v>
          </cell>
          <cell r="B426" t="str">
            <v>PUBLICITE GIE CITROEN    </v>
          </cell>
        </row>
        <row r="427">
          <cell r="A427">
            <v>623099</v>
          </cell>
          <cell r="B427" t="str">
            <v>PUB.VN GROUPE            </v>
          </cell>
        </row>
        <row r="428">
          <cell r="A428">
            <v>623099</v>
          </cell>
          <cell r="B428" t="str">
            <v>PUB.VO GROUPE            </v>
          </cell>
        </row>
        <row r="429">
          <cell r="A429">
            <v>623099</v>
          </cell>
          <cell r="B429" t="str">
            <v>PUB. APV GROUPE          </v>
          </cell>
        </row>
        <row r="430">
          <cell r="A430">
            <v>623400</v>
          </cell>
          <cell r="B430" t="str">
            <v>CADEAUX VO EXO.          </v>
          </cell>
        </row>
        <row r="431">
          <cell r="A431">
            <v>623400</v>
          </cell>
          <cell r="B431" t="str">
            <v>CADEAUX 10 % VN          </v>
          </cell>
        </row>
        <row r="432">
          <cell r="A432">
            <v>623400</v>
          </cell>
          <cell r="B432" t="str">
            <v>CADEAUX VO 20 %          </v>
          </cell>
        </row>
        <row r="433">
          <cell r="A433">
            <v>623800</v>
          </cell>
          <cell r="B433" t="str">
            <v>DONS POURBOIRES STRUCTURE</v>
          </cell>
        </row>
        <row r="434">
          <cell r="A434">
            <v>623850</v>
          </cell>
          <cell r="B434" t="str">
            <v>OPERATION CIALE APV      </v>
          </cell>
        </row>
        <row r="435">
          <cell r="A435">
            <v>624100</v>
          </cell>
          <cell r="B435" t="str">
            <v>DEBOURS/ACHATS PR        </v>
          </cell>
        </row>
        <row r="436">
          <cell r="A436">
            <v>624100</v>
          </cell>
          <cell r="B436" t="str">
            <v>PORT CONVOYAGE VN        </v>
          </cell>
        </row>
        <row r="437">
          <cell r="A437">
            <v>624100</v>
          </cell>
          <cell r="B437" t="str">
            <v>PORT CONVOYAGE VO        </v>
          </cell>
        </row>
        <row r="438">
          <cell r="A438">
            <v>624100</v>
          </cell>
          <cell r="B438" t="str">
            <v>TRANSPORT/ACHATS PR      </v>
          </cell>
        </row>
        <row r="439">
          <cell r="A439">
            <v>625100</v>
          </cell>
          <cell r="B439" t="str">
            <v>INDEMN.DEPLACEMENTS VN   </v>
          </cell>
        </row>
        <row r="440">
          <cell r="A440">
            <v>625100</v>
          </cell>
          <cell r="B440" t="str">
            <v>INDEMN.DEPLACEMENTS VO   </v>
          </cell>
        </row>
        <row r="441">
          <cell r="A441">
            <v>625100</v>
          </cell>
          <cell r="B441" t="str">
            <v>INDEMN.DEPLACEMENTS PR   </v>
          </cell>
        </row>
        <row r="442">
          <cell r="A442">
            <v>625100</v>
          </cell>
          <cell r="B442" t="str">
            <v>INDEMN.DEPLACEMENTS APV  </v>
          </cell>
        </row>
        <row r="443">
          <cell r="A443">
            <v>625100</v>
          </cell>
          <cell r="B443" t="str">
            <v>DEPL DEPANNAGES APV EXO  </v>
          </cell>
        </row>
        <row r="444">
          <cell r="A444">
            <v>625100</v>
          </cell>
          <cell r="B444" t="str">
            <v>INDEMN.DEPLACEMENTS STRUT</v>
          </cell>
        </row>
        <row r="445">
          <cell r="A445">
            <v>625100</v>
          </cell>
          <cell r="B445" t="str">
            <v>IND.DEPLACEM.VO 10%      </v>
          </cell>
        </row>
        <row r="446">
          <cell r="A446">
            <v>625100</v>
          </cell>
          <cell r="B446" t="str">
            <v>DEPLCT 10 % STRUCTURE    </v>
          </cell>
        </row>
        <row r="447">
          <cell r="A447">
            <v>625100</v>
          </cell>
          <cell r="B447" t="str">
            <v>INDEMN DEPLACT VN 20%    </v>
          </cell>
        </row>
        <row r="448">
          <cell r="A448">
            <v>625100</v>
          </cell>
          <cell r="B448" t="str">
            <v>INDMN DEPLACT VO 20%     </v>
          </cell>
        </row>
        <row r="449">
          <cell r="A449">
            <v>625100</v>
          </cell>
          <cell r="B449" t="str">
            <v>INDEMN DEPLACT PR 20%    </v>
          </cell>
        </row>
        <row r="450">
          <cell r="A450">
            <v>625100</v>
          </cell>
          <cell r="B450" t="str">
            <v>INDEMN DEPLACT APV 20%   </v>
          </cell>
        </row>
        <row r="451">
          <cell r="A451">
            <v>625100</v>
          </cell>
          <cell r="B451" t="str">
            <v>DEPLACEM.DEPANNAGES APV  </v>
          </cell>
        </row>
        <row r="452">
          <cell r="A452">
            <v>625100</v>
          </cell>
          <cell r="B452" t="str">
            <v>INDEMN DEPLT STUCT 20%   </v>
          </cell>
        </row>
        <row r="453">
          <cell r="A453">
            <v>625600</v>
          </cell>
          <cell r="B453" t="str">
            <v>MISSIONS APV             </v>
          </cell>
        </row>
        <row r="454">
          <cell r="A454">
            <v>625600</v>
          </cell>
          <cell r="B454" t="str">
            <v>MISSIONS STRUCTURE       </v>
          </cell>
        </row>
        <row r="455">
          <cell r="A455">
            <v>625600</v>
          </cell>
          <cell r="B455" t="str">
            <v>MISSION VN 5,5 %         </v>
          </cell>
        </row>
        <row r="456">
          <cell r="A456">
            <v>625600</v>
          </cell>
          <cell r="B456" t="str">
            <v>MISSIONS VO 5,5 %        </v>
          </cell>
        </row>
        <row r="457">
          <cell r="A457">
            <v>625600</v>
          </cell>
          <cell r="B457" t="str">
            <v>MISSION APV 5,5 %        </v>
          </cell>
        </row>
        <row r="458">
          <cell r="A458">
            <v>625600</v>
          </cell>
          <cell r="B458" t="str">
            <v>MISSION STRUCTURE 5,5 %  </v>
          </cell>
        </row>
        <row r="459">
          <cell r="A459">
            <v>625600</v>
          </cell>
          <cell r="B459" t="str">
            <v>MISSIONS VN 10 %         </v>
          </cell>
        </row>
        <row r="460">
          <cell r="A460">
            <v>625600</v>
          </cell>
          <cell r="B460" t="str">
            <v>MISSIONS VO 10 %         </v>
          </cell>
        </row>
        <row r="461">
          <cell r="A461">
            <v>625600</v>
          </cell>
          <cell r="B461" t="str">
            <v>MISSIONS APV 10 %        </v>
          </cell>
        </row>
        <row r="462">
          <cell r="A462">
            <v>625600</v>
          </cell>
          <cell r="B462" t="str">
            <v>MISSIONS STRUCT 10%      </v>
          </cell>
        </row>
        <row r="463">
          <cell r="A463">
            <v>625600</v>
          </cell>
          <cell r="B463" t="str">
            <v>MISSIONS VN 20%          </v>
          </cell>
        </row>
        <row r="464">
          <cell r="A464">
            <v>625600</v>
          </cell>
          <cell r="B464" t="str">
            <v>MISSIONS VO 20%          </v>
          </cell>
        </row>
        <row r="465">
          <cell r="A465">
            <v>625600</v>
          </cell>
          <cell r="B465" t="str">
            <v>MISSIONS APV 20%         </v>
          </cell>
        </row>
        <row r="466">
          <cell r="A466">
            <v>625600</v>
          </cell>
          <cell r="B466" t="str">
            <v>MISSIONS STRUCTURE 20%   </v>
          </cell>
        </row>
        <row r="467">
          <cell r="A467">
            <v>625699</v>
          </cell>
          <cell r="B467" t="str">
            <v>MISSIONS VO GROUPE       </v>
          </cell>
        </row>
        <row r="468">
          <cell r="A468">
            <v>625699</v>
          </cell>
          <cell r="B468" t="str">
            <v>MISSIONS PR GROUPE       </v>
          </cell>
        </row>
        <row r="469">
          <cell r="A469">
            <v>625700</v>
          </cell>
          <cell r="B469" t="str">
            <v>RECEPTIONS APV           </v>
          </cell>
        </row>
        <row r="470">
          <cell r="A470">
            <v>625700</v>
          </cell>
          <cell r="B470" t="str">
            <v>RECEPTIONS STRUCTURE     </v>
          </cell>
        </row>
        <row r="471">
          <cell r="A471">
            <v>625700</v>
          </cell>
          <cell r="B471" t="str">
            <v>RECEPTION VN 5,5 %       </v>
          </cell>
        </row>
        <row r="472">
          <cell r="A472">
            <v>625700</v>
          </cell>
          <cell r="B472" t="str">
            <v>RECEPTION VO 5,5 %       </v>
          </cell>
        </row>
        <row r="473">
          <cell r="A473">
            <v>625700</v>
          </cell>
          <cell r="B473" t="str">
            <v>RECEPTION APV 5,50 %     </v>
          </cell>
        </row>
        <row r="474">
          <cell r="A474">
            <v>625700</v>
          </cell>
          <cell r="B474" t="str">
            <v>RECPTION.STRUCTURE 5,5%  </v>
          </cell>
        </row>
        <row r="475">
          <cell r="A475">
            <v>625700</v>
          </cell>
          <cell r="B475" t="str">
            <v>RECEPTION APV 10%        </v>
          </cell>
        </row>
        <row r="476">
          <cell r="A476">
            <v>625700</v>
          </cell>
          <cell r="B476" t="str">
            <v>RECEPTIONS VN 20%        </v>
          </cell>
        </row>
        <row r="477">
          <cell r="A477">
            <v>625700</v>
          </cell>
          <cell r="B477" t="str">
            <v>RECEPTIONS APV 20%       </v>
          </cell>
        </row>
        <row r="478">
          <cell r="A478">
            <v>625700</v>
          </cell>
          <cell r="B478" t="str">
            <v>RECEPTIONS STRUCT 20%    </v>
          </cell>
        </row>
        <row r="479">
          <cell r="A479">
            <v>625799</v>
          </cell>
          <cell r="B479" t="str">
            <v>RECEPTION APV GROUPE     </v>
          </cell>
        </row>
        <row r="480">
          <cell r="A480">
            <v>626000</v>
          </cell>
          <cell r="B480" t="str">
            <v>AFFRANCHISSEMENT VN      </v>
          </cell>
        </row>
        <row r="481">
          <cell r="A481">
            <v>626000</v>
          </cell>
          <cell r="B481" t="str">
            <v>FRAIS POST. AFFRANCHIS.  </v>
          </cell>
        </row>
        <row r="482">
          <cell r="A482">
            <v>626000</v>
          </cell>
          <cell r="B482" t="str">
            <v>AFFRANCHISSEMENT VN 20%  </v>
          </cell>
        </row>
        <row r="483">
          <cell r="A483">
            <v>626000</v>
          </cell>
          <cell r="B483" t="str">
            <v>FRAIS POST ARRFANCH 20%  </v>
          </cell>
        </row>
        <row r="484">
          <cell r="A484">
            <v>626099</v>
          </cell>
          <cell r="B484" t="str">
            <v>AFFRANCHISSEMENT VN GROUP</v>
          </cell>
        </row>
        <row r="485">
          <cell r="A485">
            <v>626100</v>
          </cell>
          <cell r="B485" t="str">
            <v>TELEPHONE FAX 19,6%      </v>
          </cell>
        </row>
        <row r="486">
          <cell r="A486">
            <v>626100</v>
          </cell>
          <cell r="B486" t="str">
            <v>TELEPHONE FAX 20%        </v>
          </cell>
        </row>
        <row r="487">
          <cell r="A487">
            <v>627800</v>
          </cell>
          <cell r="B487" t="str">
            <v>SERVICES BANCAIRES       </v>
          </cell>
        </row>
        <row r="488">
          <cell r="A488">
            <v>627800</v>
          </cell>
          <cell r="B488" t="str">
            <v>SERVICES BANCAIRES 20%   </v>
          </cell>
        </row>
        <row r="489">
          <cell r="A489">
            <v>627899</v>
          </cell>
          <cell r="B489" t="str">
            <v>FRAIS BANCAIRES GROUPE   </v>
          </cell>
        </row>
        <row r="490">
          <cell r="A490">
            <v>628000</v>
          </cell>
          <cell r="B490" t="str">
            <v>PRESTATIONS EXT. VN      </v>
          </cell>
        </row>
        <row r="491">
          <cell r="A491">
            <v>628000</v>
          </cell>
          <cell r="B491" t="str">
            <v>PRESTATION EXTERIEURE DIV</v>
          </cell>
        </row>
        <row r="492">
          <cell r="A492">
            <v>628000</v>
          </cell>
          <cell r="B492" t="str">
            <v>SERV.EXTERIEURS          </v>
          </cell>
        </row>
        <row r="493">
          <cell r="A493">
            <v>628099</v>
          </cell>
          <cell r="B493" t="str">
            <v>PRESTATIONS EXT.DIV.GROUP</v>
          </cell>
        </row>
        <row r="494">
          <cell r="A494">
            <v>628099</v>
          </cell>
          <cell r="B494" t="str">
            <v>FRAIS SIEGE              </v>
          </cell>
        </row>
        <row r="495">
          <cell r="A495">
            <v>628100</v>
          </cell>
          <cell r="B495" t="str">
            <v>COTISATIONS PLACE NETT   </v>
          </cell>
        </row>
        <row r="496">
          <cell r="A496">
            <v>628110</v>
          </cell>
          <cell r="B496" t="str">
            <v>COTIS. PROF. CNPA        </v>
          </cell>
        </row>
        <row r="497">
          <cell r="A497">
            <v>628120</v>
          </cell>
          <cell r="B497" t="str">
            <v>COTISATIONS PROF.DIVERS. </v>
          </cell>
        </row>
        <row r="498">
          <cell r="A498">
            <v>628120</v>
          </cell>
          <cell r="B498" t="str">
            <v>COT PROFESSION DIV 20%   </v>
          </cell>
        </row>
        <row r="499">
          <cell r="A499">
            <v>628400</v>
          </cell>
          <cell r="B499" t="str">
            <v>FRAIS RECRUT.PERSONNEL VN</v>
          </cell>
        </row>
        <row r="500">
          <cell r="A500">
            <v>628400</v>
          </cell>
          <cell r="B500" t="str">
            <v>FRAIS RECRUT. PERSONNEL  </v>
          </cell>
        </row>
        <row r="501">
          <cell r="A501">
            <v>628499</v>
          </cell>
          <cell r="B501" t="str">
            <v>FRAIS RECRUTEMENT GPE VN </v>
          </cell>
        </row>
        <row r="502">
          <cell r="A502">
            <v>628499</v>
          </cell>
          <cell r="B502" t="str">
            <v>FRAIS RECRUT.PERS.APV GR </v>
          </cell>
        </row>
        <row r="503">
          <cell r="A503">
            <v>633300</v>
          </cell>
          <cell r="B503" t="str">
            <v>TAXE FORMATION VENDEUR VN</v>
          </cell>
        </row>
        <row r="504">
          <cell r="A504">
            <v>633300</v>
          </cell>
          <cell r="B504" t="str">
            <v>TAXE FORMATION PREP VN   </v>
          </cell>
        </row>
        <row r="505">
          <cell r="A505">
            <v>633300</v>
          </cell>
          <cell r="B505" t="str">
            <v>TAXE FORMATION SECRET VN </v>
          </cell>
        </row>
        <row r="506">
          <cell r="A506">
            <v>633300</v>
          </cell>
          <cell r="B506" t="str">
            <v>TAXE FORMATION VENDEUR VO</v>
          </cell>
        </row>
        <row r="507">
          <cell r="A507">
            <v>633300</v>
          </cell>
          <cell r="B507" t="str">
            <v>TAXE FORMATION EQ FREVO  </v>
          </cell>
        </row>
        <row r="508">
          <cell r="A508">
            <v>633300</v>
          </cell>
          <cell r="B508" t="str">
            <v>TAXE FORMATION SECRET VO </v>
          </cell>
        </row>
        <row r="509">
          <cell r="A509">
            <v>633300</v>
          </cell>
          <cell r="B509" t="str">
            <v>TAXE FORMATION MPR       </v>
          </cell>
        </row>
        <row r="510">
          <cell r="A510">
            <v>633300</v>
          </cell>
          <cell r="B510" t="str">
            <v>TAXE FORMATION SECR PR   </v>
          </cell>
        </row>
        <row r="511">
          <cell r="A511">
            <v>633300</v>
          </cell>
          <cell r="B511" t="str">
            <v>TAXE FORM PROD MECA      </v>
          </cell>
        </row>
        <row r="512">
          <cell r="A512">
            <v>633300</v>
          </cell>
          <cell r="B512" t="str">
            <v>TAXE FORMATION SECR APV  </v>
          </cell>
        </row>
        <row r="513">
          <cell r="A513">
            <v>633300</v>
          </cell>
          <cell r="B513" t="str">
            <v>TAXE FORM IMPROD MECA    </v>
          </cell>
        </row>
        <row r="514">
          <cell r="A514">
            <v>633300</v>
          </cell>
          <cell r="B514" t="str">
            <v>TAXE FORMATION PROD DEPAN</v>
          </cell>
        </row>
        <row r="515">
          <cell r="A515">
            <v>633300</v>
          </cell>
          <cell r="B515" t="str">
            <v>TAXE FORM APPRENTIS MECA </v>
          </cell>
        </row>
        <row r="516">
          <cell r="A516">
            <v>633300</v>
          </cell>
          <cell r="B516" t="str">
            <v>TAXE FORMATION STATION   </v>
          </cell>
        </row>
        <row r="517">
          <cell r="A517">
            <v>633300</v>
          </cell>
          <cell r="B517" t="str">
            <v>TAXE FORMATION PROD CHRON</v>
          </cell>
        </row>
        <row r="518">
          <cell r="A518">
            <v>633300</v>
          </cell>
          <cell r="B518" t="str">
            <v>TAXE FORMATION DIRECTION </v>
          </cell>
        </row>
        <row r="519">
          <cell r="A519">
            <v>633300</v>
          </cell>
          <cell r="B519" t="str">
            <v>TAXE FORMATION ADMINISTRA</v>
          </cell>
        </row>
        <row r="520">
          <cell r="A520">
            <v>633300</v>
          </cell>
          <cell r="B520" t="str">
            <v>CHARGE FORMAT REMB ANFA  </v>
          </cell>
        </row>
        <row r="521">
          <cell r="A521">
            <v>633300</v>
          </cell>
          <cell r="B521" t="str">
            <v>FORMATION VENDEUR VN     </v>
          </cell>
        </row>
        <row r="522">
          <cell r="A522">
            <v>633300</v>
          </cell>
          <cell r="B522" t="str">
            <v>FORMATION SECRET.VN      </v>
          </cell>
        </row>
        <row r="523">
          <cell r="A523">
            <v>633300</v>
          </cell>
          <cell r="B523" t="str">
            <v>FORMATION VENDEUR VO     </v>
          </cell>
        </row>
        <row r="524">
          <cell r="A524">
            <v>633300</v>
          </cell>
          <cell r="B524" t="str">
            <v>FORM.SECRET.VO           </v>
          </cell>
        </row>
        <row r="525">
          <cell r="A525">
            <v>633300</v>
          </cell>
          <cell r="B525" t="str">
            <v>FORMATION PROD.MECA.     </v>
          </cell>
        </row>
        <row r="526">
          <cell r="A526">
            <v>633300</v>
          </cell>
          <cell r="B526" t="str">
            <v>FORMATION IMPROD.APV     </v>
          </cell>
        </row>
        <row r="527">
          <cell r="A527">
            <v>633300</v>
          </cell>
          <cell r="B527" t="str">
            <v>TAXE FORMATION DIRECTION </v>
          </cell>
        </row>
        <row r="528">
          <cell r="A528">
            <v>633300</v>
          </cell>
          <cell r="B528" t="str">
            <v>FORMATION PERS.STRUCTURE </v>
          </cell>
        </row>
        <row r="529">
          <cell r="A529">
            <v>633300</v>
          </cell>
          <cell r="B529" t="str">
            <v>FORMATION-APPELS DE FONDS</v>
          </cell>
        </row>
        <row r="530">
          <cell r="A530">
            <v>633400</v>
          </cell>
          <cell r="B530" t="str">
            <v>EFFORT CONST EQ VENTE VN </v>
          </cell>
        </row>
        <row r="531">
          <cell r="A531">
            <v>633400</v>
          </cell>
          <cell r="B531" t="str">
            <v>EFFORT CONST PREP VN     </v>
          </cell>
        </row>
        <row r="532">
          <cell r="A532">
            <v>633400</v>
          </cell>
          <cell r="B532" t="str">
            <v>EFFORT CONST SEC CIAL VN </v>
          </cell>
        </row>
        <row r="533">
          <cell r="A533">
            <v>633400</v>
          </cell>
          <cell r="B533" t="str">
            <v>EFFORT CONST EQ VENTE VO </v>
          </cell>
        </row>
        <row r="534">
          <cell r="A534">
            <v>633400</v>
          </cell>
          <cell r="B534" t="str">
            <v>EFFORT CONST EQ FREVO    </v>
          </cell>
        </row>
        <row r="535">
          <cell r="A535">
            <v>633400</v>
          </cell>
          <cell r="B535" t="str">
            <v>EFFORT CONST SEC CIAL VO </v>
          </cell>
        </row>
        <row r="536">
          <cell r="A536">
            <v>633400</v>
          </cell>
          <cell r="B536" t="str">
            <v>EFFORT CONST PERS MPR    </v>
          </cell>
        </row>
        <row r="537">
          <cell r="A537">
            <v>633400</v>
          </cell>
          <cell r="B537" t="str">
            <v>EFFORT CONST SEC PR      </v>
          </cell>
        </row>
        <row r="538">
          <cell r="A538">
            <v>633400</v>
          </cell>
          <cell r="B538" t="str">
            <v>EFFORT CONST PROD MECA   </v>
          </cell>
        </row>
        <row r="539">
          <cell r="A539">
            <v>633400</v>
          </cell>
          <cell r="B539" t="str">
            <v>EFFORT CONST SEC APV     </v>
          </cell>
        </row>
        <row r="540">
          <cell r="A540">
            <v>633400</v>
          </cell>
          <cell r="B540" t="str">
            <v>EFFORT CONST IMPRO MECA  </v>
          </cell>
        </row>
        <row r="541">
          <cell r="A541">
            <v>633400</v>
          </cell>
          <cell r="B541" t="str">
            <v>EFFORT CONST PROD DEPAN  </v>
          </cell>
        </row>
        <row r="542">
          <cell r="A542">
            <v>633400</v>
          </cell>
          <cell r="B542" t="str">
            <v>EFF CONST APPRENTIS MECA </v>
          </cell>
        </row>
        <row r="543">
          <cell r="A543">
            <v>633400</v>
          </cell>
          <cell r="B543" t="str">
            <v>EFFORT CONST STATION     </v>
          </cell>
        </row>
        <row r="544">
          <cell r="A544">
            <v>633400</v>
          </cell>
          <cell r="B544" t="str">
            <v>EFFORT CONST PROD CHRONO </v>
          </cell>
        </row>
        <row r="545">
          <cell r="A545">
            <v>633400</v>
          </cell>
          <cell r="B545" t="str">
            <v>EFFORT CONST DIRECTION   </v>
          </cell>
        </row>
        <row r="546">
          <cell r="A546">
            <v>633400</v>
          </cell>
          <cell r="B546" t="str">
            <v>EFFORT CONST PERS ADM    </v>
          </cell>
        </row>
        <row r="547">
          <cell r="A547">
            <v>633500</v>
          </cell>
          <cell r="B547" t="str">
            <v>TAXE APPRENT EQ VENTE VN </v>
          </cell>
        </row>
        <row r="548">
          <cell r="A548">
            <v>633500</v>
          </cell>
          <cell r="B548" t="str">
            <v>TAXE APPRENT PREP VN     </v>
          </cell>
        </row>
        <row r="549">
          <cell r="A549">
            <v>633500</v>
          </cell>
          <cell r="B549" t="str">
            <v>TAXE APPRENT SEC CIAL VN </v>
          </cell>
        </row>
        <row r="550">
          <cell r="A550">
            <v>633500</v>
          </cell>
          <cell r="B550" t="str">
            <v>TAXE APPRENT EQ VENTE VO </v>
          </cell>
        </row>
        <row r="551">
          <cell r="A551">
            <v>633500</v>
          </cell>
          <cell r="B551" t="str">
            <v>TAXE APPRENT  EQ FREVO   </v>
          </cell>
        </row>
        <row r="552">
          <cell r="A552">
            <v>633500</v>
          </cell>
          <cell r="B552" t="str">
            <v>TAXE APPRENT SEC CIAL VO </v>
          </cell>
        </row>
        <row r="553">
          <cell r="A553">
            <v>633500</v>
          </cell>
          <cell r="B553" t="str">
            <v>TAXE APPRENT PERS MPR    </v>
          </cell>
        </row>
        <row r="554">
          <cell r="A554">
            <v>633500</v>
          </cell>
          <cell r="B554" t="str">
            <v>TAXE APPRENT SEC PR      </v>
          </cell>
        </row>
        <row r="555">
          <cell r="A555">
            <v>633500</v>
          </cell>
          <cell r="B555" t="str">
            <v>TAXE APPRENT PROD MECA   </v>
          </cell>
        </row>
        <row r="556">
          <cell r="A556">
            <v>633500</v>
          </cell>
          <cell r="B556" t="str">
            <v>TAXE APPRENT SEC APV     </v>
          </cell>
        </row>
        <row r="557">
          <cell r="A557">
            <v>633500</v>
          </cell>
          <cell r="B557" t="str">
            <v>TAXE APPRENT IMPRO MECA  </v>
          </cell>
        </row>
        <row r="558">
          <cell r="A558">
            <v>633500</v>
          </cell>
          <cell r="B558" t="str">
            <v>TAXE APPRENT PROD DEPAN  </v>
          </cell>
        </row>
        <row r="559">
          <cell r="A559">
            <v>633500</v>
          </cell>
          <cell r="B559" t="str">
            <v>TAXE APPRENT APPRENT MECA</v>
          </cell>
        </row>
        <row r="560">
          <cell r="A560">
            <v>633500</v>
          </cell>
          <cell r="B560" t="str">
            <v>TAXE APPRENT STATION     </v>
          </cell>
        </row>
        <row r="561">
          <cell r="A561">
            <v>633500</v>
          </cell>
          <cell r="B561" t="str">
            <v>TAXE APPRENT PROD CHRONO </v>
          </cell>
        </row>
        <row r="562">
          <cell r="A562">
            <v>633500</v>
          </cell>
          <cell r="B562" t="str">
            <v>TAXE APPRENT DIRECTION   </v>
          </cell>
        </row>
        <row r="563">
          <cell r="A563">
            <v>633500</v>
          </cell>
          <cell r="B563" t="str">
            <v>TAXE APPRENT PERS ADM    </v>
          </cell>
        </row>
        <row r="564">
          <cell r="A564">
            <v>635110</v>
          </cell>
          <cell r="B564" t="str">
            <v>CFE - CVAE               </v>
          </cell>
        </row>
        <row r="565">
          <cell r="A565">
            <v>635120</v>
          </cell>
          <cell r="B565" t="str">
            <v>TAXES FONCIERES TVA 20%  </v>
          </cell>
        </row>
        <row r="566">
          <cell r="A566">
            <v>635140</v>
          </cell>
          <cell r="B566" t="str">
            <v>TAXE/VEHICULES SOCIETE   </v>
          </cell>
        </row>
        <row r="567">
          <cell r="A567">
            <v>635400</v>
          </cell>
          <cell r="B567" t="str">
            <v>CARTES GRISES &amp; WW VN    </v>
          </cell>
        </row>
        <row r="568">
          <cell r="A568">
            <v>635400</v>
          </cell>
          <cell r="B568" t="str">
            <v>CARTES GRISES &amp; WW VO    </v>
          </cell>
        </row>
        <row r="569">
          <cell r="A569">
            <v>635400</v>
          </cell>
          <cell r="B569" t="str">
            <v>CARTES GRISES &amp; WW APV   </v>
          </cell>
        </row>
        <row r="570">
          <cell r="A570">
            <v>635400</v>
          </cell>
          <cell r="B570" t="str">
            <v>CG ET WW FRAIS STRUCTURE </v>
          </cell>
        </row>
        <row r="571">
          <cell r="A571">
            <v>637100</v>
          </cell>
          <cell r="B571" t="str">
            <v>ORGANIC  STRUCTURE       </v>
          </cell>
        </row>
        <row r="572">
          <cell r="A572">
            <v>637200</v>
          </cell>
          <cell r="B572" t="str">
            <v>TASCOM                   </v>
          </cell>
        </row>
        <row r="573">
          <cell r="A573">
            <v>637300</v>
          </cell>
          <cell r="B573" t="str">
            <v>TAXE PUB - TLPE          </v>
          </cell>
        </row>
        <row r="574">
          <cell r="A574">
            <v>641100</v>
          </cell>
          <cell r="B574" t="str">
            <v>SALAIRES EQ VENTE VN     </v>
          </cell>
        </row>
        <row r="575">
          <cell r="A575">
            <v>641100</v>
          </cell>
          <cell r="B575" t="str">
            <v>SALAIRES PREP VN         </v>
          </cell>
        </row>
        <row r="576">
          <cell r="A576">
            <v>641100</v>
          </cell>
          <cell r="B576" t="str">
            <v>APPOINT. SECRETARIAT VN  </v>
          </cell>
        </row>
        <row r="577">
          <cell r="A577">
            <v>641100</v>
          </cell>
          <cell r="B577" t="str">
            <v>SALAIRES EQ VENTE VO     </v>
          </cell>
        </row>
        <row r="578">
          <cell r="A578">
            <v>641100</v>
          </cell>
          <cell r="B578" t="str">
            <v>SALAIRES EQ FREVO        </v>
          </cell>
        </row>
        <row r="579">
          <cell r="A579">
            <v>641100</v>
          </cell>
          <cell r="B579" t="str">
            <v>SALAIRES SEC CIAL VO     </v>
          </cell>
        </row>
        <row r="580">
          <cell r="A580">
            <v>641100</v>
          </cell>
          <cell r="B580" t="str">
            <v>SALAIRES PERS MPR        </v>
          </cell>
        </row>
        <row r="581">
          <cell r="A581">
            <v>641100</v>
          </cell>
          <cell r="B581" t="str">
            <v>SALAIRES SECRET PR       </v>
          </cell>
        </row>
        <row r="582">
          <cell r="A582">
            <v>641100</v>
          </cell>
          <cell r="B582" t="str">
            <v>SALAIRES PROD MECA       </v>
          </cell>
        </row>
        <row r="583">
          <cell r="A583">
            <v>641100</v>
          </cell>
          <cell r="B583" t="str">
            <v>SALAIRES SECRET APV      </v>
          </cell>
        </row>
        <row r="584">
          <cell r="A584">
            <v>641100</v>
          </cell>
          <cell r="B584" t="str">
            <v>SALAIRES IMPRO APV       </v>
          </cell>
        </row>
        <row r="585">
          <cell r="A585">
            <v>641100</v>
          </cell>
          <cell r="B585" t="str">
            <v>SALAIRES PROD DEPAN      </v>
          </cell>
        </row>
        <row r="586">
          <cell r="A586">
            <v>641100</v>
          </cell>
          <cell r="B586" t="str">
            <v>SALAIRES APPRENT APV     </v>
          </cell>
        </row>
        <row r="587">
          <cell r="A587">
            <v>641100</v>
          </cell>
          <cell r="B587" t="str">
            <v>SALAIRES STATION         </v>
          </cell>
        </row>
        <row r="588">
          <cell r="A588">
            <v>641100</v>
          </cell>
          <cell r="B588" t="str">
            <v>SALAIRES PROD ET AP CHRON</v>
          </cell>
        </row>
        <row r="589">
          <cell r="A589">
            <v>641100</v>
          </cell>
          <cell r="B589" t="str">
            <v>SALAIRES DIRECTION       </v>
          </cell>
        </row>
        <row r="590">
          <cell r="A590">
            <v>641100</v>
          </cell>
          <cell r="B590" t="str">
            <v>SALAIRES PERS ADM        </v>
          </cell>
        </row>
        <row r="591">
          <cell r="A591">
            <v>641190</v>
          </cell>
          <cell r="B591" t="str">
            <v>INDEMNIT.JOURNALIERES    </v>
          </cell>
        </row>
        <row r="592">
          <cell r="A592">
            <v>641200</v>
          </cell>
          <cell r="B592" t="str">
            <v>CONGES PAYES EQ VENTE VN </v>
          </cell>
        </row>
        <row r="593">
          <cell r="A593">
            <v>641200</v>
          </cell>
          <cell r="B593" t="str">
            <v>CONGES PAYES PREP VN     </v>
          </cell>
        </row>
        <row r="594">
          <cell r="A594">
            <v>641200</v>
          </cell>
          <cell r="B594" t="str">
            <v>CONGES PAYES SEC CIAL VN </v>
          </cell>
        </row>
        <row r="595">
          <cell r="A595">
            <v>641200</v>
          </cell>
          <cell r="B595" t="str">
            <v>CONGES PAYES EQ VENTE VO </v>
          </cell>
        </row>
        <row r="596">
          <cell r="A596">
            <v>641200</v>
          </cell>
          <cell r="B596" t="str">
            <v>CONGES PAYES EQ FREVO    </v>
          </cell>
        </row>
        <row r="597">
          <cell r="A597">
            <v>641200</v>
          </cell>
          <cell r="B597" t="str">
            <v>CONGES PAYES SEC CIAL VO </v>
          </cell>
        </row>
        <row r="598">
          <cell r="A598">
            <v>641200</v>
          </cell>
          <cell r="B598" t="str">
            <v>CONGES PAYES PERS MPR    </v>
          </cell>
        </row>
        <row r="599">
          <cell r="A599">
            <v>641200</v>
          </cell>
          <cell r="B599" t="str">
            <v>CONGES PAYES SEC PR      </v>
          </cell>
        </row>
        <row r="600">
          <cell r="A600">
            <v>641200</v>
          </cell>
          <cell r="B600" t="str">
            <v>CONGES PAYES PROD MECA   </v>
          </cell>
        </row>
        <row r="601">
          <cell r="A601">
            <v>641200</v>
          </cell>
          <cell r="B601" t="str">
            <v>CONGES PAYES SEC APV     </v>
          </cell>
        </row>
        <row r="602">
          <cell r="A602">
            <v>641200</v>
          </cell>
          <cell r="B602" t="str">
            <v>CONGES PAYES IMPRO  MECA </v>
          </cell>
        </row>
        <row r="603">
          <cell r="A603">
            <v>641200</v>
          </cell>
          <cell r="B603" t="str">
            <v>CONGES PAYES PROD DEPAN  </v>
          </cell>
        </row>
        <row r="604">
          <cell r="A604">
            <v>641200</v>
          </cell>
          <cell r="B604" t="str">
            <v>CONGES P APRENTIS MECA   </v>
          </cell>
        </row>
        <row r="605">
          <cell r="A605">
            <v>641200</v>
          </cell>
          <cell r="B605" t="str">
            <v>CONGES PAYES STATION     </v>
          </cell>
        </row>
        <row r="606">
          <cell r="A606">
            <v>641200</v>
          </cell>
          <cell r="B606" t="str">
            <v>CONGES PAYES PROD CHRONO </v>
          </cell>
        </row>
        <row r="607">
          <cell r="A607">
            <v>641200</v>
          </cell>
          <cell r="B607" t="str">
            <v>CONGES PAYES DIRECTION   </v>
          </cell>
        </row>
        <row r="608">
          <cell r="A608">
            <v>641200</v>
          </cell>
          <cell r="B608" t="str">
            <v>CONGES PAYES ADM         </v>
          </cell>
        </row>
        <row r="609">
          <cell r="A609">
            <v>641210</v>
          </cell>
          <cell r="B609" t="str">
            <v>PROVISION RTT            </v>
          </cell>
        </row>
        <row r="610">
          <cell r="A610">
            <v>641220</v>
          </cell>
          <cell r="B610" t="str">
            <v>PROV CONGES PAYEES       </v>
          </cell>
        </row>
        <row r="611">
          <cell r="A611">
            <v>641300</v>
          </cell>
          <cell r="B611" t="str">
            <v>COMMISSIONS SUR VENTES VN</v>
          </cell>
        </row>
        <row r="612">
          <cell r="A612">
            <v>641300</v>
          </cell>
          <cell r="B612" t="str">
            <v>PRIMES PREPARATION VN    </v>
          </cell>
        </row>
        <row r="613">
          <cell r="A613">
            <v>641300</v>
          </cell>
          <cell r="B613" t="str">
            <v>PRIMES SECRETARIAT VN    </v>
          </cell>
        </row>
        <row r="614">
          <cell r="A614">
            <v>641300</v>
          </cell>
          <cell r="B614" t="str">
            <v>PRIMES DE VENTES VO      </v>
          </cell>
        </row>
        <row r="615">
          <cell r="A615">
            <v>641300</v>
          </cell>
          <cell r="B615" t="str">
            <v>PRIMES EQ FREVO          </v>
          </cell>
        </row>
        <row r="616">
          <cell r="A616">
            <v>641300</v>
          </cell>
          <cell r="B616" t="str">
            <v>PRIMES SECRETARIAT VO    </v>
          </cell>
        </row>
        <row r="617">
          <cell r="A617">
            <v>641300</v>
          </cell>
          <cell r="B617" t="str">
            <v>COMMISSIONS S/VENTES MPR </v>
          </cell>
        </row>
        <row r="618">
          <cell r="A618">
            <v>641300</v>
          </cell>
          <cell r="B618" t="str">
            <v>PRIMES SECRETARIAT PR    </v>
          </cell>
        </row>
        <row r="619">
          <cell r="A619">
            <v>641300</v>
          </cell>
          <cell r="B619" t="str">
            <v>PRIMES PROD MECA         </v>
          </cell>
        </row>
        <row r="620">
          <cell r="A620">
            <v>641300</v>
          </cell>
          <cell r="B620" t="str">
            <v>PRIMES SECRETARIAT APV   </v>
          </cell>
        </row>
        <row r="621">
          <cell r="A621">
            <v>641300</v>
          </cell>
          <cell r="B621" t="str">
            <v>PRIMES IMPRO MECA        </v>
          </cell>
        </row>
        <row r="622">
          <cell r="A622">
            <v>641300</v>
          </cell>
          <cell r="B622" t="str">
            <v>PRIMES PROD DEPAN        </v>
          </cell>
        </row>
        <row r="623">
          <cell r="A623">
            <v>641300</v>
          </cell>
          <cell r="B623" t="str">
            <v>PRIMES ET GRATIF STATION </v>
          </cell>
        </row>
        <row r="624">
          <cell r="A624">
            <v>641300</v>
          </cell>
          <cell r="B624" t="str">
            <v>PRIMES PROD CHRONO       </v>
          </cell>
        </row>
        <row r="625">
          <cell r="A625">
            <v>641300</v>
          </cell>
          <cell r="B625" t="str">
            <v>PRIME PERS ADMINISTRATIF </v>
          </cell>
        </row>
        <row r="626">
          <cell r="A626">
            <v>641350</v>
          </cell>
          <cell r="B626" t="str">
            <v>INTERESSEMENT CHEFS SERV.</v>
          </cell>
        </row>
        <row r="627">
          <cell r="A627">
            <v>641700</v>
          </cell>
          <cell r="B627" t="str">
            <v>AVANT NATURE EQ VENTE VN </v>
          </cell>
        </row>
        <row r="628">
          <cell r="A628">
            <v>641700</v>
          </cell>
          <cell r="B628" t="str">
            <v>AVANT NATURE EQ VENTE VO </v>
          </cell>
        </row>
        <row r="629">
          <cell r="A629">
            <v>641700</v>
          </cell>
          <cell r="B629" t="str">
            <v>AVANT NATURE PERS MPR    </v>
          </cell>
        </row>
        <row r="630">
          <cell r="A630">
            <v>641700</v>
          </cell>
          <cell r="B630" t="str">
            <v>AV NATURE IMPRO MECA     </v>
          </cell>
        </row>
        <row r="631">
          <cell r="A631">
            <v>641700</v>
          </cell>
          <cell r="B631" t="str">
            <v>AV NATURE DIRECTION      </v>
          </cell>
        </row>
        <row r="632">
          <cell r="A632">
            <v>641700</v>
          </cell>
          <cell r="B632" t="str">
            <v>AV NATURE PERS ADM       </v>
          </cell>
        </row>
        <row r="633">
          <cell r="A633">
            <v>641900</v>
          </cell>
          <cell r="B633" t="str">
            <v>CICE EQ VENTE VN         </v>
          </cell>
        </row>
        <row r="634">
          <cell r="A634">
            <v>641900</v>
          </cell>
          <cell r="B634" t="str">
            <v>CICE PREP VN             </v>
          </cell>
        </row>
        <row r="635">
          <cell r="A635">
            <v>641900</v>
          </cell>
          <cell r="B635" t="str">
            <v>CICE SECRET VN           </v>
          </cell>
        </row>
        <row r="636">
          <cell r="A636">
            <v>641900</v>
          </cell>
          <cell r="B636" t="str">
            <v>CICE EQ VENTE VO         </v>
          </cell>
        </row>
        <row r="637">
          <cell r="A637">
            <v>641900</v>
          </cell>
          <cell r="B637" t="str">
            <v>CICE EQ FREVO            </v>
          </cell>
        </row>
        <row r="638">
          <cell r="A638">
            <v>641900</v>
          </cell>
          <cell r="B638" t="str">
            <v>CICE SECRET VO           </v>
          </cell>
        </row>
        <row r="639">
          <cell r="A639">
            <v>641900</v>
          </cell>
          <cell r="B639" t="str">
            <v>CICE PERS MPR            </v>
          </cell>
        </row>
        <row r="640">
          <cell r="A640">
            <v>641900</v>
          </cell>
          <cell r="B640" t="str">
            <v>CICE SECRET PR           </v>
          </cell>
        </row>
        <row r="641">
          <cell r="A641">
            <v>641900</v>
          </cell>
          <cell r="B641" t="str">
            <v>CICE PROD MECA           </v>
          </cell>
        </row>
        <row r="642">
          <cell r="A642">
            <v>641900</v>
          </cell>
          <cell r="B642" t="str">
            <v>CICE SECRET APV          </v>
          </cell>
        </row>
        <row r="643">
          <cell r="A643">
            <v>641900</v>
          </cell>
          <cell r="B643" t="str">
            <v>CICE IMPROD APV          </v>
          </cell>
        </row>
        <row r="644">
          <cell r="A644">
            <v>641900</v>
          </cell>
          <cell r="B644" t="str">
            <v>CICE APPRENTIS APV       </v>
          </cell>
        </row>
        <row r="645">
          <cell r="A645">
            <v>641900</v>
          </cell>
          <cell r="B645" t="str">
            <v>CICE PERS STATION        </v>
          </cell>
        </row>
        <row r="646">
          <cell r="A646">
            <v>641900</v>
          </cell>
          <cell r="B646" t="str">
            <v>CICE PERS CHRONO         </v>
          </cell>
        </row>
        <row r="647">
          <cell r="A647">
            <v>641900</v>
          </cell>
          <cell r="B647" t="str">
            <v>CICE PERS ADMINITRATIF   </v>
          </cell>
        </row>
        <row r="648">
          <cell r="A648">
            <v>645100</v>
          </cell>
          <cell r="B648" t="str">
            <v>URSSAF EQ VENTE VN       </v>
          </cell>
        </row>
        <row r="649">
          <cell r="A649">
            <v>645100</v>
          </cell>
          <cell r="B649" t="str">
            <v>URSSAF PREP VN           </v>
          </cell>
        </row>
        <row r="650">
          <cell r="A650">
            <v>645100</v>
          </cell>
          <cell r="B650" t="str">
            <v>URSSAF SEC CIAL VN       </v>
          </cell>
        </row>
        <row r="651">
          <cell r="A651">
            <v>645100</v>
          </cell>
          <cell r="B651" t="str">
            <v>URSSAF EQ VENTE VO       </v>
          </cell>
        </row>
        <row r="652">
          <cell r="A652">
            <v>645100</v>
          </cell>
          <cell r="B652" t="str">
            <v>URSSAF EQUIPE  EQ FREVO  </v>
          </cell>
        </row>
        <row r="653">
          <cell r="A653">
            <v>645100</v>
          </cell>
          <cell r="B653" t="str">
            <v>URSSAF SEC CIAL VO       </v>
          </cell>
        </row>
        <row r="654">
          <cell r="A654">
            <v>645100</v>
          </cell>
          <cell r="B654" t="str">
            <v>URSSAF PERS MPR          </v>
          </cell>
        </row>
        <row r="655">
          <cell r="A655">
            <v>645100</v>
          </cell>
          <cell r="B655" t="str">
            <v>URSSAF SEC PR            </v>
          </cell>
        </row>
        <row r="656">
          <cell r="A656">
            <v>645100</v>
          </cell>
          <cell r="B656" t="str">
            <v>URSSAF PROD MECA         </v>
          </cell>
        </row>
        <row r="657">
          <cell r="A657">
            <v>645100</v>
          </cell>
          <cell r="B657" t="str">
            <v>URSSAF SEC APV           </v>
          </cell>
        </row>
        <row r="658">
          <cell r="A658">
            <v>645100</v>
          </cell>
          <cell r="B658" t="str">
            <v>URSSAF IMPRO MECA        </v>
          </cell>
        </row>
        <row r="659">
          <cell r="A659">
            <v>645100</v>
          </cell>
          <cell r="B659" t="str">
            <v>URSSAF PROD DEPAN        </v>
          </cell>
        </row>
        <row r="660">
          <cell r="A660">
            <v>645100</v>
          </cell>
          <cell r="B660" t="str">
            <v>URSSAF APPRENTIS MECA    </v>
          </cell>
        </row>
        <row r="661">
          <cell r="A661">
            <v>645100</v>
          </cell>
          <cell r="B661" t="str">
            <v>URSSAF STATION           </v>
          </cell>
        </row>
        <row r="662">
          <cell r="A662">
            <v>645100</v>
          </cell>
          <cell r="B662" t="str">
            <v>URSSAF PROD CHRONO       </v>
          </cell>
        </row>
        <row r="663">
          <cell r="A663">
            <v>645100</v>
          </cell>
          <cell r="B663" t="str">
            <v>URSSAF DIRECTION         </v>
          </cell>
        </row>
        <row r="664">
          <cell r="A664">
            <v>645100</v>
          </cell>
          <cell r="B664" t="str">
            <v>URSSAF PERS ADM          </v>
          </cell>
        </row>
        <row r="665">
          <cell r="A665">
            <v>645200</v>
          </cell>
          <cell r="B665" t="str">
            <v>MUTUELLE EQ VENTE VN     </v>
          </cell>
        </row>
        <row r="666">
          <cell r="A666">
            <v>645200</v>
          </cell>
          <cell r="B666" t="str">
            <v>MUTUELLE PREPA VN        </v>
          </cell>
        </row>
        <row r="667">
          <cell r="A667">
            <v>645200</v>
          </cell>
          <cell r="B667" t="str">
            <v>MUTUELLE SEC CIAL VN     </v>
          </cell>
        </row>
        <row r="668">
          <cell r="A668">
            <v>645200</v>
          </cell>
          <cell r="B668" t="str">
            <v>MUTUELLE EQ VENTE VO     </v>
          </cell>
        </row>
        <row r="669">
          <cell r="A669">
            <v>645200</v>
          </cell>
          <cell r="B669" t="str">
            <v>MUTUELLE EQ FREVO        </v>
          </cell>
        </row>
        <row r="670">
          <cell r="A670">
            <v>645200</v>
          </cell>
          <cell r="B670" t="str">
            <v>MUTUELLE SEC CIAL VO     </v>
          </cell>
        </row>
        <row r="671">
          <cell r="A671">
            <v>645200</v>
          </cell>
          <cell r="B671" t="str">
            <v>MUTUELLE PERS MPR        </v>
          </cell>
        </row>
        <row r="672">
          <cell r="A672">
            <v>645200</v>
          </cell>
          <cell r="B672" t="str">
            <v>MUTUELLE PROD MECA       </v>
          </cell>
        </row>
        <row r="673">
          <cell r="A673">
            <v>645200</v>
          </cell>
          <cell r="B673" t="str">
            <v>MUTUELLE SEC APV         </v>
          </cell>
        </row>
        <row r="674">
          <cell r="A674">
            <v>645200</v>
          </cell>
          <cell r="B674" t="str">
            <v>MUTUELLE IMPRO MECA      </v>
          </cell>
        </row>
        <row r="675">
          <cell r="A675">
            <v>645200</v>
          </cell>
          <cell r="B675" t="str">
            <v>MUTUELLE PROD  DEPAN     </v>
          </cell>
        </row>
        <row r="676">
          <cell r="A676">
            <v>645200</v>
          </cell>
          <cell r="B676" t="str">
            <v>MUTUELLE APRENTIS MECA   </v>
          </cell>
        </row>
        <row r="677">
          <cell r="A677">
            <v>645200</v>
          </cell>
          <cell r="B677" t="str">
            <v>MUTUELLE STATION         </v>
          </cell>
        </row>
        <row r="678">
          <cell r="A678">
            <v>645200</v>
          </cell>
          <cell r="B678" t="str">
            <v>MUTUELLE PROD CHRONO     </v>
          </cell>
        </row>
        <row r="679">
          <cell r="A679">
            <v>645200</v>
          </cell>
          <cell r="B679" t="str">
            <v>MUTUELLE DIRECTION       </v>
          </cell>
        </row>
        <row r="680">
          <cell r="A680">
            <v>645200</v>
          </cell>
          <cell r="B680" t="str">
            <v>MUTUELLE PERS ADM        </v>
          </cell>
        </row>
        <row r="681">
          <cell r="A681">
            <v>645300</v>
          </cell>
          <cell r="B681" t="str">
            <v>C RETRAITE EQ VENTE VN   </v>
          </cell>
        </row>
        <row r="682">
          <cell r="A682">
            <v>645300</v>
          </cell>
          <cell r="B682" t="str">
            <v>C RETRAITE PREP VN       </v>
          </cell>
        </row>
        <row r="683">
          <cell r="A683">
            <v>645300</v>
          </cell>
          <cell r="B683" t="str">
            <v>C RETRAIT SEC CIAL VN    </v>
          </cell>
        </row>
        <row r="684">
          <cell r="A684">
            <v>645300</v>
          </cell>
          <cell r="B684" t="str">
            <v>C RETRAITE EQ VENTE VO   </v>
          </cell>
        </row>
        <row r="685">
          <cell r="A685">
            <v>645300</v>
          </cell>
          <cell r="B685" t="str">
            <v>C RETRAITE EQ FREVO      </v>
          </cell>
        </row>
        <row r="686">
          <cell r="A686">
            <v>645300</v>
          </cell>
          <cell r="B686" t="str">
            <v>C RETRAITE SEC CIAL VO   </v>
          </cell>
        </row>
        <row r="687">
          <cell r="A687">
            <v>645300</v>
          </cell>
          <cell r="B687" t="str">
            <v>CAISSE RETRAITE PERS MPR </v>
          </cell>
        </row>
        <row r="688">
          <cell r="A688">
            <v>645300</v>
          </cell>
          <cell r="B688" t="str">
            <v>C RETRAITE SEC PR        </v>
          </cell>
        </row>
        <row r="689">
          <cell r="A689">
            <v>645300</v>
          </cell>
          <cell r="B689" t="str">
            <v>C RETRAITE PROD MECA     </v>
          </cell>
        </row>
        <row r="690">
          <cell r="A690">
            <v>645300</v>
          </cell>
          <cell r="B690" t="str">
            <v>C RETRAITE SEC APV       </v>
          </cell>
        </row>
        <row r="691">
          <cell r="A691">
            <v>645300</v>
          </cell>
          <cell r="B691" t="str">
            <v>C RETRAITE IMPRO MECA    </v>
          </cell>
        </row>
        <row r="692">
          <cell r="A692">
            <v>645300</v>
          </cell>
          <cell r="B692" t="str">
            <v>C RETRAITE PROD DEPAN    </v>
          </cell>
        </row>
        <row r="693">
          <cell r="A693">
            <v>645300</v>
          </cell>
          <cell r="B693" t="str">
            <v>C RETRAITE APPRENT MECA  </v>
          </cell>
        </row>
        <row r="694">
          <cell r="A694">
            <v>645300</v>
          </cell>
          <cell r="B694" t="str">
            <v>C RETRAITE STATION       </v>
          </cell>
        </row>
        <row r="695">
          <cell r="A695">
            <v>645300</v>
          </cell>
          <cell r="B695" t="str">
            <v>C RETRAITE PROD CHRONO   </v>
          </cell>
        </row>
        <row r="696">
          <cell r="A696">
            <v>645300</v>
          </cell>
          <cell r="B696" t="str">
            <v>C RETRAITE DIRECTION     </v>
          </cell>
        </row>
        <row r="697">
          <cell r="A697">
            <v>645300</v>
          </cell>
          <cell r="B697" t="str">
            <v>C RETRAITE PERS ADM      </v>
          </cell>
        </row>
        <row r="698">
          <cell r="A698">
            <v>645400</v>
          </cell>
          <cell r="B698" t="str">
            <v>ASSEDIC EQ VENTE VN      </v>
          </cell>
        </row>
        <row r="699">
          <cell r="A699">
            <v>645400</v>
          </cell>
          <cell r="B699" t="str">
            <v>ASSEDIC EQ VENTE VO      </v>
          </cell>
        </row>
        <row r="700">
          <cell r="A700">
            <v>645400</v>
          </cell>
          <cell r="B700" t="str">
            <v>ASSEDIC PERS MPR         </v>
          </cell>
        </row>
        <row r="701">
          <cell r="A701">
            <v>645400</v>
          </cell>
          <cell r="B701" t="str">
            <v>ASSEDIC PROD MECA        </v>
          </cell>
        </row>
        <row r="702">
          <cell r="A702">
            <v>645400</v>
          </cell>
          <cell r="B702" t="str">
            <v>ASSEDIC SEC APV          </v>
          </cell>
        </row>
        <row r="703">
          <cell r="A703">
            <v>645400</v>
          </cell>
          <cell r="B703" t="str">
            <v>ASSEDIC IMPRO MECA       </v>
          </cell>
        </row>
        <row r="704">
          <cell r="A704">
            <v>645400</v>
          </cell>
          <cell r="B704" t="str">
            <v>ASSEDIC PROD DEPAN       </v>
          </cell>
        </row>
        <row r="705">
          <cell r="A705">
            <v>645400</v>
          </cell>
          <cell r="B705" t="str">
            <v>ASSEDIC APPRENTIS MECA   </v>
          </cell>
        </row>
        <row r="706">
          <cell r="A706">
            <v>645400</v>
          </cell>
          <cell r="B706" t="str">
            <v>ASSEDIC PROD CHRONO      </v>
          </cell>
        </row>
        <row r="707">
          <cell r="A707">
            <v>645400</v>
          </cell>
          <cell r="B707" t="str">
            <v>ASSEDIC DIRECTION        </v>
          </cell>
        </row>
        <row r="708">
          <cell r="A708">
            <v>645400</v>
          </cell>
          <cell r="B708" t="str">
            <v>ASSEDIC PERS ADM         </v>
          </cell>
        </row>
        <row r="709">
          <cell r="A709">
            <v>645500</v>
          </cell>
          <cell r="B709" t="str">
            <v>CHARGES /PRO PRIMES VEND </v>
          </cell>
        </row>
        <row r="710">
          <cell r="A710">
            <v>645500</v>
          </cell>
          <cell r="B710" t="str">
            <v>CHARGES / PROV PRIMES SEC</v>
          </cell>
        </row>
        <row r="711">
          <cell r="A711">
            <v>645500</v>
          </cell>
          <cell r="B711" t="str">
            <v>CHARGES SUR PROV COMM VO </v>
          </cell>
        </row>
        <row r="712">
          <cell r="A712">
            <v>645500</v>
          </cell>
          <cell r="B712" t="str">
            <v>CHARGES / PROV PRIMES PR </v>
          </cell>
        </row>
        <row r="713">
          <cell r="A713">
            <v>645500</v>
          </cell>
          <cell r="B713" t="str">
            <v>CHARGES / PROV PRIMES APV</v>
          </cell>
        </row>
        <row r="714">
          <cell r="A714">
            <v>645500</v>
          </cell>
          <cell r="B714" t="str">
            <v>CHG / PROV PRIMES SEC APV</v>
          </cell>
        </row>
        <row r="715">
          <cell r="A715">
            <v>645500</v>
          </cell>
          <cell r="B715" t="str">
            <v>CHARGES / PROV PRIMES IMP</v>
          </cell>
        </row>
        <row r="716">
          <cell r="A716">
            <v>645500</v>
          </cell>
          <cell r="B716" t="str">
            <v>CHARGES / PROV P DEPANNAG</v>
          </cell>
        </row>
        <row r="717">
          <cell r="A717">
            <v>645500</v>
          </cell>
          <cell r="B717" t="str">
            <v>CHARGES / PROV COMM STATI</v>
          </cell>
        </row>
        <row r="718">
          <cell r="A718">
            <v>645500</v>
          </cell>
          <cell r="B718" t="str">
            <v>CHARGES/INTERESSEMENT    </v>
          </cell>
        </row>
        <row r="719">
          <cell r="A719">
            <v>645501</v>
          </cell>
          <cell r="B719" t="str">
            <v>CHEQUES DEJEUNERS VEND VN</v>
          </cell>
        </row>
        <row r="720">
          <cell r="A720">
            <v>645501</v>
          </cell>
          <cell r="B720" t="str">
            <v>CHEQUES DEJEUNERS PREP VN</v>
          </cell>
        </row>
        <row r="721">
          <cell r="A721">
            <v>645501</v>
          </cell>
          <cell r="B721" t="str">
            <v>CHEQUES DEJEUNERS SEC VN </v>
          </cell>
        </row>
        <row r="722">
          <cell r="A722">
            <v>645501</v>
          </cell>
          <cell r="B722" t="str">
            <v>CHEQUES DEJEUNERS VEND VO</v>
          </cell>
        </row>
        <row r="723">
          <cell r="A723">
            <v>645501</v>
          </cell>
          <cell r="B723" t="str">
            <v>CHEQUES DEJEUNERS FRE VO </v>
          </cell>
        </row>
        <row r="724">
          <cell r="A724">
            <v>645501</v>
          </cell>
          <cell r="B724" t="str">
            <v>CHEQUES DEJEUNERS SEC VO </v>
          </cell>
        </row>
        <row r="725">
          <cell r="A725">
            <v>645501</v>
          </cell>
          <cell r="B725" t="str">
            <v>CHEQUES DEJEUNERS PR     </v>
          </cell>
        </row>
        <row r="726">
          <cell r="A726">
            <v>645501</v>
          </cell>
          <cell r="B726" t="str">
            <v>CHEQUES DEJEUNERS SECR PR</v>
          </cell>
        </row>
        <row r="727">
          <cell r="A727">
            <v>645501</v>
          </cell>
          <cell r="B727" t="str">
            <v>CHEQUES DEJEUNERS PROD ME</v>
          </cell>
        </row>
        <row r="728">
          <cell r="A728">
            <v>645501</v>
          </cell>
          <cell r="B728" t="str">
            <v>CHEQUES DEJEUNERS SEC APV</v>
          </cell>
        </row>
        <row r="729">
          <cell r="A729">
            <v>645501</v>
          </cell>
          <cell r="B729" t="str">
            <v>CHEQUES DEJEUNERS IMPRO M</v>
          </cell>
        </row>
        <row r="730">
          <cell r="A730">
            <v>645501</v>
          </cell>
          <cell r="B730" t="str">
            <v>CHEQUES DEJEUNERS PROD DE</v>
          </cell>
        </row>
        <row r="731">
          <cell r="A731">
            <v>645501</v>
          </cell>
          <cell r="B731" t="str">
            <v>CHEQUES DEJEUNERS APP MEC</v>
          </cell>
        </row>
        <row r="732">
          <cell r="A732">
            <v>645501</v>
          </cell>
          <cell r="B732" t="str">
            <v>CHEQUES DEJEUNERS STATION</v>
          </cell>
        </row>
        <row r="733">
          <cell r="A733">
            <v>645501</v>
          </cell>
          <cell r="B733" t="str">
            <v>CHEQUES DEJEUNERS CHRONO </v>
          </cell>
        </row>
        <row r="734">
          <cell r="A734">
            <v>645501</v>
          </cell>
          <cell r="B734" t="str">
            <v>CHEQUES DEJEUNERS DIRECTI</v>
          </cell>
        </row>
        <row r="735">
          <cell r="A735">
            <v>645501</v>
          </cell>
          <cell r="B735" t="str">
            <v>CHEQUES DEJEUNERS ADM&amp;COM</v>
          </cell>
        </row>
        <row r="736">
          <cell r="A736">
            <v>645510</v>
          </cell>
          <cell r="B736" t="str">
            <v>CHARGES / PROV SALAIRES  </v>
          </cell>
        </row>
        <row r="737">
          <cell r="A737">
            <v>645600</v>
          </cell>
          <cell r="B737" t="str">
            <v>CHARGES/CONGES PAYES     </v>
          </cell>
        </row>
        <row r="738">
          <cell r="A738">
            <v>645610</v>
          </cell>
          <cell r="B738" t="str">
            <v>CHARGES / PROVISION RTT  </v>
          </cell>
        </row>
        <row r="739">
          <cell r="A739">
            <v>647200</v>
          </cell>
          <cell r="B739" t="str">
            <v>COMITE ENT EQ VENTE VN   </v>
          </cell>
        </row>
        <row r="740">
          <cell r="A740">
            <v>647200</v>
          </cell>
          <cell r="B740" t="str">
            <v>COMITE ENT PREP VN       </v>
          </cell>
        </row>
        <row r="741">
          <cell r="A741">
            <v>647200</v>
          </cell>
          <cell r="B741" t="str">
            <v>COMITE ENT SEC CIAL VN   </v>
          </cell>
        </row>
        <row r="742">
          <cell r="A742">
            <v>647200</v>
          </cell>
          <cell r="B742" t="str">
            <v>COMITE ENT EQ VENTE VO   </v>
          </cell>
        </row>
        <row r="743">
          <cell r="A743">
            <v>647200</v>
          </cell>
          <cell r="B743" t="str">
            <v>COMITE ENT EQ FREVO      </v>
          </cell>
        </row>
        <row r="744">
          <cell r="A744">
            <v>647200</v>
          </cell>
          <cell r="B744" t="str">
            <v>COMITE ENT SEC CIAL VO   </v>
          </cell>
        </row>
        <row r="745">
          <cell r="A745">
            <v>647200</v>
          </cell>
          <cell r="B745" t="str">
            <v>COMITE ENT PERS MPR      </v>
          </cell>
        </row>
        <row r="746">
          <cell r="A746">
            <v>647200</v>
          </cell>
          <cell r="B746" t="str">
            <v>COMITE ENT SEC PR        </v>
          </cell>
        </row>
        <row r="747">
          <cell r="A747">
            <v>647200</v>
          </cell>
          <cell r="B747" t="str">
            <v>COMITE ENT PROD MECA     </v>
          </cell>
        </row>
        <row r="748">
          <cell r="A748">
            <v>647200</v>
          </cell>
          <cell r="B748" t="str">
            <v>COMITE ENT SEC APV       </v>
          </cell>
        </row>
        <row r="749">
          <cell r="A749">
            <v>647200</v>
          </cell>
          <cell r="B749" t="str">
            <v>COMITE ENT IMPRO MECA    </v>
          </cell>
        </row>
        <row r="750">
          <cell r="A750">
            <v>647200</v>
          </cell>
          <cell r="B750" t="str">
            <v>COMITE ENT PROD DEPAN    </v>
          </cell>
        </row>
        <row r="751">
          <cell r="A751">
            <v>647200</v>
          </cell>
          <cell r="B751" t="str">
            <v>COMITE ENT APPRENT MECA  </v>
          </cell>
        </row>
        <row r="752">
          <cell r="A752">
            <v>647200</v>
          </cell>
          <cell r="B752" t="str">
            <v>COMITE ENT STATION       </v>
          </cell>
        </row>
        <row r="753">
          <cell r="A753">
            <v>647200</v>
          </cell>
          <cell r="B753" t="str">
            <v>COMITE ENT PROD CHRONO   </v>
          </cell>
        </row>
        <row r="754">
          <cell r="A754">
            <v>647200</v>
          </cell>
          <cell r="B754" t="str">
            <v>COMITE ENT DIRECTION     </v>
          </cell>
        </row>
        <row r="755">
          <cell r="A755">
            <v>647200</v>
          </cell>
          <cell r="B755" t="str">
            <v>COMITE ENT PERS ADM      </v>
          </cell>
        </row>
        <row r="756">
          <cell r="A756">
            <v>647300</v>
          </cell>
          <cell r="B756" t="str">
            <v>PHARMACIE 2,1 %          </v>
          </cell>
        </row>
        <row r="757">
          <cell r="A757">
            <v>647300</v>
          </cell>
          <cell r="B757" t="str">
            <v>PHARMACIE 10%            </v>
          </cell>
        </row>
        <row r="758">
          <cell r="A758">
            <v>647300</v>
          </cell>
          <cell r="B758" t="str">
            <v>MEDECINE DU TRAVAIL TVA 1</v>
          </cell>
        </row>
        <row r="759">
          <cell r="A759">
            <v>647300</v>
          </cell>
          <cell r="B759" t="str">
            <v>PHARMACIE 20 %           </v>
          </cell>
        </row>
        <row r="760">
          <cell r="A760">
            <v>647500</v>
          </cell>
          <cell r="B760" t="str">
            <v>MED TRAVAIL EQ VENTE VN  </v>
          </cell>
        </row>
        <row r="761">
          <cell r="A761">
            <v>647500</v>
          </cell>
          <cell r="B761" t="str">
            <v>MED TRAVAIL PREP VN      </v>
          </cell>
        </row>
        <row r="762">
          <cell r="A762">
            <v>647500</v>
          </cell>
          <cell r="B762" t="str">
            <v>MED TRAVAIL SEC CIAL VN  </v>
          </cell>
        </row>
        <row r="763">
          <cell r="A763">
            <v>647500</v>
          </cell>
          <cell r="B763" t="str">
            <v>MED TRAVAIL EQ VENTE VO  </v>
          </cell>
        </row>
        <row r="764">
          <cell r="A764">
            <v>647500</v>
          </cell>
          <cell r="B764" t="str">
            <v>MED TRAVAIL EQ FEVO      </v>
          </cell>
        </row>
        <row r="765">
          <cell r="A765">
            <v>647500</v>
          </cell>
          <cell r="B765" t="str">
            <v>MED TRAVAIL SEC CIAL VO  </v>
          </cell>
        </row>
        <row r="766">
          <cell r="A766">
            <v>647500</v>
          </cell>
          <cell r="B766" t="str">
            <v>MED TRAVAIL PERS MPR     </v>
          </cell>
        </row>
        <row r="767">
          <cell r="A767">
            <v>647500</v>
          </cell>
          <cell r="B767" t="str">
            <v>MED TRAVAIL SEC PR       </v>
          </cell>
        </row>
        <row r="768">
          <cell r="A768">
            <v>647500</v>
          </cell>
          <cell r="B768" t="str">
            <v>MED TRAVAIL PROD MECA    </v>
          </cell>
        </row>
        <row r="769">
          <cell r="A769">
            <v>647500</v>
          </cell>
          <cell r="B769" t="str">
            <v>MED TRAVAIL SEC APV      </v>
          </cell>
        </row>
        <row r="770">
          <cell r="A770">
            <v>647500</v>
          </cell>
          <cell r="B770" t="str">
            <v>MED TRAVAIL IMPRO MECA   </v>
          </cell>
        </row>
        <row r="771">
          <cell r="A771">
            <v>647500</v>
          </cell>
          <cell r="B771" t="str">
            <v>MED TRAVAIL PROD DEPAN   </v>
          </cell>
        </row>
        <row r="772">
          <cell r="A772">
            <v>647500</v>
          </cell>
          <cell r="B772" t="str">
            <v>MED TRAVAIL APPRENT MECA </v>
          </cell>
        </row>
        <row r="773">
          <cell r="A773">
            <v>647500</v>
          </cell>
          <cell r="B773" t="str">
            <v>MED TRAVAIL STATION      </v>
          </cell>
        </row>
        <row r="774">
          <cell r="A774">
            <v>647500</v>
          </cell>
          <cell r="B774" t="str">
            <v>MED TRAVAIL PROD CHRONO  </v>
          </cell>
        </row>
        <row r="775">
          <cell r="A775">
            <v>647500</v>
          </cell>
          <cell r="B775" t="str">
            <v>MED TRAVAIL DIRECTION    </v>
          </cell>
        </row>
        <row r="776">
          <cell r="A776">
            <v>647500</v>
          </cell>
          <cell r="B776" t="str">
            <v>MED TRAVAIL PERS ADM     </v>
          </cell>
        </row>
        <row r="777">
          <cell r="A777">
            <v>647500</v>
          </cell>
          <cell r="B777" t="str">
            <v>MED TRAVAIL DIRECTION    </v>
          </cell>
        </row>
        <row r="778">
          <cell r="A778">
            <v>648100</v>
          </cell>
          <cell r="B778" t="str">
            <v>INDEMN LICENC VENDEURS VN</v>
          </cell>
        </row>
        <row r="779">
          <cell r="A779">
            <v>648100</v>
          </cell>
          <cell r="B779" t="str">
            <v>INDEMN LICENCT PREPA VN  </v>
          </cell>
        </row>
        <row r="780">
          <cell r="A780">
            <v>648100</v>
          </cell>
          <cell r="B780" t="str">
            <v>INDEMNITE LICENC MPR     </v>
          </cell>
        </row>
        <row r="781">
          <cell r="A781">
            <v>648100</v>
          </cell>
          <cell r="B781" t="str">
            <v>INDEMN LICENC SECRET PR  </v>
          </cell>
        </row>
        <row r="782">
          <cell r="A782">
            <v>648100</v>
          </cell>
          <cell r="B782" t="str">
            <v>INDEMN LICENC SECRET APV </v>
          </cell>
        </row>
        <row r="783">
          <cell r="A783">
            <v>648100</v>
          </cell>
          <cell r="B783" t="str">
            <v>INDEMN LICEN IMPROD ATELI</v>
          </cell>
        </row>
        <row r="784">
          <cell r="A784">
            <v>649000</v>
          </cell>
          <cell r="B784" t="str">
            <v>CICE EQ VENTE VN         </v>
          </cell>
        </row>
        <row r="785">
          <cell r="A785">
            <v>649000</v>
          </cell>
          <cell r="B785" t="str">
            <v>CICE PREP VN             </v>
          </cell>
        </row>
        <row r="786">
          <cell r="A786">
            <v>649000</v>
          </cell>
          <cell r="B786" t="str">
            <v>CICE SECRET VN           </v>
          </cell>
        </row>
        <row r="787">
          <cell r="A787">
            <v>649000</v>
          </cell>
          <cell r="B787" t="str">
            <v>CICE EQ VENTE VO         </v>
          </cell>
        </row>
        <row r="788">
          <cell r="A788">
            <v>649000</v>
          </cell>
          <cell r="B788" t="str">
            <v>CICE EQ FREVO            </v>
          </cell>
        </row>
        <row r="789">
          <cell r="A789">
            <v>649000</v>
          </cell>
          <cell r="B789" t="str">
            <v>CICE SECRET VO           </v>
          </cell>
        </row>
        <row r="790">
          <cell r="A790">
            <v>649000</v>
          </cell>
          <cell r="B790" t="str">
            <v>CICE PERS MPR            </v>
          </cell>
        </row>
        <row r="791">
          <cell r="A791">
            <v>649000</v>
          </cell>
          <cell r="B791" t="str">
            <v>CICE SECRET PR           </v>
          </cell>
        </row>
        <row r="792">
          <cell r="A792">
            <v>649000</v>
          </cell>
          <cell r="B792" t="str">
            <v>CICE PROD MECANIQUE      </v>
          </cell>
        </row>
        <row r="793">
          <cell r="A793">
            <v>649000</v>
          </cell>
          <cell r="B793" t="str">
            <v>CICE SECRET APV          </v>
          </cell>
        </row>
        <row r="794">
          <cell r="A794">
            <v>649000</v>
          </cell>
          <cell r="B794" t="str">
            <v>CICE IMPROD APV          </v>
          </cell>
        </row>
        <row r="795">
          <cell r="A795">
            <v>649000</v>
          </cell>
          <cell r="B795" t="str">
            <v>CICE APPRENTI APV        </v>
          </cell>
        </row>
        <row r="796">
          <cell r="A796">
            <v>649000</v>
          </cell>
          <cell r="B796" t="str">
            <v>CICE PERS STATION        </v>
          </cell>
        </row>
        <row r="797">
          <cell r="A797">
            <v>649000</v>
          </cell>
          <cell r="B797" t="str">
            <v>CICE PERS CHRONO         </v>
          </cell>
        </row>
        <row r="798">
          <cell r="A798">
            <v>649000</v>
          </cell>
          <cell r="B798" t="str">
            <v>CICE PERS ADMINISTRATIF  </v>
          </cell>
        </row>
        <row r="799">
          <cell r="A799">
            <v>651000</v>
          </cell>
          <cell r="B799" t="str">
            <v>REDEVANCE - LICENCE APV  </v>
          </cell>
        </row>
        <row r="800">
          <cell r="A800">
            <v>654100</v>
          </cell>
          <cell r="B800" t="str">
            <v>PERTE/CREANCE IRRECOUV/EX</v>
          </cell>
        </row>
        <row r="801">
          <cell r="A801">
            <v>654100</v>
          </cell>
          <cell r="B801" t="str">
            <v>PRETE / CREANCE IRREC 19.</v>
          </cell>
        </row>
        <row r="802">
          <cell r="A802">
            <v>654100</v>
          </cell>
          <cell r="B802" t="str">
            <v>PRETE / CREANCE IRREC 19.</v>
          </cell>
        </row>
        <row r="803">
          <cell r="A803">
            <v>658000</v>
          </cell>
          <cell r="B803" t="str">
            <v>CH.DIV.GEST.COURANTE VN  </v>
          </cell>
        </row>
        <row r="804">
          <cell r="A804">
            <v>658000</v>
          </cell>
          <cell r="B804" t="str">
            <v>CH.DIV.GEST.COURANTE VO  </v>
          </cell>
        </row>
        <row r="805">
          <cell r="A805">
            <v>658000</v>
          </cell>
          <cell r="B805" t="str">
            <v>CH.DIV.GEST.COURANTE PR  </v>
          </cell>
        </row>
        <row r="806">
          <cell r="A806">
            <v>658000</v>
          </cell>
          <cell r="B806" t="str">
            <v>CH.DIV.GEST.COURANTE APV </v>
          </cell>
        </row>
        <row r="807">
          <cell r="A807">
            <v>658000</v>
          </cell>
          <cell r="B807" t="str">
            <v>CH.DIV.GEST.COURANTE BOUT</v>
          </cell>
        </row>
        <row r="808">
          <cell r="A808">
            <v>658000</v>
          </cell>
          <cell r="B808" t="str">
            <v>CHARGES DIV.GEST.COURANTE</v>
          </cell>
        </row>
        <row r="809">
          <cell r="A809">
            <v>658000</v>
          </cell>
          <cell r="B809" t="str">
            <v>CH.DIV. S/GEST. COURANTE </v>
          </cell>
        </row>
        <row r="810">
          <cell r="A810">
            <v>658100</v>
          </cell>
          <cell r="B810" t="str">
            <v>FR.REM.ETAT/B.B.CENTRAUX </v>
          </cell>
        </row>
        <row r="811">
          <cell r="A811">
            <v>661100</v>
          </cell>
          <cell r="B811" t="str">
            <v>INTERETS DES EMPRUNTS    </v>
          </cell>
        </row>
        <row r="812">
          <cell r="A812">
            <v>661180</v>
          </cell>
          <cell r="B812" t="str">
            <v>INTERET PARTICIP.SALARIES</v>
          </cell>
        </row>
        <row r="813">
          <cell r="A813">
            <v>661599</v>
          </cell>
          <cell r="B813" t="str">
            <v>INT.CPTE COUR.DEP.GROUP. </v>
          </cell>
        </row>
        <row r="814">
          <cell r="A814">
            <v>661600</v>
          </cell>
          <cell r="B814" t="str">
            <v>INTERETS ET DECOUV.BANC. </v>
          </cell>
        </row>
        <row r="815">
          <cell r="A815">
            <v>661610</v>
          </cell>
          <cell r="B815" t="str">
            <v>AGIOS PR &amp; VEHICULES     </v>
          </cell>
        </row>
        <row r="816">
          <cell r="A816">
            <v>661620</v>
          </cell>
          <cell r="B816" t="str">
            <v>INTERETS SUR BILLETS SOFI</v>
          </cell>
        </row>
        <row r="817">
          <cell r="A817">
            <v>661699</v>
          </cell>
          <cell r="B817" t="str">
            <v>AGIOS DEBITEURS POOL TRES</v>
          </cell>
        </row>
        <row r="818">
          <cell r="A818">
            <v>664000</v>
          </cell>
          <cell r="B818" t="str">
            <v>PERTE FINANCIERE S/PARTIC</v>
          </cell>
        </row>
        <row r="819">
          <cell r="A819">
            <v>665000</v>
          </cell>
          <cell r="B819" t="str">
            <v>FRAIS D'ESCOMPTE         </v>
          </cell>
        </row>
        <row r="820">
          <cell r="A820">
            <v>671200</v>
          </cell>
          <cell r="B820" t="str">
            <v>PENALITES ET AMENDES FISC</v>
          </cell>
        </row>
        <row r="821">
          <cell r="A821">
            <v>675000</v>
          </cell>
          <cell r="B821" t="str">
            <v>VAL.COMPT.VEH.LOC.CEDES  </v>
          </cell>
        </row>
        <row r="822">
          <cell r="A822">
            <v>681110</v>
          </cell>
          <cell r="B822" t="str">
            <v>DOT.AMORTIS.IMMO.INCORP. </v>
          </cell>
        </row>
        <row r="823">
          <cell r="A823">
            <v>681120</v>
          </cell>
          <cell r="B823" t="str">
            <v>DOT.AMORTIS.IMMO.CORPOREL</v>
          </cell>
        </row>
        <row r="824">
          <cell r="A824">
            <v>681130</v>
          </cell>
          <cell r="B824" t="str">
            <v>Dot.Amort.V.Loc pr       </v>
          </cell>
        </row>
        <row r="825">
          <cell r="A825">
            <v>681130</v>
          </cell>
          <cell r="B825" t="str">
            <v>DOT.AMORTIS.V.LOC.       </v>
          </cell>
        </row>
        <row r="826">
          <cell r="A826">
            <v>681730</v>
          </cell>
          <cell r="B826" t="str">
            <v>DOT.PROV.DEP.STOCKS VN   </v>
          </cell>
        </row>
        <row r="827">
          <cell r="A827">
            <v>681730</v>
          </cell>
          <cell r="B827" t="str">
            <v>DOT.PROV.DEP.STOCKS VO   </v>
          </cell>
        </row>
        <row r="828">
          <cell r="A828">
            <v>681730</v>
          </cell>
          <cell r="B828" t="str">
            <v>DOT.PROV.DEP.STOCKS PR   </v>
          </cell>
        </row>
        <row r="829">
          <cell r="A829">
            <v>681750</v>
          </cell>
          <cell r="B829" t="str">
            <v>DEPRE CLIENT VN          </v>
          </cell>
        </row>
        <row r="830">
          <cell r="A830">
            <v>681750</v>
          </cell>
          <cell r="B830" t="str">
            <v>PROV DEPRE CLIENT PR     </v>
          </cell>
        </row>
        <row r="831">
          <cell r="A831">
            <v>681750</v>
          </cell>
          <cell r="B831" t="str">
            <v>PROV DEPRE CLIENT APV    </v>
          </cell>
        </row>
        <row r="832">
          <cell r="A832">
            <v>695000</v>
          </cell>
          <cell r="B832" t="str">
            <v>IMPOTS SUR LES BENEFICES </v>
          </cell>
        </row>
        <row r="833">
          <cell r="A833">
            <v>703000</v>
          </cell>
          <cell r="B833" t="str">
            <v>PRODUITS ELIM DECHETS    </v>
          </cell>
        </row>
        <row r="834">
          <cell r="A834">
            <v>703000</v>
          </cell>
          <cell r="B834" t="str">
            <v>PRODUITS ELIM DECHETS    </v>
          </cell>
        </row>
        <row r="835">
          <cell r="A835">
            <v>706000</v>
          </cell>
          <cell r="B835" t="str">
            <v>VTES MO MECAN.EXON.      </v>
          </cell>
        </row>
        <row r="836">
          <cell r="A836">
            <v>706000</v>
          </cell>
          <cell r="B836" t="str">
            <v>VTES DEPAN.EXO PDT HEURES</v>
          </cell>
        </row>
        <row r="837">
          <cell r="A837">
            <v>706000</v>
          </cell>
          <cell r="B837" t="str">
            <v>VTES DEPANNAGES EXO AP HE</v>
          </cell>
        </row>
        <row r="838">
          <cell r="A838">
            <v>706000</v>
          </cell>
          <cell r="B838" t="str">
            <v>REMBOURST FORFAITS PONDER</v>
          </cell>
        </row>
        <row r="839">
          <cell r="A839">
            <v>706000</v>
          </cell>
          <cell r="B839" t="str">
            <v>VENTES MO PAR PREPA VO   </v>
          </cell>
        </row>
        <row r="840">
          <cell r="A840">
            <v>706000</v>
          </cell>
          <cell r="B840" t="str">
            <v>VTES MAIN D'OEUVRE 20%   </v>
          </cell>
        </row>
        <row r="841">
          <cell r="A841">
            <v>706000</v>
          </cell>
          <cell r="B841" t="str">
            <v>VTES TVX EXT.APV 20%     </v>
          </cell>
        </row>
        <row r="842">
          <cell r="A842">
            <v>706000</v>
          </cell>
          <cell r="B842" t="str">
            <v>VTES INGR.PROD.PEINT,20  </v>
          </cell>
        </row>
        <row r="843">
          <cell r="A843">
            <v>706000</v>
          </cell>
          <cell r="B843" t="str">
            <v>VTES DEPAN.PDT HEURES    </v>
          </cell>
        </row>
        <row r="844">
          <cell r="A844">
            <v>706000</v>
          </cell>
          <cell r="B844" t="str">
            <v>VTES DEPAN.APRES HEURES  </v>
          </cell>
        </row>
        <row r="845">
          <cell r="A845">
            <v>706010</v>
          </cell>
          <cell r="B845" t="str">
            <v>VTES M.O FORFAITS        </v>
          </cell>
        </row>
        <row r="846">
          <cell r="A846">
            <v>706010</v>
          </cell>
          <cell r="B846" t="str">
            <v>VTES PR ^ FORFAITS APV   </v>
          </cell>
        </row>
        <row r="847">
          <cell r="A847">
            <v>706010</v>
          </cell>
          <cell r="B847" t="str">
            <v>VTES HUILES FORFAITS     </v>
          </cell>
        </row>
        <row r="848">
          <cell r="A848">
            <v>706099</v>
          </cell>
          <cell r="B848" t="str">
            <v>VTES MO MECA GROUP       </v>
          </cell>
        </row>
        <row r="849">
          <cell r="A849">
            <v>706099</v>
          </cell>
          <cell r="B849" t="str">
            <v>DEPANNAGE GROUPE HEURES  </v>
          </cell>
        </row>
        <row r="850">
          <cell r="A850">
            <v>706099</v>
          </cell>
          <cell r="B850" t="str">
            <v>DEPANNAGE GROUPE HORS HOR</v>
          </cell>
        </row>
        <row r="851">
          <cell r="A851">
            <v>706099</v>
          </cell>
          <cell r="B851" t="str">
            <v>VTES MO CARROSS GR       </v>
          </cell>
        </row>
        <row r="852">
          <cell r="A852">
            <v>706110</v>
          </cell>
          <cell r="B852" t="str">
            <v>CA MO MECA.INDUIT DEPAN. </v>
          </cell>
        </row>
        <row r="853">
          <cell r="A853">
            <v>706111</v>
          </cell>
          <cell r="B853" t="str">
            <v>LOYERS LSC - 3 mois 20   </v>
          </cell>
        </row>
        <row r="854">
          <cell r="A854">
            <v>706123</v>
          </cell>
          <cell r="B854" t="str">
            <v>CA DIVERS INDUIT DEPAN.  </v>
          </cell>
        </row>
        <row r="855">
          <cell r="A855">
            <v>706200</v>
          </cell>
          <cell r="B855" t="str">
            <v>VTES MO CARROSSERIE EXON.</v>
          </cell>
        </row>
        <row r="856">
          <cell r="A856">
            <v>706200</v>
          </cell>
          <cell r="B856" t="str">
            <v>FRAIS PARKIN RESTIT.VN   </v>
          </cell>
        </row>
        <row r="857">
          <cell r="A857">
            <v>706200</v>
          </cell>
          <cell r="B857" t="str">
            <v>VTES MO CARROSSERIE 20   </v>
          </cell>
        </row>
        <row r="858">
          <cell r="A858">
            <v>706300</v>
          </cell>
          <cell r="B858" t="str">
            <v>VTES MO PEINTURE 20%     </v>
          </cell>
        </row>
        <row r="859">
          <cell r="A859">
            <v>706400</v>
          </cell>
          <cell r="B859" t="str">
            <v>VTES LAVAG.BOUT,20%      </v>
          </cell>
        </row>
        <row r="860">
          <cell r="A860">
            <v>707000</v>
          </cell>
          <cell r="B860" t="str">
            <v>VTES VN 20% A PART.      </v>
          </cell>
        </row>
        <row r="861">
          <cell r="A861">
            <v>707000</v>
          </cell>
          <cell r="B861" t="str">
            <v>VTES VN 20% A AGENTS     </v>
          </cell>
        </row>
        <row r="862">
          <cell r="A862">
            <v>707000</v>
          </cell>
          <cell r="B862" t="str">
            <v>VTES VN STE-GF 20%       </v>
          </cell>
        </row>
        <row r="863">
          <cell r="A863">
            <v>707000</v>
          </cell>
          <cell r="B863" t="str">
            <v>VTES VD 20% PRIX NET     </v>
          </cell>
        </row>
        <row r="864">
          <cell r="A864">
            <v>707000</v>
          </cell>
          <cell r="B864" t="str">
            <v>VTES RETRO.VN 20%        </v>
          </cell>
        </row>
        <row r="865">
          <cell r="A865">
            <v>707001</v>
          </cell>
          <cell r="B865" t="str">
            <v>VENTE CARB VN TVA 20ù    </v>
          </cell>
        </row>
        <row r="866">
          <cell r="A866">
            <v>707001</v>
          </cell>
          <cell r="B866" t="str">
            <v>VENTE CARB VO TVA 20%    </v>
          </cell>
        </row>
        <row r="867">
          <cell r="A867">
            <v>707100</v>
          </cell>
          <cell r="B867" t="str">
            <v>VTES COMPLEMENT./VN 20   </v>
          </cell>
        </row>
        <row r="868">
          <cell r="A868">
            <v>707200</v>
          </cell>
          <cell r="B868" t="str">
            <v>VTES CONVOYAG.PREP.VN    </v>
          </cell>
        </row>
        <row r="869">
          <cell r="A869">
            <v>707400</v>
          </cell>
          <cell r="B869" t="str">
            <v>VENTES VO TOTAL.EXON.REM </v>
          </cell>
        </row>
        <row r="870">
          <cell r="A870">
            <v>707400</v>
          </cell>
          <cell r="B870" t="str">
            <v>VTES VO PARTIE EXO.      </v>
          </cell>
        </row>
        <row r="871">
          <cell r="A871">
            <v>707400</v>
          </cell>
          <cell r="B871" t="str">
            <v>VTES VO TOTAL. 20 %      </v>
          </cell>
        </row>
        <row r="872">
          <cell r="A872">
            <v>707400</v>
          </cell>
          <cell r="B872" t="str">
            <v>VTS VO MARGE TAXABLE 20  </v>
          </cell>
        </row>
        <row r="873">
          <cell r="A873">
            <v>707410</v>
          </cell>
          <cell r="B873" t="str">
            <v>VTES VO MARCHAND MARGE EX</v>
          </cell>
        </row>
        <row r="874">
          <cell r="A874">
            <v>707410</v>
          </cell>
          <cell r="B874" t="str">
            <v>VTES VO MARCHAND TAXABLE </v>
          </cell>
        </row>
        <row r="875">
          <cell r="A875">
            <v>707420</v>
          </cell>
          <cell r="B875" t="str">
            <v>VENTES FRAIS MISE A LA RO</v>
          </cell>
        </row>
        <row r="876">
          <cell r="A876">
            <v>707490</v>
          </cell>
          <cell r="B876" t="str">
            <v>VTES VO EPAVE            </v>
          </cell>
        </row>
        <row r="877">
          <cell r="A877">
            <v>707499</v>
          </cell>
          <cell r="B877" t="str">
            <v>VTES VO TVA COLL GROUPE  </v>
          </cell>
        </row>
        <row r="878">
          <cell r="A878">
            <v>707500</v>
          </cell>
          <cell r="B878" t="str">
            <v>GRAVAGES VN- PART ASSUR  </v>
          </cell>
        </row>
        <row r="879">
          <cell r="A879">
            <v>707500</v>
          </cell>
          <cell r="B879" t="str">
            <v>GRAVAGE VO EXO-PART ASSUR</v>
          </cell>
        </row>
        <row r="880">
          <cell r="A880">
            <v>707500</v>
          </cell>
          <cell r="B880" t="str">
            <v>VTES ACCESSOIRES 20 %    </v>
          </cell>
        </row>
        <row r="881">
          <cell r="A881">
            <v>707500</v>
          </cell>
          <cell r="B881" t="str">
            <v>TATOUAGES &amp; GRAVAGES VN  </v>
          </cell>
        </row>
        <row r="882">
          <cell r="A882">
            <v>707500</v>
          </cell>
          <cell r="B882" t="str">
            <v>VENTES ACCESSOIRES VO    </v>
          </cell>
        </row>
        <row r="883">
          <cell r="A883">
            <v>707500</v>
          </cell>
          <cell r="B883" t="str">
            <v>TATOUAGES ET GRAVAGES VO </v>
          </cell>
        </row>
        <row r="884">
          <cell r="A884">
            <v>707600</v>
          </cell>
          <cell r="B884" t="str">
            <v>VTES PIECES DIV.APV EXON.</v>
          </cell>
        </row>
        <row r="885">
          <cell r="A885">
            <v>707600</v>
          </cell>
          <cell r="B885" t="str">
            <v>VTES PR ^ APV EXON.      </v>
          </cell>
        </row>
        <row r="886">
          <cell r="A886">
            <v>707600</v>
          </cell>
          <cell r="B886" t="str">
            <v>VTES PNEUS CHRONO EXO    </v>
          </cell>
        </row>
        <row r="887">
          <cell r="A887">
            <v>707600</v>
          </cell>
          <cell r="B887" t="str">
            <v>VTES PIECES ^ PR 19,60%  </v>
          </cell>
        </row>
        <row r="888">
          <cell r="A888">
            <v>707600</v>
          </cell>
          <cell r="B888" t="str">
            <v>VTES BOUTIQ.STATION 5,5% </v>
          </cell>
        </row>
        <row r="889">
          <cell r="A889">
            <v>707600</v>
          </cell>
          <cell r="B889" t="str">
            <v>VTES PIECES DIV.PR 20%   </v>
          </cell>
        </row>
        <row r="890">
          <cell r="A890">
            <v>707600</v>
          </cell>
          <cell r="B890" t="str">
            <v>VTES PIECES ^ PR 20%     </v>
          </cell>
        </row>
        <row r="891">
          <cell r="A891">
            <v>707600</v>
          </cell>
          <cell r="B891" t="str">
            <v>VTES PNEUS PR 20 %       </v>
          </cell>
        </row>
        <row r="892">
          <cell r="A892">
            <v>707600</v>
          </cell>
          <cell r="B892" t="str">
            <v>VTES PIECES DIV.APV 20   </v>
          </cell>
        </row>
        <row r="893">
          <cell r="A893">
            <v>707600</v>
          </cell>
          <cell r="B893" t="str">
            <v>CA PR^ INDUIT DEPANNAGE  </v>
          </cell>
        </row>
        <row r="894">
          <cell r="A894">
            <v>707600</v>
          </cell>
          <cell r="B894" t="str">
            <v>VTES BOUTIQ.STATION 20%  </v>
          </cell>
        </row>
        <row r="895">
          <cell r="A895">
            <v>707600</v>
          </cell>
          <cell r="B895" t="str">
            <v>VTES PNEUS CHRONO 20 %   </v>
          </cell>
        </row>
        <row r="896">
          <cell r="A896">
            <v>707610</v>
          </cell>
          <cell r="B896" t="str">
            <v>CA PNEUS INDUIT DEPAN.   </v>
          </cell>
        </row>
        <row r="897">
          <cell r="A897">
            <v>707699</v>
          </cell>
          <cell r="B897" t="str">
            <v>VTES PORT/PIECES G       </v>
          </cell>
        </row>
        <row r="898">
          <cell r="A898">
            <v>707699</v>
          </cell>
          <cell r="B898" t="str">
            <v>VTES PIECES GROUPE       </v>
          </cell>
        </row>
        <row r="899">
          <cell r="A899">
            <v>707699</v>
          </cell>
          <cell r="B899" t="str">
            <v>VTES PNEUS GROUPE        </v>
          </cell>
        </row>
        <row r="900">
          <cell r="A900">
            <v>707699</v>
          </cell>
          <cell r="B900" t="str">
            <v>VTES LUB GROUPE CO       </v>
          </cell>
        </row>
        <row r="901">
          <cell r="A901">
            <v>707700</v>
          </cell>
          <cell r="B901" t="str">
            <v>VENTES LUBRIF.STATION EXO</v>
          </cell>
        </row>
        <row r="902">
          <cell r="A902">
            <v>707700</v>
          </cell>
          <cell r="B902" t="str">
            <v>VTES CARBURANT APV 20%   </v>
          </cell>
        </row>
        <row r="903">
          <cell r="A903">
            <v>707700</v>
          </cell>
          <cell r="B903" t="str">
            <v>VTES PR BOUTIQ,20%       </v>
          </cell>
        </row>
        <row r="904">
          <cell r="A904">
            <v>707700</v>
          </cell>
          <cell r="B904" t="str">
            <v>VTES LUB/PR STATION 20   </v>
          </cell>
        </row>
        <row r="905">
          <cell r="A905">
            <v>707799</v>
          </cell>
          <cell r="B905" t="str">
            <v>VTES PIECES ATEL G       </v>
          </cell>
        </row>
        <row r="906">
          <cell r="A906">
            <v>708200</v>
          </cell>
          <cell r="B906" t="str">
            <v>COMMISSION COURTAGE EXO. </v>
          </cell>
        </row>
        <row r="907">
          <cell r="A907">
            <v>708200</v>
          </cell>
          <cell r="B907" t="str">
            <v>CONTRAT + VN EXO         </v>
          </cell>
        </row>
        <row r="908">
          <cell r="A908">
            <v>708200</v>
          </cell>
          <cell r="B908" t="str">
            <v>COMMIS.COURT.REC.VO EXO. </v>
          </cell>
        </row>
        <row r="909">
          <cell r="A909">
            <v>708200</v>
          </cell>
          <cell r="B909" t="str">
            <v>COMMISSION/CREDIT VN 20  </v>
          </cell>
        </row>
        <row r="910">
          <cell r="A910">
            <v>708200</v>
          </cell>
          <cell r="B910" t="str">
            <v>COM.STE CREDIT VN20      </v>
          </cell>
        </row>
        <row r="911">
          <cell r="A911">
            <v>708200</v>
          </cell>
          <cell r="B911" t="str">
            <v>COMMIS./CONTRATS SERV.^  </v>
          </cell>
        </row>
        <row r="912">
          <cell r="A912">
            <v>708200</v>
          </cell>
          <cell r="B912" t="str">
            <v>COMMISSION/CREDIT VO 20  </v>
          </cell>
        </row>
        <row r="913">
          <cell r="A913">
            <v>708200</v>
          </cell>
          <cell r="B913" t="str">
            <v>COMMISSIONS VO FELIX FAUR</v>
          </cell>
        </row>
        <row r="914">
          <cell r="A914">
            <v>708200</v>
          </cell>
          <cell r="B914" t="str">
            <v>COMMIS.RECUES/CA TOTAL   </v>
          </cell>
        </row>
        <row r="915">
          <cell r="A915">
            <v>708300</v>
          </cell>
          <cell r="B915" t="str">
            <v>FRAIS DE GARDIENNAGE EXO </v>
          </cell>
        </row>
        <row r="916">
          <cell r="A916">
            <v>708300</v>
          </cell>
          <cell r="B916" t="str">
            <v>FRAIS DE GARDIENNAGE     </v>
          </cell>
        </row>
        <row r="917">
          <cell r="A917">
            <v>708499</v>
          </cell>
          <cell r="B917" t="str">
            <v>VTES PRESTAT COMPT       </v>
          </cell>
        </row>
        <row r="918">
          <cell r="A918">
            <v>708500</v>
          </cell>
          <cell r="B918" t="str">
            <v>PRODUITS DIVERS VN 20%   </v>
          </cell>
        </row>
        <row r="919">
          <cell r="A919">
            <v>708500</v>
          </cell>
          <cell r="B919" t="str">
            <v>REFAC.FRAIS S/B.BACK CENT</v>
          </cell>
        </row>
        <row r="920">
          <cell r="A920">
            <v>708500</v>
          </cell>
          <cell r="B920" t="str">
            <v>PRODUITS DIVERS VO 20%   </v>
          </cell>
        </row>
        <row r="921">
          <cell r="A921">
            <v>708500</v>
          </cell>
          <cell r="B921" t="str">
            <v>VTES PORT PR 20 %        </v>
          </cell>
        </row>
        <row r="922">
          <cell r="A922">
            <v>708800</v>
          </cell>
          <cell r="B922" t="str">
            <v>RETROCESSION PUB VN      </v>
          </cell>
        </row>
        <row r="923">
          <cell r="A923">
            <v>708800</v>
          </cell>
          <cell r="B923" t="str">
            <v>PUB VN SUR CESSIONS      </v>
          </cell>
        </row>
        <row r="924">
          <cell r="A924">
            <v>708800</v>
          </cell>
          <cell r="B924" t="str">
            <v>REFACTURATION DIV.PR 20% </v>
          </cell>
        </row>
        <row r="925">
          <cell r="A925">
            <v>708800</v>
          </cell>
          <cell r="B925" t="str">
            <v>REFACTURATION PUB PR     </v>
          </cell>
        </row>
        <row r="926">
          <cell r="A926">
            <v>708800</v>
          </cell>
          <cell r="B926" t="str">
            <v>PRIME S/VENTES LUB. PR   </v>
          </cell>
        </row>
        <row r="927">
          <cell r="A927">
            <v>708800</v>
          </cell>
          <cell r="B927" t="str">
            <v>REMB.GIE THIVOL,20%      </v>
          </cell>
        </row>
        <row r="928">
          <cell r="A928">
            <v>708800</v>
          </cell>
          <cell r="B928" t="str">
            <v>AUTRES PROD.ANNEXES 20%  </v>
          </cell>
        </row>
        <row r="929">
          <cell r="A929">
            <v>708810</v>
          </cell>
          <cell r="B929" t="str">
            <v>REFACTURATION PUB. VN    </v>
          </cell>
        </row>
        <row r="930">
          <cell r="A930">
            <v>709600</v>
          </cell>
          <cell r="B930" t="str">
            <v>REM/VTES MO FORFAITS     </v>
          </cell>
        </row>
        <row r="931">
          <cell r="A931">
            <v>709600</v>
          </cell>
          <cell r="B931" t="str">
            <v>REMISE/VTES HUILE FORFAIT</v>
          </cell>
        </row>
        <row r="932">
          <cell r="A932">
            <v>709600</v>
          </cell>
          <cell r="B932" t="str">
            <v>REM/P.EXT.FORFAIT CHRONO </v>
          </cell>
        </row>
        <row r="933">
          <cell r="A933">
            <v>709610</v>
          </cell>
          <cell r="B933" t="str">
            <v>REMISE/VTES PR ^ FORFAIT </v>
          </cell>
        </row>
        <row r="934">
          <cell r="A934">
            <v>709610</v>
          </cell>
          <cell r="B934" t="str">
            <v>RABAIS R.R.ACC./^EXP,20  </v>
          </cell>
        </row>
        <row r="935">
          <cell r="A935">
            <v>709690</v>
          </cell>
          <cell r="B935" t="str">
            <v>RRR ATELIER EXO.         </v>
          </cell>
        </row>
        <row r="936">
          <cell r="A936">
            <v>709690</v>
          </cell>
          <cell r="B936" t="str">
            <v>RRR ATELIER              </v>
          </cell>
        </row>
        <row r="937">
          <cell r="A937">
            <v>709699</v>
          </cell>
          <cell r="B937" t="str">
            <v>RABAIS/VTES PIECES       </v>
          </cell>
        </row>
        <row r="938">
          <cell r="A938">
            <v>709699</v>
          </cell>
          <cell r="B938" t="str">
            <v>RAB/VTES MO MECA G       </v>
          </cell>
        </row>
        <row r="939">
          <cell r="A939">
            <v>709699</v>
          </cell>
          <cell r="B939" t="str">
            <v>REM / DEPANN GROUPE      </v>
          </cell>
        </row>
        <row r="940">
          <cell r="A940">
            <v>709699</v>
          </cell>
          <cell r="B940" t="str">
            <v>RAB/VTES MO CARRO        </v>
          </cell>
        </row>
        <row r="941">
          <cell r="A941">
            <v>709700</v>
          </cell>
          <cell r="B941" t="str">
            <v>RRR/PIECE DIV. APV EXO   </v>
          </cell>
        </row>
        <row r="942">
          <cell r="A942">
            <v>709700</v>
          </cell>
          <cell r="B942" t="str">
            <v>RRR ACCORD/VN 20%        </v>
          </cell>
        </row>
        <row r="943">
          <cell r="A943">
            <v>709700</v>
          </cell>
          <cell r="B943" t="str">
            <v>RRR ACCORD/VN AGTS 20%   </v>
          </cell>
        </row>
        <row r="944">
          <cell r="A944">
            <v>709700</v>
          </cell>
          <cell r="B944" t="str">
            <v>REMISE RLC VN 20 %       </v>
          </cell>
        </row>
        <row r="945">
          <cell r="A945">
            <v>709700</v>
          </cell>
          <cell r="B945" t="str">
            <v>RRR ACCORD/VN GF 20%     </v>
          </cell>
        </row>
        <row r="946">
          <cell r="A946">
            <v>709700</v>
          </cell>
          <cell r="B946" t="str">
            <v>RRR ACCORD/VD 20 %       </v>
          </cell>
        </row>
        <row r="947">
          <cell r="A947">
            <v>709700</v>
          </cell>
          <cell r="B947" t="str">
            <v>RRR ACCORD/PR CITROEN    </v>
          </cell>
        </row>
        <row r="948">
          <cell r="A948">
            <v>709700</v>
          </cell>
          <cell r="B948" t="str">
            <v>RRR ACCORD/PR CONCUR 20  </v>
          </cell>
        </row>
        <row r="949">
          <cell r="A949">
            <v>709700</v>
          </cell>
          <cell r="B949" t="str">
            <v>RIST FIN ANNEE PR/AGT20  </v>
          </cell>
        </row>
        <row r="950">
          <cell r="A950">
            <v>709700</v>
          </cell>
          <cell r="B950" t="str">
            <v>RRR ACCORD./APV 20 %     </v>
          </cell>
        </row>
        <row r="951">
          <cell r="A951">
            <v>709700</v>
          </cell>
          <cell r="B951" t="str">
            <v>REMISE S/CA INDUIT DEPAN.</v>
          </cell>
        </row>
        <row r="952">
          <cell r="A952">
            <v>709700</v>
          </cell>
          <cell r="B952" t="str">
            <v>RABAIS/HUILES STATIO,20  </v>
          </cell>
        </row>
        <row r="953">
          <cell r="A953">
            <v>709799</v>
          </cell>
          <cell r="B953" t="str">
            <v>RAB/VTES PIECES AT       </v>
          </cell>
        </row>
        <row r="954">
          <cell r="A954">
            <v>709799</v>
          </cell>
          <cell r="B954" t="str">
            <v>RABAIS PNEUS ATEL GROUPE </v>
          </cell>
        </row>
        <row r="955">
          <cell r="A955">
            <v>709799</v>
          </cell>
          <cell r="B955" t="str">
            <v>RAB/VTES LUB ATEL        </v>
          </cell>
        </row>
        <row r="956">
          <cell r="A956">
            <v>709800</v>
          </cell>
          <cell r="B956" t="str">
            <v>CHQ PTS FIDELITE C.R. PR </v>
          </cell>
        </row>
        <row r="957">
          <cell r="A957">
            <v>709800</v>
          </cell>
          <cell r="B957" t="str">
            <v>RRR/CHQ PTS FIDELITE C.R.</v>
          </cell>
        </row>
        <row r="958">
          <cell r="A958">
            <v>713461</v>
          </cell>
          <cell r="B958" t="str">
            <v>VARIATION MAIN OEUVRE APV</v>
          </cell>
        </row>
        <row r="959">
          <cell r="A959">
            <v>713462</v>
          </cell>
          <cell r="B959" t="str">
            <v>VARIATION EN COURS PR APV</v>
          </cell>
        </row>
        <row r="960">
          <cell r="A960">
            <v>713465</v>
          </cell>
          <cell r="B960" t="str">
            <v>VARIATION EN COURS LUB AP</v>
          </cell>
        </row>
        <row r="961">
          <cell r="A961">
            <v>722000</v>
          </cell>
          <cell r="B961" t="str">
            <v>PRODUCTION A SOI-MEME    </v>
          </cell>
        </row>
        <row r="962">
          <cell r="A962">
            <v>722100</v>
          </cell>
          <cell r="B962" t="str">
            <v>LIVRAISON A SOI-MEME VO  </v>
          </cell>
        </row>
        <row r="963">
          <cell r="A963">
            <v>740000</v>
          </cell>
          <cell r="B963" t="str">
            <v>SUBVENTIONS RECUES       </v>
          </cell>
        </row>
        <row r="964">
          <cell r="A964">
            <v>740000</v>
          </cell>
          <cell r="B964" t="str">
            <v>SUBVENTIONS TVA 20%      </v>
          </cell>
        </row>
        <row r="965">
          <cell r="A965">
            <v>751800</v>
          </cell>
          <cell r="B965" t="str">
            <v>VTES CG+VIGNET.+WW       </v>
          </cell>
        </row>
        <row r="966">
          <cell r="A966">
            <v>758000</v>
          </cell>
          <cell r="B966" t="str">
            <v>PDTS DIV.GEST.COURANTE VN</v>
          </cell>
        </row>
        <row r="967">
          <cell r="A967">
            <v>758000</v>
          </cell>
          <cell r="B967" t="str">
            <v>PDTS DIV.GEST.COURANTE VO</v>
          </cell>
        </row>
        <row r="968">
          <cell r="A968">
            <v>758000</v>
          </cell>
          <cell r="B968" t="str">
            <v>PDTS DIV.GEST.COURANTE PR</v>
          </cell>
        </row>
        <row r="969">
          <cell r="A969">
            <v>758000</v>
          </cell>
          <cell r="B969" t="str">
            <v>PDTS DIV.GEST.COURANT.APV</v>
          </cell>
        </row>
        <row r="970">
          <cell r="A970">
            <v>758000</v>
          </cell>
          <cell r="B970" t="str">
            <v>PDTS DIV.GEST.COURANT.STA</v>
          </cell>
        </row>
        <row r="971">
          <cell r="A971">
            <v>758000</v>
          </cell>
          <cell r="B971" t="str">
            <v>PDTS DIV.GEST.COURANTE   </v>
          </cell>
        </row>
        <row r="972">
          <cell r="A972">
            <v>758000</v>
          </cell>
          <cell r="B972" t="str">
            <v>PRODUIT DE GESTION STATIO</v>
          </cell>
        </row>
        <row r="973">
          <cell r="A973">
            <v>768000</v>
          </cell>
          <cell r="B973" t="str">
            <v>AUT.PDTS FINANC.INT.RET. </v>
          </cell>
        </row>
        <row r="974">
          <cell r="A974">
            <v>768100</v>
          </cell>
          <cell r="B974" t="str">
            <v>INT GEFCO ET SOFIRA VN   </v>
          </cell>
        </row>
        <row r="975">
          <cell r="A975">
            <v>768200</v>
          </cell>
          <cell r="B975" t="str">
            <v>PROD.FIN/LCR IMPAYEE     </v>
          </cell>
        </row>
        <row r="976">
          <cell r="A976">
            <v>768699</v>
          </cell>
          <cell r="B976" t="str">
            <v>AGIOS CREDITEURS POOL TRE</v>
          </cell>
        </row>
        <row r="977">
          <cell r="A977">
            <v>775000</v>
          </cell>
          <cell r="B977" t="str">
            <v>PDT EL. ACTIF CEDE PR    </v>
          </cell>
        </row>
        <row r="978">
          <cell r="A978">
            <v>775000</v>
          </cell>
          <cell r="B978" t="str">
            <v>PDTS EL.ACTIF.CEDES V.LOC</v>
          </cell>
        </row>
        <row r="979">
          <cell r="A979">
            <v>781510</v>
          </cell>
          <cell r="B979" t="str">
            <v>REP PROV RISQUE ET CHARGE</v>
          </cell>
        </row>
        <row r="980">
          <cell r="A980">
            <v>781730</v>
          </cell>
          <cell r="B980" t="str">
            <v>REPRIS.DEPREC.STOCK VN   </v>
          </cell>
        </row>
        <row r="981">
          <cell r="A981">
            <v>781730</v>
          </cell>
          <cell r="B981" t="str">
            <v>REPRIS.DEPREC.STOCK VO   </v>
          </cell>
        </row>
        <row r="982">
          <cell r="A982">
            <v>781730</v>
          </cell>
          <cell r="B982" t="str">
            <v>REPRIS.DEPREC.STOCK PR   </v>
          </cell>
        </row>
        <row r="983">
          <cell r="A983">
            <v>781750</v>
          </cell>
          <cell r="B983" t="str">
            <v>REPRISE DEPRE CLT APV    </v>
          </cell>
        </row>
        <row r="984">
          <cell r="A984">
            <v>791000</v>
          </cell>
          <cell r="B984" t="str">
            <v>AVANT NATURE EQ VENTE VN </v>
          </cell>
        </row>
        <row r="985">
          <cell r="A985">
            <v>791000</v>
          </cell>
          <cell r="B985" t="str">
            <v>AVANT NATURE EQ VENTE VO </v>
          </cell>
        </row>
        <row r="986">
          <cell r="A986">
            <v>791000</v>
          </cell>
          <cell r="B986" t="str">
            <v>AVANT NATURE MPR         </v>
          </cell>
        </row>
        <row r="987">
          <cell r="A987">
            <v>791000</v>
          </cell>
          <cell r="B987" t="str">
            <v>AV NATURE IMPRO MECA     </v>
          </cell>
        </row>
        <row r="988">
          <cell r="A988">
            <v>791000</v>
          </cell>
          <cell r="B988" t="str">
            <v>AV NATURE DIRECTION      </v>
          </cell>
        </row>
        <row r="989">
          <cell r="A989">
            <v>791000</v>
          </cell>
          <cell r="B989" t="str">
            <v>AV NATURE  PERS ADM      </v>
          </cell>
        </row>
        <row r="990">
          <cell r="A990">
            <v>791004</v>
          </cell>
          <cell r="B990" t="str">
            <v>TRANSF.CH. EAU DEPAN,5,5%</v>
          </cell>
        </row>
        <row r="991">
          <cell r="A991">
            <v>791004</v>
          </cell>
          <cell r="B991" t="str">
            <v>TRANSF.CH.EAU DEPAN,10%  </v>
          </cell>
        </row>
        <row r="992">
          <cell r="A992">
            <v>791005</v>
          </cell>
          <cell r="B992" t="str">
            <v>TRANSF.CH/CHAUFFAG.      </v>
          </cell>
        </row>
        <row r="993">
          <cell r="A993">
            <v>791006</v>
          </cell>
          <cell r="B993" t="str">
            <v>DEPASSEMENT QUOTA CARB VN</v>
          </cell>
        </row>
        <row r="994">
          <cell r="A994">
            <v>791061</v>
          </cell>
          <cell r="B994" t="str">
            <v>TRANSF.CH/LOYERS         </v>
          </cell>
        </row>
        <row r="995">
          <cell r="A995">
            <v>791061</v>
          </cell>
          <cell r="B995" t="str">
            <v>TRANSF.CHARGES LOYERS    </v>
          </cell>
        </row>
        <row r="996">
          <cell r="A996">
            <v>791062</v>
          </cell>
          <cell r="B996" t="str">
            <v>TRANSF.CHARGES PORT PR   </v>
          </cell>
        </row>
        <row r="997">
          <cell r="A997">
            <v>791099</v>
          </cell>
          <cell r="B997" t="str">
            <v>TRANSF.CH/POSTE-TEL.GROUP</v>
          </cell>
        </row>
        <row r="998">
          <cell r="A998">
            <v>791099</v>
          </cell>
          <cell r="B998" t="str">
            <v>FOURN.ADMINIST.VN GROUPE </v>
          </cell>
        </row>
        <row r="999">
          <cell r="A999">
            <v>791099</v>
          </cell>
          <cell r="B999" t="str">
            <v>TRANSF CH COMM VO        </v>
          </cell>
        </row>
        <row r="1000">
          <cell r="A1000">
            <v>791099</v>
          </cell>
          <cell r="B1000" t="str">
            <v>TRANSF.CH/POSTE TEL.GROUP</v>
          </cell>
        </row>
        <row r="1001">
          <cell r="A1001">
            <v>791099</v>
          </cell>
          <cell r="B1001" t="str">
            <v>TRANSF.CH.FOURN.ADM.GROUP</v>
          </cell>
        </row>
        <row r="1002">
          <cell r="A1002">
            <v>791100</v>
          </cell>
          <cell r="B1002" t="str">
            <v>INDEMNIT REC SEC CIAL VN </v>
          </cell>
        </row>
        <row r="1003">
          <cell r="A1003">
            <v>791100</v>
          </cell>
          <cell r="B1003" t="str">
            <v>INDEMNIT REC EQ VENTE VO </v>
          </cell>
        </row>
        <row r="1004">
          <cell r="A1004">
            <v>791100</v>
          </cell>
          <cell r="B1004" t="str">
            <v>INDEMNIT REC SEC VO      </v>
          </cell>
        </row>
        <row r="1005">
          <cell r="A1005">
            <v>791100</v>
          </cell>
          <cell r="B1005" t="str">
            <v>INDEMNITES PERS MPR      </v>
          </cell>
        </row>
        <row r="1006">
          <cell r="A1006">
            <v>791100</v>
          </cell>
          <cell r="B1006" t="str">
            <v>INDEMNIT REC SEC APV     </v>
          </cell>
        </row>
        <row r="1007">
          <cell r="A1007">
            <v>791100</v>
          </cell>
          <cell r="B1007" t="str">
            <v>IND REC APPRENTIS MECA   </v>
          </cell>
        </row>
        <row r="1008">
          <cell r="A1008">
            <v>791100</v>
          </cell>
          <cell r="B1008" t="str">
            <v>TRANSFERT CHARGES DIV    </v>
          </cell>
        </row>
        <row r="1009">
          <cell r="A1009">
            <v>791100</v>
          </cell>
          <cell r="B1009" t="str">
            <v>TRANSF CHARGES FORM ANFA </v>
          </cell>
        </row>
        <row r="1010">
          <cell r="A1010">
            <v>791110</v>
          </cell>
          <cell r="B1010" t="str">
            <v>TRANSF/FOURN.ADMINIS STRU</v>
          </cell>
        </row>
        <row r="1011">
          <cell r="A1011">
            <v>791199</v>
          </cell>
          <cell r="B1011" t="str">
            <v>TRANSF.CH.PUB.STRUCT.GROU</v>
          </cell>
        </row>
        <row r="1012">
          <cell r="A1012">
            <v>791199</v>
          </cell>
          <cell r="B1012" t="str">
            <v>TRANSF.CH./ENT.LOCAUX GRO</v>
          </cell>
        </row>
        <row r="1013">
          <cell r="A1013">
            <v>791200</v>
          </cell>
          <cell r="B1013" t="str">
            <v>PART CLIENTS / FRAIS REMI</v>
          </cell>
        </row>
        <row r="1014">
          <cell r="A1014">
            <v>791210</v>
          </cell>
          <cell r="B1014" t="str">
            <v>AIDE A L'EMBAUCHE PREP VN</v>
          </cell>
        </row>
        <row r="1015">
          <cell r="A1015">
            <v>791210</v>
          </cell>
          <cell r="B1015" t="str">
            <v>AIDE A L'EMBAUCHE SEC. PR</v>
          </cell>
        </row>
        <row r="1016">
          <cell r="A1016">
            <v>791210</v>
          </cell>
          <cell r="B1016" t="str">
            <v>AIDE A L'EMBAUCHE MECA   </v>
          </cell>
        </row>
        <row r="1017">
          <cell r="A1017">
            <v>791230</v>
          </cell>
          <cell r="B1017" t="str">
            <v>TRANSF.CHARG.PUB.VN      </v>
          </cell>
        </row>
        <row r="1018">
          <cell r="A1018">
            <v>791299</v>
          </cell>
          <cell r="B1018" t="str">
            <v>TRANSF CHARGES DIV HT    </v>
          </cell>
        </row>
        <row r="1019">
          <cell r="A1019">
            <v>791299</v>
          </cell>
          <cell r="B1019" t="str">
            <v>TRANSF.CHARGES FRAIS DEPL</v>
          </cell>
        </row>
        <row r="1020">
          <cell r="A1020">
            <v>791299</v>
          </cell>
          <cell r="B1020" t="str">
            <v>TRANSF PUB VN GROUPE     </v>
          </cell>
        </row>
        <row r="1021">
          <cell r="A1021">
            <v>791299</v>
          </cell>
          <cell r="B1021" t="str">
            <v>TRANSF.CHARGES FRAIS DEPL</v>
          </cell>
        </row>
        <row r="1022">
          <cell r="A1022">
            <v>791300</v>
          </cell>
          <cell r="B1022" t="str">
            <v>TRANSF.CHARGES.FORM.VN   </v>
          </cell>
        </row>
        <row r="1023">
          <cell r="A1023">
            <v>791300</v>
          </cell>
          <cell r="B1023" t="str">
            <v>TRANSF.CHARG.FORM.VO     </v>
          </cell>
        </row>
        <row r="1024">
          <cell r="A1024">
            <v>791300</v>
          </cell>
          <cell r="B1024" t="str">
            <v>TRANSF.CHARGES FORM.APV  </v>
          </cell>
        </row>
        <row r="1025">
          <cell r="A1025">
            <v>791300</v>
          </cell>
          <cell r="B1025" t="str">
            <v>TRANSF CHARGE DECHETS-CAT</v>
          </cell>
        </row>
        <row r="1026">
          <cell r="A1026">
            <v>791300</v>
          </cell>
          <cell r="B1026" t="str">
            <v>TRANSF CH. FORM PERS ADM </v>
          </cell>
        </row>
        <row r="1027">
          <cell r="A1027">
            <v>791500</v>
          </cell>
          <cell r="B1027" t="str">
            <v>REMBT ASSURANCE VD-VN    </v>
          </cell>
        </row>
        <row r="1028">
          <cell r="A1028">
            <v>791500</v>
          </cell>
          <cell r="B1028" t="str">
            <v>REMB. SINISTRE VO        </v>
          </cell>
        </row>
        <row r="1029">
          <cell r="A1029">
            <v>791500</v>
          </cell>
          <cell r="B1029" t="str">
            <v>TRANSF CHARGE ASSUR APV  </v>
          </cell>
        </row>
        <row r="1030">
          <cell r="A1030">
            <v>791500</v>
          </cell>
          <cell r="B1030" t="str">
            <v>TRANSF CHARGES ASSURANCE </v>
          </cell>
        </row>
        <row r="1031">
          <cell r="A1031">
            <v>869000</v>
          </cell>
          <cell r="B1031" t="str">
            <v>ACHAT ACCESSOIRES VN     </v>
          </cell>
        </row>
        <row r="1032">
          <cell r="A1032">
            <v>869000</v>
          </cell>
          <cell r="B1032" t="str">
            <v>CES.RECUES FREVO         </v>
          </cell>
        </row>
        <row r="1033">
          <cell r="A1033">
            <v>869000</v>
          </cell>
          <cell r="B1033" t="str">
            <v>CES.R.PROD.PEINT.FOURN AT</v>
          </cell>
        </row>
        <row r="1034">
          <cell r="A1034">
            <v>869000</v>
          </cell>
          <cell r="B1034" t="str">
            <v>CES.REC.ENT.REP.BAT.STRUC</v>
          </cell>
        </row>
        <row r="1035">
          <cell r="A1035">
            <v>869001</v>
          </cell>
          <cell r="B1035" t="str">
            <v>CES.RECUES GARANTIE VO   </v>
          </cell>
        </row>
        <row r="1036">
          <cell r="A1036">
            <v>869001</v>
          </cell>
          <cell r="B1036" t="str">
            <v>CES.REC.ENT.REPAR.VS STR.</v>
          </cell>
        </row>
        <row r="1037">
          <cell r="A1037">
            <v>869002</v>
          </cell>
          <cell r="B1037" t="str">
            <v>CES.RECUES PREP.CONV.VN  </v>
          </cell>
        </row>
        <row r="1038">
          <cell r="A1038">
            <v>869002</v>
          </cell>
          <cell r="B1038" t="str">
            <v>CES.REC.PETIT.FOURN.STATI</v>
          </cell>
        </row>
        <row r="1039">
          <cell r="A1039">
            <v>869003</v>
          </cell>
          <cell r="B1039" t="str">
            <v>CES.REC.ENT.REPAR.VS PR  </v>
          </cell>
        </row>
        <row r="1040">
          <cell r="A1040">
            <v>869003</v>
          </cell>
          <cell r="B1040" t="str">
            <v>CES RECUE GTIES C+       </v>
          </cell>
        </row>
        <row r="1041">
          <cell r="A1041">
            <v>869003</v>
          </cell>
          <cell r="B1041" t="str">
            <v>CES.REC.GARANTIES VN     </v>
          </cell>
        </row>
        <row r="1042">
          <cell r="A1042">
            <v>869003</v>
          </cell>
          <cell r="B1042" t="str">
            <v>CES.PETITES FOURNITURES  </v>
          </cell>
        </row>
        <row r="1043">
          <cell r="A1043">
            <v>869004</v>
          </cell>
          <cell r="B1043" t="str">
            <v>CES.REC.PREPARATION VO   </v>
          </cell>
        </row>
        <row r="1044">
          <cell r="A1044">
            <v>869006</v>
          </cell>
          <cell r="B1044" t="str">
            <v>CES.REC.ENT.REPAR. VS VN </v>
          </cell>
        </row>
        <row r="1045">
          <cell r="A1045">
            <v>869006</v>
          </cell>
          <cell r="B1045" t="str">
            <v>CES.REC.PETIT OUT.APV    </v>
          </cell>
        </row>
        <row r="1046">
          <cell r="A1046">
            <v>869008</v>
          </cell>
          <cell r="B1046" t="str">
            <v>CES.REC.LAVAGE VN        </v>
          </cell>
        </row>
        <row r="1047">
          <cell r="A1047">
            <v>869008</v>
          </cell>
          <cell r="B1047" t="str">
            <v>CES.REC.LAVAGE VO        </v>
          </cell>
        </row>
        <row r="1048">
          <cell r="A1048">
            <v>869008</v>
          </cell>
          <cell r="B1048" t="str">
            <v>CES.REC.FRAIS DEPAN.APV  </v>
          </cell>
        </row>
        <row r="1049">
          <cell r="A1049">
            <v>869009</v>
          </cell>
          <cell r="B1049" t="str">
            <v>CES.PETITES FOURNITURES  </v>
          </cell>
        </row>
        <row r="1050">
          <cell r="A1050">
            <v>869009</v>
          </cell>
          <cell r="B1050" t="str">
            <v>CES. PETITES FOURNITURES </v>
          </cell>
        </row>
        <row r="1051">
          <cell r="A1051">
            <v>869011</v>
          </cell>
          <cell r="B1051" t="str">
            <v>CESSION VN A VO          </v>
          </cell>
        </row>
        <row r="1052">
          <cell r="A1052">
            <v>869011</v>
          </cell>
          <cell r="B1052" t="str">
            <v>CES.REC.PETIT.FOURN.APV  </v>
          </cell>
        </row>
        <row r="1053">
          <cell r="A1053">
            <v>869012</v>
          </cell>
          <cell r="B1053" t="str">
            <v>CES.CONTRAT MAINTENANCE  </v>
          </cell>
        </row>
        <row r="1054">
          <cell r="A1054">
            <v>869012</v>
          </cell>
          <cell r="B1054" t="str">
            <v>CES. CONTRANT MAINT. BTOB</v>
          </cell>
        </row>
        <row r="1055">
          <cell r="A1055">
            <v>869013</v>
          </cell>
          <cell r="B1055" t="str">
            <v>CES.REC.LAVAGE ATELIER   </v>
          </cell>
        </row>
        <row r="1056">
          <cell r="A1056">
            <v>869014</v>
          </cell>
          <cell r="B1056" t="str">
            <v>CESSION MALFACON APV     </v>
          </cell>
        </row>
        <row r="1057">
          <cell r="A1057">
            <v>869016</v>
          </cell>
          <cell r="B1057" t="str">
            <v>FOURN ADMINISTRATIVES VN </v>
          </cell>
        </row>
        <row r="1058">
          <cell r="A1058">
            <v>869016</v>
          </cell>
          <cell r="B1058" t="str">
            <v>FOURN ADMINISTRATIVES VO </v>
          </cell>
        </row>
        <row r="1059">
          <cell r="A1059">
            <v>869016</v>
          </cell>
          <cell r="B1059" t="str">
            <v>FOURN ADMINISTRATIVES APV</v>
          </cell>
        </row>
        <row r="1060">
          <cell r="A1060">
            <v>869018</v>
          </cell>
          <cell r="B1060" t="str">
            <v>ENTRETIEN REPAR VEH COURT</v>
          </cell>
        </row>
        <row r="1061">
          <cell r="A1061">
            <v>869020</v>
          </cell>
          <cell r="B1061" t="str">
            <v>PRE CONTROLE GRATUIT     </v>
          </cell>
        </row>
        <row r="1062">
          <cell r="A1062">
            <v>869041</v>
          </cell>
          <cell r="B1062" t="str">
            <v>CONC COMMERCIALES VN     </v>
          </cell>
        </row>
        <row r="1063">
          <cell r="A1063">
            <v>869041</v>
          </cell>
          <cell r="B1063" t="str">
            <v>CONC COMMERCIALES VO     </v>
          </cell>
        </row>
        <row r="1064">
          <cell r="A1064">
            <v>869041</v>
          </cell>
          <cell r="B1064" t="str">
            <v>CONC COMMERCIALES PR     </v>
          </cell>
        </row>
        <row r="1065">
          <cell r="A1065">
            <v>869041</v>
          </cell>
          <cell r="B1065" t="str">
            <v>CONC COMMERCIALES APV    </v>
          </cell>
        </row>
        <row r="1066">
          <cell r="A1066">
            <v>869100</v>
          </cell>
          <cell r="B1066" t="str">
            <v>CESSION M.O FORFAITS     </v>
          </cell>
        </row>
        <row r="1067">
          <cell r="A1067">
            <v>869100</v>
          </cell>
          <cell r="B1067" t="str">
            <v>CESSION PR ^ FORFAIT APV </v>
          </cell>
        </row>
        <row r="1068">
          <cell r="A1068">
            <v>869100</v>
          </cell>
          <cell r="B1068" t="str">
            <v>CESSION HUILES FORFAITS  </v>
          </cell>
        </row>
        <row r="1069">
          <cell r="A1069">
            <v>879000</v>
          </cell>
          <cell r="B1069" t="str">
            <v>CES.DON.PIECES PR ^      </v>
          </cell>
        </row>
        <row r="1070">
          <cell r="A1070">
            <v>879000</v>
          </cell>
          <cell r="B1070" t="str">
            <v>CES.DON.PIECES PR DIVERS </v>
          </cell>
        </row>
        <row r="1071">
          <cell r="A1071">
            <v>879000</v>
          </cell>
          <cell r="B1071" t="str">
            <v>CES.DON.PNEUS PR         </v>
          </cell>
        </row>
        <row r="1072">
          <cell r="A1072">
            <v>879000</v>
          </cell>
          <cell r="B1072" t="str">
            <v>CES.DON. MO APV          </v>
          </cell>
        </row>
        <row r="1073">
          <cell r="A1073">
            <v>879000</v>
          </cell>
          <cell r="B1073" t="str">
            <v>CES.DON.TVX EXT.APV      </v>
          </cell>
        </row>
        <row r="1074">
          <cell r="A1074">
            <v>879000</v>
          </cell>
          <cell r="B1074" t="str">
            <v>CES.DON.VTES DEP.PT H.   </v>
          </cell>
        </row>
        <row r="1075">
          <cell r="A1075">
            <v>879000</v>
          </cell>
          <cell r="B1075" t="str">
            <v>CES.DON.GIE PROD PEINT.AT</v>
          </cell>
        </row>
        <row r="1076">
          <cell r="A1076">
            <v>879000</v>
          </cell>
          <cell r="B1076" t="str">
            <v>CES.DON. MO GARANTIE     </v>
          </cell>
        </row>
        <row r="1077">
          <cell r="A1077">
            <v>879000</v>
          </cell>
          <cell r="B1077" t="str">
            <v>CES.DON. MO CARROSSERIE  </v>
          </cell>
        </row>
        <row r="1078">
          <cell r="A1078">
            <v>879000</v>
          </cell>
          <cell r="B1078" t="str">
            <v>CES.GARANTIE LOCATION LSC</v>
          </cell>
        </row>
        <row r="1079">
          <cell r="A1079">
            <v>879000</v>
          </cell>
          <cell r="B1079" t="str">
            <v>CES.DON.BOUTIQUE STATION </v>
          </cell>
        </row>
        <row r="1080">
          <cell r="A1080">
            <v>879000</v>
          </cell>
          <cell r="B1080" t="str">
            <v>CES.DON.LUB/PR STATION   </v>
          </cell>
        </row>
        <row r="1081">
          <cell r="A1081">
            <v>879000</v>
          </cell>
          <cell r="B1081" t="str">
            <v>CES.DONS.LUB/APV STATION </v>
          </cell>
        </row>
        <row r="1082">
          <cell r="A1082">
            <v>879000</v>
          </cell>
          <cell r="B1082" t="str">
            <v>CES.DON.CARBUR/APV STATIO</v>
          </cell>
        </row>
        <row r="1083">
          <cell r="A1083">
            <v>879001</v>
          </cell>
          <cell r="B1083" t="str">
            <v>FORFAIT GARANTIE         </v>
          </cell>
        </row>
        <row r="1084">
          <cell r="A1084">
            <v>879100</v>
          </cell>
          <cell r="B1084" t="str">
            <v>VENTE MO / EQUIPE REE VO </v>
          </cell>
        </row>
        <row r="1085">
          <cell r="A1085">
            <v>879100</v>
          </cell>
          <cell r="B1085" t="str">
            <v>CESSION FRAIS DE PORT    </v>
          </cell>
        </row>
        <row r="1086">
          <cell r="A1086">
            <v>879100</v>
          </cell>
          <cell r="B1086" t="str">
            <v>CESSION PR^ FORFAIT APV  </v>
          </cell>
        </row>
        <row r="1087">
          <cell r="A1087">
            <v>879100</v>
          </cell>
          <cell r="B1087" t="str">
            <v>CESSION HUILES FORFAITS  </v>
          </cell>
        </row>
        <row r="1088">
          <cell r="A1088">
            <v>879100</v>
          </cell>
          <cell r="B1088" t="str">
            <v>REM/CESS.PR ^ FORFAIT APV</v>
          </cell>
        </row>
        <row r="1089">
          <cell r="A1089">
            <v>879101</v>
          </cell>
          <cell r="B1089" t="str">
            <v>CESSION HUILE FORFAITS   </v>
          </cell>
        </row>
        <row r="1090">
          <cell r="A1090">
            <v>879101</v>
          </cell>
          <cell r="B1090" t="str">
            <v>CES DON MO CONTRAT MAINTE</v>
          </cell>
        </row>
        <row r="1091">
          <cell r="A1091">
            <v>879102</v>
          </cell>
          <cell r="B1091" t="str">
            <v>CES DONNEE MO C+         </v>
          </cell>
        </row>
        <row r="1092">
          <cell r="A1092">
            <v>879200</v>
          </cell>
          <cell r="B1092" t="str">
            <v>CES.DON.PR ^ GARANTIE    </v>
          </cell>
        </row>
        <row r="1093">
          <cell r="A1093">
            <v>879200</v>
          </cell>
          <cell r="B1093" t="str">
            <v>CESSION M..O FORFAITS    </v>
          </cell>
        </row>
        <row r="1094">
          <cell r="A1094">
            <v>879200</v>
          </cell>
          <cell r="B1094" t="str">
            <v>CES DON PR CONT MAINTENAN</v>
          </cell>
        </row>
        <row r="1095">
          <cell r="A1095">
            <v>879202</v>
          </cell>
          <cell r="B1095" t="str">
            <v>CES DONNEE PR CONT +     </v>
          </cell>
        </row>
        <row r="1096">
          <cell r="A1096">
            <v>879800</v>
          </cell>
          <cell r="B1096" t="str">
            <v>RABAIS/CESSIONS PR DIV.  </v>
          </cell>
        </row>
        <row r="1097">
          <cell r="A1097">
            <v>879800</v>
          </cell>
          <cell r="B1097" t="str">
            <v>RABAIS/CESSIONS MO APV   </v>
          </cell>
        </row>
        <row r="1098">
          <cell r="A1098">
            <v>879800</v>
          </cell>
          <cell r="B1098" t="str">
            <v>RAB/CES.LUB.PR STATION   </v>
          </cell>
        </row>
        <row r="1099">
          <cell r="A1099">
            <v>879800</v>
          </cell>
          <cell r="B1099" t="str">
            <v>RAB/CES.LUB.APV STATION  </v>
          </cell>
        </row>
        <row r="1100">
          <cell r="A1100">
            <v>879820</v>
          </cell>
          <cell r="B1100" t="str">
            <v>RABAIS/CESSIONS PR ^     </v>
          </cell>
        </row>
        <row r="1101">
          <cell r="A1101">
            <v>879822</v>
          </cell>
          <cell r="B1101" t="str">
            <v>REM / CESS CONT +        </v>
          </cell>
        </row>
        <row r="1102">
          <cell r="A1102">
            <v>879830</v>
          </cell>
          <cell r="B1102" t="str">
            <v>RRR/CESS.PNEUS           </v>
          </cell>
        </row>
        <row r="1103">
          <cell r="A1103">
            <v>879901</v>
          </cell>
          <cell r="B1103" t="str">
            <v>REMISE PR CONTRAT MAINTEN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depre que avec VN &gt; 6 MOIS"/>
      <sheetName val="CFT DEPRECIATION VN APV PAR"/>
      <sheetName val="RECAP"/>
      <sheetName val="Feuil1"/>
    </sheetNames>
    <sheetDataSet>
      <sheetData sheetId="0" refreshError="1"/>
      <sheetData sheetId="1" refreshError="1">
        <row r="5">
          <cell r="J5">
            <v>0</v>
          </cell>
          <cell r="K5">
            <v>0</v>
          </cell>
          <cell r="L5">
            <v>0</v>
          </cell>
          <cell r="N5">
            <v>0</v>
          </cell>
          <cell r="P5">
            <v>0</v>
          </cell>
          <cell r="Q5" t="str">
            <v>PAS DEPRECIE</v>
          </cell>
        </row>
        <row r="6">
          <cell r="J6">
            <v>0</v>
          </cell>
          <cell r="K6">
            <v>0</v>
          </cell>
          <cell r="L6">
            <v>0</v>
          </cell>
          <cell r="N6">
            <v>0</v>
          </cell>
          <cell r="P6">
            <v>0</v>
          </cell>
          <cell r="Q6" t="str">
            <v>PAS DEPRECIE</v>
          </cell>
        </row>
        <row r="7">
          <cell r="J7">
            <v>0</v>
          </cell>
          <cell r="K7">
            <v>0</v>
          </cell>
          <cell r="L7">
            <v>0</v>
          </cell>
          <cell r="N7">
            <v>0</v>
          </cell>
          <cell r="P7">
            <v>0</v>
          </cell>
          <cell r="Q7" t="str">
            <v>PAS DEPRECIE</v>
          </cell>
        </row>
        <row r="8">
          <cell r="J8">
            <v>0</v>
          </cell>
          <cell r="K8">
            <v>0</v>
          </cell>
          <cell r="L8">
            <v>0</v>
          </cell>
          <cell r="N8">
            <v>0</v>
          </cell>
          <cell r="P8">
            <v>0</v>
          </cell>
          <cell r="Q8" t="str">
            <v>PAS DEPRECIE</v>
          </cell>
        </row>
        <row r="9">
          <cell r="J9">
            <v>0</v>
          </cell>
          <cell r="K9">
            <v>0</v>
          </cell>
          <cell r="L9">
            <v>0</v>
          </cell>
          <cell r="N9">
            <v>0</v>
          </cell>
          <cell r="P9">
            <v>0</v>
          </cell>
          <cell r="Q9" t="str">
            <v>PAS DEPRECIE</v>
          </cell>
        </row>
        <row r="10">
          <cell r="J10">
            <v>0</v>
          </cell>
          <cell r="K10">
            <v>0</v>
          </cell>
          <cell r="L10">
            <v>0</v>
          </cell>
          <cell r="N10">
            <v>0</v>
          </cell>
          <cell r="P10">
            <v>0</v>
          </cell>
          <cell r="Q10" t="str">
            <v>PAS DEPRECIE</v>
          </cell>
        </row>
        <row r="11"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  <cell r="Q11" t="str">
            <v>PAS DEPRECIE</v>
          </cell>
        </row>
        <row r="12"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  <cell r="Q12" t="str">
            <v>PAS DEPRECIE</v>
          </cell>
        </row>
        <row r="13">
          <cell r="J13">
            <v>0</v>
          </cell>
          <cell r="K13">
            <v>0</v>
          </cell>
          <cell r="L13">
            <v>0</v>
          </cell>
          <cell r="N13">
            <v>0</v>
          </cell>
          <cell r="P13">
            <v>0</v>
          </cell>
          <cell r="Q13" t="str">
            <v>PAS DEPRECIE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showGridLines="0" zoomScaleNormal="100" workbookViewId="0">
      <selection activeCell="A16" sqref="A16:B16"/>
    </sheetView>
  </sheetViews>
  <sheetFormatPr baseColWidth="10" defaultColWidth="11.42578125" defaultRowHeight="15.75" x14ac:dyDescent="0.25"/>
  <cols>
    <col min="1" max="16" width="14.7109375" style="133" customWidth="1"/>
    <col min="17" max="17" width="4.7109375" style="133" customWidth="1"/>
    <col min="18" max="18" width="11.42578125" style="133" hidden="1" customWidth="1"/>
    <col min="19" max="16384" width="11.42578125" style="133"/>
  </cols>
  <sheetData>
    <row r="1" spans="1:24" s="132" customFormat="1" ht="15" customHeight="1" x14ac:dyDescent="0.2">
      <c r="A1" s="11"/>
      <c r="B1" s="12"/>
      <c r="C1" s="12"/>
      <c r="D1" s="552"/>
      <c r="E1" s="553"/>
      <c r="F1" s="553"/>
      <c r="G1" s="553"/>
      <c r="H1" s="553"/>
      <c r="I1" s="553"/>
      <c r="J1" s="553"/>
      <c r="K1" s="553"/>
      <c r="L1" s="553"/>
      <c r="M1" s="554"/>
      <c r="N1" s="12"/>
      <c r="O1" s="12"/>
      <c r="P1" s="13"/>
      <c r="Q1" s="2"/>
      <c r="R1" s="28" t="s">
        <v>1</v>
      </c>
      <c r="S1" s="2"/>
      <c r="T1" s="2"/>
      <c r="U1" s="2"/>
      <c r="V1" s="2"/>
      <c r="W1" s="2"/>
      <c r="X1" s="2"/>
    </row>
    <row r="2" spans="1:24" s="132" customFormat="1" ht="15" customHeight="1" thickBot="1" x14ac:dyDescent="0.25">
      <c r="A2" s="14"/>
      <c r="B2" s="15"/>
      <c r="C2" s="15"/>
      <c r="D2" s="555"/>
      <c r="E2" s="556"/>
      <c r="F2" s="556"/>
      <c r="G2" s="556"/>
      <c r="H2" s="556"/>
      <c r="I2" s="556"/>
      <c r="J2" s="556"/>
      <c r="K2" s="556"/>
      <c r="L2" s="556"/>
      <c r="M2" s="557"/>
      <c r="N2" s="15"/>
      <c r="O2" s="15"/>
      <c r="P2" s="16"/>
      <c r="Q2" s="2"/>
      <c r="R2" s="28" t="s">
        <v>2</v>
      </c>
      <c r="S2" s="2"/>
      <c r="T2" s="2"/>
      <c r="U2" s="2"/>
      <c r="V2" s="2"/>
      <c r="W2" s="2"/>
      <c r="X2" s="2"/>
    </row>
    <row r="3" spans="1:24" ht="15" customHeight="1" x14ac:dyDescent="0.25">
      <c r="A3" s="565"/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7"/>
      <c r="Q3" s="8"/>
      <c r="R3" s="29"/>
      <c r="S3" s="8"/>
      <c r="T3" s="8"/>
      <c r="U3" s="4"/>
      <c r="V3" s="8"/>
      <c r="W3" s="6"/>
      <c r="X3" s="7"/>
    </row>
    <row r="4" spans="1:24" ht="15" customHeight="1" x14ac:dyDescent="0.25">
      <c r="A4" s="565"/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7"/>
      <c r="Q4" s="8"/>
      <c r="R4" s="28" t="s">
        <v>3</v>
      </c>
      <c r="S4" s="3"/>
      <c r="T4" s="8"/>
      <c r="U4" s="4"/>
      <c r="V4" s="8"/>
      <c r="W4" s="6"/>
      <c r="X4" s="7"/>
    </row>
    <row r="5" spans="1:24" ht="15" customHeight="1" thickBot="1" x14ac:dyDescent="0.3">
      <c r="A5" s="568"/>
      <c r="B5" s="569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70"/>
      <c r="Q5" s="8"/>
      <c r="R5" s="28" t="s">
        <v>4</v>
      </c>
      <c r="S5" s="8"/>
      <c r="T5" s="9"/>
      <c r="U5" s="5"/>
      <c r="V5" s="24"/>
      <c r="W5" s="24"/>
      <c r="X5" s="24"/>
    </row>
    <row r="6" spans="1:24" ht="15" customHeight="1" x14ac:dyDescent="0.25">
      <c r="A6" s="18" t="s">
        <v>5</v>
      </c>
      <c r="B6" s="194" t="s">
        <v>276</v>
      </c>
      <c r="C6" s="18" t="s">
        <v>6</v>
      </c>
      <c r="D6" s="194"/>
      <c r="E6" s="577" t="s">
        <v>7</v>
      </c>
      <c r="F6" s="578"/>
      <c r="G6" s="578"/>
      <c r="H6" s="578"/>
      <c r="I6" s="578"/>
      <c r="J6" s="578"/>
      <c r="K6" s="578"/>
      <c r="L6" s="579"/>
      <c r="M6" s="583" t="s">
        <v>8</v>
      </c>
      <c r="N6" s="584"/>
      <c r="O6" s="585" t="s">
        <v>9</v>
      </c>
      <c r="P6" s="586"/>
      <c r="Q6" s="8"/>
      <c r="R6" s="29" t="s">
        <v>10</v>
      </c>
      <c r="S6" s="10"/>
      <c r="T6" s="8"/>
      <c r="U6" s="2"/>
      <c r="V6" s="2"/>
      <c r="W6" s="8"/>
      <c r="X6" s="8"/>
    </row>
    <row r="7" spans="1:24" ht="15" customHeight="1" thickBot="1" x14ac:dyDescent="0.3">
      <c r="A7" s="19" t="s">
        <v>11</v>
      </c>
      <c r="B7" s="195"/>
      <c r="C7" s="19" t="s">
        <v>11</v>
      </c>
      <c r="D7" s="195"/>
      <c r="E7" s="580"/>
      <c r="F7" s="581"/>
      <c r="G7" s="581"/>
      <c r="H7" s="581"/>
      <c r="I7" s="581"/>
      <c r="J7" s="581"/>
      <c r="K7" s="581"/>
      <c r="L7" s="582"/>
      <c r="M7" s="442" t="s">
        <v>107</v>
      </c>
      <c r="N7" s="443"/>
      <c r="O7" s="587" t="s">
        <v>12</v>
      </c>
      <c r="P7" s="588"/>
      <c r="Q7" s="8"/>
      <c r="R7" s="28" t="s">
        <v>13</v>
      </c>
      <c r="S7" s="8"/>
      <c r="T7" s="8"/>
      <c r="U7" s="8"/>
      <c r="V7" s="8"/>
      <c r="W7" s="8"/>
      <c r="X7" s="8"/>
    </row>
    <row r="8" spans="1:24" ht="21" customHeight="1" thickBot="1" x14ac:dyDescent="0.3">
      <c r="A8" s="20"/>
      <c r="B8" s="17"/>
      <c r="C8" s="21"/>
      <c r="D8" s="21"/>
      <c r="E8" s="22"/>
      <c r="F8" s="22"/>
      <c r="G8" s="22"/>
      <c r="H8" s="22"/>
      <c r="I8" s="22"/>
      <c r="J8" s="22"/>
      <c r="K8" s="22"/>
      <c r="L8" s="22"/>
      <c r="M8" s="23"/>
      <c r="N8" s="21"/>
      <c r="O8" s="434"/>
      <c r="P8" s="434"/>
      <c r="Q8" s="8"/>
      <c r="R8" s="28" t="s">
        <v>14</v>
      </c>
      <c r="S8" s="8"/>
      <c r="T8" s="8"/>
      <c r="U8" s="8"/>
      <c r="V8" s="8"/>
      <c r="W8" s="8"/>
      <c r="X8" s="8"/>
    </row>
    <row r="9" spans="1:24" s="134" customFormat="1" ht="31.5" customHeight="1" thickBot="1" x14ac:dyDescent="0.3">
      <c r="A9" s="571" t="s">
        <v>15</v>
      </c>
      <c r="B9" s="572"/>
      <c r="C9" s="572"/>
      <c r="D9" s="435" t="s">
        <v>10</v>
      </c>
      <c r="E9" s="436"/>
      <c r="F9" s="573" t="s">
        <v>16</v>
      </c>
      <c r="G9" s="574"/>
      <c r="H9" s="574"/>
      <c r="I9" s="574"/>
      <c r="J9" s="437">
        <v>12.6</v>
      </c>
      <c r="K9" s="438"/>
      <c r="L9" s="573" t="s">
        <v>17</v>
      </c>
      <c r="M9" s="574"/>
      <c r="N9" s="574"/>
      <c r="O9" s="435" t="s">
        <v>258</v>
      </c>
      <c r="P9" s="436"/>
      <c r="Q9" s="21"/>
      <c r="R9" s="29" t="s">
        <v>18</v>
      </c>
      <c r="S9" s="21"/>
      <c r="T9" s="21"/>
      <c r="U9" s="21"/>
      <c r="V9" s="21"/>
      <c r="W9" s="21"/>
      <c r="X9" s="21"/>
    </row>
    <row r="10" spans="1:24" s="135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7"/>
      <c r="R10" s="27"/>
      <c r="S10" s="27"/>
      <c r="T10" s="27"/>
      <c r="U10" s="27"/>
      <c r="V10" s="27"/>
      <c r="W10" s="27"/>
      <c r="X10" s="27"/>
    </row>
    <row r="11" spans="1:24" ht="15" customHeight="1" thickBot="1" x14ac:dyDescent="0.3">
      <c r="A11" s="575" t="s">
        <v>19</v>
      </c>
      <c r="B11" s="576"/>
      <c r="C11" s="562" t="s">
        <v>20</v>
      </c>
      <c r="D11" s="563"/>
      <c r="E11" s="563"/>
      <c r="F11" s="563"/>
      <c r="G11" s="563"/>
      <c r="H11" s="563"/>
      <c r="I11" s="563"/>
      <c r="J11" s="563"/>
      <c r="K11" s="563"/>
      <c r="L11" s="564"/>
      <c r="M11" s="560" t="s">
        <v>21</v>
      </c>
      <c r="N11" s="561"/>
      <c r="O11" s="558" t="s">
        <v>22</v>
      </c>
      <c r="P11" s="559"/>
      <c r="Q11" s="8"/>
      <c r="R11" s="8"/>
      <c r="S11" s="8"/>
      <c r="T11" s="8"/>
      <c r="U11" s="8"/>
      <c r="V11" s="8"/>
      <c r="W11" s="8"/>
      <c r="X11" s="8"/>
    </row>
    <row r="12" spans="1:24" s="132" customFormat="1" ht="15" customHeight="1" thickBot="1" x14ac:dyDescent="0.3">
      <c r="A12" s="546" t="s">
        <v>23</v>
      </c>
      <c r="B12" s="547"/>
      <c r="C12" s="203" t="s">
        <v>24</v>
      </c>
      <c r="D12" s="439"/>
      <c r="E12" s="439"/>
      <c r="F12" s="439"/>
      <c r="G12" s="439"/>
      <c r="H12" s="439"/>
      <c r="I12" s="439"/>
      <c r="J12" s="439"/>
      <c r="K12" s="439"/>
      <c r="L12" s="439"/>
      <c r="M12" s="550" t="s">
        <v>1</v>
      </c>
      <c r="N12" s="551"/>
      <c r="O12" s="1" t="s">
        <v>25</v>
      </c>
      <c r="P12" s="523"/>
      <c r="Q12" s="196" t="s">
        <v>26</v>
      </c>
      <c r="R12" s="8"/>
      <c r="S12" s="8" t="s">
        <v>27</v>
      </c>
      <c r="T12" s="2"/>
      <c r="U12" s="2"/>
      <c r="V12" s="2"/>
      <c r="W12" s="2"/>
      <c r="X12" s="2"/>
    </row>
    <row r="13" spans="1:24" s="132" customFormat="1" ht="15" customHeight="1" thickBot="1" x14ac:dyDescent="0.25">
      <c r="A13" s="527" t="s">
        <v>28</v>
      </c>
      <c r="B13" s="528"/>
      <c r="C13" s="203" t="s">
        <v>29</v>
      </c>
      <c r="D13" s="439"/>
      <c r="E13" s="439"/>
      <c r="F13" s="439"/>
      <c r="G13" s="439"/>
      <c r="H13" s="439"/>
      <c r="I13" s="439"/>
      <c r="J13" s="439"/>
      <c r="K13" s="439"/>
      <c r="L13" s="439"/>
      <c r="M13" s="529" t="s">
        <v>1</v>
      </c>
      <c r="N13" s="530"/>
      <c r="O13" s="1" t="s">
        <v>30</v>
      </c>
      <c r="P13" s="523"/>
      <c r="Q13" s="197" t="s">
        <v>31</v>
      </c>
      <c r="R13" s="2"/>
      <c r="S13" s="2" t="s">
        <v>32</v>
      </c>
      <c r="T13" s="2"/>
      <c r="U13" s="2"/>
      <c r="V13" s="2"/>
      <c r="W13" s="2"/>
      <c r="X13" s="2"/>
    </row>
    <row r="14" spans="1:24" s="132" customFormat="1" ht="15" customHeight="1" thickBot="1" x14ac:dyDescent="0.3">
      <c r="A14" s="527" t="s">
        <v>33</v>
      </c>
      <c r="B14" s="528"/>
      <c r="C14" s="364" t="s">
        <v>34</v>
      </c>
      <c r="D14" s="440"/>
      <c r="E14" s="440"/>
      <c r="F14" s="440"/>
      <c r="G14" s="440"/>
      <c r="H14" s="440"/>
      <c r="I14" s="440"/>
      <c r="J14" s="440"/>
      <c r="K14" s="440"/>
      <c r="L14" s="440"/>
      <c r="M14" s="529" t="s">
        <v>1</v>
      </c>
      <c r="N14" s="530"/>
      <c r="O14" s="1" t="s">
        <v>35</v>
      </c>
      <c r="P14" s="523"/>
      <c r="Q14" s="198" t="s">
        <v>36</v>
      </c>
      <c r="R14" s="2"/>
      <c r="S14" s="2" t="s">
        <v>37</v>
      </c>
      <c r="T14" s="2"/>
      <c r="U14" s="2"/>
      <c r="V14" s="2"/>
      <c r="W14" s="2"/>
      <c r="X14" s="2"/>
    </row>
    <row r="15" spans="1:24" s="132" customFormat="1" ht="15" customHeight="1" thickBot="1" x14ac:dyDescent="0.25">
      <c r="A15" s="527"/>
      <c r="B15" s="528"/>
      <c r="C15" s="203" t="s">
        <v>39</v>
      </c>
      <c r="D15" s="439"/>
      <c r="E15" s="439"/>
      <c r="F15" s="439"/>
      <c r="G15" s="439"/>
      <c r="H15" s="439"/>
      <c r="I15" s="439"/>
      <c r="J15" s="439"/>
      <c r="K15" s="439"/>
      <c r="L15" s="439"/>
      <c r="M15" s="529" t="s">
        <v>2</v>
      </c>
      <c r="N15" s="530"/>
      <c r="O15" s="548" t="s">
        <v>40</v>
      </c>
      <c r="P15" s="549"/>
      <c r="Q15" s="197" t="s">
        <v>41</v>
      </c>
      <c r="R15" s="2"/>
      <c r="S15" s="2" t="s">
        <v>42</v>
      </c>
      <c r="T15" s="2"/>
      <c r="U15" s="2"/>
      <c r="V15" s="2"/>
      <c r="W15" s="2"/>
      <c r="X15" s="2"/>
    </row>
    <row r="16" spans="1:24" s="132" customFormat="1" ht="15" customHeight="1" thickBot="1" x14ac:dyDescent="0.25">
      <c r="A16" s="527" t="s">
        <v>43</v>
      </c>
      <c r="B16" s="528"/>
      <c r="C16" s="364" t="s">
        <v>44</v>
      </c>
      <c r="D16" s="440"/>
      <c r="E16" s="440"/>
      <c r="F16" s="440"/>
      <c r="G16" s="440"/>
      <c r="H16" s="440"/>
      <c r="I16" s="440"/>
      <c r="J16" s="440"/>
      <c r="K16" s="440"/>
      <c r="L16" s="440"/>
      <c r="M16" s="529" t="s">
        <v>1</v>
      </c>
      <c r="N16" s="530"/>
      <c r="O16" s="1" t="s">
        <v>45</v>
      </c>
      <c r="P16" s="523"/>
      <c r="Q16" s="199" t="s">
        <v>46</v>
      </c>
      <c r="R16" s="2"/>
      <c r="S16" s="2" t="s">
        <v>42</v>
      </c>
      <c r="T16" s="2"/>
      <c r="U16" s="2"/>
      <c r="V16" s="2"/>
      <c r="W16" s="2"/>
      <c r="X16" s="2"/>
    </row>
    <row r="17" spans="1:19" s="132" customFormat="1" ht="15" customHeight="1" thickBot="1" x14ac:dyDescent="0.25">
      <c r="A17" s="527" t="s">
        <v>47</v>
      </c>
      <c r="B17" s="528"/>
      <c r="C17" s="364" t="s">
        <v>48</v>
      </c>
      <c r="D17" s="440"/>
      <c r="E17" s="440"/>
      <c r="F17" s="440"/>
      <c r="G17" s="440"/>
      <c r="H17" s="440"/>
      <c r="I17" s="440"/>
      <c r="J17" s="440"/>
      <c r="K17" s="440"/>
      <c r="L17" s="440"/>
      <c r="M17" s="529" t="s">
        <v>1</v>
      </c>
      <c r="N17" s="530"/>
      <c r="O17" s="1" t="s">
        <v>49</v>
      </c>
      <c r="P17" s="523"/>
      <c r="Q17" s="199" t="s">
        <v>50</v>
      </c>
      <c r="R17" s="2"/>
      <c r="S17" s="2" t="s">
        <v>42</v>
      </c>
    </row>
    <row r="18" spans="1:19" s="132" customFormat="1" ht="15" customHeight="1" thickBot="1" x14ac:dyDescent="0.25">
      <c r="A18" s="527" t="s">
        <v>51</v>
      </c>
      <c r="B18" s="528"/>
      <c r="C18" s="364" t="s">
        <v>52</v>
      </c>
      <c r="D18" s="440"/>
      <c r="E18" s="440"/>
      <c r="F18" s="440"/>
      <c r="G18" s="440"/>
      <c r="H18" s="440"/>
      <c r="I18" s="440"/>
      <c r="J18" s="440"/>
      <c r="K18" s="440"/>
      <c r="L18" s="440"/>
      <c r="M18" s="529" t="s">
        <v>1</v>
      </c>
      <c r="N18" s="530"/>
      <c r="O18" s="1" t="s">
        <v>53</v>
      </c>
      <c r="P18" s="523"/>
      <c r="Q18" s="197" t="s">
        <v>54</v>
      </c>
      <c r="R18" s="2"/>
      <c r="S18" s="2" t="s">
        <v>55</v>
      </c>
    </row>
    <row r="19" spans="1:19" s="132" customFormat="1" ht="15" customHeight="1" x14ac:dyDescent="0.2">
      <c r="A19" s="527" t="s">
        <v>56</v>
      </c>
      <c r="B19" s="528"/>
      <c r="C19" s="364" t="s">
        <v>57</v>
      </c>
      <c r="D19" s="439"/>
      <c r="E19" s="439"/>
      <c r="F19" s="439"/>
      <c r="G19" s="439"/>
      <c r="H19" s="439"/>
      <c r="I19" s="439"/>
      <c r="J19" s="439"/>
      <c r="K19" s="439"/>
      <c r="L19" s="439"/>
      <c r="M19" s="529" t="s">
        <v>1</v>
      </c>
      <c r="N19" s="530"/>
      <c r="O19" s="1" t="s">
        <v>58</v>
      </c>
      <c r="P19" s="523"/>
      <c r="Q19" s="2"/>
      <c r="R19" s="2"/>
      <c r="S19" s="2"/>
    </row>
    <row r="20" spans="1:19" s="132" customFormat="1" ht="15" customHeight="1" thickBot="1" x14ac:dyDescent="0.25">
      <c r="A20" s="537"/>
      <c r="B20" s="538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539"/>
      <c r="N20" s="540"/>
      <c r="O20" s="541"/>
      <c r="P20" s="542"/>
      <c r="Q20" s="2"/>
      <c r="R20" s="2"/>
      <c r="S20" s="2"/>
    </row>
    <row r="21" spans="1:19" s="132" customFormat="1" ht="15" customHeight="1" thickBo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"/>
      <c r="R21" s="2"/>
      <c r="S21" s="2"/>
    </row>
    <row r="22" spans="1:19" s="132" customFormat="1" ht="15" customHeight="1" x14ac:dyDescent="0.25">
      <c r="A22" s="543" t="s">
        <v>59</v>
      </c>
      <c r="B22" s="544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5"/>
      <c r="Q22" s="2"/>
      <c r="R22" s="2"/>
      <c r="S22" s="2"/>
    </row>
    <row r="23" spans="1:19" s="136" customFormat="1" ht="109.9" customHeight="1" thickBot="1" x14ac:dyDescent="0.3">
      <c r="A23" s="524"/>
      <c r="B23" s="525"/>
      <c r="C23" s="525"/>
      <c r="D23" s="525"/>
      <c r="E23" s="525"/>
      <c r="F23" s="525"/>
      <c r="G23" s="525"/>
      <c r="H23" s="525"/>
      <c r="I23" s="525"/>
      <c r="J23" s="525"/>
      <c r="K23" s="525"/>
      <c r="L23" s="525"/>
      <c r="M23" s="525"/>
      <c r="N23" s="525"/>
      <c r="O23" s="525"/>
      <c r="P23" s="526"/>
      <c r="Q23" s="26"/>
      <c r="R23" s="26"/>
      <c r="S23" s="26"/>
    </row>
    <row r="24" spans="1:19" s="26" customFormat="1" thickBot="1" x14ac:dyDescent="0.3"/>
    <row r="25" spans="1:19" s="26" customFormat="1" ht="30.6" customHeight="1" x14ac:dyDescent="0.25">
      <c r="A25" s="534" t="s">
        <v>60</v>
      </c>
      <c r="B25" s="535"/>
      <c r="C25" s="535"/>
      <c r="D25" s="535"/>
      <c r="E25" s="535"/>
      <c r="F25" s="535"/>
      <c r="G25" s="535"/>
      <c r="H25" s="535"/>
      <c r="I25" s="535"/>
      <c r="J25" s="535"/>
      <c r="K25" s="535"/>
      <c r="L25" s="535"/>
      <c r="M25" s="535"/>
      <c r="N25" s="535"/>
      <c r="O25" s="535"/>
      <c r="P25" s="536"/>
    </row>
    <row r="26" spans="1:19" s="136" customFormat="1" ht="66" customHeight="1" thickBot="1" x14ac:dyDescent="0.3">
      <c r="A26" s="531" t="s">
        <v>287</v>
      </c>
      <c r="B26" s="532"/>
      <c r="C26" s="532"/>
      <c r="D26" s="532"/>
      <c r="E26" s="532"/>
      <c r="F26" s="532"/>
      <c r="G26" s="532"/>
      <c r="H26" s="532"/>
      <c r="I26" s="532"/>
      <c r="J26" s="532"/>
      <c r="K26" s="532"/>
      <c r="L26" s="532"/>
      <c r="M26" s="532"/>
      <c r="N26" s="532"/>
      <c r="O26" s="532"/>
      <c r="P26" s="533"/>
      <c r="Q26" s="26"/>
      <c r="R26" s="26"/>
      <c r="S26" s="26"/>
    </row>
    <row r="27" spans="1:19" s="136" customForma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26"/>
      <c r="R27" s="26"/>
      <c r="S27" s="26"/>
    </row>
    <row r="28" spans="1:19" s="136" customFormat="1" ht="37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26"/>
      <c r="R28" s="26"/>
      <c r="S28" s="26"/>
    </row>
  </sheetData>
  <sheetProtection formatCells="0" formatColumns="0" formatRows="0" insertColumns="0" insertRows="0" insertHyperlinks="0" deleteColumns="0" deleteRows="0" sort="0" autoFilter="0" pivotTables="0"/>
  <mergeCells count="44">
    <mergeCell ref="D1:M2"/>
    <mergeCell ref="O11:P11"/>
    <mergeCell ref="M11:N11"/>
    <mergeCell ref="C11:L11"/>
    <mergeCell ref="A3:P5"/>
    <mergeCell ref="A9:C9"/>
    <mergeCell ref="F9:I9"/>
    <mergeCell ref="A11:B11"/>
    <mergeCell ref="E6:L7"/>
    <mergeCell ref="M6:N6"/>
    <mergeCell ref="O6:P6"/>
    <mergeCell ref="O7:P7"/>
    <mergeCell ref="L9:N9"/>
    <mergeCell ref="A12:B12"/>
    <mergeCell ref="A13:B13"/>
    <mergeCell ref="O14:P14"/>
    <mergeCell ref="M16:N16"/>
    <mergeCell ref="M15:N15"/>
    <mergeCell ref="O15:P15"/>
    <mergeCell ref="M12:N12"/>
    <mergeCell ref="A15:B15"/>
    <mergeCell ref="O16:P16"/>
    <mergeCell ref="A14:B14"/>
    <mergeCell ref="M14:N14"/>
    <mergeCell ref="A16:B16"/>
    <mergeCell ref="O12:P12"/>
    <mergeCell ref="O13:P13"/>
    <mergeCell ref="M13:N13"/>
    <mergeCell ref="A26:P26"/>
    <mergeCell ref="A25:P25"/>
    <mergeCell ref="M19:N19"/>
    <mergeCell ref="O19:P19"/>
    <mergeCell ref="A19:B19"/>
    <mergeCell ref="A20:B20"/>
    <mergeCell ref="M20:N20"/>
    <mergeCell ref="O20:P20"/>
    <mergeCell ref="A22:P22"/>
    <mergeCell ref="O18:P18"/>
    <mergeCell ref="O17:P17"/>
    <mergeCell ref="A23:P23"/>
    <mergeCell ref="A18:B18"/>
    <mergeCell ref="M18:N18"/>
    <mergeCell ref="M17:N17"/>
    <mergeCell ref="A17:B17"/>
  </mergeCells>
  <dataValidations count="3">
    <dataValidation type="list" showInputMessage="1" showErrorMessage="1" sqref="D9:E9" xr:uid="{00000000-0002-0000-0000-000000000000}">
      <formula1>RAS</formula1>
    </dataValidation>
    <dataValidation type="list" allowBlank="1" showInputMessage="1" showErrorMessage="1" sqref="O9:P9" xr:uid="{00000000-0002-0000-0000-000001000000}">
      <formula1>Diligences</formula1>
    </dataValidation>
    <dataValidation type="list" allowBlank="1" showInputMessage="1" showErrorMessage="1" sqref="M12:M20 N20" xr:uid="{00000000-0002-0000-0000-000002000000}">
      <formula1>Etat</formula1>
    </dataValidation>
  </dataValidations>
  <hyperlinks>
    <hyperlink ref="O12:P12" location="'S100 Tableau var stocks'!A1" display="S100 Tableau var stocks" xr:uid="{00000000-0004-0000-0000-000000000000}"/>
    <hyperlink ref="O13:P13" location="'S200 Rappro états stock-compta'!A1" display="S200 Rappro états stock-compta" xr:uid="{00000000-0004-0000-0000-000001000000}"/>
    <hyperlink ref="O15:P15" location="'S400 Réconciliation IP PR'!A1" display="S400 Réconciliation IP PR" xr:uid="{00000000-0004-0000-0000-000003000000}"/>
    <hyperlink ref="O16:P16" location="'S500 Boucle stock'!A1" display="S500 Boucle des stocks" xr:uid="{00000000-0004-0000-0000-000004000000}"/>
    <hyperlink ref="O17:P17" location="'S610 Dépréciation stock VN'!A1" display="S610 Dépré stock VN" xr:uid="{00000000-0004-0000-0000-000005000000}"/>
    <hyperlink ref="O18:P18" location="'S620 Dépréciation stock VO'!A1" display="S620 Dépré stock VO" xr:uid="{00000000-0004-0000-0000-000006000000}"/>
    <hyperlink ref="O19:P19" location="'S630 Dépréciation stock PR'!A1" display="S630 Dépré stock PR" xr:uid="{00000000-0004-0000-0000-000007000000}"/>
    <hyperlink ref="O14:P14" location="'S300 Rotation stocks'!A1" display="S300 Rotation stocks" xr:uid="{C48D5CC1-E922-4FEC-A013-103FEAFB5A2B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3"/>
  <sheetViews>
    <sheetView showGridLines="0" topLeftCell="B4" zoomScaleNormal="100" workbookViewId="0">
      <selection activeCell="A17" sqref="A17:P17"/>
    </sheetView>
  </sheetViews>
  <sheetFormatPr baseColWidth="10" defaultColWidth="11.42578125" defaultRowHeight="15.75" x14ac:dyDescent="0.25"/>
  <cols>
    <col min="1" max="16" width="14.7109375" style="8" customWidth="1"/>
    <col min="17" max="17" width="11.42578125" style="8"/>
    <col min="18" max="18" width="11.42578125" style="8" hidden="1" customWidth="1"/>
    <col min="19" max="16384" width="11.42578125" style="8"/>
  </cols>
  <sheetData>
    <row r="1" spans="1:24" s="2" customFormat="1" ht="15" customHeight="1" x14ac:dyDescent="0.2">
      <c r="A1" s="11"/>
      <c r="B1" s="12"/>
      <c r="C1" s="12"/>
      <c r="D1" s="607">
        <f>'S Synthèse'!D1:M2</f>
        <v>0</v>
      </c>
      <c r="E1" s="608"/>
      <c r="F1" s="608"/>
      <c r="G1" s="608"/>
      <c r="H1" s="608"/>
      <c r="I1" s="608"/>
      <c r="J1" s="608"/>
      <c r="K1" s="608"/>
      <c r="L1" s="608"/>
      <c r="M1" s="609"/>
      <c r="N1" s="12"/>
      <c r="O1" s="12"/>
      <c r="P1" s="13"/>
      <c r="R1" s="28" t="s">
        <v>61</v>
      </c>
    </row>
    <row r="2" spans="1:24" s="2" customFormat="1" ht="15" customHeight="1" thickBot="1" x14ac:dyDescent="0.25">
      <c r="A2" s="14"/>
      <c r="B2" s="15"/>
      <c r="C2" s="15"/>
      <c r="D2" s="610"/>
      <c r="E2" s="611"/>
      <c r="F2" s="611"/>
      <c r="G2" s="611"/>
      <c r="H2" s="611"/>
      <c r="I2" s="611"/>
      <c r="J2" s="611"/>
      <c r="K2" s="611"/>
      <c r="L2" s="611"/>
      <c r="M2" s="612"/>
      <c r="N2" s="15"/>
      <c r="O2" s="15"/>
      <c r="P2" s="16"/>
      <c r="R2" s="28" t="s">
        <v>62</v>
      </c>
    </row>
    <row r="3" spans="1:24" ht="15" customHeight="1" x14ac:dyDescent="0.25">
      <c r="A3" s="565" t="s">
        <v>63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7"/>
      <c r="R3" s="29" t="s">
        <v>64</v>
      </c>
      <c r="U3" s="4"/>
      <c r="W3" s="6"/>
      <c r="X3" s="7"/>
    </row>
    <row r="4" spans="1:24" ht="15" customHeight="1" x14ac:dyDescent="0.25">
      <c r="A4" s="565"/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7"/>
      <c r="R4" s="28" t="s">
        <v>3</v>
      </c>
      <c r="S4" s="3"/>
      <c r="U4" s="4"/>
      <c r="W4" s="6"/>
      <c r="X4" s="7"/>
    </row>
    <row r="5" spans="1:24" ht="15" customHeight="1" thickBot="1" x14ac:dyDescent="0.3">
      <c r="A5" s="568"/>
      <c r="B5" s="569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70"/>
      <c r="R5" s="28" t="s">
        <v>4</v>
      </c>
      <c r="T5" s="9"/>
      <c r="U5" s="5"/>
      <c r="V5" s="24"/>
      <c r="W5" s="24"/>
      <c r="X5" s="24"/>
    </row>
    <row r="6" spans="1:24" ht="15" customHeight="1" x14ac:dyDescent="0.25">
      <c r="A6" s="18" t="s">
        <v>5</v>
      </c>
      <c r="B6" s="194" t="str">
        <f>'S Synthèse'!B6</f>
        <v>BRA</v>
      </c>
      <c r="C6" s="18" t="s">
        <v>6</v>
      </c>
      <c r="D6" s="194">
        <f>'S Synthèse'!D6</f>
        <v>0</v>
      </c>
      <c r="E6" s="577" t="s">
        <v>65</v>
      </c>
      <c r="F6" s="578"/>
      <c r="G6" s="578"/>
      <c r="H6" s="578"/>
      <c r="I6" s="578"/>
      <c r="J6" s="578"/>
      <c r="K6" s="578"/>
      <c r="L6" s="579"/>
      <c r="M6" s="583" t="s">
        <v>8</v>
      </c>
      <c r="N6" s="584"/>
      <c r="O6" s="585" t="s">
        <v>9</v>
      </c>
      <c r="P6" s="586"/>
      <c r="R6" s="29" t="s">
        <v>10</v>
      </c>
      <c r="S6" s="10"/>
      <c r="U6" s="2"/>
      <c r="V6" s="2"/>
    </row>
    <row r="7" spans="1:24" ht="15" customHeight="1" thickBot="1" x14ac:dyDescent="0.3">
      <c r="A7" s="19" t="s">
        <v>11</v>
      </c>
      <c r="B7" s="195">
        <f>'S Synthèse'!B7</f>
        <v>0</v>
      </c>
      <c r="C7" s="19" t="s">
        <v>11</v>
      </c>
      <c r="D7" s="195">
        <f>'S Synthèse'!D7</f>
        <v>0</v>
      </c>
      <c r="E7" s="580"/>
      <c r="F7" s="581"/>
      <c r="G7" s="581"/>
      <c r="H7" s="581"/>
      <c r="I7" s="581"/>
      <c r="J7" s="581"/>
      <c r="K7" s="581"/>
      <c r="L7" s="582"/>
      <c r="M7" s="613" t="str">
        <f>'S Synthèse'!M7:N7</f>
        <v>31/12/N</v>
      </c>
      <c r="N7" s="614"/>
      <c r="O7" s="587" t="s">
        <v>12</v>
      </c>
      <c r="P7" s="588"/>
      <c r="R7" s="28" t="s">
        <v>13</v>
      </c>
    </row>
    <row r="8" spans="1:24" ht="21" customHeight="1" thickBot="1" x14ac:dyDescent="0.3">
      <c r="A8" s="20"/>
      <c r="B8" s="17"/>
      <c r="C8" s="21"/>
      <c r="D8" s="21"/>
      <c r="E8" s="22"/>
      <c r="F8" s="22"/>
      <c r="G8" s="22"/>
      <c r="H8" s="22"/>
      <c r="I8" s="22"/>
      <c r="J8" s="22"/>
      <c r="K8" s="22"/>
      <c r="L8" s="22"/>
      <c r="M8" s="23"/>
      <c r="N8" s="21"/>
      <c r="O8" s="617" t="s">
        <v>66</v>
      </c>
      <c r="P8" s="617"/>
      <c r="R8" s="28" t="s">
        <v>14</v>
      </c>
    </row>
    <row r="9" spans="1:24" s="21" customFormat="1" ht="31.5" customHeight="1" thickBot="1" x14ac:dyDescent="0.3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  <c r="R9" s="29" t="s">
        <v>18</v>
      </c>
    </row>
    <row r="10" spans="1:24" s="27" customFormat="1" ht="21" customHeight="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4" s="30" customFormat="1" ht="31.5" customHeight="1" x14ac:dyDescent="0.2">
      <c r="A11" s="600" t="s">
        <v>67</v>
      </c>
      <c r="B11" s="599"/>
      <c r="C11" s="599"/>
      <c r="D11" s="599"/>
      <c r="E11" s="599"/>
      <c r="F11" s="599"/>
      <c r="G11" s="597"/>
      <c r="H11" s="597"/>
      <c r="I11" s="597"/>
      <c r="J11" s="597"/>
      <c r="K11" s="597"/>
      <c r="L11" s="597"/>
      <c r="M11" s="597"/>
      <c r="N11" s="597"/>
      <c r="O11" s="597"/>
      <c r="P11" s="598"/>
      <c r="T11" s="21"/>
    </row>
    <row r="12" spans="1:24" s="31" customFormat="1" ht="39" customHeight="1" x14ac:dyDescent="0.2">
      <c r="A12" s="596" t="s">
        <v>68</v>
      </c>
      <c r="B12" s="597"/>
      <c r="C12" s="597"/>
      <c r="D12" s="597"/>
      <c r="E12" s="597"/>
      <c r="F12" s="597"/>
      <c r="G12" s="598"/>
      <c r="H12" s="32" t="s">
        <v>61</v>
      </c>
      <c r="I12" s="366" t="s">
        <v>1</v>
      </c>
      <c r="J12" s="33" t="s">
        <v>2</v>
      </c>
      <c r="K12" s="596" t="s">
        <v>69</v>
      </c>
      <c r="L12" s="599"/>
      <c r="M12" s="597"/>
      <c r="N12" s="597"/>
      <c r="O12" s="597"/>
      <c r="P12" s="598"/>
    </row>
    <row r="13" spans="1:24" s="31" customFormat="1" ht="39" customHeight="1" x14ac:dyDescent="0.2">
      <c r="A13" s="592" t="s">
        <v>70</v>
      </c>
      <c r="B13" s="593"/>
      <c r="C13" s="593"/>
      <c r="D13" s="593"/>
      <c r="E13" s="593"/>
      <c r="F13" s="593"/>
      <c r="G13" s="594"/>
      <c r="H13" s="34"/>
      <c r="I13" s="34"/>
      <c r="J13" s="33"/>
      <c r="K13" s="604"/>
      <c r="L13" s="593"/>
      <c r="M13" s="593"/>
      <c r="N13" s="593"/>
      <c r="O13" s="593"/>
      <c r="P13" s="594"/>
    </row>
    <row r="14" spans="1:24" s="31" customFormat="1" ht="39" customHeight="1" x14ac:dyDescent="0.2">
      <c r="A14" s="592" t="s">
        <v>71</v>
      </c>
      <c r="B14" s="593"/>
      <c r="C14" s="593"/>
      <c r="D14" s="593"/>
      <c r="E14" s="593"/>
      <c r="F14" s="593"/>
      <c r="G14" s="594"/>
      <c r="H14" s="34"/>
      <c r="I14" s="34"/>
      <c r="J14" s="33"/>
      <c r="K14" s="592"/>
      <c r="L14" s="593"/>
      <c r="M14" s="593"/>
      <c r="N14" s="593"/>
      <c r="O14" s="593"/>
      <c r="P14" s="594"/>
    </row>
    <row r="15" spans="1:24" s="31" customFormat="1" ht="39" customHeight="1" x14ac:dyDescent="0.2">
      <c r="A15" s="592" t="s">
        <v>72</v>
      </c>
      <c r="B15" s="593"/>
      <c r="C15" s="593"/>
      <c r="D15" s="593"/>
      <c r="E15" s="593"/>
      <c r="F15" s="593"/>
      <c r="G15" s="594"/>
      <c r="H15" s="34"/>
      <c r="I15" s="34"/>
      <c r="J15" s="33"/>
      <c r="K15" s="592"/>
      <c r="L15" s="593"/>
      <c r="M15" s="593"/>
      <c r="N15" s="593"/>
      <c r="O15" s="593"/>
      <c r="P15" s="594"/>
    </row>
    <row r="16" spans="1:24" s="31" customFormat="1" ht="39" customHeight="1" x14ac:dyDescent="0.2">
      <c r="A16" s="592" t="s">
        <v>73</v>
      </c>
      <c r="B16" s="593"/>
      <c r="C16" s="593"/>
      <c r="D16" s="593"/>
      <c r="E16" s="593"/>
      <c r="F16" s="593"/>
      <c r="G16" s="594"/>
      <c r="H16" s="34"/>
      <c r="I16" s="34"/>
      <c r="J16" s="33"/>
      <c r="K16" s="592"/>
      <c r="L16" s="593"/>
      <c r="M16" s="593"/>
      <c r="N16" s="593"/>
      <c r="O16" s="593"/>
      <c r="P16" s="594"/>
    </row>
    <row r="17" spans="1:16" s="31" customFormat="1" ht="39" customHeight="1" x14ac:dyDescent="0.2">
      <c r="A17" s="601" t="s">
        <v>74</v>
      </c>
      <c r="B17" s="602"/>
      <c r="C17" s="602"/>
      <c r="D17" s="602"/>
      <c r="E17" s="602"/>
      <c r="F17" s="602"/>
      <c r="G17" s="602"/>
      <c r="H17" s="602"/>
      <c r="I17" s="602"/>
      <c r="J17" s="602"/>
      <c r="K17" s="602"/>
      <c r="L17" s="602"/>
      <c r="M17" s="602"/>
      <c r="N17" s="602"/>
      <c r="O17" s="602"/>
      <c r="P17" s="603"/>
    </row>
    <row r="18" spans="1:16" s="31" customFormat="1" ht="23.25" customHeight="1" x14ac:dyDescent="0.2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s="31" customFormat="1" ht="31.5" customHeight="1" x14ac:dyDescent="0.2">
      <c r="A19" s="600" t="s">
        <v>75</v>
      </c>
      <c r="B19" s="599"/>
      <c r="C19" s="599"/>
      <c r="D19" s="599"/>
      <c r="E19" s="599"/>
      <c r="F19" s="599"/>
      <c r="G19" s="597"/>
      <c r="H19" s="597"/>
      <c r="I19" s="597"/>
      <c r="J19" s="597"/>
      <c r="K19" s="597"/>
      <c r="L19" s="597"/>
      <c r="M19" s="597"/>
      <c r="N19" s="597"/>
      <c r="O19" s="597"/>
      <c r="P19" s="598"/>
    </row>
    <row r="20" spans="1:16" s="31" customFormat="1" ht="39" customHeight="1" x14ac:dyDescent="0.2">
      <c r="A20" s="596" t="s">
        <v>68</v>
      </c>
      <c r="B20" s="597"/>
      <c r="C20" s="597"/>
      <c r="D20" s="597"/>
      <c r="E20" s="597"/>
      <c r="F20" s="597"/>
      <c r="G20" s="598"/>
      <c r="H20" s="32" t="s">
        <v>61</v>
      </c>
      <c r="I20" s="366" t="s">
        <v>1</v>
      </c>
      <c r="J20" s="33" t="s">
        <v>2</v>
      </c>
      <c r="K20" s="596" t="s">
        <v>69</v>
      </c>
      <c r="L20" s="599"/>
      <c r="M20" s="597"/>
      <c r="N20" s="597"/>
      <c r="O20" s="597"/>
      <c r="P20" s="598"/>
    </row>
    <row r="21" spans="1:16" s="30" customFormat="1" ht="23.45" customHeight="1" x14ac:dyDescent="0.2">
      <c r="A21" s="592" t="s">
        <v>76</v>
      </c>
      <c r="B21" s="593"/>
      <c r="C21" s="593"/>
      <c r="D21" s="593"/>
      <c r="E21" s="593"/>
      <c r="F21" s="593"/>
      <c r="G21" s="594"/>
      <c r="H21" s="34"/>
      <c r="I21" s="34"/>
      <c r="J21" s="33"/>
      <c r="K21" s="592"/>
      <c r="L21" s="593"/>
      <c r="M21" s="593"/>
      <c r="N21" s="593"/>
      <c r="O21" s="593"/>
      <c r="P21" s="594"/>
    </row>
    <row r="22" spans="1:16" s="30" customFormat="1" ht="32.450000000000003" customHeight="1" x14ac:dyDescent="0.2">
      <c r="A22" s="592" t="s">
        <v>77</v>
      </c>
      <c r="B22" s="593"/>
      <c r="C22" s="593"/>
      <c r="D22" s="593"/>
      <c r="E22" s="593"/>
      <c r="F22" s="593"/>
      <c r="G22" s="594"/>
      <c r="H22" s="34"/>
      <c r="I22" s="34"/>
      <c r="J22" s="33"/>
      <c r="K22" s="592"/>
      <c r="L22" s="593"/>
      <c r="M22" s="593"/>
      <c r="N22" s="593"/>
      <c r="O22" s="593"/>
      <c r="P22" s="594"/>
    </row>
    <row r="23" spans="1:16" s="31" customFormat="1" ht="39" customHeight="1" x14ac:dyDescent="0.2">
      <c r="A23" s="592" t="s">
        <v>78</v>
      </c>
      <c r="B23" s="593"/>
      <c r="C23" s="593"/>
      <c r="D23" s="593"/>
      <c r="E23" s="593"/>
      <c r="F23" s="593"/>
      <c r="G23" s="594"/>
      <c r="H23" s="34"/>
      <c r="I23" s="34"/>
      <c r="J23" s="33"/>
      <c r="K23" s="592"/>
      <c r="L23" s="593"/>
      <c r="M23" s="593"/>
      <c r="N23" s="593"/>
      <c r="O23" s="593"/>
      <c r="P23" s="594"/>
    </row>
    <row r="24" spans="1:16" s="31" customFormat="1" ht="39" customHeight="1" x14ac:dyDescent="0.2">
      <c r="A24" s="592" t="s">
        <v>79</v>
      </c>
      <c r="B24" s="593"/>
      <c r="C24" s="593"/>
      <c r="D24" s="593"/>
      <c r="E24" s="593"/>
      <c r="F24" s="593"/>
      <c r="G24" s="594"/>
      <c r="H24" s="34"/>
      <c r="I24" s="34"/>
      <c r="J24" s="33"/>
      <c r="K24" s="592"/>
      <c r="L24" s="593"/>
      <c r="M24" s="593"/>
      <c r="N24" s="593"/>
      <c r="O24" s="593"/>
      <c r="P24" s="594"/>
    </row>
    <row r="25" spans="1:16" s="31" customFormat="1" ht="39" customHeight="1" x14ac:dyDescent="0.2">
      <c r="A25" s="592" t="s">
        <v>80</v>
      </c>
      <c r="B25" s="593"/>
      <c r="C25" s="593"/>
      <c r="D25" s="593"/>
      <c r="E25" s="593"/>
      <c r="F25" s="593"/>
      <c r="G25" s="594"/>
      <c r="H25" s="34"/>
      <c r="I25" s="34"/>
      <c r="J25" s="33"/>
      <c r="K25" s="592"/>
      <c r="L25" s="593"/>
      <c r="M25" s="593"/>
      <c r="N25" s="593"/>
      <c r="O25" s="593"/>
      <c r="P25" s="594"/>
    </row>
    <row r="26" spans="1:16" s="31" customFormat="1" ht="39" customHeight="1" x14ac:dyDescent="0.2">
      <c r="A26" s="592" t="s">
        <v>81</v>
      </c>
      <c r="B26" s="593"/>
      <c r="C26" s="593"/>
      <c r="D26" s="593"/>
      <c r="E26" s="593"/>
      <c r="F26" s="593"/>
      <c r="G26" s="594"/>
      <c r="H26" s="34"/>
      <c r="I26" s="34"/>
      <c r="J26" s="33"/>
      <c r="K26" s="592"/>
      <c r="L26" s="593"/>
      <c r="M26" s="593"/>
      <c r="N26" s="593"/>
      <c r="O26" s="593"/>
      <c r="P26" s="594"/>
    </row>
    <row r="27" spans="1:16" s="31" customFormat="1" ht="39" customHeight="1" x14ac:dyDescent="0.2">
      <c r="A27" s="595" t="s">
        <v>82</v>
      </c>
      <c r="B27" s="593"/>
      <c r="C27" s="593"/>
      <c r="D27" s="593"/>
      <c r="E27" s="593"/>
      <c r="F27" s="593"/>
      <c r="G27" s="594"/>
      <c r="H27" s="34"/>
      <c r="I27" s="34"/>
      <c r="J27" s="33"/>
      <c r="K27" s="592"/>
      <c r="L27" s="593"/>
      <c r="M27" s="593"/>
      <c r="N27" s="593"/>
      <c r="O27" s="593"/>
      <c r="P27" s="594"/>
    </row>
    <row r="28" spans="1:16" s="31" customFormat="1" ht="39" customHeight="1" x14ac:dyDescent="0.2">
      <c r="A28" s="592" t="s">
        <v>83</v>
      </c>
      <c r="B28" s="593"/>
      <c r="C28" s="593"/>
      <c r="D28" s="593"/>
      <c r="E28" s="593"/>
      <c r="F28" s="593"/>
      <c r="G28" s="594"/>
      <c r="H28" s="34"/>
      <c r="I28" s="34"/>
      <c r="J28" s="33"/>
      <c r="K28" s="592"/>
      <c r="L28" s="593"/>
      <c r="M28" s="593"/>
      <c r="N28" s="593"/>
      <c r="O28" s="593"/>
      <c r="P28" s="594"/>
    </row>
    <row r="29" spans="1:16" s="31" customFormat="1" ht="39" customHeight="1" x14ac:dyDescent="0.2">
      <c r="A29" s="595" t="s">
        <v>84</v>
      </c>
      <c r="B29" s="593"/>
      <c r="C29" s="593"/>
      <c r="D29" s="593"/>
      <c r="E29" s="593"/>
      <c r="F29" s="593"/>
      <c r="G29" s="594"/>
      <c r="H29" s="34"/>
      <c r="I29" s="34"/>
      <c r="J29" s="33"/>
      <c r="K29" s="592"/>
      <c r="L29" s="593"/>
      <c r="M29" s="593"/>
      <c r="N29" s="593"/>
      <c r="O29" s="593"/>
      <c r="P29" s="594"/>
    </row>
    <row r="30" spans="1:16" s="31" customFormat="1" ht="39" customHeight="1" x14ac:dyDescent="0.2">
      <c r="A30" s="592" t="s">
        <v>85</v>
      </c>
      <c r="B30" s="593"/>
      <c r="C30" s="593"/>
      <c r="D30" s="593"/>
      <c r="E30" s="593"/>
      <c r="F30" s="593"/>
      <c r="G30" s="594"/>
      <c r="H30" s="34"/>
      <c r="I30" s="34"/>
      <c r="J30" s="33"/>
      <c r="K30" s="592"/>
      <c r="L30" s="593"/>
      <c r="M30" s="593"/>
      <c r="N30" s="593"/>
      <c r="O30" s="593"/>
      <c r="P30" s="594"/>
    </row>
    <row r="31" spans="1:16" s="31" customFormat="1" ht="39" customHeight="1" x14ac:dyDescent="0.2">
      <c r="A31" s="592" t="s">
        <v>86</v>
      </c>
      <c r="B31" s="593"/>
      <c r="C31" s="593"/>
      <c r="D31" s="593"/>
      <c r="E31" s="593"/>
      <c r="F31" s="593"/>
      <c r="G31" s="594"/>
      <c r="H31" s="34"/>
      <c r="I31" s="34"/>
      <c r="J31" s="33"/>
      <c r="K31" s="592"/>
      <c r="L31" s="593"/>
      <c r="M31" s="593"/>
      <c r="N31" s="593"/>
      <c r="O31" s="593"/>
      <c r="P31" s="594"/>
    </row>
    <row r="32" spans="1:16" s="31" customFormat="1" ht="39" customHeight="1" x14ac:dyDescent="0.2">
      <c r="A32" s="592" t="s">
        <v>87</v>
      </c>
      <c r="B32" s="593"/>
      <c r="C32" s="593"/>
      <c r="D32" s="593"/>
      <c r="E32" s="593"/>
      <c r="F32" s="593"/>
      <c r="G32" s="594"/>
      <c r="H32" s="34"/>
      <c r="I32" s="34"/>
      <c r="J32" s="33"/>
      <c r="K32" s="592"/>
      <c r="L32" s="593"/>
      <c r="M32" s="593"/>
      <c r="N32" s="593"/>
      <c r="O32" s="593"/>
      <c r="P32" s="594"/>
    </row>
    <row r="33" spans="1:16" s="30" customFormat="1" ht="30" customHeight="1" x14ac:dyDescent="0.2">
      <c r="A33" s="592" t="s">
        <v>88</v>
      </c>
      <c r="B33" s="593"/>
      <c r="C33" s="593"/>
      <c r="D33" s="593"/>
      <c r="E33" s="593"/>
      <c r="F33" s="593"/>
      <c r="G33" s="594"/>
      <c r="H33" s="34"/>
      <c r="I33" s="34"/>
      <c r="J33" s="33"/>
      <c r="K33" s="592"/>
      <c r="L33" s="593"/>
      <c r="M33" s="593"/>
      <c r="N33" s="593"/>
      <c r="O33" s="593"/>
      <c r="P33" s="594"/>
    </row>
    <row r="34" spans="1:16" s="31" customFormat="1" ht="42.75" customHeight="1" x14ac:dyDescent="0.2">
      <c r="A34" s="589" t="s">
        <v>89</v>
      </c>
      <c r="B34" s="590"/>
      <c r="C34" s="590"/>
      <c r="D34" s="590"/>
      <c r="E34" s="590"/>
      <c r="F34" s="590"/>
      <c r="G34" s="590"/>
      <c r="H34" s="590"/>
      <c r="I34" s="590"/>
      <c r="J34" s="590"/>
      <c r="K34" s="590"/>
      <c r="L34" s="590"/>
      <c r="M34" s="590"/>
      <c r="N34" s="590"/>
      <c r="O34" s="590"/>
      <c r="P34" s="591"/>
    </row>
    <row r="35" spans="1:16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spans="1:16" ht="16.5" thickBo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spans="1:16" ht="16.5" thickTop="1" x14ac:dyDescent="0.25">
      <c r="A37" s="627" t="s">
        <v>90</v>
      </c>
      <c r="B37" s="628"/>
      <c r="C37" s="628"/>
      <c r="D37" s="628"/>
      <c r="E37" s="628"/>
      <c r="F37" s="628"/>
      <c r="G37" s="628"/>
      <c r="H37" s="628"/>
      <c r="I37" s="628"/>
      <c r="J37" s="628"/>
      <c r="K37" s="629"/>
      <c r="L37" s="629"/>
      <c r="M37" s="629" t="s">
        <v>91</v>
      </c>
      <c r="N37" s="629"/>
      <c r="O37" s="36"/>
      <c r="P37" s="37"/>
    </row>
    <row r="38" spans="1:16" x14ac:dyDescent="0.25">
      <c r="A38" s="622" t="s">
        <v>92</v>
      </c>
      <c r="B38" s="623"/>
      <c r="C38" s="623"/>
      <c r="D38" s="623"/>
      <c r="E38" s="623"/>
      <c r="F38" s="623"/>
      <c r="G38" s="623"/>
      <c r="H38" s="623"/>
      <c r="I38" s="623"/>
      <c r="J38" s="623"/>
      <c r="K38" s="35"/>
      <c r="L38" s="35"/>
      <c r="M38" s="35"/>
      <c r="N38" s="35"/>
      <c r="O38" s="35"/>
      <c r="P38" s="38"/>
    </row>
    <row r="39" spans="1:16" x14ac:dyDescent="0.25">
      <c r="A39" s="630"/>
      <c r="B39" s="619"/>
      <c r="C39" s="619"/>
      <c r="D39" s="619"/>
      <c r="E39" s="619"/>
      <c r="F39" s="619"/>
      <c r="G39" s="619"/>
      <c r="H39" s="619"/>
      <c r="I39" s="619"/>
      <c r="J39" s="619"/>
      <c r="K39" s="621"/>
      <c r="L39" s="621"/>
      <c r="M39" s="365"/>
      <c r="N39" s="365"/>
      <c r="O39" s="35"/>
      <c r="P39" s="38"/>
    </row>
    <row r="40" spans="1:16" x14ac:dyDescent="0.25">
      <c r="A40" s="618" t="s">
        <v>93</v>
      </c>
      <c r="B40" s="619"/>
      <c r="C40" s="619"/>
      <c r="D40" s="619"/>
      <c r="E40" s="619"/>
      <c r="F40" s="619"/>
      <c r="G40" s="619"/>
      <c r="H40" s="619"/>
      <c r="I40" s="619"/>
      <c r="J40" s="619"/>
      <c r="K40" s="620"/>
      <c r="L40" s="620"/>
      <c r="M40" s="621" t="s">
        <v>91</v>
      </c>
      <c r="N40" s="621"/>
      <c r="O40" s="35"/>
      <c r="P40" s="38"/>
    </row>
    <row r="41" spans="1:16" x14ac:dyDescent="0.25">
      <c r="A41" s="622" t="s">
        <v>92</v>
      </c>
      <c r="B41" s="623"/>
      <c r="C41" s="623"/>
      <c r="D41" s="623"/>
      <c r="E41" s="623"/>
      <c r="F41" s="623"/>
      <c r="G41" s="623"/>
      <c r="H41" s="623"/>
      <c r="I41" s="623"/>
      <c r="J41" s="623"/>
      <c r="K41" s="35"/>
      <c r="L41" s="35"/>
      <c r="M41" s="35"/>
      <c r="N41" s="35"/>
      <c r="O41" s="35"/>
      <c r="P41" s="38"/>
    </row>
    <row r="42" spans="1:16" ht="16.5" thickBot="1" x14ac:dyDescent="0.3">
      <c r="A42" s="624"/>
      <c r="B42" s="625"/>
      <c r="C42" s="625"/>
      <c r="D42" s="625"/>
      <c r="E42" s="625"/>
      <c r="F42" s="625"/>
      <c r="G42" s="625"/>
      <c r="H42" s="625"/>
      <c r="I42" s="625"/>
      <c r="J42" s="625"/>
      <c r="K42" s="625"/>
      <c r="L42" s="625"/>
      <c r="M42" s="625"/>
      <c r="N42" s="625"/>
      <c r="O42" s="625"/>
      <c r="P42" s="626"/>
    </row>
    <row r="43" spans="1:16" ht="16.5" thickTop="1" x14ac:dyDescent="0.25"/>
  </sheetData>
  <sheetProtection formatCells="0" formatColumns="0" formatRows="0" insertColumns="0" insertRows="0" insertHyperlinks="0" deleteColumns="0" deleteRows="0" sort="0" autoFilter="0" pivotTables="0"/>
  <mergeCells count="67">
    <mergeCell ref="A37:J37"/>
    <mergeCell ref="K37:L37"/>
    <mergeCell ref="M37:N37"/>
    <mergeCell ref="A38:J38"/>
    <mergeCell ref="A39:J39"/>
    <mergeCell ref="K39:L39"/>
    <mergeCell ref="A40:J40"/>
    <mergeCell ref="K40:L40"/>
    <mergeCell ref="M40:N40"/>
    <mergeCell ref="A41:J41"/>
    <mergeCell ref="A42:P42"/>
    <mergeCell ref="O9:P9"/>
    <mergeCell ref="D1:M2"/>
    <mergeCell ref="A3:P5"/>
    <mergeCell ref="E6:L7"/>
    <mergeCell ref="M6:N6"/>
    <mergeCell ref="O6:P6"/>
    <mergeCell ref="M7:N7"/>
    <mergeCell ref="O7:P7"/>
    <mergeCell ref="A9:C9"/>
    <mergeCell ref="D9:E9"/>
    <mergeCell ref="F9:I9"/>
    <mergeCell ref="J9:K9"/>
    <mergeCell ref="L9:N9"/>
    <mergeCell ref="O8:P8"/>
    <mergeCell ref="K15:P15"/>
    <mergeCell ref="A17:P17"/>
    <mergeCell ref="A11:P11"/>
    <mergeCell ref="A12:G12"/>
    <mergeCell ref="K12:P12"/>
    <mergeCell ref="A13:G13"/>
    <mergeCell ref="K13:P13"/>
    <mergeCell ref="A16:G16"/>
    <mergeCell ref="K16:P16"/>
    <mergeCell ref="A14:G14"/>
    <mergeCell ref="K14:P14"/>
    <mergeCell ref="A15:G15"/>
    <mergeCell ref="A24:G24"/>
    <mergeCell ref="K24:P24"/>
    <mergeCell ref="K21:P21"/>
    <mergeCell ref="A22:G22"/>
    <mergeCell ref="K22:P22"/>
    <mergeCell ref="A20:G20"/>
    <mergeCell ref="K20:P20"/>
    <mergeCell ref="A19:P19"/>
    <mergeCell ref="A21:G21"/>
    <mergeCell ref="A23:G23"/>
    <mergeCell ref="K23:P23"/>
    <mergeCell ref="A25:G25"/>
    <mergeCell ref="K25:P25"/>
    <mergeCell ref="A26:G26"/>
    <mergeCell ref="K26:P26"/>
    <mergeCell ref="A30:G30"/>
    <mergeCell ref="K30:P30"/>
    <mergeCell ref="A28:G28"/>
    <mergeCell ref="K28:P28"/>
    <mergeCell ref="A29:G29"/>
    <mergeCell ref="K29:P29"/>
    <mergeCell ref="A27:G27"/>
    <mergeCell ref="K27:P27"/>
    <mergeCell ref="A34:P34"/>
    <mergeCell ref="A31:G31"/>
    <mergeCell ref="K31:P31"/>
    <mergeCell ref="A33:G33"/>
    <mergeCell ref="K33:P33"/>
    <mergeCell ref="A32:G32"/>
    <mergeCell ref="K32:P32"/>
  </mergeCells>
  <dataValidations count="2">
    <dataValidation type="list" allowBlank="1" showInputMessage="1" showErrorMessage="1" sqref="O9:P9" xr:uid="{00000000-0002-0000-0100-000000000000}">
      <formula1>Diligences</formula1>
    </dataValidation>
    <dataValidation type="list" showInputMessage="1" showErrorMessage="1" sqref="D9:E9" xr:uid="{00000000-0002-0000-0100-000001000000}">
      <formula1>RAS</formula1>
    </dataValidation>
  </dataValidations>
  <hyperlinks>
    <hyperlink ref="O8:P8" location="'S Synthèse'!A1" display="S Synthèse" xr:uid="{00000000-0004-0000-01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showGridLines="0" zoomScaleNormal="100" workbookViewId="0">
      <selection activeCell="A15" sqref="A15"/>
    </sheetView>
  </sheetViews>
  <sheetFormatPr baseColWidth="10" defaultColWidth="11.42578125" defaultRowHeight="15" x14ac:dyDescent="0.25"/>
  <cols>
    <col min="1" max="2" width="14.7109375" style="26" customWidth="1"/>
    <col min="3" max="3" width="21.7109375" style="26" customWidth="1"/>
    <col min="4" max="4" width="14.7109375" style="26" customWidth="1"/>
    <col min="5" max="5" width="15.5703125" style="26" customWidth="1"/>
    <col min="6" max="8" width="14.7109375" style="26" customWidth="1"/>
    <col min="9" max="9" width="34.7109375" style="26" bestFit="1" customWidth="1"/>
    <col min="10" max="16" width="14.7109375" style="26" customWidth="1"/>
    <col min="17" max="16384" width="11.42578125" style="26"/>
  </cols>
  <sheetData>
    <row r="1" spans="1:21" s="42" customFormat="1" ht="15" customHeight="1" x14ac:dyDescent="0.2">
      <c r="A1" s="11"/>
      <c r="B1" s="12"/>
      <c r="C1" s="12"/>
      <c r="D1" s="607"/>
      <c r="E1" s="608"/>
      <c r="F1" s="608"/>
      <c r="G1" s="608"/>
      <c r="H1" s="608"/>
      <c r="I1" s="608"/>
      <c r="J1" s="608"/>
      <c r="K1" s="608"/>
      <c r="L1" s="608"/>
      <c r="M1" s="609"/>
      <c r="N1" s="12"/>
      <c r="O1" s="12"/>
      <c r="P1" s="13"/>
    </row>
    <row r="2" spans="1:21" s="42" customFormat="1" ht="15" customHeight="1" thickBot="1" x14ac:dyDescent="0.25">
      <c r="A2" s="14"/>
      <c r="B2" s="15"/>
      <c r="C2" s="15"/>
      <c r="D2" s="610"/>
      <c r="E2" s="611"/>
      <c r="F2" s="611"/>
      <c r="G2" s="611"/>
      <c r="H2" s="611"/>
      <c r="I2" s="611"/>
      <c r="J2" s="611"/>
      <c r="K2" s="611"/>
      <c r="L2" s="611"/>
      <c r="M2" s="612"/>
      <c r="N2" s="15"/>
      <c r="O2" s="15"/>
      <c r="P2" s="16"/>
    </row>
    <row r="3" spans="1:21" ht="15" customHeight="1" x14ac:dyDescent="0.25">
      <c r="A3" s="565" t="s">
        <v>63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7"/>
      <c r="R3" s="4"/>
      <c r="T3" s="6"/>
      <c r="U3" s="6"/>
    </row>
    <row r="4" spans="1:21" ht="15" customHeight="1" x14ac:dyDescent="0.25">
      <c r="A4" s="565"/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7"/>
      <c r="R4" s="4"/>
      <c r="T4" s="6"/>
      <c r="U4" s="6"/>
    </row>
    <row r="5" spans="1:21" ht="15" customHeight="1" thickBot="1" x14ac:dyDescent="0.3">
      <c r="A5" s="568"/>
      <c r="B5" s="569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70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194" t="str">
        <f>'S Synthèse'!B6</f>
        <v>BRA</v>
      </c>
      <c r="C6" s="18" t="s">
        <v>6</v>
      </c>
      <c r="D6" s="194">
        <f>'S Synthèse'!D6</f>
        <v>0</v>
      </c>
      <c r="E6" s="577" t="s">
        <v>94</v>
      </c>
      <c r="F6" s="578"/>
      <c r="G6" s="578"/>
      <c r="H6" s="578"/>
      <c r="I6" s="578"/>
      <c r="J6" s="578"/>
      <c r="K6" s="578"/>
      <c r="L6" s="579"/>
      <c r="M6" s="583" t="s">
        <v>8</v>
      </c>
      <c r="N6" s="584"/>
      <c r="O6" s="585" t="s">
        <v>9</v>
      </c>
      <c r="P6" s="586"/>
      <c r="R6" s="42"/>
      <c r="S6" s="42"/>
    </row>
    <row r="7" spans="1:21" ht="15" customHeight="1" thickBot="1" x14ac:dyDescent="0.3">
      <c r="A7" s="19" t="s">
        <v>11</v>
      </c>
      <c r="B7" s="195"/>
      <c r="C7" s="19" t="s">
        <v>11</v>
      </c>
      <c r="D7" s="195">
        <f>'S Synthèse'!D7</f>
        <v>0</v>
      </c>
      <c r="E7" s="580"/>
      <c r="F7" s="581"/>
      <c r="G7" s="581"/>
      <c r="H7" s="581"/>
      <c r="I7" s="581"/>
      <c r="J7" s="581"/>
      <c r="K7" s="581"/>
      <c r="L7" s="582"/>
      <c r="M7" s="613" t="str">
        <f>'S Synthèse'!M7:N7</f>
        <v>31/12/N</v>
      </c>
      <c r="N7" s="614"/>
      <c r="O7" s="587" t="s">
        <v>23</v>
      </c>
      <c r="P7" s="588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104.45" customHeight="1" thickBot="1" x14ac:dyDescent="0.3">
      <c r="A11" s="638" t="s">
        <v>95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60" customHeight="1" thickBot="1" x14ac:dyDescent="0.3">
      <c r="A14" s="531" t="s">
        <v>287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16" x14ac:dyDescent="0.25">
      <c r="A17" s="52" t="s">
        <v>97</v>
      </c>
      <c r="C17" s="53"/>
      <c r="D17" s="49"/>
      <c r="E17" s="49"/>
      <c r="F17" s="49"/>
      <c r="G17" s="49"/>
      <c r="H17" s="49"/>
      <c r="I17" s="49"/>
      <c r="J17" s="49"/>
      <c r="K17" s="49"/>
      <c r="L17" s="49"/>
      <c r="M17" s="49"/>
      <c r="P17" s="164"/>
    </row>
    <row r="18" spans="1:16" x14ac:dyDescent="0.25">
      <c r="A18" s="165"/>
      <c r="B18" s="53"/>
      <c r="C18" s="53"/>
      <c r="D18" s="49"/>
      <c r="E18" s="49"/>
      <c r="F18" s="49"/>
      <c r="G18" s="49"/>
      <c r="H18" s="49"/>
      <c r="I18" s="49"/>
      <c r="J18" s="49"/>
      <c r="K18" s="49"/>
      <c r="L18" s="49"/>
      <c r="M18" s="49"/>
      <c r="P18" s="164"/>
    </row>
    <row r="19" spans="1:16" x14ac:dyDescent="0.25">
      <c r="A19" s="165"/>
      <c r="B19" s="49"/>
      <c r="C19" s="49"/>
      <c r="D19" s="49"/>
      <c r="E19" s="49"/>
      <c r="F19" s="49"/>
      <c r="G19" s="49"/>
      <c r="H19" s="49"/>
      <c r="I19" s="637" t="s">
        <v>98</v>
      </c>
      <c r="J19" s="637"/>
      <c r="K19" s="49"/>
      <c r="L19" s="49"/>
      <c r="P19" s="164"/>
    </row>
    <row r="20" spans="1:16" s="150" customFormat="1" ht="30" x14ac:dyDescent="0.25">
      <c r="A20" s="166"/>
      <c r="B20" s="634" t="s">
        <v>99</v>
      </c>
      <c r="C20" s="378" t="s">
        <v>100</v>
      </c>
      <c r="D20" s="367" t="s">
        <v>101</v>
      </c>
      <c r="E20" s="367" t="s">
        <v>101</v>
      </c>
      <c r="F20" s="634" t="s">
        <v>102</v>
      </c>
      <c r="G20" s="40"/>
      <c r="H20" s="158" t="s">
        <v>103</v>
      </c>
      <c r="I20" s="636" t="s">
        <v>104</v>
      </c>
      <c r="J20" s="636" t="s">
        <v>105</v>
      </c>
      <c r="K20" s="160" t="s">
        <v>103</v>
      </c>
      <c r="L20" s="55"/>
      <c r="M20" s="54" t="s">
        <v>106</v>
      </c>
      <c r="P20" s="167"/>
    </row>
    <row r="21" spans="1:16" s="150" customFormat="1" x14ac:dyDescent="0.25">
      <c r="A21" s="166"/>
      <c r="B21" s="635"/>
      <c r="C21" s="379"/>
      <c r="D21" s="368" t="s">
        <v>107</v>
      </c>
      <c r="E21" s="368" t="s">
        <v>108</v>
      </c>
      <c r="F21" s="635"/>
      <c r="G21" s="40"/>
      <c r="H21" s="159" t="str">
        <f>+E21</f>
        <v>31/12/N-1</v>
      </c>
      <c r="I21" s="636"/>
      <c r="J21" s="636"/>
      <c r="K21" s="161" t="str">
        <f>+D21</f>
        <v>31/12/N</v>
      </c>
      <c r="L21" s="55"/>
      <c r="M21" s="56" t="str">
        <f>+D21</f>
        <v>31/12/N</v>
      </c>
      <c r="P21" s="167"/>
    </row>
    <row r="22" spans="1:16" s="42" customFormat="1" ht="16.5" customHeight="1" x14ac:dyDescent="0.2">
      <c r="A22" s="168"/>
      <c r="B22" s="155"/>
      <c r="C22" s="376" t="s">
        <v>109</v>
      </c>
      <c r="D22" s="140" t="e">
        <f>#REF!+#REF!+#REF!+#REF!+#REF!+#REF!</f>
        <v>#REF!</v>
      </c>
      <c r="E22" s="140" t="e">
        <f>#REF!+#REF!+#REF!+#REF!</f>
        <v>#REF!</v>
      </c>
      <c r="F22" s="141" t="e">
        <f>D22-E22</f>
        <v>#REF!</v>
      </c>
      <c r="G22" s="142"/>
      <c r="H22" s="141" t="e">
        <f>-#REF!-#REF!</f>
        <v>#REF!</v>
      </c>
      <c r="I22" s="141" t="e">
        <f>-(#REF!)</f>
        <v>#REF!</v>
      </c>
      <c r="J22" s="141" t="e">
        <f>H22</f>
        <v>#REF!</v>
      </c>
      <c r="K22" s="141" t="e">
        <f>+H22+I22-J22</f>
        <v>#REF!</v>
      </c>
      <c r="L22" s="143"/>
      <c r="M22" s="141" t="e">
        <f>+D22-K22</f>
        <v>#REF!</v>
      </c>
      <c r="P22" s="169"/>
    </row>
    <row r="23" spans="1:16" s="42" customFormat="1" ht="16.5" customHeight="1" x14ac:dyDescent="0.2">
      <c r="A23" s="168"/>
      <c r="B23" s="155"/>
      <c r="C23" s="204" t="s">
        <v>110</v>
      </c>
      <c r="D23" s="140" t="e">
        <f>#REF!+#REF!</f>
        <v>#REF!</v>
      </c>
      <c r="E23" s="140" t="e">
        <f>#REF!+#REF!</f>
        <v>#REF!</v>
      </c>
      <c r="F23" s="141" t="e">
        <f t="shared" ref="F23:F24" si="0">D23-E23</f>
        <v>#REF!</v>
      </c>
      <c r="G23" s="142"/>
      <c r="H23" s="140" t="e">
        <f>-#REF!-#REF!</f>
        <v>#REF!</v>
      </c>
      <c r="I23" s="140" t="e">
        <f>-#REF!-#REF!</f>
        <v>#REF!</v>
      </c>
      <c r="J23" s="140" t="e">
        <f>H23</f>
        <v>#REF!</v>
      </c>
      <c r="K23" s="141" t="e">
        <f t="shared" ref="K23:K24" si="1">+H23+I23-J23</f>
        <v>#REF!</v>
      </c>
      <c r="L23" s="143"/>
      <c r="M23" s="141" t="e">
        <f t="shared" ref="M23:M24" si="2">+D23-K23</f>
        <v>#REF!</v>
      </c>
      <c r="P23" s="169"/>
    </row>
    <row r="24" spans="1:16" s="42" customFormat="1" ht="16.5" customHeight="1" x14ac:dyDescent="0.2">
      <c r="A24" s="168"/>
      <c r="B24" s="155"/>
      <c r="C24" s="204" t="s">
        <v>111</v>
      </c>
      <c r="D24" s="140" t="e">
        <f>SUM(#REF!)+#REF!+#REF!</f>
        <v>#REF!</v>
      </c>
      <c r="E24" s="140" t="e">
        <f>SUM(#REF!)+#REF!+#REF!</f>
        <v>#REF!</v>
      </c>
      <c r="F24" s="141" t="e">
        <f t="shared" si="0"/>
        <v>#REF!</v>
      </c>
      <c r="G24" s="142"/>
      <c r="H24" s="140" t="e">
        <f>-#REF!-#REF!</f>
        <v>#REF!</v>
      </c>
      <c r="I24" s="140" t="e">
        <f>-#REF!-#REF!</f>
        <v>#REF!</v>
      </c>
      <c r="J24" s="140" t="e">
        <f>H24</f>
        <v>#REF!</v>
      </c>
      <c r="K24" s="141" t="e">
        <f t="shared" si="1"/>
        <v>#REF!</v>
      </c>
      <c r="L24" s="143"/>
      <c r="M24" s="141" t="e">
        <f t="shared" si="2"/>
        <v>#REF!</v>
      </c>
      <c r="P24" s="169"/>
    </row>
    <row r="25" spans="1:16" s="42" customFormat="1" ht="15.75" thickBot="1" x14ac:dyDescent="0.25">
      <c r="A25" s="168"/>
      <c r="B25" s="156"/>
      <c r="C25" s="377" t="s">
        <v>112</v>
      </c>
      <c r="D25" s="146" t="e">
        <f>SUM(D22:D24)</f>
        <v>#REF!</v>
      </c>
      <c r="E25" s="146" t="e">
        <f>SUM(E22:E24)</f>
        <v>#REF!</v>
      </c>
      <c r="F25" s="146" t="e">
        <f>SUM(F22:F24)</f>
        <v>#REF!</v>
      </c>
      <c r="G25" s="145"/>
      <c r="H25" s="146" t="e">
        <f>SUM(H22:H24)</f>
        <v>#REF!</v>
      </c>
      <c r="I25" s="205" t="e">
        <f>SUM(I22:I24)</f>
        <v>#REF!</v>
      </c>
      <c r="J25" s="205" t="e">
        <f>SUM(J22:J24)</f>
        <v>#REF!</v>
      </c>
      <c r="K25" s="206" t="e">
        <f>SUM(K22:K24)</f>
        <v>#REF!</v>
      </c>
      <c r="L25" s="147"/>
      <c r="M25" s="144" t="e">
        <f>SUM(M22:M24)</f>
        <v>#REF!</v>
      </c>
      <c r="P25" s="169"/>
    </row>
    <row r="26" spans="1:16" ht="15.75" thickTop="1" x14ac:dyDescent="0.25">
      <c r="A26" s="165"/>
      <c r="B26" s="39"/>
      <c r="C26" s="39"/>
      <c r="D26" s="64" t="s">
        <v>113</v>
      </c>
      <c r="E26" s="64" t="s">
        <v>114</v>
      </c>
      <c r="F26" s="40" t="s">
        <v>115</v>
      </c>
      <c r="G26" s="39"/>
      <c r="H26" s="62" t="s">
        <v>114</v>
      </c>
      <c r="I26" s="66" t="s">
        <v>116</v>
      </c>
      <c r="J26" s="66" t="s">
        <v>117</v>
      </c>
      <c r="K26" s="64" t="s">
        <v>113</v>
      </c>
      <c r="L26" s="39"/>
      <c r="M26" s="63" t="e">
        <f>D25-K25-M25</f>
        <v>#REF!</v>
      </c>
      <c r="P26" s="164"/>
    </row>
    <row r="27" spans="1:16" ht="15.75" x14ac:dyDescent="0.3">
      <c r="A27" s="165"/>
      <c r="B27" s="39"/>
      <c r="C27" s="39"/>
      <c r="D27" s="39"/>
      <c r="E27" s="39"/>
      <c r="F27" s="40"/>
      <c r="G27" s="39"/>
      <c r="H27" s="39"/>
      <c r="I27" s="514"/>
      <c r="J27" s="64" t="s">
        <v>270</v>
      </c>
      <c r="K27" s="39"/>
      <c r="L27" s="39"/>
      <c r="M27" s="65"/>
      <c r="P27" s="164"/>
    </row>
    <row r="28" spans="1:16" x14ac:dyDescent="0.25">
      <c r="A28" s="165"/>
      <c r="B28" s="39"/>
      <c r="C28" s="39"/>
      <c r="D28" s="39"/>
      <c r="E28" s="39"/>
      <c r="F28" s="40"/>
      <c r="G28" s="39"/>
      <c r="H28" s="39"/>
      <c r="I28" s="515"/>
      <c r="J28" s="66"/>
      <c r="K28" s="39"/>
      <c r="L28" s="39"/>
      <c r="M28" s="65"/>
      <c r="P28" s="164"/>
    </row>
    <row r="29" spans="1:16" x14ac:dyDescent="0.25">
      <c r="A29" s="165"/>
      <c r="B29" s="39"/>
      <c r="C29" s="39"/>
      <c r="D29" s="39"/>
      <c r="E29" s="39"/>
      <c r="F29" s="40"/>
      <c r="G29" s="39"/>
      <c r="H29" s="39"/>
      <c r="I29" s="515"/>
      <c r="J29" s="66"/>
      <c r="K29" s="39"/>
      <c r="L29" s="39"/>
      <c r="M29" s="65"/>
      <c r="P29" s="164"/>
    </row>
    <row r="30" spans="1:16" x14ac:dyDescent="0.25">
      <c r="A30" s="165"/>
      <c r="B30" s="39"/>
      <c r="C30" s="39"/>
      <c r="D30" s="39"/>
      <c r="E30" s="39"/>
      <c r="F30" s="40"/>
      <c r="G30" s="39"/>
      <c r="H30" s="39"/>
      <c r="I30" s="515"/>
      <c r="J30" s="66"/>
      <c r="K30" s="39"/>
      <c r="L30" s="39"/>
      <c r="M30" s="65"/>
      <c r="P30" s="164"/>
    </row>
    <row r="31" spans="1:16" x14ac:dyDescent="0.25">
      <c r="A31" s="165"/>
      <c r="B31" s="39"/>
      <c r="C31" s="39"/>
      <c r="D31" s="39"/>
      <c r="E31" s="39"/>
      <c r="F31" s="39"/>
      <c r="G31" s="40"/>
      <c r="H31" s="39"/>
      <c r="I31" s="39"/>
      <c r="J31" s="66"/>
      <c r="K31" s="66"/>
      <c r="L31" s="39"/>
      <c r="M31" s="39"/>
      <c r="N31" s="65"/>
      <c r="P31" s="164"/>
    </row>
    <row r="32" spans="1:16" x14ac:dyDescent="0.25">
      <c r="A32" s="47" t="s">
        <v>118</v>
      </c>
      <c r="C32" s="39"/>
      <c r="D32" s="39"/>
      <c r="E32" s="39"/>
      <c r="F32" s="39"/>
      <c r="G32" s="39"/>
      <c r="H32" s="39"/>
      <c r="I32" s="631" t="s">
        <v>119</v>
      </c>
      <c r="J32" s="631"/>
      <c r="K32" s="631"/>
      <c r="L32" s="631"/>
      <c r="M32" s="39"/>
      <c r="N32" s="65"/>
      <c r="P32" s="164"/>
    </row>
    <row r="33" spans="1:16" x14ac:dyDescent="0.25">
      <c r="A33" s="165"/>
      <c r="B33" s="39"/>
      <c r="C33" s="65"/>
      <c r="D33" s="65"/>
      <c r="E33" s="67"/>
      <c r="F33" s="39"/>
      <c r="G33" s="39"/>
      <c r="H33" s="39"/>
      <c r="I33" s="632"/>
      <c r="J33" s="632"/>
      <c r="K33" s="632"/>
      <c r="L33" s="67"/>
      <c r="M33" s="39"/>
      <c r="N33" s="39"/>
      <c r="P33" s="164"/>
    </row>
    <row r="34" spans="1:16" x14ac:dyDescent="0.25">
      <c r="A34" s="165"/>
      <c r="B34" s="157"/>
      <c r="C34" s="72"/>
      <c r="D34" s="72"/>
      <c r="E34" s="367" t="s">
        <v>120</v>
      </c>
      <c r="F34" s="65"/>
      <c r="G34" s="68"/>
      <c r="H34" s="39"/>
      <c r="I34" s="632"/>
      <c r="J34" s="632"/>
      <c r="K34" s="632"/>
      <c r="L34" s="367" t="s">
        <v>120</v>
      </c>
      <c r="M34" s="65"/>
      <c r="N34" s="39"/>
      <c r="P34" s="164"/>
    </row>
    <row r="35" spans="1:16" x14ac:dyDescent="0.25">
      <c r="A35" s="165"/>
      <c r="B35" s="151"/>
      <c r="C35" s="65"/>
      <c r="D35" s="65"/>
      <c r="E35" s="368" t="str">
        <f>+D21</f>
        <v>31/12/N</v>
      </c>
      <c r="F35" s="65"/>
      <c r="G35" s="39"/>
      <c r="H35" s="65"/>
      <c r="I35" s="69"/>
      <c r="J35" s="65"/>
      <c r="K35" s="65"/>
      <c r="L35" s="368" t="str">
        <f>+D21</f>
        <v>31/12/N</v>
      </c>
      <c r="M35" s="65"/>
      <c r="N35" s="39"/>
      <c r="P35" s="164"/>
    </row>
    <row r="36" spans="1:16" x14ac:dyDescent="0.25">
      <c r="A36" s="165"/>
      <c r="B36" s="152">
        <v>603100</v>
      </c>
      <c r="C36" s="72" t="s">
        <v>271</v>
      </c>
      <c r="D36" s="70"/>
      <c r="E36" s="207" t="e">
        <f>#REF!</f>
        <v>#REF!</v>
      </c>
      <c r="F36" s="39"/>
      <c r="G36" s="39"/>
      <c r="H36" s="41"/>
      <c r="I36" s="71" t="s">
        <v>121</v>
      </c>
      <c r="J36" s="72" t="s">
        <v>122</v>
      </c>
      <c r="K36" s="73"/>
      <c r="L36" s="57" t="e">
        <f>#REF!</f>
        <v>#REF!</v>
      </c>
      <c r="M36" s="65"/>
      <c r="N36" s="39"/>
      <c r="P36" s="164"/>
    </row>
    <row r="37" spans="1:16" x14ac:dyDescent="0.25">
      <c r="A37" s="165"/>
      <c r="B37" s="153">
        <v>603110</v>
      </c>
      <c r="C37" s="39" t="s">
        <v>123</v>
      </c>
      <c r="D37" s="80"/>
      <c r="E37" s="208"/>
      <c r="F37" s="39"/>
      <c r="G37" s="39"/>
      <c r="H37" s="41"/>
      <c r="I37" s="75"/>
      <c r="J37" s="74"/>
      <c r="K37" s="76"/>
      <c r="L37" s="58"/>
      <c r="M37" s="65"/>
      <c r="N37" s="39"/>
      <c r="P37" s="164"/>
    </row>
    <row r="38" spans="1:16" ht="15.75" thickBot="1" x14ac:dyDescent="0.3">
      <c r="A38" s="165"/>
      <c r="B38" s="152"/>
      <c r="C38" s="211" t="s">
        <v>124</v>
      </c>
      <c r="D38" s="148"/>
      <c r="E38" s="209" t="e">
        <f>SUM(E36:E37)</f>
        <v>#REF!</v>
      </c>
      <c r="F38" s="39"/>
      <c r="G38" s="39"/>
      <c r="H38" s="50"/>
      <c r="I38" s="78"/>
      <c r="J38" s="59" t="s">
        <v>112</v>
      </c>
      <c r="K38" s="79"/>
      <c r="L38" s="61" t="e">
        <f>SUM(L36:L37)</f>
        <v>#REF!</v>
      </c>
      <c r="M38" s="65"/>
      <c r="N38" s="39"/>
      <c r="P38" s="164"/>
    </row>
    <row r="39" spans="1:16" ht="16.5" thickTop="1" thickBot="1" x14ac:dyDescent="0.3">
      <c r="A39" s="165"/>
      <c r="B39" s="153"/>
      <c r="C39" s="39"/>
      <c r="D39" s="80"/>
      <c r="E39" s="210"/>
      <c r="F39" s="39"/>
      <c r="G39" s="39"/>
      <c r="H39" s="39"/>
      <c r="I39" s="81" t="s">
        <v>125</v>
      </c>
      <c r="J39" s="82"/>
      <c r="K39" s="83"/>
      <c r="L39" s="84" t="e">
        <f>+L38-I25</f>
        <v>#REF!</v>
      </c>
      <c r="M39" s="65"/>
      <c r="N39" s="39"/>
      <c r="P39" s="164"/>
    </row>
    <row r="40" spans="1:16" ht="15.75" thickTop="1" x14ac:dyDescent="0.25">
      <c r="A40" s="165"/>
      <c r="B40" s="153">
        <v>713310</v>
      </c>
      <c r="C40" s="39" t="s">
        <v>126</v>
      </c>
      <c r="D40" s="80"/>
      <c r="E40" s="210" t="e">
        <f>#REF!</f>
        <v>#REF!</v>
      </c>
      <c r="F40" s="39"/>
      <c r="G40" s="39"/>
      <c r="H40" s="39"/>
      <c r="I40" s="85"/>
      <c r="J40" s="65"/>
      <c r="K40" s="65"/>
      <c r="L40" s="86" t="s">
        <v>116</v>
      </c>
      <c r="M40" s="65"/>
      <c r="N40" s="39"/>
      <c r="P40" s="164"/>
    </row>
    <row r="41" spans="1:16" x14ac:dyDescent="0.25">
      <c r="A41" s="165"/>
      <c r="B41" s="75"/>
      <c r="C41" s="149" t="s">
        <v>127</v>
      </c>
      <c r="D41" s="212"/>
      <c r="E41" s="209" t="e">
        <f>SUM(E40:E40)</f>
        <v>#REF!</v>
      </c>
      <c r="F41" s="49"/>
      <c r="G41" s="49"/>
      <c r="H41" s="49"/>
      <c r="I41" s="633"/>
      <c r="J41" s="633"/>
      <c r="K41" s="633"/>
      <c r="L41" s="87" t="s">
        <v>120</v>
      </c>
      <c r="M41" s="49"/>
      <c r="N41" s="49"/>
      <c r="P41" s="164"/>
    </row>
    <row r="42" spans="1:16" ht="15.75" thickBot="1" x14ac:dyDescent="0.3">
      <c r="A42" s="165"/>
      <c r="B42" s="154"/>
      <c r="C42" s="88" t="s">
        <v>112</v>
      </c>
      <c r="D42" s="139"/>
      <c r="E42" s="60" t="e">
        <f>-E38+E41</f>
        <v>#REF!</v>
      </c>
      <c r="F42" s="49"/>
      <c r="G42" s="49"/>
      <c r="H42" s="49"/>
      <c r="I42" s="69"/>
      <c r="J42" s="65"/>
      <c r="K42" s="65"/>
      <c r="L42" s="368" t="str">
        <f>+D21</f>
        <v>31/12/N</v>
      </c>
      <c r="M42" s="49"/>
      <c r="N42" s="49"/>
      <c r="P42" s="164"/>
    </row>
    <row r="43" spans="1:16" ht="16.5" thickTop="1" thickBot="1" x14ac:dyDescent="0.3">
      <c r="A43" s="165"/>
      <c r="B43" s="81" t="s">
        <v>128</v>
      </c>
      <c r="C43" s="82"/>
      <c r="D43" s="82"/>
      <c r="E43" s="84" t="e">
        <f>E42-F25</f>
        <v>#REF!</v>
      </c>
      <c r="F43" s="51" t="s">
        <v>129</v>
      </c>
      <c r="G43" s="49"/>
      <c r="H43" s="49"/>
      <c r="I43" s="71" t="s">
        <v>130</v>
      </c>
      <c r="J43" s="72" t="s">
        <v>131</v>
      </c>
      <c r="K43" s="73"/>
      <c r="L43" s="57" t="e">
        <f>#REF!</f>
        <v>#REF!</v>
      </c>
      <c r="M43" s="49"/>
      <c r="N43" s="49"/>
      <c r="P43" s="164"/>
    </row>
    <row r="44" spans="1:16" ht="15.75" thickTop="1" x14ac:dyDescent="0.25">
      <c r="A44" s="165"/>
      <c r="B44" s="85"/>
      <c r="C44" s="65"/>
      <c r="D44" s="65"/>
      <c r="E44" s="40" t="s">
        <v>115</v>
      </c>
      <c r="F44" s="49"/>
      <c r="G44" s="49"/>
      <c r="H44" s="49"/>
      <c r="I44" s="75"/>
      <c r="J44" s="74"/>
      <c r="K44" s="76"/>
      <c r="L44" s="77"/>
      <c r="M44" s="49"/>
      <c r="N44" s="49"/>
      <c r="P44" s="164"/>
    </row>
    <row r="45" spans="1:16" ht="15.75" thickBot="1" x14ac:dyDescent="0.3">
      <c r="A45" s="165"/>
      <c r="B45" s="85"/>
      <c r="C45" s="65"/>
      <c r="D45" s="65"/>
      <c r="E45" s="64" t="s">
        <v>113</v>
      </c>
      <c r="F45" s="49"/>
      <c r="G45" s="49"/>
      <c r="H45" s="49"/>
      <c r="I45" s="78"/>
      <c r="J45" s="59" t="s">
        <v>112</v>
      </c>
      <c r="K45" s="89"/>
      <c r="L45" s="60" t="e">
        <f>SUM(L43:L44)</f>
        <v>#REF!</v>
      </c>
      <c r="M45" s="49"/>
      <c r="N45" s="49"/>
      <c r="P45" s="164"/>
    </row>
    <row r="46" spans="1:16" ht="16.5" thickTop="1" thickBot="1" x14ac:dyDescent="0.3">
      <c r="A46" s="165"/>
      <c r="B46" s="85"/>
      <c r="C46" s="65"/>
      <c r="D46" s="90"/>
      <c r="E46" s="49"/>
      <c r="F46" s="49"/>
      <c r="G46" s="49"/>
      <c r="I46" s="81" t="s">
        <v>132</v>
      </c>
      <c r="J46" s="82"/>
      <c r="K46" s="83"/>
      <c r="L46" s="84" t="e">
        <f>-L45+J25</f>
        <v>#REF!</v>
      </c>
      <c r="M46" s="49"/>
      <c r="P46" s="164"/>
    </row>
    <row r="47" spans="1:16" ht="15.75" thickTop="1" x14ac:dyDescent="0.25">
      <c r="A47" s="165"/>
      <c r="K47" s="64" t="s">
        <v>113</v>
      </c>
      <c r="L47" s="86" t="s">
        <v>117</v>
      </c>
      <c r="P47" s="164"/>
    </row>
    <row r="48" spans="1:16" ht="15.75" thickBot="1" x14ac:dyDescent="0.3">
      <c r="A48" s="170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71"/>
    </row>
  </sheetData>
  <sheetProtection formatCells="0" formatColumns="0" formatRows="0" insertColumns="0" insertRows="0" insertHyperlinks="0" deleteColumns="0" deleteRows="0" sort="0" autoFilter="0" pivotTables="0"/>
  <mergeCells count="25">
    <mergeCell ref="O8:P8"/>
    <mergeCell ref="I19:J19"/>
    <mergeCell ref="J9:K9"/>
    <mergeCell ref="L9:N9"/>
    <mergeCell ref="A11:P11"/>
    <mergeCell ref="A13:P13"/>
    <mergeCell ref="A14:P14"/>
    <mergeCell ref="O9:P9"/>
    <mergeCell ref="A9:C9"/>
    <mergeCell ref="D9:E9"/>
    <mergeCell ref="F9:I9"/>
    <mergeCell ref="D1:M2"/>
    <mergeCell ref="A3:P5"/>
    <mergeCell ref="E6:L7"/>
    <mergeCell ref="M6:N6"/>
    <mergeCell ref="O6:P6"/>
    <mergeCell ref="M7:N7"/>
    <mergeCell ref="O7:P7"/>
    <mergeCell ref="I32:L32"/>
    <mergeCell ref="I33:K34"/>
    <mergeCell ref="I41:K41"/>
    <mergeCell ref="B20:B21"/>
    <mergeCell ref="F20:F21"/>
    <mergeCell ref="I20:I21"/>
    <mergeCell ref="J20:J21"/>
  </mergeCells>
  <dataValidations count="2">
    <dataValidation type="list" allowBlank="1" showInputMessage="1" showErrorMessage="1" sqref="O9:P9" xr:uid="{00000000-0002-0000-0200-000000000000}">
      <formula1>Diligences</formula1>
    </dataValidation>
    <dataValidation type="list" showInputMessage="1" showErrorMessage="1" sqref="D9:E9" xr:uid="{00000000-0002-0000-0200-000001000000}">
      <formula1>RAS</formula1>
    </dataValidation>
  </dataValidations>
  <hyperlinks>
    <hyperlink ref="O8:P8" location="'S Synthèse'!A1" display="S Synthèse" xr:uid="{00000000-0004-0000-02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5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showGridLines="0" zoomScaleNormal="100" workbookViewId="0">
      <selection activeCell="A15" sqref="A15"/>
    </sheetView>
  </sheetViews>
  <sheetFormatPr baseColWidth="10" defaultColWidth="11.42578125" defaultRowHeight="15" x14ac:dyDescent="0.25"/>
  <cols>
    <col min="1" max="1" width="29" style="26" customWidth="1"/>
    <col min="2" max="16" width="14.7109375" style="26" customWidth="1"/>
    <col min="17" max="16384" width="11.42578125" style="26"/>
  </cols>
  <sheetData>
    <row r="1" spans="1:21" s="42" customFormat="1" ht="15" customHeight="1" x14ac:dyDescent="0.2">
      <c r="A1" s="213"/>
      <c r="B1" s="214"/>
      <c r="C1" s="214"/>
      <c r="D1" s="655">
        <f>'S Synthèse'!D1:M2</f>
        <v>0</v>
      </c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1" s="42" customFormat="1" ht="15" customHeight="1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1" ht="15" customHeight="1" x14ac:dyDescent="0.25">
      <c r="A3" s="661" t="s">
        <v>63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R3" s="4"/>
      <c r="T3" s="6"/>
      <c r="U3" s="6"/>
    </row>
    <row r="4" spans="1:21" ht="15" customHeight="1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R4" s="4"/>
      <c r="T4" s="6"/>
      <c r="U4" s="6"/>
    </row>
    <row r="5" spans="1:21" ht="15" customHeight="1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219" t="str">
        <f>'S Synthèse'!B6</f>
        <v>BRA</v>
      </c>
      <c r="C6" s="18" t="s">
        <v>6</v>
      </c>
      <c r="D6" s="219">
        <f>'S Synthèse'!D6</f>
        <v>0</v>
      </c>
      <c r="E6" s="667" t="s">
        <v>29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R6" s="42"/>
      <c r="S6" s="42"/>
    </row>
    <row r="7" spans="1:21" ht="15" customHeight="1" thickBot="1" x14ac:dyDescent="0.3">
      <c r="A7" s="19" t="s">
        <v>11</v>
      </c>
      <c r="B7" s="220">
        <f>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Synthèse'!M7:N7</f>
        <v>31/12/N</v>
      </c>
      <c r="N7" s="614"/>
      <c r="O7" s="675" t="s">
        <v>28</v>
      </c>
      <c r="P7" s="676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95.45" customHeight="1" thickBot="1" x14ac:dyDescent="0.3">
      <c r="A11" s="638" t="s">
        <v>133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60" customHeight="1" thickBot="1" x14ac:dyDescent="0.3">
      <c r="A14" s="531" t="s">
        <v>287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16" x14ac:dyDescent="0.25">
      <c r="A17" s="380" t="s">
        <v>134</v>
      </c>
      <c r="B17" s="382" t="s">
        <v>135</v>
      </c>
      <c r="C17" s="643" t="s">
        <v>136</v>
      </c>
      <c r="D17" s="644"/>
      <c r="E17" s="644"/>
      <c r="F17" s="645"/>
      <c r="P17" s="164"/>
    </row>
    <row r="18" spans="1:16" x14ac:dyDescent="0.25">
      <c r="A18" s="381" t="s">
        <v>137</v>
      </c>
      <c r="B18" s="383" t="e">
        <f>#REF!+#REF!+#REF!+#REF!+#REF!+#REF!</f>
        <v>#REF!</v>
      </c>
      <c r="C18" s="649" t="s">
        <v>270</v>
      </c>
      <c r="D18" s="650"/>
      <c r="E18" s="650"/>
      <c r="F18" s="651"/>
      <c r="P18" s="164"/>
    </row>
    <row r="19" spans="1:16" x14ac:dyDescent="0.25">
      <c r="A19" s="381" t="s">
        <v>138</v>
      </c>
      <c r="B19" s="383"/>
      <c r="C19" s="649"/>
      <c r="D19" s="650"/>
      <c r="E19" s="650"/>
      <c r="F19" s="651"/>
      <c r="P19" s="164"/>
    </row>
    <row r="20" spans="1:16" x14ac:dyDescent="0.25">
      <c r="A20" s="381" t="s">
        <v>139</v>
      </c>
      <c r="B20" s="508" t="e">
        <f>B18-B19</f>
        <v>#REF!</v>
      </c>
      <c r="C20" s="652"/>
      <c r="D20" s="653"/>
      <c r="E20" s="653"/>
      <c r="F20" s="654"/>
      <c r="P20" s="164"/>
    </row>
    <row r="21" spans="1:16" x14ac:dyDescent="0.25">
      <c r="A21" s="39"/>
      <c r="B21" s="39"/>
      <c r="C21" s="221"/>
      <c r="D21" s="221"/>
      <c r="E21" s="221"/>
      <c r="F21" s="221"/>
      <c r="P21" s="164"/>
    </row>
    <row r="22" spans="1:16" x14ac:dyDescent="0.25">
      <c r="A22" s="380" t="s">
        <v>140</v>
      </c>
      <c r="B22" s="382" t="s">
        <v>135</v>
      </c>
      <c r="C22" s="643" t="s">
        <v>136</v>
      </c>
      <c r="D22" s="644"/>
      <c r="E22" s="644"/>
      <c r="F22" s="645"/>
      <c r="P22" s="164"/>
    </row>
    <row r="23" spans="1:16" x14ac:dyDescent="0.25">
      <c r="A23" s="381" t="s">
        <v>137</v>
      </c>
      <c r="B23" s="383" t="e">
        <f>#REF!+#REF!</f>
        <v>#REF!</v>
      </c>
      <c r="C23" s="649" t="s">
        <v>270</v>
      </c>
      <c r="D23" s="650"/>
      <c r="E23" s="650"/>
      <c r="F23" s="651"/>
      <c r="P23" s="164"/>
    </row>
    <row r="24" spans="1:16" ht="14.45" customHeight="1" x14ac:dyDescent="0.25">
      <c r="A24" s="381" t="s">
        <v>138</v>
      </c>
      <c r="B24" s="383"/>
      <c r="C24" s="649"/>
      <c r="D24" s="650"/>
      <c r="E24" s="650"/>
      <c r="F24" s="651"/>
      <c r="P24" s="164"/>
    </row>
    <row r="25" spans="1:16" x14ac:dyDescent="0.25">
      <c r="A25" s="381" t="s">
        <v>139</v>
      </c>
      <c r="B25" s="508" t="e">
        <f>B23-B24</f>
        <v>#REF!</v>
      </c>
      <c r="C25" s="652"/>
      <c r="D25" s="653"/>
      <c r="E25" s="653"/>
      <c r="F25" s="654"/>
      <c r="P25" s="164"/>
    </row>
    <row r="26" spans="1:16" x14ac:dyDescent="0.25">
      <c r="A26" s="39"/>
      <c r="B26" s="39"/>
      <c r="C26" s="221"/>
      <c r="D26" s="221"/>
      <c r="E26" s="221"/>
      <c r="F26" s="221"/>
      <c r="P26" s="164"/>
    </row>
    <row r="27" spans="1:16" x14ac:dyDescent="0.25">
      <c r="A27" s="380" t="s">
        <v>141</v>
      </c>
      <c r="B27" s="382" t="s">
        <v>135</v>
      </c>
      <c r="C27" s="643" t="s">
        <v>136</v>
      </c>
      <c r="D27" s="644"/>
      <c r="E27" s="644"/>
      <c r="F27" s="645"/>
      <c r="P27" s="164"/>
    </row>
    <row r="28" spans="1:16" x14ac:dyDescent="0.25">
      <c r="A28" s="381" t="s">
        <v>137</v>
      </c>
      <c r="B28" s="383" t="e">
        <f>#REF!+#REF!+#REF!+#REF!+#REF!+#REF!+#REF!+#REF!+#REF!+#REF!</f>
        <v>#REF!</v>
      </c>
      <c r="C28" s="649" t="s">
        <v>270</v>
      </c>
      <c r="D28" s="650"/>
      <c r="E28" s="650"/>
      <c r="F28" s="651"/>
      <c r="P28" s="164"/>
    </row>
    <row r="29" spans="1:16" x14ac:dyDescent="0.25">
      <c r="A29" s="381" t="s">
        <v>138</v>
      </c>
      <c r="B29" s="383"/>
      <c r="C29" s="649"/>
      <c r="D29" s="650"/>
      <c r="E29" s="650"/>
      <c r="F29" s="651"/>
      <c r="P29" s="164"/>
    </row>
    <row r="30" spans="1:16" x14ac:dyDescent="0.25">
      <c r="A30" s="381" t="s">
        <v>139</v>
      </c>
      <c r="B30" s="508" t="e">
        <f>B28-B29</f>
        <v>#REF!</v>
      </c>
      <c r="C30" s="649"/>
      <c r="D30" s="650"/>
      <c r="E30" s="650"/>
      <c r="F30" s="651"/>
      <c r="P30" s="164"/>
    </row>
    <row r="31" spans="1:16" x14ac:dyDescent="0.25">
      <c r="A31" s="91"/>
      <c r="B31" s="93"/>
      <c r="C31" s="93"/>
      <c r="D31" s="93"/>
      <c r="E31" s="93"/>
      <c r="F31" s="94"/>
      <c r="G31" s="92"/>
      <c r="H31" s="92"/>
      <c r="I31" s="95"/>
      <c r="J31" s="94"/>
      <c r="K31" s="94"/>
      <c r="L31" s="94"/>
      <c r="M31" s="172"/>
      <c r="N31" s="173"/>
      <c r="P31" s="164"/>
    </row>
    <row r="32" spans="1:16" s="42" customFormat="1" ht="75" customHeight="1" x14ac:dyDescent="0.2">
      <c r="A32" s="646" t="s">
        <v>92</v>
      </c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8"/>
    </row>
    <row r="33" spans="1:16" ht="15.75" thickBot="1" x14ac:dyDescent="0.3">
      <c r="A33" s="170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71"/>
    </row>
  </sheetData>
  <sheetProtection formatCells="0" formatColumns="0" formatRows="0" insertColumns="0" insertRows="0" insertHyperlinks="0" deleteColumns="0" deleteRows="0" sort="0" autoFilter="0" pivotTables="0"/>
  <mergeCells count="30">
    <mergeCell ref="C29:F29"/>
    <mergeCell ref="C30:F30"/>
    <mergeCell ref="C23:F23"/>
    <mergeCell ref="C24:F24"/>
    <mergeCell ref="C25:F25"/>
    <mergeCell ref="C27:F27"/>
    <mergeCell ref="C28:F28"/>
    <mergeCell ref="D1:M2"/>
    <mergeCell ref="A3:P5"/>
    <mergeCell ref="E6:L7"/>
    <mergeCell ref="M6:N6"/>
    <mergeCell ref="O6:P6"/>
    <mergeCell ref="M7:N7"/>
    <mergeCell ref="O7:P7"/>
    <mergeCell ref="L9:N9"/>
    <mergeCell ref="O9:P9"/>
    <mergeCell ref="C17:F17"/>
    <mergeCell ref="O8:P8"/>
    <mergeCell ref="A32:P32"/>
    <mergeCell ref="A11:P11"/>
    <mergeCell ref="A13:P13"/>
    <mergeCell ref="A14:P14"/>
    <mergeCell ref="A9:C9"/>
    <mergeCell ref="D9:E9"/>
    <mergeCell ref="F9:I9"/>
    <mergeCell ref="J9:K9"/>
    <mergeCell ref="C18:F18"/>
    <mergeCell ref="C19:F19"/>
    <mergeCell ref="C20:F20"/>
    <mergeCell ref="C22:F22"/>
  </mergeCells>
  <dataValidations disablePrompts="1" count="2">
    <dataValidation type="list" showInputMessage="1" showErrorMessage="1" sqref="D9:E9" xr:uid="{00000000-0002-0000-0300-000000000000}">
      <formula1>RAS</formula1>
    </dataValidation>
    <dataValidation type="list" allowBlank="1" showInputMessage="1" showErrorMessage="1" sqref="O9:P9" xr:uid="{00000000-0002-0000-0300-000001000000}">
      <formula1>Diligences</formula1>
    </dataValidation>
  </dataValidations>
  <hyperlinks>
    <hyperlink ref="O8:P8" location="'S Synthèse'!A1" display="S Synthèse" xr:uid="{00000000-0004-0000-03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6"/>
  <sheetViews>
    <sheetView showGridLines="0" topLeftCell="A7" zoomScaleNormal="100" workbookViewId="0">
      <selection activeCell="A14" sqref="A14:P14"/>
    </sheetView>
  </sheetViews>
  <sheetFormatPr baseColWidth="10" defaultColWidth="11.42578125" defaultRowHeight="15.75" x14ac:dyDescent="0.25"/>
  <cols>
    <col min="1" max="8" width="14.7109375" style="8" customWidth="1"/>
    <col min="9" max="9" width="19.85546875" style="8" customWidth="1"/>
    <col min="10" max="10" width="18.5703125" style="8" customWidth="1"/>
    <col min="11" max="16" width="14.7109375" style="8" customWidth="1"/>
    <col min="17" max="16384" width="11.42578125" style="8"/>
  </cols>
  <sheetData>
    <row r="1" spans="1:21" s="2" customFormat="1" ht="15" customHeight="1" x14ac:dyDescent="0.2">
      <c r="A1" s="11"/>
      <c r="B1" s="12"/>
      <c r="C1" s="12"/>
      <c r="D1" s="607">
        <f>'S Synthèse'!D1:M2</f>
        <v>0</v>
      </c>
      <c r="E1" s="608"/>
      <c r="F1" s="608"/>
      <c r="G1" s="608"/>
      <c r="H1" s="608"/>
      <c r="I1" s="608"/>
      <c r="J1" s="608"/>
      <c r="K1" s="608"/>
      <c r="L1" s="608"/>
      <c r="M1" s="609"/>
      <c r="N1" s="12"/>
      <c r="O1" s="12"/>
      <c r="P1" s="13"/>
    </row>
    <row r="2" spans="1:21" s="2" customFormat="1" ht="15" customHeight="1" thickBot="1" x14ac:dyDescent="0.25">
      <c r="A2" s="14"/>
      <c r="B2" s="15"/>
      <c r="C2" s="15"/>
      <c r="D2" s="610"/>
      <c r="E2" s="611"/>
      <c r="F2" s="611"/>
      <c r="G2" s="611"/>
      <c r="H2" s="611"/>
      <c r="I2" s="611"/>
      <c r="J2" s="611"/>
      <c r="K2" s="611"/>
      <c r="L2" s="611"/>
      <c r="M2" s="612"/>
      <c r="N2" s="15"/>
      <c r="O2" s="15"/>
      <c r="P2" s="16"/>
    </row>
    <row r="3" spans="1:21" ht="15" customHeight="1" x14ac:dyDescent="0.25">
      <c r="A3" s="565" t="s">
        <v>63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7"/>
      <c r="R3" s="4"/>
      <c r="T3" s="6"/>
      <c r="U3" s="7"/>
    </row>
    <row r="4" spans="1:21" ht="15" customHeight="1" x14ac:dyDescent="0.25">
      <c r="A4" s="565"/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7"/>
      <c r="R4" s="4"/>
      <c r="T4" s="6"/>
      <c r="U4" s="7"/>
    </row>
    <row r="5" spans="1:21" ht="15" customHeight="1" thickBot="1" x14ac:dyDescent="0.3">
      <c r="A5" s="568"/>
      <c r="B5" s="569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70"/>
      <c r="Q5" s="9"/>
      <c r="R5" s="5"/>
      <c r="S5" s="24"/>
      <c r="T5" s="24"/>
      <c r="U5" s="24"/>
    </row>
    <row r="6" spans="1:21" ht="15" customHeight="1" x14ac:dyDescent="0.25">
      <c r="A6" s="18" t="s">
        <v>5</v>
      </c>
      <c r="B6" s="194" t="str">
        <f>'S Synthèse'!B6</f>
        <v>BRA</v>
      </c>
      <c r="C6" s="18" t="s">
        <v>6</v>
      </c>
      <c r="D6" s="194">
        <f>'S Synthèse'!D6</f>
        <v>0</v>
      </c>
      <c r="E6" s="577" t="s">
        <v>168</v>
      </c>
      <c r="F6" s="578"/>
      <c r="G6" s="578"/>
      <c r="H6" s="578"/>
      <c r="I6" s="578"/>
      <c r="J6" s="578"/>
      <c r="K6" s="578"/>
      <c r="L6" s="579"/>
      <c r="M6" s="583" t="s">
        <v>8</v>
      </c>
      <c r="N6" s="584"/>
      <c r="O6" s="585" t="s">
        <v>9</v>
      </c>
      <c r="P6" s="586"/>
      <c r="R6" s="2"/>
      <c r="S6" s="2"/>
    </row>
    <row r="7" spans="1:21" ht="15" customHeight="1" thickBot="1" x14ac:dyDescent="0.3">
      <c r="A7" s="19" t="s">
        <v>11</v>
      </c>
      <c r="B7" s="195">
        <f>'S Synthèse'!B7</f>
        <v>0</v>
      </c>
      <c r="C7" s="19" t="s">
        <v>11</v>
      </c>
      <c r="D7" s="195">
        <f>'S Synthèse'!D7</f>
        <v>0</v>
      </c>
      <c r="E7" s="580"/>
      <c r="F7" s="581"/>
      <c r="G7" s="581"/>
      <c r="H7" s="581"/>
      <c r="I7" s="581"/>
      <c r="J7" s="581"/>
      <c r="K7" s="581"/>
      <c r="L7" s="582"/>
      <c r="M7" s="613" t="str">
        <f>'S Synthèse'!M7:N7</f>
        <v>31/12/N</v>
      </c>
      <c r="N7" s="614"/>
      <c r="O7" s="587" t="s">
        <v>38</v>
      </c>
      <c r="P7" s="588"/>
    </row>
    <row r="8" spans="1:21" ht="21" customHeight="1" thickBot="1" x14ac:dyDescent="0.3">
      <c r="A8" s="20"/>
      <c r="B8" s="17"/>
      <c r="C8" s="21"/>
      <c r="D8" s="21"/>
      <c r="E8" s="22"/>
      <c r="F8" s="22"/>
      <c r="G8" s="22"/>
      <c r="H8" s="22"/>
      <c r="I8" s="22"/>
      <c r="J8" s="22"/>
      <c r="K8" s="22"/>
      <c r="L8" s="22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s="26" customFormat="1" ht="94.9" customHeight="1" thickBot="1" x14ac:dyDescent="0.3">
      <c r="A11" s="638" t="s">
        <v>169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s="26" customFormat="1" ht="9" customHeight="1" thickBot="1" x14ac:dyDescent="0.3"/>
    <row r="13" spans="1:21" s="26" customFormat="1" ht="15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s="26" customFormat="1" ht="60" customHeight="1" thickBot="1" x14ac:dyDescent="0.3">
      <c r="A14" s="690"/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</row>
    <row r="15" spans="1:21" x14ac:dyDescent="0.25">
      <c r="P15" s="432"/>
    </row>
    <row r="16" spans="1:21" s="26" customFormat="1" ht="15" x14ac:dyDescent="0.25">
      <c r="A16" s="99"/>
      <c r="B16" s="100"/>
      <c r="C16" s="100"/>
      <c r="D16" s="100"/>
      <c r="E16" s="100"/>
      <c r="F16" s="100"/>
      <c r="G16" s="97"/>
      <c r="H16" s="97"/>
      <c r="I16" s="97"/>
      <c r="P16" s="164"/>
    </row>
    <row r="17" spans="2:16" s="26" customFormat="1" ht="79.5" customHeight="1" x14ac:dyDescent="0.25">
      <c r="B17" s="413"/>
      <c r="C17" s="370" t="s">
        <v>170</v>
      </c>
      <c r="D17" s="370" t="s">
        <v>171</v>
      </c>
      <c r="E17" s="370" t="s">
        <v>172</v>
      </c>
      <c r="F17" s="370" t="s">
        <v>173</v>
      </c>
      <c r="G17" s="370" t="s">
        <v>174</v>
      </c>
      <c r="H17" s="182" t="s">
        <v>175</v>
      </c>
      <c r="I17" s="370" t="s">
        <v>139</v>
      </c>
      <c r="J17" s="370" t="s">
        <v>176</v>
      </c>
      <c r="K17" s="687" t="s">
        <v>177</v>
      </c>
      <c r="L17" s="687"/>
      <c r="P17" s="164"/>
    </row>
    <row r="18" spans="2:16" s="26" customFormat="1" ht="15" x14ac:dyDescent="0.25">
      <c r="B18" s="412"/>
      <c r="C18" s="411"/>
      <c r="D18" s="411"/>
      <c r="E18" s="371"/>
      <c r="F18" s="180"/>
      <c r="G18" s="416">
        <f>+E18*F18</f>
        <v>0</v>
      </c>
      <c r="H18" s="181"/>
      <c r="I18" s="420">
        <f t="shared" ref="I18:I45" si="0">F18-H18</f>
        <v>0</v>
      </c>
      <c r="J18" s="415">
        <f t="shared" ref="J18:J45" si="1">I18*E18</f>
        <v>0</v>
      </c>
      <c r="K18" s="688"/>
      <c r="L18" s="689"/>
      <c r="P18" s="164"/>
    </row>
    <row r="19" spans="2:16" s="26" customFormat="1" ht="15" x14ac:dyDescent="0.25">
      <c r="B19" s="412"/>
      <c r="C19" s="410"/>
      <c r="D19" s="410"/>
      <c r="E19" s="369"/>
      <c r="F19" s="178"/>
      <c r="G19" s="416">
        <f t="shared" ref="G19:G45" si="2">+E19*F19</f>
        <v>0</v>
      </c>
      <c r="H19" s="175"/>
      <c r="I19" s="419">
        <f t="shared" si="0"/>
        <v>0</v>
      </c>
      <c r="J19" s="424">
        <f t="shared" si="1"/>
        <v>0</v>
      </c>
      <c r="K19" s="683"/>
      <c r="L19" s="684"/>
      <c r="P19" s="164"/>
    </row>
    <row r="20" spans="2:16" s="26" customFormat="1" ht="15" x14ac:dyDescent="0.25">
      <c r="B20" s="412"/>
      <c r="C20" s="410"/>
      <c r="D20" s="410"/>
      <c r="E20" s="369"/>
      <c r="F20" s="178"/>
      <c r="G20" s="416">
        <f t="shared" si="2"/>
        <v>0</v>
      </c>
      <c r="H20" s="175"/>
      <c r="I20" s="419">
        <f t="shared" si="0"/>
        <v>0</v>
      </c>
      <c r="J20" s="424">
        <f t="shared" si="1"/>
        <v>0</v>
      </c>
      <c r="K20" s="683"/>
      <c r="L20" s="684"/>
      <c r="P20" s="164"/>
    </row>
    <row r="21" spans="2:16" s="26" customFormat="1" ht="15" x14ac:dyDescent="0.25">
      <c r="B21" s="412"/>
      <c r="C21" s="410"/>
      <c r="D21" s="410"/>
      <c r="E21" s="369"/>
      <c r="F21" s="178"/>
      <c r="G21" s="416">
        <f t="shared" si="2"/>
        <v>0</v>
      </c>
      <c r="H21" s="175"/>
      <c r="I21" s="419">
        <f t="shared" si="0"/>
        <v>0</v>
      </c>
      <c r="J21" s="424">
        <f t="shared" si="1"/>
        <v>0</v>
      </c>
      <c r="K21" s="683"/>
      <c r="L21" s="684"/>
      <c r="P21" s="164"/>
    </row>
    <row r="22" spans="2:16" s="26" customFormat="1" ht="15" x14ac:dyDescent="0.25">
      <c r="B22" s="412"/>
      <c r="C22" s="410"/>
      <c r="D22" s="410"/>
      <c r="E22" s="369"/>
      <c r="F22" s="178"/>
      <c r="G22" s="416">
        <f t="shared" si="2"/>
        <v>0</v>
      </c>
      <c r="H22" s="175"/>
      <c r="I22" s="419">
        <f t="shared" si="0"/>
        <v>0</v>
      </c>
      <c r="J22" s="424">
        <f t="shared" si="1"/>
        <v>0</v>
      </c>
      <c r="K22" s="683"/>
      <c r="L22" s="684"/>
      <c r="P22" s="164"/>
    </row>
    <row r="23" spans="2:16" s="26" customFormat="1" ht="15" x14ac:dyDescent="0.25">
      <c r="B23" s="412"/>
      <c r="C23" s="410"/>
      <c r="D23" s="410"/>
      <c r="E23" s="369"/>
      <c r="F23" s="178"/>
      <c r="G23" s="416">
        <f t="shared" si="2"/>
        <v>0</v>
      </c>
      <c r="H23" s="175"/>
      <c r="I23" s="419">
        <f t="shared" si="0"/>
        <v>0</v>
      </c>
      <c r="J23" s="424">
        <f t="shared" si="1"/>
        <v>0</v>
      </c>
      <c r="K23" s="683"/>
      <c r="L23" s="684"/>
      <c r="P23" s="164"/>
    </row>
    <row r="24" spans="2:16" s="26" customFormat="1" ht="15" x14ac:dyDescent="0.25">
      <c r="B24" s="412"/>
      <c r="C24" s="410"/>
      <c r="D24" s="410"/>
      <c r="E24" s="369"/>
      <c r="F24" s="178"/>
      <c r="G24" s="416">
        <f t="shared" si="2"/>
        <v>0</v>
      </c>
      <c r="H24" s="175"/>
      <c r="I24" s="419">
        <f t="shared" si="0"/>
        <v>0</v>
      </c>
      <c r="J24" s="424">
        <f t="shared" si="1"/>
        <v>0</v>
      </c>
      <c r="K24" s="683"/>
      <c r="L24" s="684"/>
      <c r="P24" s="164"/>
    </row>
    <row r="25" spans="2:16" s="26" customFormat="1" ht="15" x14ac:dyDescent="0.25">
      <c r="B25" s="412"/>
      <c r="C25" s="410"/>
      <c r="D25" s="410"/>
      <c r="E25" s="369"/>
      <c r="F25" s="178"/>
      <c r="G25" s="416">
        <f t="shared" si="2"/>
        <v>0</v>
      </c>
      <c r="H25" s="175"/>
      <c r="I25" s="419">
        <f t="shared" si="0"/>
        <v>0</v>
      </c>
      <c r="J25" s="424">
        <f t="shared" si="1"/>
        <v>0</v>
      </c>
      <c r="K25" s="683"/>
      <c r="L25" s="684"/>
      <c r="P25" s="164"/>
    </row>
    <row r="26" spans="2:16" s="26" customFormat="1" ht="15" x14ac:dyDescent="0.25">
      <c r="B26" s="412"/>
      <c r="C26" s="410"/>
      <c r="D26" s="410"/>
      <c r="E26" s="369"/>
      <c r="F26" s="178"/>
      <c r="G26" s="416">
        <f t="shared" si="2"/>
        <v>0</v>
      </c>
      <c r="H26" s="175"/>
      <c r="I26" s="419">
        <f t="shared" si="0"/>
        <v>0</v>
      </c>
      <c r="J26" s="424">
        <f t="shared" si="1"/>
        <v>0</v>
      </c>
      <c r="K26" s="683"/>
      <c r="L26" s="684"/>
      <c r="P26" s="164"/>
    </row>
    <row r="27" spans="2:16" s="26" customFormat="1" ht="15" x14ac:dyDescent="0.25">
      <c r="B27" s="412"/>
      <c r="C27" s="410"/>
      <c r="D27" s="410"/>
      <c r="E27" s="369"/>
      <c r="F27" s="178"/>
      <c r="G27" s="416">
        <f t="shared" si="2"/>
        <v>0</v>
      </c>
      <c r="H27" s="175"/>
      <c r="I27" s="419">
        <f t="shared" si="0"/>
        <v>0</v>
      </c>
      <c r="J27" s="424">
        <f t="shared" si="1"/>
        <v>0</v>
      </c>
      <c r="K27" s="683"/>
      <c r="L27" s="684"/>
      <c r="P27" s="164"/>
    </row>
    <row r="28" spans="2:16" s="26" customFormat="1" ht="15" x14ac:dyDescent="0.25">
      <c r="B28" s="412"/>
      <c r="C28" s="410"/>
      <c r="D28" s="410"/>
      <c r="E28" s="369"/>
      <c r="F28" s="178"/>
      <c r="G28" s="416">
        <f t="shared" si="2"/>
        <v>0</v>
      </c>
      <c r="H28" s="175"/>
      <c r="I28" s="419">
        <f t="shared" si="0"/>
        <v>0</v>
      </c>
      <c r="J28" s="424">
        <f t="shared" si="1"/>
        <v>0</v>
      </c>
      <c r="K28" s="683"/>
      <c r="L28" s="684"/>
      <c r="P28" s="164"/>
    </row>
    <row r="29" spans="2:16" s="26" customFormat="1" ht="15" x14ac:dyDescent="0.25">
      <c r="B29" s="412"/>
      <c r="C29" s="410"/>
      <c r="D29" s="410"/>
      <c r="E29" s="369"/>
      <c r="F29" s="178"/>
      <c r="G29" s="416">
        <f t="shared" si="2"/>
        <v>0</v>
      </c>
      <c r="H29" s="175"/>
      <c r="I29" s="419">
        <f t="shared" si="0"/>
        <v>0</v>
      </c>
      <c r="J29" s="424">
        <f t="shared" si="1"/>
        <v>0</v>
      </c>
      <c r="K29" s="683"/>
      <c r="L29" s="684"/>
      <c r="P29" s="164"/>
    </row>
    <row r="30" spans="2:16" s="26" customFormat="1" ht="15" x14ac:dyDescent="0.25">
      <c r="B30" s="412"/>
      <c r="C30" s="410"/>
      <c r="D30" s="410"/>
      <c r="E30" s="369"/>
      <c r="F30" s="178"/>
      <c r="G30" s="416">
        <f t="shared" si="2"/>
        <v>0</v>
      </c>
      <c r="H30" s="175"/>
      <c r="I30" s="419">
        <f t="shared" si="0"/>
        <v>0</v>
      </c>
      <c r="J30" s="424">
        <f t="shared" si="1"/>
        <v>0</v>
      </c>
      <c r="K30" s="683"/>
      <c r="L30" s="684"/>
      <c r="P30" s="164"/>
    </row>
    <row r="31" spans="2:16" s="26" customFormat="1" ht="15" x14ac:dyDescent="0.25">
      <c r="B31" s="412"/>
      <c r="C31" s="410"/>
      <c r="D31" s="410"/>
      <c r="E31" s="369"/>
      <c r="F31" s="178"/>
      <c r="G31" s="416">
        <f t="shared" si="2"/>
        <v>0</v>
      </c>
      <c r="H31" s="175"/>
      <c r="I31" s="419">
        <f t="shared" si="0"/>
        <v>0</v>
      </c>
      <c r="J31" s="424">
        <f t="shared" si="1"/>
        <v>0</v>
      </c>
      <c r="K31" s="683"/>
      <c r="L31" s="684"/>
      <c r="P31" s="164"/>
    </row>
    <row r="32" spans="2:16" s="26" customFormat="1" ht="15" x14ac:dyDescent="0.25">
      <c r="B32" s="412"/>
      <c r="C32" s="410"/>
      <c r="D32" s="410"/>
      <c r="E32" s="369"/>
      <c r="F32" s="178"/>
      <c r="G32" s="416">
        <f t="shared" si="2"/>
        <v>0</v>
      </c>
      <c r="H32" s="175"/>
      <c r="I32" s="419">
        <f t="shared" si="0"/>
        <v>0</v>
      </c>
      <c r="J32" s="424">
        <f t="shared" si="1"/>
        <v>0</v>
      </c>
      <c r="K32" s="683"/>
      <c r="L32" s="684"/>
      <c r="P32" s="164"/>
    </row>
    <row r="33" spans="1:16" s="26" customFormat="1" ht="15" x14ac:dyDescent="0.25">
      <c r="B33" s="412"/>
      <c r="C33" s="410"/>
      <c r="D33" s="410"/>
      <c r="E33" s="369"/>
      <c r="F33" s="178"/>
      <c r="G33" s="416">
        <f t="shared" si="2"/>
        <v>0</v>
      </c>
      <c r="H33" s="175"/>
      <c r="I33" s="419">
        <f t="shared" si="0"/>
        <v>0</v>
      </c>
      <c r="J33" s="424">
        <f t="shared" si="1"/>
        <v>0</v>
      </c>
      <c r="K33" s="683"/>
      <c r="L33" s="684"/>
      <c r="P33" s="164"/>
    </row>
    <row r="34" spans="1:16" s="26" customFormat="1" ht="15" x14ac:dyDescent="0.25">
      <c r="B34" s="412"/>
      <c r="C34" s="410"/>
      <c r="D34" s="410"/>
      <c r="E34" s="369"/>
      <c r="F34" s="178"/>
      <c r="G34" s="416">
        <f t="shared" si="2"/>
        <v>0</v>
      </c>
      <c r="H34" s="175"/>
      <c r="I34" s="419">
        <f t="shared" si="0"/>
        <v>0</v>
      </c>
      <c r="J34" s="424">
        <f t="shared" si="1"/>
        <v>0</v>
      </c>
      <c r="K34" s="683"/>
      <c r="L34" s="684"/>
      <c r="P34" s="164"/>
    </row>
    <row r="35" spans="1:16" s="26" customFormat="1" ht="15" x14ac:dyDescent="0.25">
      <c r="B35" s="412"/>
      <c r="C35" s="410"/>
      <c r="D35" s="410"/>
      <c r="E35" s="369"/>
      <c r="F35" s="178"/>
      <c r="G35" s="416">
        <f t="shared" si="2"/>
        <v>0</v>
      </c>
      <c r="H35" s="175"/>
      <c r="I35" s="419">
        <f t="shared" si="0"/>
        <v>0</v>
      </c>
      <c r="J35" s="424">
        <f t="shared" si="1"/>
        <v>0</v>
      </c>
      <c r="K35" s="683"/>
      <c r="L35" s="684"/>
      <c r="P35" s="164"/>
    </row>
    <row r="36" spans="1:16" s="26" customFormat="1" ht="15" x14ac:dyDescent="0.25">
      <c r="B36" s="412"/>
      <c r="C36" s="410"/>
      <c r="D36" s="410"/>
      <c r="E36" s="369"/>
      <c r="F36" s="178"/>
      <c r="G36" s="416">
        <f t="shared" si="2"/>
        <v>0</v>
      </c>
      <c r="H36" s="175"/>
      <c r="I36" s="419">
        <f t="shared" si="0"/>
        <v>0</v>
      </c>
      <c r="J36" s="424">
        <f t="shared" si="1"/>
        <v>0</v>
      </c>
      <c r="K36" s="683"/>
      <c r="L36" s="684"/>
      <c r="P36" s="164"/>
    </row>
    <row r="37" spans="1:16" s="26" customFormat="1" ht="15" x14ac:dyDescent="0.25">
      <c r="B37" s="412"/>
      <c r="C37" s="410"/>
      <c r="D37" s="410"/>
      <c r="E37" s="369"/>
      <c r="F37" s="178"/>
      <c r="G37" s="416">
        <f t="shared" si="2"/>
        <v>0</v>
      </c>
      <c r="H37" s="175"/>
      <c r="I37" s="419">
        <f t="shared" si="0"/>
        <v>0</v>
      </c>
      <c r="J37" s="424">
        <f t="shared" si="1"/>
        <v>0</v>
      </c>
      <c r="K37" s="683"/>
      <c r="L37" s="684"/>
      <c r="P37" s="164"/>
    </row>
    <row r="38" spans="1:16" s="26" customFormat="1" ht="15" x14ac:dyDescent="0.25">
      <c r="B38" s="412"/>
      <c r="C38" s="410"/>
      <c r="D38" s="410"/>
      <c r="E38" s="369"/>
      <c r="F38" s="178"/>
      <c r="G38" s="416">
        <f t="shared" si="2"/>
        <v>0</v>
      </c>
      <c r="H38" s="175"/>
      <c r="I38" s="419">
        <f t="shared" si="0"/>
        <v>0</v>
      </c>
      <c r="J38" s="424">
        <f t="shared" si="1"/>
        <v>0</v>
      </c>
      <c r="K38" s="683"/>
      <c r="L38" s="684"/>
      <c r="P38" s="164"/>
    </row>
    <row r="39" spans="1:16" s="26" customFormat="1" ht="15" x14ac:dyDescent="0.25">
      <c r="B39" s="412"/>
      <c r="C39" s="410"/>
      <c r="D39" s="410"/>
      <c r="E39" s="369"/>
      <c r="F39" s="178"/>
      <c r="G39" s="416">
        <f t="shared" si="2"/>
        <v>0</v>
      </c>
      <c r="H39" s="175"/>
      <c r="I39" s="419">
        <f t="shared" si="0"/>
        <v>0</v>
      </c>
      <c r="J39" s="424">
        <f t="shared" si="1"/>
        <v>0</v>
      </c>
      <c r="K39" s="683"/>
      <c r="L39" s="684"/>
      <c r="P39" s="164"/>
    </row>
    <row r="40" spans="1:16" s="26" customFormat="1" ht="15" x14ac:dyDescent="0.25">
      <c r="B40" s="412"/>
      <c r="C40" s="410"/>
      <c r="D40" s="410"/>
      <c r="E40" s="369"/>
      <c r="F40" s="178"/>
      <c r="G40" s="416">
        <f t="shared" si="2"/>
        <v>0</v>
      </c>
      <c r="H40" s="175"/>
      <c r="I40" s="419">
        <f t="shared" si="0"/>
        <v>0</v>
      </c>
      <c r="J40" s="424">
        <f t="shared" si="1"/>
        <v>0</v>
      </c>
      <c r="K40" s="683"/>
      <c r="L40" s="684"/>
      <c r="P40" s="164"/>
    </row>
    <row r="41" spans="1:16" s="26" customFormat="1" ht="15" x14ac:dyDescent="0.25">
      <c r="B41" s="412"/>
      <c r="C41" s="410"/>
      <c r="D41" s="410"/>
      <c r="E41" s="369"/>
      <c r="F41" s="178"/>
      <c r="G41" s="416">
        <f t="shared" si="2"/>
        <v>0</v>
      </c>
      <c r="H41" s="175"/>
      <c r="I41" s="419">
        <f t="shared" si="0"/>
        <v>0</v>
      </c>
      <c r="J41" s="424">
        <f t="shared" si="1"/>
        <v>0</v>
      </c>
      <c r="K41" s="683"/>
      <c r="L41" s="684"/>
      <c r="P41" s="164"/>
    </row>
    <row r="42" spans="1:16" s="26" customFormat="1" ht="15" x14ac:dyDescent="0.25">
      <c r="B42" s="412"/>
      <c r="C42" s="410"/>
      <c r="D42" s="410"/>
      <c r="E42" s="369"/>
      <c r="F42" s="178"/>
      <c r="G42" s="416">
        <f t="shared" si="2"/>
        <v>0</v>
      </c>
      <c r="H42" s="175"/>
      <c r="I42" s="419">
        <f t="shared" si="0"/>
        <v>0</v>
      </c>
      <c r="J42" s="424">
        <f t="shared" si="1"/>
        <v>0</v>
      </c>
      <c r="K42" s="683"/>
      <c r="L42" s="684"/>
      <c r="P42" s="164"/>
    </row>
    <row r="43" spans="1:16" s="26" customFormat="1" ht="15" x14ac:dyDescent="0.25">
      <c r="B43" s="412"/>
      <c r="C43" s="410"/>
      <c r="D43" s="410"/>
      <c r="E43" s="369"/>
      <c r="F43" s="178"/>
      <c r="G43" s="416">
        <f t="shared" si="2"/>
        <v>0</v>
      </c>
      <c r="H43" s="175"/>
      <c r="I43" s="419">
        <f t="shared" si="0"/>
        <v>0</v>
      </c>
      <c r="J43" s="424">
        <f t="shared" si="1"/>
        <v>0</v>
      </c>
      <c r="K43" s="683"/>
      <c r="L43" s="684"/>
      <c r="P43" s="164"/>
    </row>
    <row r="44" spans="1:16" s="26" customFormat="1" ht="15" x14ac:dyDescent="0.25">
      <c r="B44" s="412"/>
      <c r="C44" s="410"/>
      <c r="D44" s="410"/>
      <c r="E44" s="369"/>
      <c r="F44" s="178"/>
      <c r="G44" s="416">
        <f t="shared" si="2"/>
        <v>0</v>
      </c>
      <c r="H44" s="175"/>
      <c r="I44" s="419">
        <f t="shared" si="0"/>
        <v>0</v>
      </c>
      <c r="J44" s="424">
        <f t="shared" si="1"/>
        <v>0</v>
      </c>
      <c r="K44" s="683"/>
      <c r="L44" s="684"/>
      <c r="P44" s="164"/>
    </row>
    <row r="45" spans="1:16" s="26" customFormat="1" ht="15" x14ac:dyDescent="0.25">
      <c r="B45" s="412"/>
      <c r="C45" s="409"/>
      <c r="D45" s="409"/>
      <c r="E45" s="372"/>
      <c r="F45" s="179"/>
      <c r="G45" s="417">
        <f t="shared" si="2"/>
        <v>0</v>
      </c>
      <c r="H45" s="176"/>
      <c r="I45" s="418">
        <f t="shared" si="0"/>
        <v>0</v>
      </c>
      <c r="J45" s="414">
        <f t="shared" si="1"/>
        <v>0</v>
      </c>
      <c r="K45" s="685"/>
      <c r="L45" s="686"/>
      <c r="P45" s="164"/>
    </row>
    <row r="46" spans="1:16" s="26" customFormat="1" ht="15" x14ac:dyDescent="0.25">
      <c r="A46" s="48"/>
      <c r="D46" s="101"/>
      <c r="E46" s="101"/>
      <c r="F46" s="102"/>
      <c r="G46" s="103"/>
      <c r="I46" s="102"/>
      <c r="K46" s="104"/>
      <c r="M46" s="185"/>
      <c r="P46" s="164"/>
    </row>
    <row r="47" spans="1:16" s="26" customFormat="1" ht="15" x14ac:dyDescent="0.25">
      <c r="A47" s="48"/>
      <c r="D47" s="101"/>
      <c r="E47" s="101"/>
      <c r="F47" s="102"/>
      <c r="G47" s="103"/>
      <c r="J47" s="104"/>
      <c r="M47" s="185"/>
      <c r="P47" s="164"/>
    </row>
    <row r="48" spans="1:16" s="26" customFormat="1" ht="15" x14ac:dyDescent="0.25">
      <c r="A48" s="48"/>
      <c r="D48" s="101"/>
      <c r="E48" s="681" t="s">
        <v>178</v>
      </c>
      <c r="F48" s="682"/>
      <c r="G48" s="425">
        <f>SUM(G18:G45)/1000</f>
        <v>0</v>
      </c>
      <c r="H48" s="429"/>
      <c r="I48" s="423" t="s">
        <v>179</v>
      </c>
      <c r="J48" s="425">
        <f>(SUM(J18:J45)/1000)</f>
        <v>0</v>
      </c>
      <c r="L48" s="185"/>
      <c r="P48" s="164"/>
    </row>
    <row r="49" spans="1:16" s="26" customFormat="1" ht="15" x14ac:dyDescent="0.25">
      <c r="A49" s="48"/>
      <c r="D49" s="101"/>
      <c r="F49" s="105"/>
      <c r="G49" s="127"/>
      <c r="H49" s="428"/>
      <c r="I49" s="183"/>
      <c r="J49" s="184"/>
      <c r="L49" s="185"/>
      <c r="P49" s="164"/>
    </row>
    <row r="50" spans="1:16" s="26" customFormat="1" ht="15" x14ac:dyDescent="0.25">
      <c r="A50" s="48"/>
      <c r="D50" s="101"/>
      <c r="E50" s="679" t="s">
        <v>180</v>
      </c>
      <c r="F50" s="680"/>
      <c r="G50" s="426"/>
      <c r="H50" s="422"/>
      <c r="I50" s="422" t="s">
        <v>181</v>
      </c>
      <c r="J50" s="431" t="e">
        <f>+J48/G48</f>
        <v>#DIV/0!</v>
      </c>
      <c r="L50" s="185"/>
      <c r="P50" s="164"/>
    </row>
    <row r="51" spans="1:16" s="26" customFormat="1" ht="15" x14ac:dyDescent="0.25">
      <c r="A51" s="106"/>
      <c r="D51" s="107"/>
      <c r="E51" s="97"/>
      <c r="F51" s="105"/>
      <c r="G51" s="127"/>
      <c r="H51" s="428"/>
      <c r="I51" s="183"/>
      <c r="J51" s="184"/>
      <c r="L51" s="186"/>
      <c r="P51" s="164"/>
    </row>
    <row r="52" spans="1:16" s="26" customFormat="1" ht="15" x14ac:dyDescent="0.25">
      <c r="A52" s="108"/>
      <c r="D52" s="105"/>
      <c r="E52" s="677" t="s">
        <v>182</v>
      </c>
      <c r="F52" s="678"/>
      <c r="G52" s="427" t="e">
        <f>+G48/G50</f>
        <v>#DIV/0!</v>
      </c>
      <c r="H52" s="430"/>
      <c r="I52" s="421" t="s">
        <v>183</v>
      </c>
      <c r="J52" s="425" t="e">
        <f>G50*J50</f>
        <v>#DIV/0!</v>
      </c>
      <c r="L52" s="131"/>
      <c r="P52" s="164"/>
    </row>
    <row r="53" spans="1:16" s="26" customFormat="1" ht="15" x14ac:dyDescent="0.25">
      <c r="A53" s="108"/>
      <c r="D53" s="105"/>
      <c r="E53" s="109"/>
      <c r="F53" s="109"/>
      <c r="G53" s="110"/>
      <c r="K53" s="111"/>
      <c r="M53" s="130"/>
      <c r="P53" s="164"/>
    </row>
    <row r="54" spans="1:16" s="26" customFormat="1" ht="15" x14ac:dyDescent="0.25">
      <c r="A54" s="108"/>
      <c r="D54" s="105"/>
      <c r="F54" s="97"/>
      <c r="G54" s="112"/>
      <c r="H54" s="114"/>
      <c r="J54" s="115"/>
      <c r="K54" s="116"/>
      <c r="M54" s="113"/>
      <c r="O54" s="131"/>
      <c r="P54" s="164"/>
    </row>
    <row r="55" spans="1:16" x14ac:dyDescent="0.25">
      <c r="P55" s="433"/>
    </row>
    <row r="56" spans="1:16" s="42" customFormat="1" ht="75" customHeight="1" x14ac:dyDescent="0.2">
      <c r="A56" s="646" t="s">
        <v>92</v>
      </c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47"/>
      <c r="P56" s="648"/>
    </row>
  </sheetData>
  <sheetProtection formatCells="0" formatColumns="0" formatRows="0" insertColumns="0" insertRows="0" insertHyperlinks="0" deleteColumns="0" deleteRows="0" sort="0" autoFilter="0" pivotTables="0"/>
  <mergeCells count="50">
    <mergeCell ref="O8:P8"/>
    <mergeCell ref="D1:M2"/>
    <mergeCell ref="A3:P5"/>
    <mergeCell ref="E6:L7"/>
    <mergeCell ref="M6:N6"/>
    <mergeCell ref="O6:P6"/>
    <mergeCell ref="M7:N7"/>
    <mergeCell ref="O7:P7"/>
    <mergeCell ref="A11:P11"/>
    <mergeCell ref="A13:P13"/>
    <mergeCell ref="A14:P14"/>
    <mergeCell ref="A9:C9"/>
    <mergeCell ref="D9:E9"/>
    <mergeCell ref="F9:I9"/>
    <mergeCell ref="J9:K9"/>
    <mergeCell ref="L9:N9"/>
    <mergeCell ref="O9:P9"/>
    <mergeCell ref="K19:L19"/>
    <mergeCell ref="A56:P56"/>
    <mergeCell ref="K17:L17"/>
    <mergeCell ref="K18:L18"/>
    <mergeCell ref="K20:L20"/>
    <mergeCell ref="K24:L24"/>
    <mergeCell ref="K25:L25"/>
    <mergeCell ref="K21:L21"/>
    <mergeCell ref="K22:L22"/>
    <mergeCell ref="K23:L23"/>
    <mergeCell ref="K30:L30"/>
    <mergeCell ref="K31:L31"/>
    <mergeCell ref="K28:L28"/>
    <mergeCell ref="K29:L29"/>
    <mergeCell ref="K26:L26"/>
    <mergeCell ref="K27:L27"/>
    <mergeCell ref="K36:L36"/>
    <mergeCell ref="K37:L37"/>
    <mergeCell ref="K34:L34"/>
    <mergeCell ref="K35:L35"/>
    <mergeCell ref="K32:L32"/>
    <mergeCell ref="K33:L33"/>
    <mergeCell ref="K42:L42"/>
    <mergeCell ref="K43:L43"/>
    <mergeCell ref="K40:L40"/>
    <mergeCell ref="K41:L41"/>
    <mergeCell ref="K38:L38"/>
    <mergeCell ref="K39:L39"/>
    <mergeCell ref="E52:F52"/>
    <mergeCell ref="E50:F50"/>
    <mergeCell ref="E48:F48"/>
    <mergeCell ref="K44:L44"/>
    <mergeCell ref="K45:L45"/>
  </mergeCells>
  <dataValidations count="2">
    <dataValidation type="list" showInputMessage="1" showErrorMessage="1" sqref="D9:E9" xr:uid="{00000000-0002-0000-0500-000000000000}">
      <formula1>RAS</formula1>
    </dataValidation>
    <dataValidation type="list" allowBlank="1" showInputMessage="1" showErrorMessage="1" sqref="O9:P9" xr:uid="{00000000-0002-0000-0500-000001000000}">
      <formula1>Diligences</formula1>
    </dataValidation>
  </dataValidations>
  <hyperlinks>
    <hyperlink ref="O8:P8" location="'S Synthèse'!A1" display="S Synthèse" xr:uid="{00000000-0004-0000-05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5906-05C3-4E35-8A86-7C665CAB6E80}">
  <dimension ref="A1:T93"/>
  <sheetViews>
    <sheetView showGridLines="0" zoomScale="70" zoomScaleNormal="70" workbookViewId="0">
      <selection activeCell="H80" sqref="H80"/>
    </sheetView>
  </sheetViews>
  <sheetFormatPr baseColWidth="10" defaultColWidth="11.42578125" defaultRowHeight="15" x14ac:dyDescent="0.25"/>
  <cols>
    <col min="1" max="1" width="27.140625" style="26" bestFit="1" customWidth="1"/>
    <col min="2" max="4" width="14.7109375" style="26" customWidth="1"/>
    <col min="5" max="5" width="17.42578125" style="26" customWidth="1"/>
    <col min="6" max="8" width="14.7109375" style="26" customWidth="1"/>
    <col min="9" max="10" width="21.85546875" style="26" customWidth="1"/>
    <col min="11" max="16" width="14.7109375" style="26" customWidth="1"/>
    <col min="17" max="16384" width="11.42578125" style="26"/>
  </cols>
  <sheetData>
    <row r="1" spans="1:20" s="42" customFormat="1" x14ac:dyDescent="0.2">
      <c r="A1" s="213"/>
      <c r="B1" s="214"/>
      <c r="C1" s="214"/>
      <c r="D1" s="655"/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0" s="42" customFormat="1" ht="15.75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0" x14ac:dyDescent="0.25">
      <c r="A3" s="661" t="s">
        <v>63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Q3" s="4"/>
      <c r="S3" s="6"/>
      <c r="T3" s="6"/>
    </row>
    <row r="4" spans="1:20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Q4" s="4"/>
      <c r="S4" s="6"/>
      <c r="T4" s="6"/>
    </row>
    <row r="5" spans="1:20" ht="15.75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3"/>
      <c r="R5" s="44"/>
      <c r="S5" s="44"/>
      <c r="T5" s="44"/>
    </row>
    <row r="6" spans="1:20" x14ac:dyDescent="0.25">
      <c r="A6" s="18" t="s">
        <v>5</v>
      </c>
      <c r="B6" s="219" t="str">
        <f>+'S Synthèse'!B6</f>
        <v>BRA</v>
      </c>
      <c r="C6" s="18" t="s">
        <v>6</v>
      </c>
      <c r="D6" s="219">
        <f>'S Synthèse'!D6</f>
        <v>0</v>
      </c>
      <c r="E6" s="667" t="s">
        <v>142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Q6" s="42"/>
      <c r="R6" s="42"/>
    </row>
    <row r="7" spans="1:20" ht="15.75" thickBot="1" x14ac:dyDescent="0.3">
      <c r="A7" s="19" t="s">
        <v>11</v>
      </c>
      <c r="B7" s="220">
        <f>+'S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</f>
        <v>31/12/N</v>
      </c>
      <c r="N7" s="614"/>
      <c r="O7" s="675" t="s">
        <v>33</v>
      </c>
      <c r="P7" s="676"/>
    </row>
    <row r="8" spans="1:20" ht="15.75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0" s="21" customFormat="1" ht="15.75" thickBot="1" x14ac:dyDescent="0.25">
      <c r="A9" s="571" t="s">
        <v>15</v>
      </c>
      <c r="B9" s="572"/>
      <c r="C9" s="572"/>
      <c r="D9" s="605" t="s">
        <v>10</v>
      </c>
      <c r="E9" s="606"/>
      <c r="F9" s="573" t="s">
        <v>16</v>
      </c>
      <c r="G9" s="574"/>
      <c r="H9" s="574"/>
      <c r="I9" s="574"/>
      <c r="J9" s="692">
        <f>'S Synthèse'!J9</f>
        <v>12.6</v>
      </c>
      <c r="K9" s="693"/>
      <c r="L9" s="573" t="s">
        <v>17</v>
      </c>
      <c r="M9" s="574"/>
      <c r="N9" s="574"/>
      <c r="O9" s="605" t="s">
        <v>258</v>
      </c>
      <c r="P9" s="606"/>
    </row>
    <row r="10" spans="1:20" s="21" customFormat="1" ht="15.75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0" ht="37.15" customHeight="1" thickBot="1" x14ac:dyDescent="0.3">
      <c r="A11" s="638" t="s">
        <v>143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0" ht="15.75" thickBot="1" x14ac:dyDescent="0.3"/>
    <row r="13" spans="1:20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0" ht="82.9" customHeight="1" thickBot="1" x14ac:dyDescent="0.3">
      <c r="A14" s="531" t="s">
        <v>287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  <c r="Q14" s="26" t="s">
        <v>41</v>
      </c>
    </row>
    <row r="15" spans="1:20" ht="15.75" thickBot="1" x14ac:dyDescent="0.3"/>
    <row r="16" spans="1:20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16" x14ac:dyDescent="0.25">
      <c r="A17" s="237" t="s">
        <v>144</v>
      </c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</row>
    <row r="18" spans="1:16" x14ac:dyDescent="0.25">
      <c r="A18" s="239"/>
      <c r="B18" s="238"/>
      <c r="C18" s="238"/>
      <c r="D18" s="516" t="s">
        <v>280</v>
      </c>
      <c r="E18" s="517" t="s">
        <v>281</v>
      </c>
      <c r="F18" s="517" t="s">
        <v>282</v>
      </c>
      <c r="G18" s="518" t="s">
        <v>145</v>
      </c>
      <c r="H18" s="519" t="s">
        <v>259</v>
      </c>
      <c r="I18" s="520" t="s">
        <v>260</v>
      </c>
      <c r="J18" s="521" t="s">
        <v>261</v>
      </c>
      <c r="K18" s="691"/>
      <c r="L18" s="691"/>
      <c r="M18" s="691"/>
      <c r="N18" s="444"/>
      <c r="O18" s="445"/>
      <c r="P18" s="446"/>
    </row>
    <row r="19" spans="1:16" x14ac:dyDescent="0.25">
      <c r="A19" s="393" t="s">
        <v>146</v>
      </c>
      <c r="B19" s="394"/>
      <c r="C19" s="394"/>
      <c r="D19" s="386" t="e">
        <f>#REF!+#REF!+#REF!+#REF!</f>
        <v>#REF!</v>
      </c>
      <c r="E19" s="386" t="e">
        <f>#REF!+#REF!+#REF!+#REF!</f>
        <v>#REF!</v>
      </c>
      <c r="F19" s="505">
        <f>1262934+1588002</f>
        <v>2850936</v>
      </c>
      <c r="G19" s="447" t="e">
        <f>D19-E19</f>
        <v>#REF!</v>
      </c>
      <c r="H19" s="228" t="e">
        <f>G19/E19</f>
        <v>#REF!</v>
      </c>
      <c r="I19" s="448" t="e">
        <f>(D19+E19)/2</f>
        <v>#REF!</v>
      </c>
      <c r="J19" s="448" t="e">
        <f>(E19+F19)/2</f>
        <v>#REF!</v>
      </c>
      <c r="K19" s="691"/>
      <c r="L19" s="691"/>
      <c r="M19" s="691"/>
      <c r="N19" s="222"/>
      <c r="O19" s="223"/>
      <c r="P19" s="446"/>
    </row>
    <row r="20" spans="1:16" x14ac:dyDescent="0.25">
      <c r="A20" s="384" t="s">
        <v>147</v>
      </c>
      <c r="B20" s="385"/>
      <c r="C20" s="385"/>
      <c r="D20" s="395" t="e">
        <f>-#REF!</f>
        <v>#REF!</v>
      </c>
      <c r="E20" s="395" t="e">
        <f>-(#REF!+#REF!)</f>
        <v>#REF!</v>
      </c>
      <c r="F20" s="469">
        <f>6000</f>
        <v>6000</v>
      </c>
      <c r="G20" s="450" t="e">
        <f>D20-E20</f>
        <v>#REF!</v>
      </c>
      <c r="H20" s="228" t="e">
        <f>G20/E20</f>
        <v>#REF!</v>
      </c>
      <c r="I20" s="444"/>
      <c r="J20" s="444"/>
      <c r="K20" s="691"/>
      <c r="L20" s="691"/>
      <c r="M20" s="691"/>
      <c r="N20" s="222"/>
      <c r="O20" s="223"/>
      <c r="P20" s="446"/>
    </row>
    <row r="21" spans="1:16" x14ac:dyDescent="0.25">
      <c r="A21" s="387" t="s">
        <v>148</v>
      </c>
      <c r="B21" s="388"/>
      <c r="C21" s="388"/>
      <c r="D21" s="451" t="e">
        <f>D19-D20</f>
        <v>#REF!</v>
      </c>
      <c r="E21" s="451" t="e">
        <f>E19-E20</f>
        <v>#REF!</v>
      </c>
      <c r="F21" s="451">
        <f>F19-F20</f>
        <v>2844936</v>
      </c>
      <c r="G21" s="451" t="e">
        <f>D21-E21</f>
        <v>#REF!</v>
      </c>
      <c r="H21" s="227" t="e">
        <f>G21/E21</f>
        <v>#REF!</v>
      </c>
      <c r="I21" s="444"/>
      <c r="J21" s="444"/>
      <c r="K21" s="691"/>
      <c r="L21" s="691"/>
      <c r="M21" s="691"/>
      <c r="N21" s="444"/>
      <c r="O21" s="444"/>
      <c r="P21" s="446"/>
    </row>
    <row r="22" spans="1:16" x14ac:dyDescent="0.25">
      <c r="A22" s="240"/>
      <c r="B22" s="229"/>
      <c r="C22" s="229"/>
      <c r="D22" s="230"/>
      <c r="E22" s="230"/>
      <c r="F22" s="230"/>
      <c r="G22" s="230"/>
      <c r="H22" s="238"/>
      <c r="I22" s="444">
        <f t="shared" ref="I22:J22" si="0">(F22+G22)/2</f>
        <v>0</v>
      </c>
      <c r="J22" s="444">
        <f t="shared" si="0"/>
        <v>0</v>
      </c>
      <c r="K22" s="452"/>
      <c r="N22" s="453"/>
      <c r="O22" s="454"/>
      <c r="P22" s="455"/>
    </row>
    <row r="23" spans="1:16" x14ac:dyDescent="0.25">
      <c r="A23" s="387" t="s">
        <v>149</v>
      </c>
      <c r="B23" s="388"/>
      <c r="C23" s="388"/>
      <c r="D23" s="408">
        <f>13409584+32731</f>
        <v>13442315</v>
      </c>
      <c r="E23" s="408">
        <f>12242082+43255</f>
        <v>12285337</v>
      </c>
      <c r="F23" s="456">
        <f>10935755+25345</f>
        <v>10961100</v>
      </c>
      <c r="G23" s="457">
        <f>D23-E23</f>
        <v>1156978</v>
      </c>
      <c r="H23" s="228">
        <f>G23/E23</f>
        <v>9.417551997149122E-2</v>
      </c>
      <c r="I23" s="96"/>
      <c r="J23" s="174"/>
      <c r="K23" s="697"/>
      <c r="L23" s="697"/>
      <c r="M23" s="697"/>
      <c r="N23" s="458"/>
      <c r="O23" s="458"/>
      <c r="P23" s="459"/>
    </row>
    <row r="24" spans="1:16" x14ac:dyDescent="0.25">
      <c r="A24" s="240" t="s">
        <v>262</v>
      </c>
      <c r="B24" s="229"/>
      <c r="C24" s="229"/>
      <c r="D24" s="460" t="e">
        <f>-E19+D19+D23</f>
        <v>#REF!</v>
      </c>
      <c r="E24" s="460" t="e">
        <f>-F19+E19+E23</f>
        <v>#REF!</v>
      </c>
      <c r="F24" s="460" t="e">
        <f>-G19+F19+F23</f>
        <v>#REF!</v>
      </c>
      <c r="G24" s="457" t="e">
        <f>D24-E24</f>
        <v>#REF!</v>
      </c>
      <c r="H24" s="228" t="e">
        <f>G24/E24</f>
        <v>#REF!</v>
      </c>
      <c r="I24" s="461"/>
      <c r="J24" s="461"/>
    </row>
    <row r="25" spans="1:16" x14ac:dyDescent="0.25">
      <c r="A25" s="389" t="s">
        <v>150</v>
      </c>
      <c r="B25" s="390"/>
      <c r="C25" s="390"/>
      <c r="D25" s="462" t="e">
        <f>(I19/D24)*360</f>
        <v>#REF!</v>
      </c>
      <c r="E25" s="462" t="e">
        <f>(J19/E24)*360</f>
        <v>#REF!</v>
      </c>
      <c r="F25" s="462"/>
      <c r="G25" s="463" t="e">
        <f>D25-E25</f>
        <v>#REF!</v>
      </c>
      <c r="H25" s="232" t="e">
        <f>G25/E25</f>
        <v>#REF!</v>
      </c>
    </row>
    <row r="26" spans="1:16" x14ac:dyDescent="0.25">
      <c r="A26" s="239"/>
      <c r="B26" s="238"/>
      <c r="C26" s="238"/>
      <c r="D26" s="464"/>
      <c r="E26" s="464"/>
      <c r="F26" s="464"/>
      <c r="G26" s="464"/>
      <c r="H26" s="238"/>
      <c r="J26" s="238"/>
      <c r="K26" s="238"/>
      <c r="L26" s="238"/>
      <c r="N26" s="238"/>
      <c r="O26" s="238"/>
      <c r="P26" s="238"/>
    </row>
    <row r="27" spans="1:16" x14ac:dyDescent="0.25">
      <c r="A27" s="239"/>
      <c r="B27" s="238"/>
      <c r="C27" s="238"/>
      <c r="D27" s="516" t="str">
        <f>D18</f>
        <v>N</v>
      </c>
      <c r="E27" s="517" t="str">
        <f>E18</f>
        <v>N-1</v>
      </c>
      <c r="F27" s="517" t="str">
        <f>F18</f>
        <v>N-2</v>
      </c>
      <c r="G27" s="516" t="s">
        <v>145</v>
      </c>
      <c r="H27" s="519" t="s">
        <v>259</v>
      </c>
    </row>
    <row r="28" spans="1:16" x14ac:dyDescent="0.25">
      <c r="A28" s="384" t="s">
        <v>147</v>
      </c>
      <c r="B28" s="385"/>
      <c r="C28" s="385"/>
      <c r="D28" s="386" t="e">
        <f>+D20</f>
        <v>#REF!</v>
      </c>
      <c r="E28" s="386" t="e">
        <f>+E20</f>
        <v>#REF!</v>
      </c>
      <c r="F28" s="447">
        <f>F20</f>
        <v>6000</v>
      </c>
      <c r="G28" s="447" t="e">
        <f>D28-E28</f>
        <v>#REF!</v>
      </c>
      <c r="H28" s="226" t="e">
        <f>G28/E28</f>
        <v>#REF!</v>
      </c>
    </row>
    <row r="29" spans="1:16" x14ac:dyDescent="0.25">
      <c r="A29" s="384" t="s">
        <v>151</v>
      </c>
      <c r="B29" s="385"/>
      <c r="C29" s="385"/>
      <c r="D29" s="449" t="e">
        <f>++D19</f>
        <v>#REF!</v>
      </c>
      <c r="E29" s="449" t="e">
        <f>++E19</f>
        <v>#REF!</v>
      </c>
      <c r="F29" s="449">
        <f>F19</f>
        <v>2850936</v>
      </c>
      <c r="G29" s="450" t="e">
        <f>D29-E29</f>
        <v>#REF!</v>
      </c>
      <c r="H29" s="226" t="e">
        <f t="shared" ref="H29:H30" si="1">G29/E29</f>
        <v>#REF!</v>
      </c>
      <c r="I29" s="465" t="s">
        <v>263</v>
      </c>
    </row>
    <row r="30" spans="1:16" x14ac:dyDescent="0.25">
      <c r="A30" s="396" t="s">
        <v>152</v>
      </c>
      <c r="B30" s="397"/>
      <c r="C30" s="397"/>
      <c r="D30" s="466" t="e">
        <f>+D28/D29</f>
        <v>#REF!</v>
      </c>
      <c r="E30" s="466" t="e">
        <f>+E28/E29</f>
        <v>#REF!</v>
      </c>
      <c r="F30" s="466">
        <f>+F28/F29</f>
        <v>2.1045719721523035E-3</v>
      </c>
      <c r="G30" s="467" t="e">
        <f>D30-E30</f>
        <v>#REF!</v>
      </c>
      <c r="H30" s="723" t="e">
        <f t="shared" si="1"/>
        <v>#REF!</v>
      </c>
      <c r="I30" s="468" t="e">
        <f>G30*D29</f>
        <v>#REF!</v>
      </c>
    </row>
    <row r="31" spans="1:16" x14ac:dyDescent="0.25">
      <c r="A31" s="239"/>
      <c r="B31" s="238"/>
      <c r="C31" s="238"/>
      <c r="D31" s="464"/>
      <c r="E31" s="464"/>
      <c r="F31" s="464"/>
      <c r="G31" s="464"/>
      <c r="H31" s="238"/>
      <c r="J31" s="238"/>
      <c r="K31" s="238"/>
      <c r="L31" s="238"/>
      <c r="N31" s="238"/>
      <c r="O31" s="238"/>
      <c r="P31" s="238"/>
    </row>
    <row r="32" spans="1:16" x14ac:dyDescent="0.25">
      <c r="A32" s="239"/>
      <c r="B32" s="238"/>
      <c r="C32" s="238"/>
      <c r="D32" s="516" t="str">
        <f>D18</f>
        <v>N</v>
      </c>
      <c r="E32" s="517" t="str">
        <f>E18</f>
        <v>N-1</v>
      </c>
      <c r="F32" s="517" t="str">
        <f>F18</f>
        <v>N-2</v>
      </c>
      <c r="G32" s="516" t="s">
        <v>145</v>
      </c>
      <c r="H32" s="519" t="s">
        <v>259</v>
      </c>
    </row>
    <row r="33" spans="1:16" x14ac:dyDescent="0.25">
      <c r="A33" s="393" t="s">
        <v>146</v>
      </c>
      <c r="B33" s="394"/>
      <c r="C33" s="394"/>
      <c r="D33" s="447" t="e">
        <f>+D19</f>
        <v>#REF!</v>
      </c>
      <c r="E33" s="447" t="e">
        <f>+E19</f>
        <v>#REF!</v>
      </c>
      <c r="F33" s="447">
        <f>+F19</f>
        <v>2850936</v>
      </c>
      <c r="G33" s="447" t="e">
        <f>D33-E33</f>
        <v>#REF!</v>
      </c>
      <c r="H33" s="225" t="e">
        <f>+G33/E33</f>
        <v>#REF!</v>
      </c>
    </row>
    <row r="34" spans="1:16" x14ac:dyDescent="0.25">
      <c r="A34" s="384" t="s">
        <v>264</v>
      </c>
      <c r="B34" s="385"/>
      <c r="C34" s="385"/>
      <c r="D34" s="399">
        <v>192</v>
      </c>
      <c r="E34" s="399">
        <v>158</v>
      </c>
      <c r="F34" s="469"/>
      <c r="G34" s="450">
        <f>D34-E34</f>
        <v>34</v>
      </c>
      <c r="H34" s="225">
        <f t="shared" ref="H34:H35" si="2">+G34/E34</f>
        <v>0.21518987341772153</v>
      </c>
    </row>
    <row r="35" spans="1:16" x14ac:dyDescent="0.25">
      <c r="A35" s="400" t="s">
        <v>153</v>
      </c>
      <c r="B35" s="401"/>
      <c r="C35" s="401"/>
      <c r="D35" s="470" t="e">
        <f>+D33/D34</f>
        <v>#REF!</v>
      </c>
      <c r="E35" s="470" t="e">
        <f>+E33/E34</f>
        <v>#REF!</v>
      </c>
      <c r="F35" s="470" t="e">
        <f>+F33/F34</f>
        <v>#DIV/0!</v>
      </c>
      <c r="G35" s="470" t="e">
        <f>D35-E35</f>
        <v>#REF!</v>
      </c>
      <c r="H35" s="470" t="e">
        <f t="shared" si="2"/>
        <v>#REF!</v>
      </c>
    </row>
    <row r="36" spans="1:16" x14ac:dyDescent="0.25">
      <c r="A36" s="241"/>
      <c r="B36" s="234"/>
      <c r="C36" s="234"/>
      <c r="D36" s="234"/>
      <c r="E36" s="234"/>
      <c r="F36" s="234"/>
      <c r="G36" s="471"/>
      <c r="H36" s="235"/>
      <c r="I36" s="235"/>
      <c r="K36" s="235"/>
      <c r="L36" s="235"/>
      <c r="M36" s="235"/>
      <c r="N36" s="235"/>
      <c r="O36" s="235"/>
      <c r="P36" s="236"/>
    </row>
    <row r="37" spans="1:16" ht="32.25" customHeight="1" x14ac:dyDescent="0.25">
      <c r="A37" s="241"/>
      <c r="B37" s="234"/>
      <c r="C37" s="234"/>
      <c r="D37" s="471"/>
      <c r="E37" s="472" t="s">
        <v>154</v>
      </c>
      <c r="F37" s="473"/>
      <c r="G37" s="471"/>
      <c r="H37" s="235"/>
      <c r="I37" s="235"/>
      <c r="K37" s="238"/>
      <c r="L37" s="238"/>
    </row>
    <row r="38" spans="1:16" x14ac:dyDescent="0.25">
      <c r="A38" s="402" t="s">
        <v>155</v>
      </c>
      <c r="B38" s="391"/>
      <c r="C38" s="392"/>
      <c r="D38" s="403" t="e">
        <f>G35*E34</f>
        <v>#REF!</v>
      </c>
      <c r="E38" s="404" t="e">
        <f>D38/$G$19</f>
        <v>#REF!</v>
      </c>
      <c r="F38" s="474"/>
      <c r="G38" s="235"/>
      <c r="H38" s="405"/>
      <c r="I38" s="406"/>
      <c r="K38" s="406"/>
      <c r="L38" s="406"/>
    </row>
    <row r="39" spans="1:16" x14ac:dyDescent="0.25">
      <c r="A39" s="402" t="s">
        <v>156</v>
      </c>
      <c r="B39" s="391"/>
      <c r="C39" s="392"/>
      <c r="D39" s="403" t="e">
        <f>G34*D35</f>
        <v>#REF!</v>
      </c>
      <c r="E39" s="404" t="e">
        <f>D39/$G$19</f>
        <v>#REF!</v>
      </c>
      <c r="F39" s="474"/>
      <c r="G39" s="235"/>
      <c r="H39" s="406"/>
      <c r="I39" s="406"/>
      <c r="K39" s="406"/>
      <c r="L39" s="406"/>
    </row>
    <row r="40" spans="1:16" x14ac:dyDescent="0.25">
      <c r="A40" s="165"/>
      <c r="B40" s="224"/>
      <c r="C40" s="224"/>
      <c r="D40" s="224"/>
      <c r="E40" s="96"/>
      <c r="F40" s="96"/>
      <c r="H40" s="96"/>
      <c r="L40" s="96"/>
      <c r="N40" s="174"/>
    </row>
    <row r="41" spans="1:16" x14ac:dyDescent="0.25">
      <c r="A41" s="237" t="s">
        <v>157</v>
      </c>
      <c r="B41" s="238"/>
      <c r="C41" s="238"/>
      <c r="D41" s="475"/>
      <c r="E41" s="475"/>
      <c r="F41" s="475"/>
      <c r="G41" s="475"/>
      <c r="H41" s="238"/>
      <c r="I41" s="238"/>
      <c r="J41" s="238"/>
      <c r="K41" s="238"/>
      <c r="L41" s="238"/>
      <c r="M41" s="238"/>
      <c r="N41" s="238"/>
      <c r="O41" s="238"/>
      <c r="P41" s="238"/>
    </row>
    <row r="42" spans="1:16" x14ac:dyDescent="0.25">
      <c r="A42" s="239"/>
      <c r="B42" s="238"/>
      <c r="C42" s="238"/>
      <c r="D42" s="516" t="str">
        <f>D18</f>
        <v>N</v>
      </c>
      <c r="E42" s="516" t="str">
        <f t="shared" ref="E42:F42" si="3">E18</f>
        <v>N-1</v>
      </c>
      <c r="F42" s="516" t="str">
        <f t="shared" si="3"/>
        <v>N-2</v>
      </c>
      <c r="G42" s="522" t="s">
        <v>145</v>
      </c>
      <c r="H42" s="519" t="s">
        <v>259</v>
      </c>
      <c r="I42" s="520" t="s">
        <v>260</v>
      </c>
      <c r="J42" s="520" t="s">
        <v>261</v>
      </c>
    </row>
    <row r="43" spans="1:16" x14ac:dyDescent="0.25">
      <c r="A43" s="393" t="s">
        <v>146</v>
      </c>
      <c r="B43" s="394"/>
      <c r="C43" s="394"/>
      <c r="D43" s="386" t="e">
        <f>#REF!+#REF!</f>
        <v>#REF!</v>
      </c>
      <c r="E43" s="386" t="e">
        <f>#REF!+#REF!</f>
        <v>#REF!</v>
      </c>
      <c r="F43" s="476">
        <f>361737+326843</f>
        <v>688580</v>
      </c>
      <c r="G43" s="476" t="e">
        <f>D43-E43</f>
        <v>#REF!</v>
      </c>
      <c r="H43" s="225" t="e">
        <f>+G43/E43</f>
        <v>#REF!</v>
      </c>
      <c r="I43" s="448" t="e">
        <f>(D43+E43)/2</f>
        <v>#REF!</v>
      </c>
      <c r="J43" s="448" t="e">
        <f>(E43+F43)/2</f>
        <v>#REF!</v>
      </c>
    </row>
    <row r="44" spans="1:16" x14ac:dyDescent="0.25">
      <c r="A44" s="384" t="s">
        <v>147</v>
      </c>
      <c r="B44" s="385"/>
      <c r="C44" s="385"/>
      <c r="D44" s="395" t="e">
        <f>-(#REF!+#REF!)</f>
        <v>#REF!</v>
      </c>
      <c r="E44" s="395" t="e">
        <f>-(#REF!+#REF!)</f>
        <v>#REF!</v>
      </c>
      <c r="F44" s="477">
        <f>3500</f>
        <v>3500</v>
      </c>
      <c r="G44" s="477" t="e">
        <f>D44-E44</f>
        <v>#REF!</v>
      </c>
      <c r="H44" s="225" t="e">
        <f>+G44/E44</f>
        <v>#REF!</v>
      </c>
    </row>
    <row r="45" spans="1:16" x14ac:dyDescent="0.25">
      <c r="A45" s="387" t="s">
        <v>148</v>
      </c>
      <c r="B45" s="388"/>
      <c r="C45" s="388"/>
      <c r="D45" s="478" t="e">
        <f>D43-D44</f>
        <v>#REF!</v>
      </c>
      <c r="E45" s="478" t="e">
        <f>E43-E44</f>
        <v>#REF!</v>
      </c>
      <c r="F45" s="478">
        <f>F43-F44</f>
        <v>685080</v>
      </c>
      <c r="G45" s="478" t="e">
        <f>D45-E45</f>
        <v>#REF!</v>
      </c>
      <c r="H45" s="227" t="e">
        <f>G45/E45</f>
        <v>#REF!</v>
      </c>
    </row>
    <row r="46" spans="1:16" x14ac:dyDescent="0.25">
      <c r="A46" s="240"/>
      <c r="B46" s="229"/>
      <c r="C46" s="229"/>
      <c r="D46" s="479"/>
      <c r="E46" s="479"/>
      <c r="F46" s="479"/>
      <c r="G46" s="479"/>
      <c r="H46" s="238"/>
      <c r="J46" s="238"/>
    </row>
    <row r="47" spans="1:16" s="42" customFormat="1" x14ac:dyDescent="0.25">
      <c r="A47" s="387" t="s">
        <v>158</v>
      </c>
      <c r="B47" s="388"/>
      <c r="C47" s="388"/>
      <c r="D47" s="408">
        <v>3889184</v>
      </c>
      <c r="E47" s="408">
        <v>3803232</v>
      </c>
      <c r="F47" s="513">
        <v>3612969.57</v>
      </c>
      <c r="G47" s="480">
        <f>D47-E47</f>
        <v>85952</v>
      </c>
      <c r="H47" s="228">
        <f>+G47/E47</f>
        <v>2.2599725706977644E-2</v>
      </c>
      <c r="J47" s="238"/>
    </row>
    <row r="48" spans="1:16" x14ac:dyDescent="0.25">
      <c r="A48" s="240" t="s">
        <v>265</v>
      </c>
      <c r="B48" s="229"/>
      <c r="C48" s="229"/>
      <c r="D48" s="481" t="e">
        <f t="shared" ref="D48:F48" si="4">-E43+D43+D47</f>
        <v>#REF!</v>
      </c>
      <c r="E48" s="481" t="e">
        <f t="shared" si="4"/>
        <v>#REF!</v>
      </c>
      <c r="F48" s="481" t="e">
        <f t="shared" si="4"/>
        <v>#REF!</v>
      </c>
      <c r="G48" s="479"/>
      <c r="H48" s="230"/>
      <c r="I48" s="230"/>
      <c r="J48" s="238"/>
      <c r="L48" s="230"/>
      <c r="M48" s="230"/>
      <c r="N48" s="230"/>
      <c r="O48" s="231"/>
      <c r="P48" s="238"/>
    </row>
    <row r="49" spans="1:16" x14ac:dyDescent="0.25">
      <c r="A49" s="389" t="s">
        <v>150</v>
      </c>
      <c r="B49" s="390"/>
      <c r="C49" s="390"/>
      <c r="D49" s="462" t="e">
        <f>(I43/D48)*360</f>
        <v>#REF!</v>
      </c>
      <c r="E49" s="462" t="e">
        <f>(J43/E48)*360</f>
        <v>#REF!</v>
      </c>
      <c r="F49" s="462"/>
      <c r="G49" s="463" t="e">
        <f>D49-E49</f>
        <v>#REF!</v>
      </c>
      <c r="H49" s="232" t="e">
        <f>+G49/E49</f>
        <v>#REF!</v>
      </c>
      <c r="J49" s="238"/>
    </row>
    <row r="50" spans="1:16" x14ac:dyDescent="0.25">
      <c r="A50" s="239"/>
      <c r="B50" s="238"/>
      <c r="C50" s="238"/>
      <c r="D50" s="475"/>
      <c r="E50" s="475"/>
      <c r="F50" s="475"/>
      <c r="G50" s="475"/>
      <c r="H50" s="238"/>
      <c r="I50" s="238"/>
      <c r="J50" s="238"/>
      <c r="K50" s="238"/>
      <c r="L50" s="238"/>
      <c r="M50" s="238"/>
      <c r="N50" s="238"/>
      <c r="O50" s="238"/>
      <c r="P50" s="238"/>
    </row>
    <row r="51" spans="1:16" x14ac:dyDescent="0.25">
      <c r="A51" s="239"/>
      <c r="B51" s="238"/>
      <c r="C51" s="238"/>
      <c r="D51" s="516" t="str">
        <f>D27</f>
        <v>N</v>
      </c>
      <c r="E51" s="516" t="str">
        <f t="shared" ref="E51:F51" si="5">E27</f>
        <v>N-1</v>
      </c>
      <c r="F51" s="516" t="str">
        <f t="shared" si="5"/>
        <v>N-2</v>
      </c>
      <c r="G51" s="522" t="s">
        <v>145</v>
      </c>
      <c r="H51" s="519" t="s">
        <v>259</v>
      </c>
    </row>
    <row r="52" spans="1:16" x14ac:dyDescent="0.25">
      <c r="A52" s="384" t="s">
        <v>147</v>
      </c>
      <c r="B52" s="385"/>
      <c r="C52" s="385"/>
      <c r="D52" s="476" t="e">
        <f>+D44</f>
        <v>#REF!</v>
      </c>
      <c r="E52" s="476" t="e">
        <f>+E44</f>
        <v>#REF!</v>
      </c>
      <c r="F52" s="476">
        <f>F44</f>
        <v>3500</v>
      </c>
      <c r="G52" s="482" t="e">
        <f>D52-E52</f>
        <v>#REF!</v>
      </c>
      <c r="H52" s="226" t="e">
        <f>+G52/E52</f>
        <v>#REF!</v>
      </c>
    </row>
    <row r="53" spans="1:16" x14ac:dyDescent="0.25">
      <c r="A53" s="384" t="s">
        <v>151</v>
      </c>
      <c r="B53" s="385"/>
      <c r="C53" s="385"/>
      <c r="D53" s="477" t="e">
        <f>++D43</f>
        <v>#REF!</v>
      </c>
      <c r="E53" s="477" t="e">
        <f>++E43</f>
        <v>#REF!</v>
      </c>
      <c r="F53" s="477">
        <f>F43</f>
        <v>688580</v>
      </c>
      <c r="G53" s="477" t="e">
        <f>D53-E53</f>
        <v>#REF!</v>
      </c>
      <c r="H53" s="226" t="e">
        <f>+G53/E53</f>
        <v>#REF!</v>
      </c>
      <c r="I53" s="465" t="s">
        <v>263</v>
      </c>
    </row>
    <row r="54" spans="1:16" x14ac:dyDescent="0.25">
      <c r="A54" s="396" t="s">
        <v>152</v>
      </c>
      <c r="B54" s="397"/>
      <c r="C54" s="397"/>
      <c r="D54" s="483" t="e">
        <f>+D52/D53</f>
        <v>#REF!</v>
      </c>
      <c r="E54" s="483" t="e">
        <f>+E52/E53</f>
        <v>#REF!</v>
      </c>
      <c r="F54" s="483">
        <f>+F52/F53</f>
        <v>5.082924278950884E-3</v>
      </c>
      <c r="G54" s="484" t="e">
        <f>D54-E54</f>
        <v>#REF!</v>
      </c>
      <c r="H54" s="233" t="e">
        <f>+G54/E54</f>
        <v>#REF!</v>
      </c>
      <c r="I54" s="468" t="e">
        <f>G54*D53</f>
        <v>#REF!</v>
      </c>
    </row>
    <row r="55" spans="1:16" x14ac:dyDescent="0.25">
      <c r="A55" s="239"/>
      <c r="B55" s="238"/>
      <c r="C55" s="238"/>
      <c r="D55" s="475"/>
      <c r="E55" s="475"/>
      <c r="F55" s="475"/>
      <c r="G55" s="475"/>
      <c r="H55" s="238"/>
      <c r="I55" s="238"/>
      <c r="J55" s="238"/>
      <c r="K55" s="238"/>
      <c r="L55" s="238"/>
      <c r="M55" s="238"/>
      <c r="N55" s="238"/>
      <c r="O55" s="238"/>
      <c r="P55" s="238"/>
    </row>
    <row r="56" spans="1:16" x14ac:dyDescent="0.25">
      <c r="A56" s="239"/>
      <c r="B56" s="238"/>
      <c r="C56" s="238"/>
      <c r="D56" s="516" t="str">
        <f>D32</f>
        <v>N</v>
      </c>
      <c r="E56" s="516" t="str">
        <f t="shared" ref="E56:F56" si="6">E32</f>
        <v>N-1</v>
      </c>
      <c r="F56" s="516" t="str">
        <f t="shared" si="6"/>
        <v>N-2</v>
      </c>
      <c r="G56" s="522" t="s">
        <v>145</v>
      </c>
      <c r="H56" s="519" t="s">
        <v>259</v>
      </c>
    </row>
    <row r="57" spans="1:16" x14ac:dyDescent="0.25">
      <c r="A57" s="393" t="s">
        <v>146</v>
      </c>
      <c r="B57" s="394"/>
      <c r="C57" s="394"/>
      <c r="D57" s="386" t="e">
        <f>+D43</f>
        <v>#REF!</v>
      </c>
      <c r="E57" s="386" t="e">
        <f>+E43</f>
        <v>#REF!</v>
      </c>
      <c r="F57" s="476">
        <f>F53</f>
        <v>688580</v>
      </c>
      <c r="G57" s="476" t="e">
        <f>D57-E57</f>
        <v>#REF!</v>
      </c>
      <c r="H57" s="225" t="e">
        <f>G57/E57</f>
        <v>#REF!</v>
      </c>
    </row>
    <row r="58" spans="1:16" x14ac:dyDescent="0.25">
      <c r="A58" s="384" t="s">
        <v>264</v>
      </c>
      <c r="B58" s="385"/>
      <c r="C58" s="385"/>
      <c r="D58" s="399">
        <v>132</v>
      </c>
      <c r="E58" s="399">
        <v>96</v>
      </c>
      <c r="F58" s="512"/>
      <c r="G58" s="477">
        <f>D58-E58</f>
        <v>36</v>
      </c>
      <c r="H58" s="225">
        <f>G58/E58</f>
        <v>0.375</v>
      </c>
    </row>
    <row r="59" spans="1:16" x14ac:dyDescent="0.25">
      <c r="A59" s="400" t="s">
        <v>153</v>
      </c>
      <c r="B59" s="401"/>
      <c r="C59" s="401"/>
      <c r="D59" s="485" t="e">
        <f>+D57/D58</f>
        <v>#REF!</v>
      </c>
      <c r="E59" s="485" t="e">
        <f>+E57/E58</f>
        <v>#REF!</v>
      </c>
      <c r="F59" s="485" t="e">
        <f>+F57/F58</f>
        <v>#DIV/0!</v>
      </c>
      <c r="G59" s="486" t="e">
        <f>D59-E59</f>
        <v>#REF!</v>
      </c>
      <c r="H59" s="232" t="e">
        <f>+G59/E59</f>
        <v>#REF!</v>
      </c>
    </row>
    <row r="60" spans="1:16" x14ac:dyDescent="0.25">
      <c r="A60" s="239"/>
      <c r="B60" s="238"/>
      <c r="C60" s="238"/>
      <c r="D60" s="475"/>
      <c r="E60" s="475"/>
      <c r="F60" s="475"/>
      <c r="G60" s="475"/>
      <c r="H60" s="238"/>
      <c r="I60" s="238"/>
      <c r="J60" s="238"/>
      <c r="K60" s="238"/>
      <c r="L60" s="238"/>
      <c r="M60" s="238"/>
      <c r="N60" s="238"/>
      <c r="O60" s="238"/>
      <c r="P60" s="238"/>
    </row>
    <row r="61" spans="1:16" ht="32.25" customHeight="1" x14ac:dyDescent="0.25">
      <c r="A61" s="241"/>
      <c r="B61" s="234"/>
      <c r="C61" s="234"/>
      <c r="D61" s="471"/>
      <c r="E61" s="472" t="s">
        <v>159</v>
      </c>
      <c r="F61" s="473"/>
      <c r="G61" s="471"/>
      <c r="H61" s="235"/>
      <c r="I61" s="235"/>
      <c r="J61" s="236"/>
      <c r="K61" s="238"/>
      <c r="L61" s="238"/>
    </row>
    <row r="62" spans="1:16" x14ac:dyDescent="0.25">
      <c r="A62" s="698" t="s">
        <v>160</v>
      </c>
      <c r="B62" s="699"/>
      <c r="C62" s="700"/>
      <c r="D62" s="487" t="e">
        <f>G59*E58</f>
        <v>#REF!</v>
      </c>
      <c r="E62" s="488" t="e">
        <f>D62/$G$43</f>
        <v>#REF!</v>
      </c>
      <c r="F62" s="489"/>
      <c r="G62" s="475"/>
      <c r="H62" s="701"/>
      <c r="I62" s="702"/>
      <c r="J62" s="702"/>
      <c r="K62" s="702"/>
      <c r="L62" s="702"/>
    </row>
    <row r="63" spans="1:16" x14ac:dyDescent="0.25">
      <c r="A63" s="698" t="s">
        <v>161</v>
      </c>
      <c r="B63" s="699"/>
      <c r="C63" s="700"/>
      <c r="D63" s="487" t="e">
        <f>G58*D59</f>
        <v>#REF!</v>
      </c>
      <c r="E63" s="488" t="e">
        <f>D63/$G$43</f>
        <v>#REF!</v>
      </c>
      <c r="F63" s="489"/>
      <c r="G63" s="475"/>
      <c r="H63" s="702"/>
      <c r="I63" s="702"/>
      <c r="J63" s="702"/>
      <c r="K63" s="702"/>
      <c r="L63" s="702"/>
    </row>
    <row r="64" spans="1:16" x14ac:dyDescent="0.25">
      <c r="A64" s="165"/>
      <c r="B64" s="39"/>
      <c r="C64" s="39"/>
      <c r="D64" s="490"/>
      <c r="E64" s="490"/>
      <c r="F64" s="490"/>
      <c r="G64" s="490"/>
      <c r="H64" s="223"/>
      <c r="J64" s="446"/>
      <c r="K64" s="446"/>
    </row>
    <row r="65" spans="1:16" x14ac:dyDescent="0.25">
      <c r="A65" s="237" t="s">
        <v>162</v>
      </c>
      <c r="B65" s="238"/>
      <c r="C65" s="238"/>
      <c r="D65" s="475"/>
      <c r="E65" s="475"/>
      <c r="F65" s="475"/>
      <c r="G65" s="475"/>
      <c r="H65" s="238"/>
      <c r="I65" s="238"/>
      <c r="J65" s="238"/>
      <c r="K65" s="238"/>
      <c r="L65" s="238"/>
      <c r="M65" s="238"/>
      <c r="N65" s="238"/>
      <c r="O65" s="238"/>
      <c r="P65" s="238"/>
    </row>
    <row r="66" spans="1:16" x14ac:dyDescent="0.25">
      <c r="A66" s="239"/>
      <c r="B66" s="238"/>
      <c r="C66" s="238"/>
      <c r="D66" s="516" t="str">
        <f>D42</f>
        <v>N</v>
      </c>
      <c r="E66" s="516" t="str">
        <f t="shared" ref="E66:F66" si="7">E42</f>
        <v>N-1</v>
      </c>
      <c r="F66" s="516" t="str">
        <f t="shared" si="7"/>
        <v>N-2</v>
      </c>
      <c r="G66" s="522" t="s">
        <v>145</v>
      </c>
      <c r="H66" s="519" t="s">
        <v>259</v>
      </c>
      <c r="I66" s="520" t="s">
        <v>260</v>
      </c>
      <c r="J66" s="520" t="s">
        <v>261</v>
      </c>
    </row>
    <row r="67" spans="1:16" x14ac:dyDescent="0.25">
      <c r="A67" s="393" t="s">
        <v>146</v>
      </c>
      <c r="B67" s="394"/>
      <c r="C67" s="394"/>
      <c r="D67" s="386" t="e">
        <f>#REF!+#REF!+#REF!+#REF!+#REF!+#REF!+#REF!+#REF!</f>
        <v>#REF!</v>
      </c>
      <c r="E67" s="386" t="e">
        <f>#REF!+#REF!+#REF!+#REF!+#REF!+#REF!+#REF!+#REF!</f>
        <v>#REF!</v>
      </c>
      <c r="F67" s="506">
        <f>95969+131986+650+715+1118+5775+7276+9098</f>
        <v>252587</v>
      </c>
      <c r="G67" s="476" t="e">
        <f>D67-E67</f>
        <v>#REF!</v>
      </c>
      <c r="H67" s="225" t="e">
        <f>G67/E67</f>
        <v>#REF!</v>
      </c>
      <c r="I67" s="448" t="e">
        <f>(D67+E67)/2</f>
        <v>#REF!</v>
      </c>
      <c r="J67" s="448" t="e">
        <f>(E67+F67)/2</f>
        <v>#REF!</v>
      </c>
    </row>
    <row r="68" spans="1:16" x14ac:dyDescent="0.25">
      <c r="A68" s="384" t="s">
        <v>147</v>
      </c>
      <c r="B68" s="385"/>
      <c r="C68" s="385"/>
      <c r="D68" s="395" t="e">
        <f>-(#REF!+#REF!)</f>
        <v>#REF!</v>
      </c>
      <c r="E68" s="395" t="e">
        <f>-(#REF!+#REF!)</f>
        <v>#REF!</v>
      </c>
      <c r="F68" s="507">
        <f>27612+30432</f>
        <v>58044</v>
      </c>
      <c r="G68" s="477" t="e">
        <f>D68-E68</f>
        <v>#REF!</v>
      </c>
      <c r="H68" s="225" t="e">
        <f>G68/E68</f>
        <v>#REF!</v>
      </c>
    </row>
    <row r="69" spans="1:16" x14ac:dyDescent="0.25">
      <c r="A69" s="387" t="s">
        <v>148</v>
      </c>
      <c r="B69" s="388"/>
      <c r="C69" s="388"/>
      <c r="D69" s="478" t="e">
        <f>D67-D68</f>
        <v>#REF!</v>
      </c>
      <c r="E69" s="478" t="e">
        <f>E67-E68</f>
        <v>#REF!</v>
      </c>
      <c r="F69" s="478">
        <f>F67-F68</f>
        <v>194543</v>
      </c>
      <c r="G69" s="478" t="e">
        <f>D69-E69</f>
        <v>#REF!</v>
      </c>
      <c r="H69" s="227" t="e">
        <f>+G69/E69</f>
        <v>#REF!</v>
      </c>
    </row>
    <row r="70" spans="1:16" x14ac:dyDescent="0.25">
      <c r="A70" s="239"/>
      <c r="B70" s="238"/>
      <c r="C70" s="238"/>
      <c r="D70" s="475"/>
      <c r="E70" s="475"/>
      <c r="F70" s="491"/>
      <c r="G70" s="491"/>
      <c r="H70" s="238"/>
    </row>
    <row r="71" spans="1:16" x14ac:dyDescent="0.25">
      <c r="A71" s="387" t="s">
        <v>163</v>
      </c>
      <c r="B71" s="388"/>
      <c r="C71" s="388"/>
      <c r="D71" s="408">
        <v>1599588</v>
      </c>
      <c r="E71" s="408">
        <v>1788534</v>
      </c>
      <c r="F71" s="513">
        <v>1694618.53</v>
      </c>
      <c r="G71" s="480">
        <f>D71-E71</f>
        <v>-188946</v>
      </c>
      <c r="H71" s="228">
        <f>+G71/E71</f>
        <v>-0.10564294556323782</v>
      </c>
    </row>
    <row r="72" spans="1:16" x14ac:dyDescent="0.25">
      <c r="A72" s="240" t="s">
        <v>266</v>
      </c>
      <c r="B72" s="238"/>
      <c r="C72" s="238"/>
      <c r="D72" s="460" t="e">
        <f t="shared" ref="D72:F72" si="8">-E67+D67+D71</f>
        <v>#REF!</v>
      </c>
      <c r="E72" s="460" t="e">
        <f t="shared" si="8"/>
        <v>#REF!</v>
      </c>
      <c r="F72" s="460" t="e">
        <f t="shared" si="8"/>
        <v>#REF!</v>
      </c>
      <c r="G72" s="475"/>
      <c r="H72" s="238"/>
    </row>
    <row r="73" spans="1:16" x14ac:dyDescent="0.25">
      <c r="A73" s="389" t="s">
        <v>150</v>
      </c>
      <c r="B73" s="390"/>
      <c r="C73" s="390"/>
      <c r="D73" s="462" t="e">
        <f>(I67/D72)*360</f>
        <v>#REF!</v>
      </c>
      <c r="E73" s="462" t="e">
        <f>(J67/E72)*360</f>
        <v>#REF!</v>
      </c>
      <c r="F73" s="462" t="e">
        <f>(K67/F72)*360</f>
        <v>#REF!</v>
      </c>
      <c r="G73" s="463" t="e">
        <f>D73-E73</f>
        <v>#REF!</v>
      </c>
      <c r="H73" s="232" t="e">
        <f>G73/E73</f>
        <v>#REF!</v>
      </c>
    </row>
    <row r="74" spans="1:16" x14ac:dyDescent="0.25">
      <c r="A74" s="239"/>
      <c r="B74" s="238"/>
      <c r="C74" s="238"/>
      <c r="D74" s="475"/>
      <c r="E74" s="475"/>
      <c r="F74" s="475"/>
      <c r="G74" s="475"/>
      <c r="H74" s="238"/>
    </row>
    <row r="75" spans="1:16" x14ac:dyDescent="0.25">
      <c r="A75" s="239"/>
      <c r="B75" s="238"/>
      <c r="C75" s="238"/>
      <c r="D75" s="475"/>
      <c r="E75" s="475"/>
      <c r="F75" s="475"/>
      <c r="G75" s="475"/>
      <c r="H75" s="238"/>
    </row>
    <row r="76" spans="1:16" x14ac:dyDescent="0.25">
      <c r="A76" s="239"/>
      <c r="B76" s="238"/>
      <c r="C76" s="238"/>
      <c r="D76" s="516" t="str">
        <f>D18</f>
        <v>N</v>
      </c>
      <c r="E76" s="516" t="str">
        <f t="shared" ref="E76:F76" si="9">E18</f>
        <v>N-1</v>
      </c>
      <c r="F76" s="516" t="str">
        <f t="shared" si="9"/>
        <v>N-2</v>
      </c>
      <c r="G76" s="522" t="s">
        <v>145</v>
      </c>
      <c r="H76" s="519" t="s">
        <v>259</v>
      </c>
    </row>
    <row r="77" spans="1:16" x14ac:dyDescent="0.25">
      <c r="A77" s="384" t="s">
        <v>147</v>
      </c>
      <c r="B77" s="385"/>
      <c r="C77" s="385"/>
      <c r="D77" s="482" t="e">
        <f>D68</f>
        <v>#REF!</v>
      </c>
      <c r="E77" s="482" t="e">
        <f>E68</f>
        <v>#REF!</v>
      </c>
      <c r="F77" s="482">
        <f>F68</f>
        <v>58044</v>
      </c>
      <c r="G77" s="482" t="e">
        <f>D77-E77</f>
        <v>#REF!</v>
      </c>
      <c r="H77" s="226" t="e">
        <f>+G77/E77</f>
        <v>#REF!</v>
      </c>
    </row>
    <row r="78" spans="1:16" x14ac:dyDescent="0.25">
      <c r="A78" s="384" t="s">
        <v>151</v>
      </c>
      <c r="B78" s="385"/>
      <c r="C78" s="385"/>
      <c r="D78" s="477" t="e">
        <f>D67</f>
        <v>#REF!</v>
      </c>
      <c r="E78" s="477" t="e">
        <f>E67</f>
        <v>#REF!</v>
      </c>
      <c r="F78" s="492">
        <f>F67</f>
        <v>252587</v>
      </c>
      <c r="G78" s="477" t="e">
        <f>D78-E78</f>
        <v>#REF!</v>
      </c>
      <c r="H78" s="226" t="e">
        <f>+G78/E78</f>
        <v>#REF!</v>
      </c>
      <c r="I78" s="468" t="s">
        <v>263</v>
      </c>
    </row>
    <row r="79" spans="1:16" x14ac:dyDescent="0.25">
      <c r="A79" s="396" t="s">
        <v>152</v>
      </c>
      <c r="B79" s="397"/>
      <c r="C79" s="397"/>
      <c r="D79" s="398" t="e">
        <f>+D77/D78</f>
        <v>#REF!</v>
      </c>
      <c r="E79" s="398" t="e">
        <f>+E77/E78</f>
        <v>#REF!</v>
      </c>
      <c r="F79" s="398">
        <f>+F77/F78</f>
        <v>0.22979804978086757</v>
      </c>
      <c r="G79" s="407" t="e">
        <f>D79-E79</f>
        <v>#REF!</v>
      </c>
      <c r="H79" s="233" t="e">
        <f>+G79/E79</f>
        <v>#REF!</v>
      </c>
      <c r="I79" s="493" t="e">
        <f>G79*D78</f>
        <v>#REF!</v>
      </c>
    </row>
    <row r="80" spans="1:16" x14ac:dyDescent="0.25">
      <c r="A80" s="165"/>
      <c r="B80" s="39"/>
      <c r="C80" s="39"/>
      <c r="D80" s="39"/>
      <c r="E80" s="222"/>
      <c r="F80" s="222"/>
      <c r="G80" s="39"/>
      <c r="H80" s="223"/>
      <c r="J80" s="446"/>
      <c r="K80" s="446"/>
    </row>
    <row r="81" spans="1:16" ht="15.75" thickBot="1" x14ac:dyDescent="0.3">
      <c r="A81" s="243"/>
      <c r="B81" s="244"/>
      <c r="C81" s="245"/>
      <c r="D81" s="245"/>
      <c r="E81" s="244"/>
      <c r="F81" s="246"/>
      <c r="G81" s="246"/>
      <c r="H81" s="138"/>
      <c r="I81" s="138"/>
      <c r="J81" s="138"/>
      <c r="K81" s="138"/>
      <c r="L81" s="138"/>
      <c r="M81" s="138"/>
      <c r="N81" s="138"/>
      <c r="O81" s="138"/>
      <c r="P81" s="171"/>
    </row>
    <row r="82" spans="1:16" s="42" customFormat="1" x14ac:dyDescent="0.2">
      <c r="A82" s="703" t="s">
        <v>92</v>
      </c>
      <c r="B82" s="704"/>
      <c r="C82" s="704"/>
      <c r="D82" s="704"/>
      <c r="E82" s="704"/>
      <c r="F82" s="704"/>
      <c r="G82" s="704"/>
      <c r="H82" s="704"/>
      <c r="I82" s="704"/>
      <c r="J82" s="704"/>
      <c r="K82" s="704"/>
      <c r="L82" s="704"/>
      <c r="M82" s="704"/>
      <c r="N82" s="704"/>
      <c r="O82" s="704"/>
      <c r="P82" s="705"/>
    </row>
    <row r="83" spans="1:16" ht="15.75" thickBot="1" x14ac:dyDescent="0.3">
      <c r="A83" s="170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71"/>
    </row>
    <row r="85" spans="1:16" x14ac:dyDescent="0.25">
      <c r="A85" s="494" t="s">
        <v>267</v>
      </c>
      <c r="B85" s="694" t="s">
        <v>164</v>
      </c>
      <c r="C85" s="695"/>
      <c r="D85" s="695"/>
      <c r="E85" s="695"/>
      <c r="F85" s="695"/>
      <c r="G85" s="695"/>
      <c r="H85" s="695"/>
      <c r="I85" s="695"/>
      <c r="J85" s="696"/>
      <c r="K85" s="495"/>
    </row>
    <row r="86" spans="1:16" ht="30" x14ac:dyDescent="0.25">
      <c r="A86" s="238"/>
      <c r="B86" s="496" t="s">
        <v>283</v>
      </c>
      <c r="C86" s="497" t="s">
        <v>165</v>
      </c>
      <c r="D86" s="498" t="s">
        <v>166</v>
      </c>
      <c r="E86" s="496" t="s">
        <v>284</v>
      </c>
      <c r="F86" s="497" t="s">
        <v>165</v>
      </c>
      <c r="G86" s="496" t="s">
        <v>285</v>
      </c>
      <c r="H86" s="497" t="s">
        <v>165</v>
      </c>
      <c r="I86" s="498" t="s">
        <v>166</v>
      </c>
      <c r="J86" s="496" t="s">
        <v>286</v>
      </c>
      <c r="K86" s="499" t="s">
        <v>165</v>
      </c>
    </row>
    <row r="87" spans="1:16" x14ac:dyDescent="0.25">
      <c r="A87" s="360" t="s">
        <v>268</v>
      </c>
      <c r="B87" s="361">
        <f>48+72</f>
        <v>120</v>
      </c>
      <c r="C87" s="500">
        <f>B87/$B$90</f>
        <v>0.625</v>
      </c>
      <c r="D87" s="500">
        <f>(B87-E87)/E87</f>
        <v>9.0909090909090912E-2</v>
      </c>
      <c r="E87" s="361">
        <f>53+57</f>
        <v>110</v>
      </c>
      <c r="F87" s="500">
        <f>E87/$E$90</f>
        <v>0.69620253164556967</v>
      </c>
      <c r="G87" s="361">
        <f>57+50</f>
        <v>107</v>
      </c>
      <c r="H87" s="500">
        <f>G87/$G$90</f>
        <v>0.81060606060606055</v>
      </c>
      <c r="I87" s="500">
        <f>(G87-J87)/J87</f>
        <v>0.27380952380952384</v>
      </c>
      <c r="J87" s="361">
        <f>41+43</f>
        <v>84</v>
      </c>
      <c r="K87" s="500">
        <f>J87/$J$90</f>
        <v>0.875</v>
      </c>
    </row>
    <row r="88" spans="1:16" x14ac:dyDescent="0.25">
      <c r="A88" s="360" t="s">
        <v>269</v>
      </c>
      <c r="B88" s="361">
        <f>12+5</f>
        <v>17</v>
      </c>
      <c r="C88" s="500">
        <f t="shared" ref="C88:C89" si="10">B88/$B$90</f>
        <v>8.8541666666666671E-2</v>
      </c>
      <c r="D88" s="500">
        <f>(B88-E88)/E88</f>
        <v>0.41666666666666669</v>
      </c>
      <c r="E88" s="361">
        <f>6+6</f>
        <v>12</v>
      </c>
      <c r="F88" s="500">
        <f t="shared" ref="F88:F89" si="11">E88/$E$90</f>
        <v>7.5949367088607597E-2</v>
      </c>
      <c r="G88" s="361">
        <f>3+3</f>
        <v>6</v>
      </c>
      <c r="H88" s="500">
        <f t="shared" ref="H88:H89" si="12">G88/$G$90</f>
        <v>4.5454545454545456E-2</v>
      </c>
      <c r="I88" s="500">
        <f>(G88-J88)/J88</f>
        <v>0.5</v>
      </c>
      <c r="J88" s="361">
        <f>2+2</f>
        <v>4</v>
      </c>
      <c r="K88" s="500">
        <f t="shared" ref="K88:K89" si="13">J88/$J$90</f>
        <v>4.1666666666666664E-2</v>
      </c>
    </row>
    <row r="89" spans="1:16" x14ac:dyDescent="0.25">
      <c r="A89" s="360" t="s">
        <v>167</v>
      </c>
      <c r="B89" s="361">
        <f>20+35</f>
        <v>55</v>
      </c>
      <c r="C89" s="500">
        <f t="shared" si="10"/>
        <v>0.28645833333333331</v>
      </c>
      <c r="D89" s="500">
        <f>(B89-E89)/E89</f>
        <v>0.52777777777777779</v>
      </c>
      <c r="E89" s="361">
        <f>16+20</f>
        <v>36</v>
      </c>
      <c r="F89" s="500">
        <f t="shared" si="11"/>
        <v>0.22784810126582278</v>
      </c>
      <c r="G89" s="361">
        <f>9+10</f>
        <v>19</v>
      </c>
      <c r="H89" s="500">
        <f t="shared" si="12"/>
        <v>0.14393939393939395</v>
      </c>
      <c r="I89" s="500">
        <f>(G89-J89)/J89</f>
        <v>1.375</v>
      </c>
      <c r="J89" s="361">
        <f>4+4</f>
        <v>8</v>
      </c>
      <c r="K89" s="500">
        <f t="shared" si="13"/>
        <v>8.3333333333333329E-2</v>
      </c>
    </row>
    <row r="90" spans="1:16" x14ac:dyDescent="0.25">
      <c r="A90" s="495" t="s">
        <v>112</v>
      </c>
      <c r="B90" s="501">
        <f>SUM(B87:B89)</f>
        <v>192</v>
      </c>
      <c r="C90" s="502"/>
      <c r="D90" s="502"/>
      <c r="E90" s="501">
        <f>SUM(E87:E89)</f>
        <v>158</v>
      </c>
      <c r="F90" s="502"/>
      <c r="G90" s="501">
        <f>SUM(G87:G89)</f>
        <v>132</v>
      </c>
      <c r="H90" s="502"/>
      <c r="I90" s="502"/>
      <c r="J90" s="501">
        <f>SUM(J87:J89)</f>
        <v>96</v>
      </c>
      <c r="K90" s="503"/>
    </row>
    <row r="91" spans="1:16" x14ac:dyDescent="0.25">
      <c r="A91" s="238"/>
      <c r="B91" s="504"/>
      <c r="C91" s="504"/>
      <c r="D91" s="504"/>
      <c r="E91" s="504"/>
      <c r="F91" s="504"/>
      <c r="G91" s="504"/>
      <c r="H91" s="504"/>
      <c r="I91" s="504"/>
      <c r="J91" s="504"/>
      <c r="K91" s="238"/>
    </row>
    <row r="92" spans="1:16" x14ac:dyDescent="0.25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</row>
    <row r="93" spans="1:16" x14ac:dyDescent="0.25">
      <c r="A93" s="362"/>
      <c r="B93" s="363"/>
    </row>
  </sheetData>
  <sheetProtection formatCells="0" formatColumns="0" formatRows="0" insertColumns="0" insertRows="0" insertHyperlinks="0" deleteColumns="0" deleteRows="0" sort="0" autoFilter="0" pivotTables="0"/>
  <mergeCells count="27">
    <mergeCell ref="B85:J85"/>
    <mergeCell ref="K21:M21"/>
    <mergeCell ref="K23:M23"/>
    <mergeCell ref="A62:C62"/>
    <mergeCell ref="H62:L63"/>
    <mergeCell ref="A63:C63"/>
    <mergeCell ref="A82:P82"/>
    <mergeCell ref="K20:M20"/>
    <mergeCell ref="O8:P8"/>
    <mergeCell ref="A9:C9"/>
    <mergeCell ref="D9:E9"/>
    <mergeCell ref="F9:I9"/>
    <mergeCell ref="J9:K9"/>
    <mergeCell ref="L9:N9"/>
    <mergeCell ref="O9:P9"/>
    <mergeCell ref="A11:P11"/>
    <mergeCell ref="A13:P13"/>
    <mergeCell ref="A14:P14"/>
    <mergeCell ref="K18:M18"/>
    <mergeCell ref="K19:M19"/>
    <mergeCell ref="D1:M2"/>
    <mergeCell ref="A3:P5"/>
    <mergeCell ref="E6:L7"/>
    <mergeCell ref="M6:N6"/>
    <mergeCell ref="O6:P6"/>
    <mergeCell ref="M7:N7"/>
    <mergeCell ref="O7:P7"/>
  </mergeCells>
  <dataValidations count="2">
    <dataValidation type="list" allowBlank="1" showInputMessage="1" showErrorMessage="1" sqref="O9:P9" xr:uid="{BC72B146-3E30-4F0C-A145-2825C67FD75A}">
      <formula1>Diligences</formula1>
    </dataValidation>
    <dataValidation type="list" showInputMessage="1" showErrorMessage="1" sqref="D9:E9" xr:uid="{DE363B2A-3A8A-4004-9364-9E876032FB8B}">
      <formula1>RAS</formula1>
    </dataValidation>
  </dataValidations>
  <hyperlinks>
    <hyperlink ref="O8:P8" location="'S Synthèse'!A1" display="S Synthèse" xr:uid="{EA14AC63-B6C3-4C18-8D3D-96C3E97C881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6"/>
  <sheetViews>
    <sheetView showGridLines="0" zoomScaleNormal="100" workbookViewId="0">
      <selection activeCell="E31" sqref="E31"/>
    </sheetView>
  </sheetViews>
  <sheetFormatPr baseColWidth="10" defaultColWidth="11.42578125" defaultRowHeight="15" x14ac:dyDescent="0.25"/>
  <cols>
    <col min="1" max="1" width="21.28515625" style="26" customWidth="1"/>
    <col min="2" max="10" width="14.7109375" style="26" customWidth="1"/>
    <col min="11" max="11" width="18" style="26" customWidth="1"/>
    <col min="12" max="16" width="14.7109375" style="26" customWidth="1"/>
    <col min="17" max="16384" width="11.42578125" style="26"/>
  </cols>
  <sheetData>
    <row r="1" spans="1:21" s="42" customFormat="1" ht="15" customHeight="1" x14ac:dyDescent="0.2">
      <c r="A1" s="213"/>
      <c r="B1" s="214"/>
      <c r="C1" s="214"/>
      <c r="D1" s="655">
        <f>'S Synthèse'!D1:M2</f>
        <v>0</v>
      </c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1" s="42" customFormat="1" ht="15" customHeight="1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1" ht="15" customHeight="1" x14ac:dyDescent="0.25">
      <c r="A3" s="661" t="s">
        <v>63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R3" s="4"/>
      <c r="T3" s="6"/>
      <c r="U3" s="6"/>
    </row>
    <row r="4" spans="1:21" ht="15" customHeight="1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R4" s="4"/>
      <c r="T4" s="6"/>
      <c r="U4" s="6"/>
    </row>
    <row r="5" spans="1:21" ht="15" customHeight="1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219" t="str">
        <f>'S Synthèse'!B6</f>
        <v>BRA</v>
      </c>
      <c r="C6" s="18" t="s">
        <v>6</v>
      </c>
      <c r="D6" s="219">
        <f>'S Synthèse'!D6</f>
        <v>0</v>
      </c>
      <c r="E6" s="667" t="s">
        <v>184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R6" s="42"/>
      <c r="S6" s="42"/>
    </row>
    <row r="7" spans="1:21" ht="15" customHeight="1" thickBot="1" x14ac:dyDescent="0.3">
      <c r="A7" s="19" t="s">
        <v>11</v>
      </c>
      <c r="B7" s="220">
        <f>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Synthèse'!M7:N7</f>
        <v>31/12/N</v>
      </c>
      <c r="N7" s="614"/>
      <c r="O7" s="675" t="s">
        <v>185</v>
      </c>
      <c r="P7" s="676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110.25" customHeight="1" thickBot="1" x14ac:dyDescent="0.3">
      <c r="A11" s="638" t="s">
        <v>186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74.25" customHeight="1" thickBot="1" x14ac:dyDescent="0.3">
      <c r="A14" s="531"/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06"/>
      <c r="O14" s="706"/>
      <c r="P14" s="707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16" x14ac:dyDescent="0.25">
      <c r="A17" s="47" t="s">
        <v>187</v>
      </c>
      <c r="B17" s="50"/>
      <c r="C17" s="50"/>
      <c r="D17" s="50"/>
      <c r="E17" s="50"/>
      <c r="F17" s="50"/>
      <c r="G17" s="50" t="s">
        <v>188</v>
      </c>
      <c r="H17" s="50"/>
      <c r="I17" s="286"/>
      <c r="J17" s="286"/>
      <c r="K17" s="302" t="s">
        <v>189</v>
      </c>
      <c r="L17" s="286" t="s">
        <v>190</v>
      </c>
      <c r="M17" s="50"/>
      <c r="N17" s="50"/>
      <c r="P17" s="164"/>
    </row>
    <row r="18" spans="1:16" x14ac:dyDescent="0.25">
      <c r="A18" s="303" t="s">
        <v>191</v>
      </c>
      <c r="B18" s="50"/>
      <c r="C18" s="50" t="s">
        <v>192</v>
      </c>
      <c r="D18" s="50"/>
      <c r="E18" s="50" t="s">
        <v>280</v>
      </c>
      <c r="F18" s="50"/>
      <c r="G18" s="50"/>
      <c r="H18" s="50"/>
      <c r="I18" s="286"/>
      <c r="J18" s="286"/>
      <c r="K18" s="286"/>
      <c r="L18" s="286"/>
      <c r="M18" s="50"/>
      <c r="N18" s="50"/>
      <c r="P18" s="164"/>
    </row>
    <row r="19" spans="1:16" ht="14.45" customHeight="1" thickBot="1" x14ac:dyDescent="0.3">
      <c r="A19" s="48"/>
      <c r="B19" s="39"/>
      <c r="C19" s="39"/>
      <c r="D19" s="39"/>
      <c r="E19" s="39"/>
      <c r="F19" s="39"/>
      <c r="G19" s="39"/>
      <c r="H19" s="39"/>
      <c r="I19" s="285"/>
      <c r="J19" s="285"/>
      <c r="K19" s="285"/>
      <c r="L19" s="285"/>
      <c r="M19" s="39"/>
      <c r="N19" s="39"/>
      <c r="P19" s="164"/>
    </row>
    <row r="20" spans="1:16" ht="42" customHeight="1" thickBot="1" x14ac:dyDescent="0.3">
      <c r="A20" s="249" t="s">
        <v>193</v>
      </c>
      <c r="B20" s="250" t="s">
        <v>194</v>
      </c>
      <c r="C20" s="250" t="s">
        <v>195</v>
      </c>
      <c r="D20" s="250" t="s">
        <v>196</v>
      </c>
      <c r="E20" s="250" t="s">
        <v>197</v>
      </c>
      <c r="F20" s="250" t="s">
        <v>198</v>
      </c>
      <c r="G20" s="250" t="s">
        <v>199</v>
      </c>
      <c r="H20" s="250" t="s">
        <v>200</v>
      </c>
      <c r="I20" s="251" t="s">
        <v>201</v>
      </c>
      <c r="J20" s="251" t="s">
        <v>202</v>
      </c>
      <c r="K20" s="251" t="s">
        <v>203</v>
      </c>
      <c r="L20" s="251" t="s">
        <v>204</v>
      </c>
      <c r="M20" s="252" t="s">
        <v>205</v>
      </c>
      <c r="N20" s="50"/>
      <c r="O20" s="202"/>
      <c r="P20" s="247"/>
    </row>
    <row r="21" spans="1:16" ht="16.5" customHeight="1" thickBot="1" x14ac:dyDescent="0.3">
      <c r="A21" s="253" t="s">
        <v>206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50"/>
      <c r="O21" s="200"/>
      <c r="P21" s="201"/>
    </row>
    <row r="22" spans="1:16" ht="16.5" customHeight="1" thickBot="1" x14ac:dyDescent="0.3">
      <c r="A22" s="255" t="s">
        <v>207</v>
      </c>
      <c r="B22" s="256"/>
      <c r="C22" s="257"/>
      <c r="D22" s="256"/>
      <c r="E22" s="257"/>
      <c r="F22" s="256"/>
      <c r="G22" s="257"/>
      <c r="H22" s="256"/>
      <c r="I22" s="257"/>
      <c r="J22" s="256"/>
      <c r="K22" s="257"/>
      <c r="L22" s="256"/>
      <c r="M22" s="257"/>
      <c r="N22" s="39"/>
      <c r="O22" s="200"/>
      <c r="P22" s="201"/>
    </row>
    <row r="23" spans="1:16" ht="16.5" customHeight="1" thickBot="1" x14ac:dyDescent="0.3">
      <c r="A23" s="258" t="s">
        <v>208</v>
      </c>
      <c r="B23" s="259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2" t="s">
        <v>209</v>
      </c>
      <c r="O23" s="200"/>
      <c r="P23" s="201"/>
    </row>
    <row r="24" spans="1:16" ht="16.5" customHeight="1" thickBot="1" x14ac:dyDescent="0.3">
      <c r="A24" s="263" t="s">
        <v>210</v>
      </c>
      <c r="B24" s="264"/>
      <c r="C24" s="265"/>
      <c r="D24" s="264"/>
      <c r="E24" s="265"/>
      <c r="F24" s="264"/>
      <c r="G24" s="266"/>
      <c r="H24" s="264"/>
      <c r="I24" s="265"/>
      <c r="J24" s="264"/>
      <c r="K24" s="265"/>
      <c r="L24" s="264"/>
      <c r="M24" s="265"/>
      <c r="N24" s="304"/>
      <c r="O24" s="200"/>
      <c r="P24" s="201"/>
    </row>
    <row r="25" spans="1:16" ht="16.5" customHeight="1" thickBot="1" x14ac:dyDescent="0.3">
      <c r="A25" s="253" t="s">
        <v>211</v>
      </c>
      <c r="B25" s="261"/>
      <c r="C25" s="260"/>
      <c r="D25" s="260">
        <f t="shared" ref="D25:L25" si="0">D21+D22-D23</f>
        <v>0</v>
      </c>
      <c r="E25" s="260">
        <f t="shared" si="0"/>
        <v>0</v>
      </c>
      <c r="F25" s="260">
        <f t="shared" si="0"/>
        <v>0</v>
      </c>
      <c r="G25" s="260">
        <f t="shared" si="0"/>
        <v>0</v>
      </c>
      <c r="H25" s="260">
        <f t="shared" si="0"/>
        <v>0</v>
      </c>
      <c r="I25" s="260">
        <f t="shared" si="0"/>
        <v>0</v>
      </c>
      <c r="J25" s="260">
        <f t="shared" si="0"/>
        <v>0</v>
      </c>
      <c r="K25" s="260">
        <f t="shared" si="0"/>
        <v>0</v>
      </c>
      <c r="L25" s="260">
        <f t="shared" si="0"/>
        <v>0</v>
      </c>
      <c r="M25" s="260">
        <f>M21+M22-M23</f>
        <v>0</v>
      </c>
      <c r="N25" s="304"/>
      <c r="O25" s="200"/>
      <c r="P25" s="201"/>
    </row>
    <row r="26" spans="1:16" ht="16.5" customHeight="1" thickBot="1" x14ac:dyDescent="0.3">
      <c r="A26" s="267" t="s">
        <v>212</v>
      </c>
      <c r="B26" s="268"/>
      <c r="C26" s="268"/>
      <c r="D26" s="269"/>
      <c r="E26" s="269"/>
      <c r="F26" s="269"/>
      <c r="G26" s="269"/>
      <c r="H26" s="268"/>
      <c r="I26" s="268"/>
      <c r="J26" s="269"/>
      <c r="K26" s="268"/>
      <c r="L26" s="268"/>
      <c r="M26" s="270"/>
      <c r="N26" s="304"/>
      <c r="O26" s="200"/>
      <c r="P26" s="201"/>
    </row>
    <row r="27" spans="1:16" ht="16.5" customHeight="1" x14ac:dyDescent="0.25">
      <c r="A27" s="47"/>
      <c r="B27" s="64" t="s">
        <v>189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71"/>
      <c r="N27" s="304"/>
      <c r="O27" s="200"/>
      <c r="P27" s="201"/>
    </row>
    <row r="28" spans="1:16" ht="16.5" customHeight="1" x14ac:dyDescent="0.25">
      <c r="A28" s="47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71"/>
      <c r="N28" s="304"/>
      <c r="O28" s="200"/>
      <c r="P28" s="201"/>
    </row>
    <row r="29" spans="1:16" ht="16.5" customHeight="1" x14ac:dyDescent="0.25">
      <c r="A29" s="47" t="s">
        <v>187</v>
      </c>
      <c r="B29" s="50"/>
      <c r="C29" s="50"/>
      <c r="D29" s="50"/>
      <c r="E29" s="50"/>
      <c r="F29" s="273"/>
      <c r="G29" s="273"/>
      <c r="H29" s="273"/>
      <c r="I29" s="264"/>
      <c r="J29" s="264"/>
      <c r="K29" s="264"/>
      <c r="L29" s="264"/>
      <c r="M29" s="64"/>
      <c r="N29" s="304"/>
      <c r="O29" s="200"/>
      <c r="P29" s="201"/>
    </row>
    <row r="30" spans="1:16" ht="16.5" customHeight="1" x14ac:dyDescent="0.25">
      <c r="A30" s="303" t="s">
        <v>191</v>
      </c>
      <c r="B30" s="50"/>
      <c r="C30" s="50"/>
      <c r="D30" s="50"/>
      <c r="E30" s="50" t="s">
        <v>280</v>
      </c>
      <c r="F30" s="39"/>
      <c r="G30" s="39"/>
      <c r="H30" s="39"/>
      <c r="I30" s="285"/>
      <c r="J30" s="285"/>
      <c r="K30" s="285"/>
      <c r="L30" s="285"/>
      <c r="M30" s="39"/>
      <c r="N30" s="304"/>
      <c r="O30" s="200"/>
      <c r="P30" s="201"/>
    </row>
    <row r="31" spans="1:16" ht="16.5" customHeight="1" thickBot="1" x14ac:dyDescent="0.3">
      <c r="A31" s="303"/>
      <c r="B31" s="50"/>
      <c r="C31" s="50"/>
      <c r="D31" s="50"/>
      <c r="E31" s="50"/>
      <c r="F31" s="39"/>
      <c r="G31" s="39"/>
      <c r="H31" s="39"/>
      <c r="I31" s="285"/>
      <c r="J31" s="285"/>
      <c r="K31" s="285"/>
      <c r="L31" s="285"/>
      <c r="M31" s="39"/>
      <c r="N31" s="304"/>
      <c r="O31" s="200"/>
      <c r="P31" s="201"/>
    </row>
    <row r="32" spans="1:16" ht="49.9" customHeight="1" thickBot="1" x14ac:dyDescent="0.3">
      <c r="A32" s="249" t="s">
        <v>213</v>
      </c>
      <c r="B32" s="250" t="s">
        <v>194</v>
      </c>
      <c r="C32" s="250" t="s">
        <v>195</v>
      </c>
      <c r="D32" s="250" t="s">
        <v>196</v>
      </c>
      <c r="E32" s="250" t="s">
        <v>197</v>
      </c>
      <c r="F32" s="250" t="s">
        <v>198</v>
      </c>
      <c r="G32" s="250" t="s">
        <v>199</v>
      </c>
      <c r="H32" s="250" t="s">
        <v>200</v>
      </c>
      <c r="I32" s="251" t="s">
        <v>201</v>
      </c>
      <c r="J32" s="251" t="s">
        <v>202</v>
      </c>
      <c r="K32" s="251" t="s">
        <v>203</v>
      </c>
      <c r="L32" s="251" t="s">
        <v>204</v>
      </c>
      <c r="M32" s="252" t="s">
        <v>205</v>
      </c>
      <c r="N32" s="305"/>
      <c r="O32" s="200"/>
      <c r="P32" s="201"/>
    </row>
    <row r="33" spans="1:16" ht="16.5" customHeight="1" thickBot="1" x14ac:dyDescent="0.3">
      <c r="A33" s="274" t="s">
        <v>206</v>
      </c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75"/>
      <c r="M33" s="254"/>
      <c r="N33" s="305"/>
      <c r="O33" s="200"/>
      <c r="P33" s="201"/>
    </row>
    <row r="34" spans="1:16" ht="16.5" customHeight="1" x14ac:dyDescent="0.25">
      <c r="A34" s="276" t="s">
        <v>207</v>
      </c>
      <c r="B34" s="277"/>
      <c r="C34" s="278"/>
      <c r="D34" s="277"/>
      <c r="E34" s="278"/>
      <c r="F34" s="278"/>
      <c r="G34" s="278"/>
      <c r="H34" s="277"/>
      <c r="I34" s="278"/>
      <c r="J34" s="277"/>
      <c r="K34" s="278"/>
      <c r="L34" s="277"/>
      <c r="M34" s="278"/>
      <c r="N34" s="262"/>
      <c r="O34" s="200"/>
      <c r="P34" s="201"/>
    </row>
    <row r="35" spans="1:16" ht="16.5" customHeight="1" x14ac:dyDescent="0.25">
      <c r="A35" s="279" t="s">
        <v>214</v>
      </c>
      <c r="B35" s="280"/>
      <c r="C35" s="281"/>
      <c r="D35" s="280"/>
      <c r="E35" s="281"/>
      <c r="F35" s="281"/>
      <c r="G35" s="281"/>
      <c r="H35" s="280"/>
      <c r="I35" s="281"/>
      <c r="J35" s="280"/>
      <c r="K35" s="281"/>
      <c r="L35" s="280"/>
      <c r="M35" s="281"/>
      <c r="N35" s="262" t="s">
        <v>209</v>
      </c>
      <c r="O35" s="200"/>
      <c r="P35" s="201"/>
    </row>
    <row r="36" spans="1:16" ht="16.5" customHeight="1" x14ac:dyDescent="0.25">
      <c r="A36" s="279" t="s">
        <v>210</v>
      </c>
      <c r="B36" s="280"/>
      <c r="C36" s="281"/>
      <c r="D36" s="280"/>
      <c r="E36" s="281"/>
      <c r="F36" s="281"/>
      <c r="G36" s="281"/>
      <c r="H36" s="280"/>
      <c r="I36" s="281"/>
      <c r="J36" s="280"/>
      <c r="K36" s="281"/>
      <c r="L36" s="280"/>
      <c r="M36" s="281"/>
      <c r="N36" s="272"/>
      <c r="O36" s="200"/>
      <c r="P36" s="201"/>
    </row>
    <row r="37" spans="1:16" ht="16.5" customHeight="1" thickBot="1" x14ac:dyDescent="0.3">
      <c r="A37" s="282" t="s">
        <v>215</v>
      </c>
      <c r="B37" s="283"/>
      <c r="C37" s="284"/>
      <c r="D37" s="283"/>
      <c r="E37" s="284"/>
      <c r="F37" s="284"/>
      <c r="G37" s="284"/>
      <c r="H37" s="283"/>
      <c r="I37" s="284"/>
      <c r="J37" s="283"/>
      <c r="K37" s="284"/>
      <c r="L37" s="283"/>
      <c r="M37" s="284"/>
      <c r="N37" s="305"/>
      <c r="O37" s="200"/>
      <c r="P37" s="201"/>
    </row>
    <row r="38" spans="1:16" ht="16.5" customHeight="1" thickBot="1" x14ac:dyDescent="0.3">
      <c r="A38" s="274" t="s">
        <v>211</v>
      </c>
      <c r="B38" s="261"/>
      <c r="C38" s="260">
        <f t="shared" ref="C38:L38" si="1">C33+C34-C35</f>
        <v>0</v>
      </c>
      <c r="D38" s="260">
        <f>D33+D34-D35+D37</f>
        <v>0</v>
      </c>
      <c r="E38" s="260">
        <f t="shared" si="1"/>
        <v>0</v>
      </c>
      <c r="F38" s="260">
        <f t="shared" si="1"/>
        <v>0</v>
      </c>
      <c r="G38" s="260">
        <f>G33+G34-G35+G37</f>
        <v>0</v>
      </c>
      <c r="H38" s="260">
        <f t="shared" si="1"/>
        <v>0</v>
      </c>
      <c r="I38" s="260">
        <f t="shared" si="1"/>
        <v>0</v>
      </c>
      <c r="J38" s="260">
        <f>J33+J34-J35+J37</f>
        <v>0</v>
      </c>
      <c r="K38" s="260">
        <f t="shared" si="1"/>
        <v>0</v>
      </c>
      <c r="L38" s="259">
        <f t="shared" si="1"/>
        <v>0</v>
      </c>
      <c r="M38" s="260">
        <f>M33+M34-M35+M37</f>
        <v>0</v>
      </c>
      <c r="N38" s="39"/>
      <c r="O38" s="200"/>
      <c r="P38" s="201"/>
    </row>
    <row r="39" spans="1:16" ht="16.5" customHeight="1" thickBot="1" x14ac:dyDescent="0.3">
      <c r="A39" s="267" t="s">
        <v>212</v>
      </c>
      <c r="B39" s="268"/>
      <c r="C39" s="268"/>
      <c r="D39" s="269"/>
      <c r="E39" s="269"/>
      <c r="F39" s="269"/>
      <c r="G39" s="269"/>
      <c r="H39" s="268"/>
      <c r="I39" s="268"/>
      <c r="J39" s="269"/>
      <c r="K39" s="268"/>
      <c r="L39" s="268"/>
      <c r="M39" s="270"/>
      <c r="N39" s="304"/>
      <c r="O39" s="200"/>
      <c r="P39" s="201"/>
    </row>
    <row r="40" spans="1:16" ht="16.5" customHeight="1" x14ac:dyDescent="0.25">
      <c r="A40" s="48"/>
      <c r="B40" s="306" t="s">
        <v>189</v>
      </c>
      <c r="C40" s="285"/>
      <c r="D40" s="307"/>
      <c r="E40" s="285"/>
      <c r="F40" s="285"/>
      <c r="G40" s="285"/>
      <c r="H40" s="285"/>
      <c r="I40" s="285"/>
      <c r="J40" s="285"/>
      <c r="K40" s="285"/>
      <c r="L40" s="285"/>
      <c r="M40" s="285"/>
      <c r="N40" s="39"/>
      <c r="O40" s="200"/>
      <c r="P40" s="201"/>
    </row>
    <row r="41" spans="1:16" ht="16.5" customHeight="1" x14ac:dyDescent="0.25">
      <c r="A41" s="48"/>
      <c r="B41" s="39"/>
      <c r="C41" s="39"/>
      <c r="D41" s="39"/>
      <c r="E41" s="39"/>
      <c r="F41" s="39"/>
      <c r="G41" s="39"/>
      <c r="H41" s="39"/>
      <c r="I41" s="285"/>
      <c r="J41" s="285"/>
      <c r="K41" s="285"/>
      <c r="L41" s="264"/>
      <c r="M41" s="64"/>
      <c r="N41" s="39"/>
      <c r="O41" s="200"/>
      <c r="P41" s="201"/>
    </row>
    <row r="42" spans="1:16" ht="16.5" customHeight="1" thickBot="1" x14ac:dyDescent="0.3">
      <c r="A42" s="48"/>
      <c r="B42" s="39"/>
      <c r="C42" s="39"/>
      <c r="D42" s="39"/>
      <c r="E42" s="39"/>
      <c r="F42" s="39"/>
      <c r="G42" s="39"/>
      <c r="H42" s="39"/>
      <c r="I42" s="285"/>
      <c r="J42" s="285"/>
      <c r="K42" s="285"/>
      <c r="L42" s="264"/>
      <c r="M42" s="64"/>
      <c r="N42" s="39"/>
      <c r="O42" s="202"/>
      <c r="P42" s="247"/>
    </row>
    <row r="43" spans="1:16" ht="42" customHeight="1" thickBot="1" x14ac:dyDescent="0.3">
      <c r="A43" s="249" t="s">
        <v>193</v>
      </c>
      <c r="B43" s="250" t="s">
        <v>194</v>
      </c>
      <c r="C43" s="250" t="s">
        <v>195</v>
      </c>
      <c r="D43" s="250" t="s">
        <v>196</v>
      </c>
      <c r="E43" s="250" t="s">
        <v>197</v>
      </c>
      <c r="F43" s="250" t="s">
        <v>198</v>
      </c>
      <c r="G43" s="250" t="s">
        <v>199</v>
      </c>
      <c r="H43" s="250" t="s">
        <v>200</v>
      </c>
      <c r="I43" s="251" t="s">
        <v>201</v>
      </c>
      <c r="J43" s="251" t="s">
        <v>202</v>
      </c>
      <c r="K43" s="251" t="s">
        <v>203</v>
      </c>
      <c r="L43" s="251" t="s">
        <v>204</v>
      </c>
      <c r="M43" s="252" t="s">
        <v>205</v>
      </c>
      <c r="N43" s="50"/>
      <c r="O43" s="202"/>
      <c r="P43" s="247"/>
    </row>
    <row r="44" spans="1:16" ht="15.75" thickBot="1" x14ac:dyDescent="0.3">
      <c r="A44" s="253" t="s">
        <v>206</v>
      </c>
      <c r="B44" s="287"/>
      <c r="C44" s="287"/>
      <c r="D44" s="287"/>
      <c r="E44" s="287"/>
      <c r="F44" s="287"/>
      <c r="G44" s="287"/>
      <c r="H44" s="287"/>
      <c r="I44" s="254"/>
      <c r="J44" s="254"/>
      <c r="K44" s="254"/>
      <c r="L44" s="254"/>
      <c r="M44" s="287"/>
      <c r="N44" s="50"/>
      <c r="O44" s="202"/>
      <c r="P44" s="247"/>
    </row>
    <row r="45" spans="1:16" ht="15.75" thickBot="1" x14ac:dyDescent="0.3">
      <c r="A45" s="255" t="s">
        <v>207</v>
      </c>
      <c r="B45" s="288"/>
      <c r="C45" s="289"/>
      <c r="D45" s="288"/>
      <c r="E45" s="289"/>
      <c r="F45" s="288"/>
      <c r="G45" s="289"/>
      <c r="H45" s="288"/>
      <c r="I45" s="257"/>
      <c r="J45" s="256"/>
      <c r="K45" s="257"/>
      <c r="L45" s="256"/>
      <c r="M45" s="289"/>
      <c r="N45" s="39"/>
      <c r="P45" s="164"/>
    </row>
    <row r="46" spans="1:16" ht="15.75" thickBot="1" x14ac:dyDescent="0.3">
      <c r="A46" s="258" t="s">
        <v>216</v>
      </c>
      <c r="B46" s="290"/>
      <c r="C46" s="291"/>
      <c r="D46" s="290"/>
      <c r="E46" s="291"/>
      <c r="F46" s="290"/>
      <c r="G46" s="289"/>
      <c r="H46" s="290"/>
      <c r="I46" s="292"/>
      <c r="J46" s="293"/>
      <c r="K46" s="292"/>
      <c r="L46" s="293"/>
      <c r="M46" s="291"/>
      <c r="N46" s="39"/>
      <c r="P46" s="164"/>
    </row>
    <row r="47" spans="1:16" ht="15.75" thickBot="1" x14ac:dyDescent="0.3">
      <c r="A47" s="253" t="s">
        <v>211</v>
      </c>
      <c r="B47" s="294"/>
      <c r="C47" s="295"/>
      <c r="D47" s="295">
        <f t="shared" ref="D47:L47" si="2">D44+D45-D46</f>
        <v>0</v>
      </c>
      <c r="E47" s="295">
        <f t="shared" si="2"/>
        <v>0</v>
      </c>
      <c r="F47" s="295">
        <f t="shared" si="2"/>
        <v>0</v>
      </c>
      <c r="G47" s="295">
        <f t="shared" si="2"/>
        <v>0</v>
      </c>
      <c r="H47" s="295">
        <f t="shared" si="2"/>
        <v>0</v>
      </c>
      <c r="I47" s="260">
        <f t="shared" si="2"/>
        <v>0</v>
      </c>
      <c r="J47" s="260">
        <f t="shared" si="2"/>
        <v>0</v>
      </c>
      <c r="K47" s="260">
        <f t="shared" si="2"/>
        <v>0</v>
      </c>
      <c r="L47" s="260">
        <f t="shared" si="2"/>
        <v>0</v>
      </c>
      <c r="M47" s="287">
        <f>M44+M45-M46</f>
        <v>0</v>
      </c>
      <c r="N47" s="50"/>
      <c r="P47" s="164"/>
    </row>
    <row r="48" spans="1:16" x14ac:dyDescent="0.25">
      <c r="A48" s="47"/>
      <c r="B48" s="64" t="s">
        <v>189</v>
      </c>
      <c r="C48" s="273"/>
      <c r="D48" s="273" t="s">
        <v>129</v>
      </c>
      <c r="E48" s="273"/>
      <c r="F48" s="273"/>
      <c r="G48" s="273" t="s">
        <v>129</v>
      </c>
      <c r="H48" s="273"/>
      <c r="I48" s="264"/>
      <c r="J48" s="264" t="s">
        <v>129</v>
      </c>
      <c r="K48" s="264"/>
      <c r="L48" s="264"/>
      <c r="M48" s="296" t="s">
        <v>129</v>
      </c>
      <c r="N48" s="50"/>
      <c r="P48" s="164"/>
    </row>
    <row r="49" spans="1:16" ht="15.75" thickBot="1" x14ac:dyDescent="0.3">
      <c r="A49" s="48"/>
      <c r="B49" s="39"/>
      <c r="C49" s="39"/>
      <c r="D49" s="39"/>
      <c r="E49" s="39"/>
      <c r="F49" s="39"/>
      <c r="G49" s="39"/>
      <c r="H49" s="39"/>
      <c r="I49" s="285"/>
      <c r="J49" s="285"/>
      <c r="K49" s="285"/>
      <c r="L49" s="285"/>
      <c r="M49" s="39"/>
      <c r="N49" s="39"/>
      <c r="P49" s="164"/>
    </row>
    <row r="50" spans="1:16" ht="53.25" thickBot="1" x14ac:dyDescent="0.3">
      <c r="A50" s="249" t="s">
        <v>213</v>
      </c>
      <c r="B50" s="250" t="s">
        <v>194</v>
      </c>
      <c r="C50" s="250" t="s">
        <v>195</v>
      </c>
      <c r="D50" s="250" t="s">
        <v>196</v>
      </c>
      <c r="E50" s="250" t="s">
        <v>197</v>
      </c>
      <c r="F50" s="250" t="s">
        <v>198</v>
      </c>
      <c r="G50" s="250" t="s">
        <v>199</v>
      </c>
      <c r="H50" s="250" t="s">
        <v>200</v>
      </c>
      <c r="I50" s="251" t="s">
        <v>201</v>
      </c>
      <c r="J50" s="251" t="s">
        <v>202</v>
      </c>
      <c r="K50" s="251" t="s">
        <v>203</v>
      </c>
      <c r="L50" s="251" t="s">
        <v>204</v>
      </c>
      <c r="M50" s="252" t="s">
        <v>205</v>
      </c>
      <c r="N50" s="50"/>
      <c r="P50" s="164"/>
    </row>
    <row r="51" spans="1:16" ht="15.75" thickBot="1" x14ac:dyDescent="0.3">
      <c r="A51" s="274" t="s">
        <v>206</v>
      </c>
      <c r="B51" s="287"/>
      <c r="C51" s="287"/>
      <c r="D51" s="287"/>
      <c r="E51" s="287"/>
      <c r="F51" s="287"/>
      <c r="G51" s="287"/>
      <c r="H51" s="287"/>
      <c r="I51" s="254"/>
      <c r="J51" s="254"/>
      <c r="K51" s="254"/>
      <c r="L51" s="254"/>
      <c r="M51" s="287"/>
      <c r="N51" s="50"/>
      <c r="P51" s="164"/>
    </row>
    <row r="52" spans="1:16" x14ac:dyDescent="0.25">
      <c r="A52" s="276" t="s">
        <v>207</v>
      </c>
      <c r="B52" s="297"/>
      <c r="C52" s="298"/>
      <c r="D52" s="297"/>
      <c r="E52" s="298"/>
      <c r="F52" s="298"/>
      <c r="G52" s="298"/>
      <c r="H52" s="297"/>
      <c r="I52" s="278"/>
      <c r="J52" s="277"/>
      <c r="K52" s="278"/>
      <c r="L52" s="277"/>
      <c r="M52" s="298"/>
      <c r="N52" s="39"/>
      <c r="P52" s="164"/>
    </row>
    <row r="53" spans="1:16" ht="15.75" thickBot="1" x14ac:dyDescent="0.3">
      <c r="A53" s="279" t="s">
        <v>216</v>
      </c>
      <c r="B53" s="299"/>
      <c r="C53" s="300"/>
      <c r="D53" s="299"/>
      <c r="E53" s="300"/>
      <c r="F53" s="300"/>
      <c r="G53" s="300"/>
      <c r="H53" s="299"/>
      <c r="I53" s="281"/>
      <c r="J53" s="280"/>
      <c r="K53" s="281"/>
      <c r="L53" s="280"/>
      <c r="M53" s="300"/>
      <c r="N53" s="39"/>
      <c r="P53" s="164"/>
    </row>
    <row r="54" spans="1:16" s="42" customFormat="1" ht="15.75" thickBot="1" x14ac:dyDescent="0.3">
      <c r="A54" s="274" t="s">
        <v>211</v>
      </c>
      <c r="B54" s="294"/>
      <c r="C54" s="295"/>
      <c r="D54" s="295">
        <f t="shared" ref="D54:M54" si="3">D51+D52-D53</f>
        <v>0</v>
      </c>
      <c r="E54" s="295">
        <f t="shared" si="3"/>
        <v>0</v>
      </c>
      <c r="F54" s="295">
        <f t="shared" si="3"/>
        <v>0</v>
      </c>
      <c r="G54" s="295">
        <f t="shared" si="3"/>
        <v>0</v>
      </c>
      <c r="H54" s="295">
        <f t="shared" si="3"/>
        <v>0</v>
      </c>
      <c r="I54" s="260">
        <f t="shared" si="3"/>
        <v>0</v>
      </c>
      <c r="J54" s="260">
        <f t="shared" si="3"/>
        <v>0</v>
      </c>
      <c r="K54" s="260">
        <f t="shared" si="3"/>
        <v>0</v>
      </c>
      <c r="L54" s="260">
        <f t="shared" si="3"/>
        <v>0</v>
      </c>
      <c r="M54" s="287">
        <f t="shared" si="3"/>
        <v>0</v>
      </c>
      <c r="N54" s="50"/>
      <c r="O54" s="301"/>
      <c r="P54" s="242"/>
    </row>
    <row r="55" spans="1:16" x14ac:dyDescent="0.25">
      <c r="A55" s="48"/>
      <c r="B55" s="64" t="s">
        <v>189</v>
      </c>
      <c r="C55" s="39"/>
      <c r="D55" s="41" t="s">
        <v>129</v>
      </c>
      <c r="E55" s="39"/>
      <c r="F55" s="39"/>
      <c r="G55" s="41" t="s">
        <v>129</v>
      </c>
      <c r="H55" s="39"/>
      <c r="I55" s="285"/>
      <c r="J55" s="307" t="s">
        <v>129</v>
      </c>
      <c r="K55" s="285"/>
      <c r="L55" s="285"/>
      <c r="M55" s="64" t="s">
        <v>129</v>
      </c>
      <c r="N55" s="39"/>
      <c r="P55" s="164"/>
    </row>
    <row r="56" spans="1:16" ht="15.75" thickBot="1" x14ac:dyDescent="0.3">
      <c r="A56" s="170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71"/>
    </row>
  </sheetData>
  <sheetProtection formatCells="0" formatColumns="0" formatRows="0" insertColumns="0" insertRows="0" insertHyperlinks="0" deleteColumns="0" deleteRows="0" sort="0" autoFilter="0" pivotTables="0"/>
  <mergeCells count="17">
    <mergeCell ref="O8:P8"/>
    <mergeCell ref="D1:M2"/>
    <mergeCell ref="A3:P5"/>
    <mergeCell ref="E6:L7"/>
    <mergeCell ref="M6:N6"/>
    <mergeCell ref="O6:P6"/>
    <mergeCell ref="M7:N7"/>
    <mergeCell ref="O7:P7"/>
    <mergeCell ref="A13:P13"/>
    <mergeCell ref="A14:P14"/>
    <mergeCell ref="A9:C9"/>
    <mergeCell ref="D9:E9"/>
    <mergeCell ref="F9:I9"/>
    <mergeCell ref="J9:K9"/>
    <mergeCell ref="L9:N9"/>
    <mergeCell ref="O9:P9"/>
    <mergeCell ref="A11:P11"/>
  </mergeCells>
  <dataValidations count="2">
    <dataValidation type="list" allowBlank="1" showInputMessage="1" showErrorMessage="1" sqref="O9:P9" xr:uid="{00000000-0002-0000-0600-000000000000}">
      <formula1>Diligences</formula1>
    </dataValidation>
    <dataValidation type="list" showInputMessage="1" showErrorMessage="1" sqref="D9:E9" xr:uid="{00000000-0002-0000-0600-000001000000}">
      <formula1>RAS</formula1>
    </dataValidation>
  </dataValidations>
  <hyperlinks>
    <hyperlink ref="O8:P8" location="'S Synthèse'!A1" display="S Synthèse" xr:uid="{00000000-0004-0000-06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0"/>
  <sheetViews>
    <sheetView showGridLines="0" tabSelected="1" zoomScale="90" zoomScaleNormal="90" workbookViewId="0">
      <selection activeCell="A15" sqref="A15"/>
    </sheetView>
  </sheetViews>
  <sheetFormatPr baseColWidth="10" defaultColWidth="11.42578125" defaultRowHeight="15" x14ac:dyDescent="0.25"/>
  <cols>
    <col min="1" max="1" width="14.7109375" style="26" customWidth="1"/>
    <col min="2" max="2" width="24" style="26" customWidth="1"/>
    <col min="3" max="3" width="27.140625" style="26" customWidth="1"/>
    <col min="4" max="5" width="16.42578125" style="26" customWidth="1"/>
    <col min="6" max="6" width="14.7109375" style="26" customWidth="1"/>
    <col min="7" max="9" width="16.42578125" style="26" customWidth="1"/>
    <col min="10" max="10" width="17.42578125" style="26" bestFit="1" customWidth="1"/>
    <col min="11" max="11" width="10.7109375" style="26" bestFit="1" customWidth="1"/>
    <col min="12" max="15" width="14.7109375" style="26" customWidth="1"/>
    <col min="16" max="16" width="24.5703125" style="26" customWidth="1"/>
    <col min="17" max="16384" width="11.42578125" style="26"/>
  </cols>
  <sheetData>
    <row r="1" spans="1:21" s="42" customFormat="1" ht="15" customHeight="1" x14ac:dyDescent="0.2">
      <c r="A1" s="213"/>
      <c r="B1" s="214"/>
      <c r="C1" s="214"/>
      <c r="D1" s="655" t="s">
        <v>0</v>
      </c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1" s="42" customFormat="1" ht="15" customHeight="1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1" ht="15" customHeight="1" x14ac:dyDescent="0.25">
      <c r="A3" s="661">
        <f>'S Synthèse'!A3:P5</f>
        <v>0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R3" s="4"/>
      <c r="T3" s="6"/>
      <c r="U3" s="6"/>
    </row>
    <row r="4" spans="1:21" ht="15" customHeight="1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R4" s="4"/>
      <c r="T4" s="6"/>
      <c r="U4" s="6"/>
    </row>
    <row r="5" spans="1:21" ht="15" customHeight="1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219" t="str">
        <f>'S Synthèse'!B6</f>
        <v>BRA</v>
      </c>
      <c r="C6" s="18" t="s">
        <v>6</v>
      </c>
      <c r="D6" s="219">
        <f>'S Synthèse'!D6</f>
        <v>0</v>
      </c>
      <c r="E6" s="667" t="s">
        <v>48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R6" s="42"/>
      <c r="S6" s="42"/>
    </row>
    <row r="7" spans="1:21" ht="15" customHeight="1" thickBot="1" x14ac:dyDescent="0.3">
      <c r="A7" s="19" t="s">
        <v>11</v>
      </c>
      <c r="B7" s="220">
        <f>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Synthèse'!M7:N7</f>
        <v>31/12/N</v>
      </c>
      <c r="N7" s="614"/>
      <c r="O7" s="675" t="s">
        <v>47</v>
      </c>
      <c r="P7" s="676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112.15" customHeight="1" thickBot="1" x14ac:dyDescent="0.3">
      <c r="A11" s="638" t="s">
        <v>217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60" customHeight="1" thickBot="1" x14ac:dyDescent="0.3">
      <c r="A14" s="531" t="s">
        <v>287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22" x14ac:dyDescent="0.25">
      <c r="A17" s="117" t="s">
        <v>218</v>
      </c>
      <c r="B17" s="118"/>
      <c r="P17" s="164"/>
    </row>
    <row r="18" spans="1:22" x14ac:dyDescent="0.25">
      <c r="A18" s="117"/>
      <c r="B18" s="119"/>
      <c r="P18" s="164"/>
    </row>
    <row r="19" spans="1:22" s="42" customFormat="1" ht="75" customHeight="1" x14ac:dyDescent="0.2">
      <c r="A19" s="646"/>
      <c r="B19" s="647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8"/>
    </row>
    <row r="20" spans="1:22" ht="15.75" thickBot="1" x14ac:dyDescent="0.3">
      <c r="A20" s="170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71"/>
    </row>
    <row r="21" spans="1:22" ht="15.75" thickBot="1" x14ac:dyDescent="0.3"/>
    <row r="22" spans="1:22" x14ac:dyDescent="0.25">
      <c r="A22" s="162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63"/>
    </row>
    <row r="23" spans="1:22" x14ac:dyDescent="0.25">
      <c r="A23" s="117" t="s">
        <v>219</v>
      </c>
      <c r="P23" s="164"/>
    </row>
    <row r="24" spans="1:22" x14ac:dyDescent="0.25">
      <c r="A24" s="165"/>
      <c r="P24" s="164"/>
    </row>
    <row r="25" spans="1:22" ht="15" customHeight="1" x14ac:dyDescent="0.25">
      <c r="A25" s="187" t="s">
        <v>220</v>
      </c>
      <c r="B25" s="120"/>
      <c r="C25" s="49"/>
      <c r="D25" s="97"/>
      <c r="E25" s="120"/>
      <c r="F25" s="714" t="s">
        <v>221</v>
      </c>
      <c r="G25" s="714"/>
      <c r="H25" s="714"/>
      <c r="I25" s="714"/>
      <c r="J25" s="714"/>
      <c r="K25" s="714"/>
      <c r="L25" s="97"/>
      <c r="M25" s="97"/>
      <c r="N25" s="97"/>
      <c r="O25" s="97"/>
      <c r="P25" s="98"/>
    </row>
    <row r="26" spans="1:22" x14ac:dyDescent="0.25">
      <c r="A26" s="509"/>
      <c r="B26" s="373"/>
      <c r="C26" s="49"/>
      <c r="D26" s="373"/>
      <c r="E26" s="373"/>
      <c r="F26" s="373"/>
      <c r="G26" s="373"/>
      <c r="H26" s="373"/>
      <c r="I26" s="97"/>
      <c r="J26" s="97"/>
      <c r="K26" s="97"/>
      <c r="L26" s="97"/>
      <c r="M26" s="97"/>
      <c r="N26" s="97"/>
      <c r="O26" s="97"/>
      <c r="P26" s="98"/>
    </row>
    <row r="27" spans="1:22" x14ac:dyDescent="0.25">
      <c r="A27" s="715" t="s">
        <v>222</v>
      </c>
      <c r="B27" s="716"/>
      <c r="C27" s="716"/>
      <c r="D27" s="716"/>
      <c r="E27" s="716"/>
      <c r="F27" s="716"/>
      <c r="G27" s="716"/>
      <c r="H27" s="716"/>
      <c r="I27" s="97"/>
      <c r="J27" s="97"/>
      <c r="K27" s="97"/>
      <c r="L27" s="97"/>
      <c r="M27" s="97"/>
      <c r="N27" s="97"/>
      <c r="O27" s="97"/>
      <c r="P27" s="98"/>
    </row>
    <row r="28" spans="1:22" x14ac:dyDescent="0.25">
      <c r="A28" s="177"/>
      <c r="B28" s="373"/>
      <c r="C28" s="49"/>
      <c r="D28" s="373"/>
      <c r="E28" s="373"/>
      <c r="F28" s="373"/>
      <c r="G28" s="373"/>
      <c r="H28" s="373"/>
      <c r="I28" s="97"/>
      <c r="J28" s="97"/>
      <c r="K28" s="97"/>
      <c r="L28" s="97"/>
      <c r="M28" s="97"/>
      <c r="N28" s="97"/>
      <c r="O28" s="97"/>
      <c r="P28" s="98"/>
    </row>
    <row r="29" spans="1:22" s="42" customFormat="1" ht="75" customHeight="1" thickBot="1" x14ac:dyDescent="0.25">
      <c r="A29" s="719"/>
      <c r="B29" s="720"/>
      <c r="C29" s="720"/>
      <c r="D29" s="720"/>
      <c r="E29" s="720"/>
      <c r="F29" s="720"/>
      <c r="G29" s="720"/>
      <c r="H29" s="720"/>
      <c r="I29" s="720"/>
      <c r="J29" s="720"/>
      <c r="K29" s="720"/>
      <c r="L29" s="720"/>
      <c r="M29" s="720"/>
      <c r="N29" s="720"/>
      <c r="O29" s="720"/>
      <c r="P29" s="721"/>
    </row>
    <row r="30" spans="1:22" x14ac:dyDescent="0.25">
      <c r="A30" s="336"/>
      <c r="B30" s="337"/>
      <c r="C30" s="338"/>
      <c r="D30" s="338"/>
      <c r="E30" s="338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40"/>
      <c r="Q30" s="137"/>
      <c r="R30" s="137"/>
      <c r="S30" s="137"/>
      <c r="T30" s="137"/>
      <c r="U30" s="137"/>
      <c r="V30" s="163"/>
    </row>
    <row r="31" spans="1:22" x14ac:dyDescent="0.25">
      <c r="A31" s="121"/>
      <c r="B31" s="122"/>
      <c r="C31" s="123"/>
      <c r="D31" s="123"/>
      <c r="E31" s="123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8"/>
      <c r="V31" s="164"/>
    </row>
    <row r="32" spans="1:22" x14ac:dyDescent="0.25">
      <c r="A32" s="717" t="s">
        <v>223</v>
      </c>
      <c r="B32" s="718"/>
      <c r="C32" s="123"/>
      <c r="D32" s="123"/>
      <c r="E32" s="123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8"/>
      <c r="V32" s="164"/>
    </row>
    <row r="33" spans="1:22" x14ac:dyDescent="0.25">
      <c r="A33" s="374"/>
      <c r="B33" s="375"/>
      <c r="C33" s="123"/>
      <c r="D33" s="123"/>
      <c r="E33" s="123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8"/>
      <c r="V33" s="164"/>
    </row>
    <row r="34" spans="1:22" x14ac:dyDescent="0.25">
      <c r="A34" s="124" t="s">
        <v>224</v>
      </c>
      <c r="B34" s="122"/>
      <c r="C34" s="123"/>
      <c r="D34" s="123"/>
      <c r="E34" s="123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8"/>
      <c r="V34" s="164"/>
    </row>
    <row r="35" spans="1:22" x14ac:dyDescent="0.25">
      <c r="A35" s="121"/>
      <c r="B35" s="122"/>
      <c r="C35" s="123"/>
      <c r="D35" s="123"/>
      <c r="E35" s="123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V35" s="164"/>
    </row>
    <row r="36" spans="1:22" x14ac:dyDescent="0.25">
      <c r="A36" s="125" t="s">
        <v>225</v>
      </c>
      <c r="B36" s="122"/>
      <c r="C36" s="123"/>
      <c r="D36" s="123"/>
      <c r="E36" s="123"/>
      <c r="F36" s="97"/>
      <c r="G36" s="97"/>
      <c r="H36" s="335">
        <v>43100</v>
      </c>
      <c r="I36" s="97"/>
      <c r="J36" s="97"/>
      <c r="K36" s="97"/>
      <c r="L36" s="97"/>
      <c r="M36" s="97"/>
      <c r="N36" s="97"/>
      <c r="O36" s="97"/>
      <c r="P36" s="98"/>
      <c r="V36" s="164"/>
    </row>
    <row r="37" spans="1:22" ht="15.75" thickBot="1" x14ac:dyDescent="0.3">
      <c r="A37" s="125"/>
      <c r="B37" s="122"/>
      <c r="C37" s="123"/>
      <c r="D37" s="123"/>
      <c r="E37" s="123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V37" s="164"/>
    </row>
    <row r="38" spans="1:22" ht="15.75" thickBot="1" x14ac:dyDescent="0.3">
      <c r="A38" s="708" t="s">
        <v>226</v>
      </c>
      <c r="B38" s="709"/>
      <c r="C38" s="709"/>
      <c r="D38" s="709"/>
      <c r="E38" s="709"/>
      <c r="F38" s="709"/>
      <c r="G38" s="709"/>
      <c r="H38" s="709"/>
      <c r="I38" s="709"/>
      <c r="J38" s="710"/>
      <c r="K38" s="711" t="s">
        <v>227</v>
      </c>
      <c r="L38" s="712"/>
      <c r="M38" s="712"/>
      <c r="N38" s="712"/>
      <c r="O38" s="712"/>
      <c r="P38" s="712"/>
      <c r="Q38" s="712"/>
      <c r="R38" s="712"/>
      <c r="S38" s="713"/>
      <c r="T38" s="238"/>
      <c r="U38" s="341"/>
      <c r="V38" s="164"/>
    </row>
    <row r="39" spans="1:22" ht="54" customHeight="1" thickBot="1" x14ac:dyDescent="0.3">
      <c r="A39" s="312" t="s">
        <v>228</v>
      </c>
      <c r="B39" s="312" t="s">
        <v>229</v>
      </c>
      <c r="C39" s="312" t="s">
        <v>230</v>
      </c>
      <c r="D39" s="308" t="s">
        <v>231</v>
      </c>
      <c r="E39" s="313" t="s">
        <v>232</v>
      </c>
      <c r="F39" s="314" t="s">
        <v>233</v>
      </c>
      <c r="G39" s="315" t="s">
        <v>234</v>
      </c>
      <c r="H39" s="316" t="s">
        <v>235</v>
      </c>
      <c r="I39" s="309" t="s">
        <v>236</v>
      </c>
      <c r="J39" s="310" t="s">
        <v>237</v>
      </c>
      <c r="K39" s="317" t="s">
        <v>238</v>
      </c>
      <c r="L39" s="313" t="s">
        <v>239</v>
      </c>
      <c r="M39" s="318" t="s">
        <v>240</v>
      </c>
      <c r="N39" s="313" t="s">
        <v>241</v>
      </c>
      <c r="O39" s="319" t="s">
        <v>242</v>
      </c>
      <c r="P39" s="320" t="s">
        <v>243</v>
      </c>
      <c r="Q39" s="320" t="s">
        <v>244</v>
      </c>
      <c r="R39" s="321" t="s">
        <v>245</v>
      </c>
      <c r="S39" s="322" t="s">
        <v>246</v>
      </c>
      <c r="T39" s="313" t="s">
        <v>247</v>
      </c>
      <c r="U39" s="323" t="s">
        <v>248</v>
      </c>
      <c r="V39" s="164"/>
    </row>
    <row r="40" spans="1:22" ht="15.75" thickBot="1" x14ac:dyDescent="0.3">
      <c r="A40" s="342" t="s">
        <v>272</v>
      </c>
      <c r="B40" s="343"/>
      <c r="C40" s="343"/>
      <c r="D40" s="343"/>
      <c r="E40" s="344">
        <v>42640</v>
      </c>
      <c r="F40" s="344">
        <v>42825</v>
      </c>
      <c r="G40" s="345">
        <v>17936.96</v>
      </c>
      <c r="H40" s="344"/>
      <c r="I40" s="345"/>
      <c r="J40" s="324"/>
      <c r="K40" s="325">
        <f>$H$36-E40</f>
        <v>460</v>
      </c>
      <c r="L40" s="326">
        <f t="shared" ref="L40:L41" si="0">ROUNDDOWN(K40/30,0)</f>
        <v>15</v>
      </c>
      <c r="M40" s="327">
        <f t="shared" ref="M40:M41" si="1">L40-6</f>
        <v>9</v>
      </c>
      <c r="N40" s="328">
        <f t="shared" ref="N40:N41" si="2">L40-O40</f>
        <v>6</v>
      </c>
      <c r="O40" s="326">
        <f>IF(F40&lt;&gt;"",ROUNDDOWN(($H$36-F40)/30,0),0)</f>
        <v>9</v>
      </c>
      <c r="P40" s="329">
        <f t="shared" ref="P40:P41" si="3">IF(N40&gt;6,N40-6,0)</f>
        <v>0</v>
      </c>
      <c r="Q40" s="330">
        <f t="shared" ref="Q40:Q41" si="4">M40-P40</f>
        <v>9</v>
      </c>
      <c r="R40" s="311">
        <f t="shared" ref="R40:R41" si="5">(Mois_à_déprécier_à_1*1%*Prix_d_achat)+(Mois_à_déprécier_à_2__si_VD*2%*Prix_d_achat)</f>
        <v>3228.6527999999998</v>
      </c>
      <c r="S40" s="331">
        <f t="shared" ref="S40:S41" si="6">IF(AND(date_livraison_client&lt;&gt;"",Montant__marge_2&lt;0),Montant__marge_2*-1,IF(AND(date_livraison_client&lt;&gt;"",Montant__marge_2&gt;0),0,IF(date_livraison_client="",R40)))</f>
        <v>3228.6527999999998</v>
      </c>
      <c r="T40" s="332" t="str">
        <f>IF(ISERROR(VLOOKUP(A40,'[6]CFT DEPRECIATION VN APV PAR'!$A$5:$Q$13,16,FALSE)),"pas réservé",VLOOKUP(A40,'[6]CFT DEPRECIATION VN APV PAR'!$A$5:$Q$13,16,FALSE))</f>
        <v>pas réservé</v>
      </c>
      <c r="U40" s="333">
        <f t="shared" ref="U40:U41" si="7">IF(DEPRE__APV="pas réservé",S40,IF(DEPRE__APV&gt;Dépréciation,T40,S40))</f>
        <v>3228.6527999999998</v>
      </c>
      <c r="V40" s="164"/>
    </row>
    <row r="41" spans="1:22" x14ac:dyDescent="0.25">
      <c r="A41" s="346" t="s">
        <v>273</v>
      </c>
      <c r="B41" s="347"/>
      <c r="C41" s="347"/>
      <c r="D41" s="347"/>
      <c r="E41" s="348">
        <v>42649</v>
      </c>
      <c r="F41" s="348">
        <v>42825</v>
      </c>
      <c r="G41" s="349">
        <v>24556.33</v>
      </c>
      <c r="H41" s="348"/>
      <c r="I41" s="349"/>
      <c r="J41" s="334"/>
      <c r="K41" s="325">
        <f t="shared" ref="K41" si="8">$H$36-E41</f>
        <v>451</v>
      </c>
      <c r="L41" s="326">
        <f t="shared" si="0"/>
        <v>15</v>
      </c>
      <c r="M41" s="327">
        <f t="shared" si="1"/>
        <v>9</v>
      </c>
      <c r="N41" s="328">
        <f t="shared" si="2"/>
        <v>6</v>
      </c>
      <c r="O41" s="326">
        <f t="shared" ref="O41" si="9">IF(F41&lt;&gt;"",ROUNDDOWN(($H$36-F41)/30,0),0)</f>
        <v>9</v>
      </c>
      <c r="P41" s="329">
        <f t="shared" si="3"/>
        <v>0</v>
      </c>
      <c r="Q41" s="330">
        <f t="shared" si="4"/>
        <v>9</v>
      </c>
      <c r="R41" s="311">
        <f t="shared" si="5"/>
        <v>4420.1394</v>
      </c>
      <c r="S41" s="331">
        <f t="shared" si="6"/>
        <v>4420.1394</v>
      </c>
      <c r="T41" s="332" t="str">
        <f>IF(ISERROR(VLOOKUP(A41,'[6]CFT DEPRECIATION VN APV PAR'!$A$5:$Q$13,16,FALSE)),"pas réservé",VLOOKUP(A41,'[6]CFT DEPRECIATION VN APV PAR'!$A$5:$Q$13,16,FALSE))</f>
        <v>pas réservé</v>
      </c>
      <c r="U41" s="333">
        <f t="shared" si="7"/>
        <v>4420.1394</v>
      </c>
      <c r="V41" s="164"/>
    </row>
    <row r="42" spans="1:22" x14ac:dyDescent="0.25">
      <c r="A42" s="126"/>
      <c r="B42" s="128"/>
      <c r="C42" s="128"/>
      <c r="D42" s="128"/>
      <c r="E42" s="128"/>
      <c r="F42" s="129"/>
      <c r="G42" s="97"/>
      <c r="H42" s="97"/>
      <c r="I42" s="97"/>
      <c r="J42" s="97"/>
      <c r="K42" s="97"/>
      <c r="L42" s="97"/>
      <c r="M42" s="97"/>
      <c r="N42" s="97"/>
      <c r="O42" s="97"/>
      <c r="V42" s="164"/>
    </row>
    <row r="43" spans="1:22" x14ac:dyDescent="0.25">
      <c r="A43" s="124"/>
      <c r="B43" s="127"/>
      <c r="C43" s="128"/>
      <c r="D43" s="128"/>
      <c r="E43" s="128"/>
      <c r="F43" s="129"/>
      <c r="G43" s="97"/>
      <c r="H43" s="97"/>
      <c r="I43" s="97"/>
      <c r="J43" s="97"/>
      <c r="K43" s="97"/>
      <c r="L43" s="97"/>
      <c r="M43" s="97"/>
      <c r="N43" s="97"/>
      <c r="O43" s="97"/>
      <c r="P43" s="98"/>
      <c r="V43" s="164"/>
    </row>
    <row r="44" spans="1:22" x14ac:dyDescent="0.25">
      <c r="A44" s="124" t="s">
        <v>249</v>
      </c>
      <c r="B44" s="127"/>
      <c r="C44" s="128"/>
      <c r="D44" s="128"/>
      <c r="E44" s="128"/>
      <c r="F44" s="129"/>
      <c r="G44" s="97"/>
      <c r="H44" s="97"/>
      <c r="I44" s="97"/>
      <c r="J44" s="97"/>
      <c r="K44" s="97"/>
      <c r="L44" s="97"/>
      <c r="M44" s="97"/>
      <c r="N44" s="97"/>
      <c r="O44" s="97"/>
      <c r="P44" s="98"/>
      <c r="V44" s="164"/>
    </row>
    <row r="45" spans="1:22" x14ac:dyDescent="0.25">
      <c r="A45" s="125"/>
      <c r="B45" s="127"/>
      <c r="C45" s="128"/>
      <c r="D45" s="128"/>
      <c r="E45" s="128"/>
      <c r="F45" s="129"/>
      <c r="G45" s="97"/>
      <c r="H45" s="97"/>
      <c r="I45" s="97"/>
      <c r="J45" s="97"/>
      <c r="K45" s="97"/>
      <c r="L45" s="97"/>
      <c r="M45" s="97"/>
      <c r="N45" s="97"/>
      <c r="O45" s="97"/>
      <c r="P45" s="98"/>
      <c r="V45" s="164"/>
    </row>
    <row r="46" spans="1:22" x14ac:dyDescent="0.25">
      <c r="A46" s="125" t="s">
        <v>250</v>
      </c>
      <c r="B46" s="127"/>
      <c r="C46" s="128"/>
      <c r="D46" s="128"/>
      <c r="E46" s="128"/>
      <c r="F46" s="129"/>
      <c r="G46" s="97"/>
      <c r="H46" s="97"/>
      <c r="I46" s="97"/>
      <c r="J46" s="97"/>
      <c r="K46" s="97"/>
      <c r="L46" s="97"/>
      <c r="M46" s="97"/>
      <c r="N46" s="97"/>
      <c r="O46" s="97"/>
      <c r="P46" s="98"/>
      <c r="V46" s="164"/>
    </row>
    <row r="47" spans="1:22" x14ac:dyDescent="0.25">
      <c r="A47" s="510"/>
      <c r="B47" s="127"/>
      <c r="C47" s="128"/>
      <c r="D47" s="128"/>
      <c r="E47" s="128"/>
      <c r="F47" s="129"/>
      <c r="G47" s="97"/>
      <c r="H47" s="97"/>
      <c r="I47" s="97"/>
      <c r="J47" s="97"/>
      <c r="K47" s="97"/>
      <c r="L47" s="97"/>
      <c r="M47" s="97"/>
      <c r="N47" s="97"/>
      <c r="O47" s="97"/>
      <c r="P47" s="98"/>
      <c r="V47" s="164"/>
    </row>
    <row r="48" spans="1:22" ht="15.75" thickBot="1" x14ac:dyDescent="0.3">
      <c r="A48" s="188"/>
      <c r="B48" s="189"/>
      <c r="C48" s="190"/>
      <c r="D48" s="190"/>
      <c r="E48" s="190"/>
      <c r="F48" s="191"/>
      <c r="G48" s="192"/>
      <c r="H48" s="192"/>
      <c r="I48" s="192"/>
      <c r="J48" s="192"/>
      <c r="K48" s="192"/>
      <c r="L48" s="192"/>
      <c r="M48" s="192"/>
      <c r="N48" s="192"/>
      <c r="O48" s="192"/>
      <c r="P48" s="193"/>
      <c r="Q48" s="138"/>
      <c r="R48" s="138"/>
      <c r="S48" s="138"/>
      <c r="T48" s="138"/>
      <c r="U48" s="138"/>
      <c r="V48" s="171"/>
    </row>
    <row r="49" spans="1:16" x14ac:dyDescent="0.25">
      <c r="A49" s="121"/>
      <c r="B49" s="127"/>
      <c r="C49" s="128"/>
      <c r="D49" s="128"/>
      <c r="E49" s="128"/>
      <c r="F49" s="129"/>
      <c r="G49" s="97"/>
      <c r="H49" s="97"/>
      <c r="I49" s="97"/>
      <c r="J49" s="97"/>
      <c r="K49" s="97"/>
      <c r="L49" s="97"/>
      <c r="M49" s="97"/>
      <c r="N49" s="97"/>
      <c r="O49" s="97"/>
      <c r="P49" s="97"/>
    </row>
    <row r="50" spans="1:16" x14ac:dyDescent="0.25">
      <c r="A50" s="121"/>
      <c r="B50" s="127"/>
      <c r="C50" s="128"/>
      <c r="D50" s="128"/>
      <c r="E50" s="128"/>
      <c r="F50" s="129"/>
      <c r="G50" s="97"/>
      <c r="H50" s="97"/>
      <c r="I50" s="97"/>
      <c r="J50" s="97"/>
      <c r="K50" s="97"/>
      <c r="L50" s="97"/>
      <c r="M50" s="97"/>
      <c r="N50" s="97"/>
      <c r="O50" s="97"/>
      <c r="P50" s="97"/>
    </row>
  </sheetData>
  <sheetProtection formatCells="0" formatColumns="0" formatRows="0" insertColumns="0" insertRows="0" insertHyperlinks="0" deleteColumns="0" deleteRows="0" sort="0" autoFilter="0" pivotTables="0"/>
  <mergeCells count="24">
    <mergeCell ref="O8:P8"/>
    <mergeCell ref="O9:P9"/>
    <mergeCell ref="J9:K9"/>
    <mergeCell ref="L9:N9"/>
    <mergeCell ref="A11:P11"/>
    <mergeCell ref="D1:M2"/>
    <mergeCell ref="A3:P5"/>
    <mergeCell ref="E6:L7"/>
    <mergeCell ref="M6:N6"/>
    <mergeCell ref="O6:P6"/>
    <mergeCell ref="M7:N7"/>
    <mergeCell ref="O7:P7"/>
    <mergeCell ref="A38:J38"/>
    <mergeCell ref="K38:S38"/>
    <mergeCell ref="A9:C9"/>
    <mergeCell ref="D9:E9"/>
    <mergeCell ref="F9:I9"/>
    <mergeCell ref="A19:P19"/>
    <mergeCell ref="F25:K25"/>
    <mergeCell ref="A27:H27"/>
    <mergeCell ref="A32:B32"/>
    <mergeCell ref="A29:P29"/>
    <mergeCell ref="A13:P13"/>
    <mergeCell ref="A14:P14"/>
  </mergeCells>
  <conditionalFormatting sqref="F39:F41 H39:H41 J40:K41">
    <cfRule type="containsBlanks" dxfId="0" priority="1">
      <formula>LEN(TRIM(F39))=0</formula>
    </cfRule>
  </conditionalFormatting>
  <dataValidations disablePrompts="1" count="2">
    <dataValidation type="list" showInputMessage="1" showErrorMessage="1" sqref="D9:E9" xr:uid="{00000000-0002-0000-0700-000000000000}">
      <formula1>RAS</formula1>
    </dataValidation>
    <dataValidation type="list" allowBlank="1" showInputMessage="1" showErrorMessage="1" sqref="O9:P9" xr:uid="{00000000-0002-0000-0700-000001000000}">
      <formula1>Diligences</formula1>
    </dataValidation>
  </dataValidations>
  <hyperlinks>
    <hyperlink ref="O8:P8" location="'S Synthèse'!A1" display="S Synthèse" xr:uid="{00000000-0004-0000-07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3"/>
  <sheetViews>
    <sheetView showGridLines="0" topLeftCell="A11" zoomScaleNormal="100" workbookViewId="0">
      <selection activeCell="A15" sqref="A15"/>
    </sheetView>
  </sheetViews>
  <sheetFormatPr baseColWidth="10" defaultColWidth="11.42578125" defaultRowHeight="15" x14ac:dyDescent="0.25"/>
  <cols>
    <col min="1" max="1" width="14.7109375" style="26" customWidth="1"/>
    <col min="2" max="2" width="24" style="26" customWidth="1"/>
    <col min="3" max="3" width="27.140625" style="26" customWidth="1"/>
    <col min="4" max="5" width="16.42578125" style="26" customWidth="1"/>
    <col min="6" max="6" width="14.7109375" style="26" customWidth="1"/>
    <col min="7" max="9" width="16.42578125" style="26" customWidth="1"/>
    <col min="10" max="10" width="17.42578125" style="26" bestFit="1" customWidth="1"/>
    <col min="11" max="11" width="10.7109375" style="26" bestFit="1" customWidth="1"/>
    <col min="12" max="15" width="14.7109375" style="26" customWidth="1"/>
    <col min="16" max="16" width="24.5703125" style="26" customWidth="1"/>
    <col min="17" max="16384" width="11.42578125" style="26"/>
  </cols>
  <sheetData>
    <row r="1" spans="1:21" s="42" customFormat="1" ht="15" customHeight="1" x14ac:dyDescent="0.2">
      <c r="A1" s="213"/>
      <c r="B1" s="214"/>
      <c r="C1" s="214"/>
      <c r="D1" s="655" t="s">
        <v>0</v>
      </c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1" s="42" customFormat="1" ht="15" customHeight="1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1" ht="15" customHeight="1" x14ac:dyDescent="0.25">
      <c r="A3" s="661">
        <f>'S Synthèse'!A3:P5</f>
        <v>0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R3" s="4"/>
      <c r="T3" s="6"/>
      <c r="U3" s="6"/>
    </row>
    <row r="4" spans="1:21" ht="15" customHeight="1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R4" s="4"/>
      <c r="T4" s="6"/>
      <c r="U4" s="6"/>
    </row>
    <row r="5" spans="1:21" ht="15" customHeight="1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219" t="str">
        <f>'S Synthèse'!B6</f>
        <v>BRA</v>
      </c>
      <c r="C6" s="18" t="s">
        <v>6</v>
      </c>
      <c r="D6" s="219">
        <f>'S Synthèse'!D6</f>
        <v>0</v>
      </c>
      <c r="E6" s="667" t="s">
        <v>52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R6" s="42"/>
      <c r="S6" s="42"/>
    </row>
    <row r="7" spans="1:21" ht="15" customHeight="1" thickBot="1" x14ac:dyDescent="0.3">
      <c r="A7" s="19" t="s">
        <v>11</v>
      </c>
      <c r="B7" s="220">
        <f>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Synthèse'!M7:N7</f>
        <v>31/12/N</v>
      </c>
      <c r="N7" s="614"/>
      <c r="O7" s="675" t="s">
        <v>51</v>
      </c>
      <c r="P7" s="676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112.15" customHeight="1" thickBot="1" x14ac:dyDescent="0.3">
      <c r="A11" s="638" t="s">
        <v>251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60" customHeight="1" thickBot="1" x14ac:dyDescent="0.3">
      <c r="A14" s="531" t="s">
        <v>287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2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22" x14ac:dyDescent="0.25">
      <c r="A17" s="117" t="s">
        <v>218</v>
      </c>
      <c r="B17" s="118"/>
      <c r="P17" s="164"/>
    </row>
    <row r="18" spans="1:22" x14ac:dyDescent="0.25">
      <c r="A18" s="117"/>
      <c r="B18" s="119"/>
      <c r="P18" s="164"/>
    </row>
    <row r="19" spans="1:22" s="42" customFormat="1" ht="75" customHeight="1" x14ac:dyDescent="0.2">
      <c r="A19" s="646"/>
      <c r="B19" s="647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8"/>
    </row>
    <row r="20" spans="1:22" ht="15.75" thickBot="1" x14ac:dyDescent="0.3">
      <c r="A20" s="170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71"/>
    </row>
    <row r="21" spans="1:22" ht="15.75" thickBot="1" x14ac:dyDescent="0.3"/>
    <row r="22" spans="1:22" x14ac:dyDescent="0.25">
      <c r="A22" s="162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63"/>
    </row>
    <row r="23" spans="1:22" x14ac:dyDescent="0.25">
      <c r="A23" s="117" t="s">
        <v>219</v>
      </c>
      <c r="P23" s="164"/>
    </row>
    <row r="24" spans="1:22" x14ac:dyDescent="0.25">
      <c r="A24" s="165"/>
      <c r="P24" s="164"/>
    </row>
    <row r="25" spans="1:22" ht="15" customHeight="1" x14ac:dyDescent="0.25">
      <c r="A25" s="187" t="s">
        <v>220</v>
      </c>
      <c r="B25" s="120"/>
      <c r="C25" s="49"/>
      <c r="D25" s="97"/>
      <c r="E25" s="120"/>
      <c r="F25" s="714" t="s">
        <v>221</v>
      </c>
      <c r="G25" s="714"/>
      <c r="H25" s="714"/>
      <c r="I25" s="714"/>
      <c r="J25" s="714"/>
      <c r="K25" s="714"/>
      <c r="L25" s="97"/>
      <c r="M25" s="97"/>
      <c r="N25" s="97"/>
      <c r="O25" s="97"/>
      <c r="P25" s="98"/>
    </row>
    <row r="26" spans="1:22" x14ac:dyDescent="0.25">
      <c r="A26" s="509"/>
      <c r="B26" s="373"/>
      <c r="C26" s="49"/>
      <c r="D26" s="373"/>
      <c r="E26" s="373"/>
      <c r="F26" s="373"/>
      <c r="G26" s="373"/>
      <c r="H26" s="373"/>
      <c r="I26" s="97"/>
      <c r="J26" s="97"/>
      <c r="K26" s="97"/>
      <c r="L26" s="97"/>
      <c r="M26" s="97"/>
      <c r="N26" s="97"/>
      <c r="O26" s="97"/>
      <c r="P26" s="98"/>
    </row>
    <row r="27" spans="1:22" x14ac:dyDescent="0.25">
      <c r="A27" s="715" t="s">
        <v>222</v>
      </c>
      <c r="B27" s="716"/>
      <c r="C27" s="716"/>
      <c r="D27" s="716"/>
      <c r="E27" s="716"/>
      <c r="F27" s="716"/>
      <c r="G27" s="716"/>
      <c r="H27" s="716"/>
      <c r="I27" s="97"/>
      <c r="J27" s="97"/>
      <c r="K27" s="97"/>
      <c r="L27" s="97"/>
      <c r="M27" s="97"/>
      <c r="N27" s="97"/>
      <c r="O27" s="97"/>
      <c r="P27" s="98"/>
    </row>
    <row r="28" spans="1:22" x14ac:dyDescent="0.25">
      <c r="A28" s="177"/>
      <c r="B28" s="373"/>
      <c r="C28" s="49"/>
      <c r="D28" s="373"/>
      <c r="E28" s="373"/>
      <c r="F28" s="373"/>
      <c r="G28" s="373"/>
      <c r="H28" s="373"/>
      <c r="I28" s="97"/>
      <c r="J28" s="97"/>
      <c r="K28" s="97"/>
      <c r="L28" s="97"/>
      <c r="M28" s="97"/>
      <c r="N28" s="97"/>
      <c r="O28" s="97"/>
      <c r="P28" s="98"/>
    </row>
    <row r="29" spans="1:22" s="42" customFormat="1" ht="75" customHeight="1" thickBot="1" x14ac:dyDescent="0.25">
      <c r="A29" s="719" t="s">
        <v>92</v>
      </c>
      <c r="B29" s="720"/>
      <c r="C29" s="720"/>
      <c r="D29" s="720"/>
      <c r="E29" s="720"/>
      <c r="F29" s="720"/>
      <c r="G29" s="720"/>
      <c r="H29" s="720"/>
      <c r="I29" s="720"/>
      <c r="J29" s="720"/>
      <c r="K29" s="720"/>
      <c r="L29" s="720"/>
      <c r="M29" s="720"/>
      <c r="N29" s="720"/>
      <c r="O29" s="720"/>
      <c r="P29" s="721"/>
    </row>
    <row r="30" spans="1:22" x14ac:dyDescent="0.25">
      <c r="A30" s="336"/>
      <c r="B30" s="337"/>
      <c r="C30" s="338"/>
      <c r="D30" s="338"/>
      <c r="E30" s="338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40"/>
      <c r="Q30" s="137"/>
      <c r="R30" s="137"/>
      <c r="S30" s="137"/>
      <c r="T30" s="137"/>
      <c r="U30" s="137"/>
      <c r="V30" s="163"/>
    </row>
    <row r="31" spans="1:22" x14ac:dyDescent="0.25">
      <c r="A31" s="121"/>
      <c r="B31" s="122"/>
      <c r="C31" s="123"/>
      <c r="D31" s="123"/>
      <c r="E31" s="123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8"/>
      <c r="V31" s="164"/>
    </row>
    <row r="32" spans="1:22" x14ac:dyDescent="0.25">
      <c r="A32" s="717" t="s">
        <v>223</v>
      </c>
      <c r="B32" s="718"/>
      <c r="C32" s="123"/>
      <c r="D32" s="123"/>
      <c r="E32" s="123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8"/>
      <c r="V32" s="164"/>
    </row>
    <row r="33" spans="1:22" x14ac:dyDescent="0.25">
      <c r="A33" s="374"/>
      <c r="B33" s="375"/>
      <c r="C33" s="123"/>
      <c r="D33" s="123"/>
      <c r="E33" s="123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8"/>
      <c r="V33" s="164"/>
    </row>
    <row r="34" spans="1:22" x14ac:dyDescent="0.25">
      <c r="A34" s="124" t="s">
        <v>224</v>
      </c>
      <c r="B34" s="122"/>
      <c r="C34" s="123"/>
      <c r="D34" s="123"/>
      <c r="E34" s="123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8"/>
      <c r="V34" s="164"/>
    </row>
    <row r="35" spans="1:22" x14ac:dyDescent="0.25">
      <c r="A35" s="121"/>
      <c r="B35" s="122"/>
      <c r="C35" s="123"/>
      <c r="D35" s="123"/>
      <c r="E35" s="123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V35" s="164"/>
    </row>
    <row r="36" spans="1:22" x14ac:dyDescent="0.25">
      <c r="A36" s="124"/>
      <c r="B36" s="127"/>
      <c r="C36" s="128"/>
      <c r="D36" s="128"/>
      <c r="E36" s="128"/>
      <c r="F36" s="129"/>
      <c r="G36" s="97"/>
      <c r="H36" s="97"/>
      <c r="I36" s="97"/>
      <c r="J36" s="97"/>
      <c r="K36" s="97"/>
      <c r="L36" s="97"/>
      <c r="M36" s="97"/>
      <c r="N36" s="97"/>
      <c r="O36" s="97"/>
      <c r="P36" s="98"/>
      <c r="V36" s="164"/>
    </row>
    <row r="37" spans="1:22" x14ac:dyDescent="0.25">
      <c r="A37" s="124" t="s">
        <v>249</v>
      </c>
      <c r="B37" s="127"/>
      <c r="C37" s="128"/>
      <c r="D37" s="128"/>
      <c r="E37" s="128"/>
      <c r="F37" s="129"/>
      <c r="G37" s="97"/>
      <c r="H37" s="97"/>
      <c r="I37" s="97"/>
      <c r="J37" s="97"/>
      <c r="K37" s="97"/>
      <c r="L37" s="97"/>
      <c r="M37" s="97"/>
      <c r="N37" s="97"/>
      <c r="O37" s="97"/>
      <c r="P37" s="98"/>
      <c r="V37" s="164"/>
    </row>
    <row r="38" spans="1:22" x14ac:dyDescent="0.25">
      <c r="A38" s="125"/>
      <c r="B38" s="127"/>
      <c r="C38" s="128"/>
      <c r="D38" s="128"/>
      <c r="E38" s="128"/>
      <c r="F38" s="129"/>
      <c r="G38" s="97"/>
      <c r="H38" s="97"/>
      <c r="I38" s="97"/>
      <c r="J38" s="97"/>
      <c r="K38" s="97"/>
      <c r="L38" s="97"/>
      <c r="M38" s="97"/>
      <c r="N38" s="97"/>
      <c r="O38" s="97"/>
      <c r="P38" s="98"/>
      <c r="V38" s="164"/>
    </row>
    <row r="39" spans="1:22" x14ac:dyDescent="0.25">
      <c r="A39" s="125" t="s">
        <v>250</v>
      </c>
      <c r="B39" s="127"/>
      <c r="C39" s="128"/>
      <c r="D39" s="128"/>
      <c r="E39" s="128"/>
      <c r="F39" s="129"/>
      <c r="G39" s="97"/>
      <c r="H39" s="97"/>
      <c r="I39" s="97"/>
      <c r="J39" s="97"/>
      <c r="K39" s="97"/>
      <c r="L39" s="97"/>
      <c r="M39" s="97"/>
      <c r="N39" s="97"/>
      <c r="O39" s="97"/>
      <c r="P39" s="98"/>
      <c r="V39" s="164"/>
    </row>
    <row r="40" spans="1:22" x14ac:dyDescent="0.25">
      <c r="A40" s="510"/>
      <c r="B40" s="127"/>
      <c r="C40" s="128"/>
      <c r="D40" s="128"/>
      <c r="E40" s="128"/>
      <c r="F40" s="129"/>
      <c r="G40" s="97"/>
      <c r="H40" s="97"/>
      <c r="I40" s="97"/>
      <c r="J40" s="97"/>
      <c r="K40" s="97"/>
      <c r="L40" s="97"/>
      <c r="M40" s="97"/>
      <c r="N40" s="97"/>
      <c r="O40" s="97"/>
      <c r="P40" s="98"/>
      <c r="V40" s="164"/>
    </row>
    <row r="41" spans="1:22" ht="15.75" thickBot="1" x14ac:dyDescent="0.3">
      <c r="A41" s="188"/>
      <c r="B41" s="189"/>
      <c r="C41" s="190"/>
      <c r="D41" s="190"/>
      <c r="E41" s="190"/>
      <c r="F41" s="191"/>
      <c r="G41" s="192"/>
      <c r="H41" s="192"/>
      <c r="I41" s="192"/>
      <c r="J41" s="192"/>
      <c r="K41" s="192"/>
      <c r="L41" s="192"/>
      <c r="M41" s="192"/>
      <c r="N41" s="192"/>
      <c r="O41" s="192"/>
      <c r="P41" s="193"/>
      <c r="Q41" s="138"/>
      <c r="R41" s="138"/>
      <c r="S41" s="138"/>
      <c r="T41" s="138"/>
      <c r="U41" s="138"/>
      <c r="V41" s="171"/>
    </row>
    <row r="42" spans="1:22" x14ac:dyDescent="0.25">
      <c r="A42" s="121"/>
      <c r="B42" s="127"/>
      <c r="C42" s="128"/>
      <c r="D42" s="128"/>
      <c r="E42" s="128"/>
      <c r="F42" s="129"/>
      <c r="G42" s="97"/>
      <c r="H42" s="97"/>
      <c r="I42" s="97"/>
      <c r="J42" s="97"/>
      <c r="K42" s="97"/>
      <c r="L42" s="97"/>
      <c r="M42" s="97"/>
      <c r="N42" s="97"/>
      <c r="O42" s="97"/>
      <c r="P42" s="97"/>
    </row>
    <row r="43" spans="1:22" x14ac:dyDescent="0.25">
      <c r="A43" s="121"/>
      <c r="B43" s="127"/>
      <c r="C43" s="128"/>
      <c r="D43" s="128"/>
      <c r="E43" s="128"/>
      <c r="F43" s="129"/>
      <c r="G43" s="97"/>
      <c r="H43" s="97"/>
      <c r="I43" s="97"/>
      <c r="J43" s="97"/>
      <c r="K43" s="97"/>
      <c r="L43" s="97"/>
      <c r="M43" s="97"/>
      <c r="N43" s="97"/>
      <c r="O43" s="97"/>
      <c r="P43" s="97"/>
    </row>
  </sheetData>
  <sheetProtection formatCells="0" formatColumns="0" formatRows="0" insertColumns="0" insertRows="0" insertHyperlinks="0" deleteColumns="0" deleteRows="0" sort="0" autoFilter="0" pivotTables="0"/>
  <mergeCells count="22">
    <mergeCell ref="A29:P29"/>
    <mergeCell ref="A32:B32"/>
    <mergeCell ref="A11:P11"/>
    <mergeCell ref="A13:P13"/>
    <mergeCell ref="A14:P14"/>
    <mergeCell ref="A19:P19"/>
    <mergeCell ref="F25:K25"/>
    <mergeCell ref="A27:H27"/>
    <mergeCell ref="O8:P8"/>
    <mergeCell ref="A9:C9"/>
    <mergeCell ref="D9:E9"/>
    <mergeCell ref="F9:I9"/>
    <mergeCell ref="J9:K9"/>
    <mergeCell ref="L9:N9"/>
    <mergeCell ref="O9:P9"/>
    <mergeCell ref="D1:M2"/>
    <mergeCell ref="A3:P5"/>
    <mergeCell ref="E6:L7"/>
    <mergeCell ref="M6:N6"/>
    <mergeCell ref="O6:P6"/>
    <mergeCell ref="M7:N7"/>
    <mergeCell ref="O7:P7"/>
  </mergeCells>
  <dataValidations count="2">
    <dataValidation type="list" allowBlank="1" showInputMessage="1" showErrorMessage="1" sqref="O9:P9" xr:uid="{00000000-0002-0000-0800-000000000000}">
      <formula1>Diligences</formula1>
    </dataValidation>
    <dataValidation type="list" showInputMessage="1" showErrorMessage="1" sqref="D9:E9" xr:uid="{00000000-0002-0000-0800-000001000000}">
      <formula1>RAS</formula1>
    </dataValidation>
  </dataValidations>
  <hyperlinks>
    <hyperlink ref="O8:P8" location="'S Synthèse'!A1" display="S Synthèse" xr:uid="{00000000-0004-0000-08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6"/>
  <sheetViews>
    <sheetView showGridLines="0" topLeftCell="A22" zoomScaleNormal="100" workbookViewId="0">
      <selection activeCell="A15" sqref="A15"/>
    </sheetView>
  </sheetViews>
  <sheetFormatPr baseColWidth="10" defaultColWidth="11.42578125" defaultRowHeight="15" x14ac:dyDescent="0.25"/>
  <cols>
    <col min="1" max="1" width="14.7109375" style="26" customWidth="1"/>
    <col min="2" max="2" width="24" style="26" customWidth="1"/>
    <col min="3" max="3" width="27.140625" style="26" customWidth="1"/>
    <col min="4" max="4" width="20.85546875" style="26" customWidth="1"/>
    <col min="5" max="5" width="16.42578125" style="26" customWidth="1"/>
    <col min="6" max="6" width="14.7109375" style="26" customWidth="1"/>
    <col min="7" max="9" width="16.42578125" style="26" customWidth="1"/>
    <col min="10" max="10" width="17.42578125" style="26" bestFit="1" customWidth="1"/>
    <col min="11" max="11" width="10.7109375" style="26" bestFit="1" customWidth="1"/>
    <col min="12" max="15" width="14.7109375" style="26" customWidth="1"/>
    <col min="16" max="16" width="24.5703125" style="26" customWidth="1"/>
    <col min="17" max="16384" width="11.42578125" style="26"/>
  </cols>
  <sheetData>
    <row r="1" spans="1:21" s="42" customFormat="1" ht="15" customHeight="1" x14ac:dyDescent="0.2">
      <c r="A1" s="213"/>
      <c r="B1" s="214"/>
      <c r="C1" s="214"/>
      <c r="D1" s="655" t="s">
        <v>0</v>
      </c>
      <c r="E1" s="656"/>
      <c r="F1" s="656"/>
      <c r="G1" s="656"/>
      <c r="H1" s="656"/>
      <c r="I1" s="656"/>
      <c r="J1" s="656"/>
      <c r="K1" s="656"/>
      <c r="L1" s="656"/>
      <c r="M1" s="657"/>
      <c r="N1" s="214"/>
      <c r="O1" s="214"/>
      <c r="P1" s="215"/>
    </row>
    <row r="2" spans="1:21" s="42" customFormat="1" ht="15" customHeight="1" thickBot="1" x14ac:dyDescent="0.25">
      <c r="A2" s="216"/>
      <c r="B2" s="217"/>
      <c r="C2" s="217"/>
      <c r="D2" s="658"/>
      <c r="E2" s="659"/>
      <c r="F2" s="659"/>
      <c r="G2" s="659"/>
      <c r="H2" s="659"/>
      <c r="I2" s="659"/>
      <c r="J2" s="659"/>
      <c r="K2" s="659"/>
      <c r="L2" s="659"/>
      <c r="M2" s="660"/>
      <c r="N2" s="217"/>
      <c r="O2" s="217"/>
      <c r="P2" s="218"/>
    </row>
    <row r="3" spans="1:21" ht="15" customHeight="1" x14ac:dyDescent="0.25">
      <c r="A3" s="661">
        <f>'S Synthèse'!A3:P5</f>
        <v>0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3"/>
      <c r="R3" s="4"/>
      <c r="T3" s="6"/>
      <c r="U3" s="6"/>
    </row>
    <row r="4" spans="1:21" ht="15" customHeight="1" x14ac:dyDescent="0.25">
      <c r="A4" s="661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3"/>
      <c r="R4" s="4"/>
      <c r="T4" s="6"/>
      <c r="U4" s="6"/>
    </row>
    <row r="5" spans="1:21" ht="15" customHeight="1" thickBot="1" x14ac:dyDescent="0.3">
      <c r="A5" s="664"/>
      <c r="B5" s="665"/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6"/>
      <c r="Q5" s="4"/>
      <c r="R5" s="43"/>
      <c r="S5" s="44"/>
      <c r="T5" s="44"/>
      <c r="U5" s="44"/>
    </row>
    <row r="6" spans="1:21" ht="15" customHeight="1" x14ac:dyDescent="0.25">
      <c r="A6" s="18" t="s">
        <v>5</v>
      </c>
      <c r="B6" s="219" t="str">
        <f>'S Synthèse'!B6</f>
        <v>BRA</v>
      </c>
      <c r="C6" s="18" t="s">
        <v>6</v>
      </c>
      <c r="D6" s="219">
        <f>'S Synthèse'!D6</f>
        <v>0</v>
      </c>
      <c r="E6" s="667" t="s">
        <v>57</v>
      </c>
      <c r="F6" s="668"/>
      <c r="G6" s="668"/>
      <c r="H6" s="668"/>
      <c r="I6" s="668"/>
      <c r="J6" s="668"/>
      <c r="K6" s="668"/>
      <c r="L6" s="669"/>
      <c r="M6" s="583" t="s">
        <v>8</v>
      </c>
      <c r="N6" s="584"/>
      <c r="O6" s="673" t="s">
        <v>9</v>
      </c>
      <c r="P6" s="674"/>
      <c r="R6" s="42"/>
      <c r="S6" s="42"/>
    </row>
    <row r="7" spans="1:21" ht="15" customHeight="1" thickBot="1" x14ac:dyDescent="0.3">
      <c r="A7" s="19" t="s">
        <v>11</v>
      </c>
      <c r="B7" s="220">
        <f>'S Synthèse'!B7</f>
        <v>0</v>
      </c>
      <c r="C7" s="19" t="s">
        <v>11</v>
      </c>
      <c r="D7" s="220">
        <f>'S Synthèse'!D7</f>
        <v>0</v>
      </c>
      <c r="E7" s="670"/>
      <c r="F7" s="671"/>
      <c r="G7" s="671"/>
      <c r="H7" s="671"/>
      <c r="I7" s="671"/>
      <c r="J7" s="671"/>
      <c r="K7" s="671"/>
      <c r="L7" s="672"/>
      <c r="M7" s="613" t="str">
        <f>'S Synthèse'!M7:N7</f>
        <v>31/12/N</v>
      </c>
      <c r="N7" s="614"/>
      <c r="O7" s="675" t="s">
        <v>56</v>
      </c>
      <c r="P7" s="676"/>
    </row>
    <row r="8" spans="1:21" ht="21" customHeight="1" thickBot="1" x14ac:dyDescent="0.3">
      <c r="A8" s="20"/>
      <c r="B8" s="45"/>
      <c r="C8" s="21"/>
      <c r="D8" s="21"/>
      <c r="E8" s="46"/>
      <c r="F8" s="46"/>
      <c r="G8" s="46"/>
      <c r="H8" s="46"/>
      <c r="I8" s="46"/>
      <c r="J8" s="46"/>
      <c r="K8" s="46"/>
      <c r="L8" s="46"/>
      <c r="M8" s="23"/>
      <c r="N8" s="21"/>
      <c r="O8" s="617" t="s">
        <v>66</v>
      </c>
      <c r="P8" s="617"/>
    </row>
    <row r="9" spans="1:21" s="21" customFormat="1" ht="31.5" customHeight="1" thickBot="1" x14ac:dyDescent="0.25">
      <c r="A9" s="571" t="s">
        <v>15</v>
      </c>
      <c r="B9" s="572"/>
      <c r="C9" s="572"/>
      <c r="D9" s="605" t="str">
        <f>'S Synthèse'!D9:E9</f>
        <v>Elevé</v>
      </c>
      <c r="E9" s="606"/>
      <c r="F9" s="573" t="s">
        <v>16</v>
      </c>
      <c r="G9" s="574"/>
      <c r="H9" s="574"/>
      <c r="I9" s="574"/>
      <c r="J9" s="615">
        <f>'S Synthèse'!J9:K9</f>
        <v>12.6</v>
      </c>
      <c r="K9" s="616"/>
      <c r="L9" s="573" t="s">
        <v>17</v>
      </c>
      <c r="M9" s="574"/>
      <c r="N9" s="574"/>
      <c r="O9" s="605" t="str">
        <f>'S Synthèse'!O9:P9</f>
        <v>PE+VP</v>
      </c>
      <c r="P9" s="606"/>
    </row>
    <row r="10" spans="1:21" s="21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1" ht="112.15" customHeight="1" thickBot="1" x14ac:dyDescent="0.3">
      <c r="A11" s="638" t="s">
        <v>252</v>
      </c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40"/>
    </row>
    <row r="12" spans="1:21" ht="9" customHeight="1" thickBot="1" x14ac:dyDescent="0.3"/>
    <row r="13" spans="1:21" x14ac:dyDescent="0.25">
      <c r="A13" s="543" t="s">
        <v>96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5"/>
    </row>
    <row r="14" spans="1:21" ht="60" customHeight="1" thickBot="1" x14ac:dyDescent="0.3">
      <c r="A14" s="531" t="s">
        <v>287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06"/>
      <c r="O14" s="706"/>
      <c r="P14" s="707"/>
    </row>
    <row r="15" spans="1:21" ht="15.75" thickBot="1" x14ac:dyDescent="0.3"/>
    <row r="16" spans="1:21" x14ac:dyDescent="0.25">
      <c r="A16" s="162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63"/>
    </row>
    <row r="17" spans="1:16" x14ac:dyDescent="0.25">
      <c r="A17" s="117" t="s">
        <v>218</v>
      </c>
      <c r="B17" s="118"/>
      <c r="P17" s="164"/>
    </row>
    <row r="18" spans="1:16" x14ac:dyDescent="0.25">
      <c r="A18" s="117"/>
      <c r="B18" s="119"/>
      <c r="P18" s="164"/>
    </row>
    <row r="19" spans="1:16" s="42" customFormat="1" ht="75" customHeight="1" x14ac:dyDescent="0.2">
      <c r="A19" s="722" t="s">
        <v>274</v>
      </c>
      <c r="B19" s="647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8"/>
    </row>
    <row r="20" spans="1:16" s="42" customFormat="1" x14ac:dyDescent="0.2">
      <c r="A20" s="350"/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2"/>
    </row>
    <row r="21" spans="1:16" s="42" customFormat="1" x14ac:dyDescent="0.2">
      <c r="A21" s="350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2"/>
    </row>
    <row r="22" spans="1:16" ht="15.75" thickBot="1" x14ac:dyDescent="0.3">
      <c r="A22" s="170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71"/>
    </row>
    <row r="23" spans="1:16" x14ac:dyDescent="0.25">
      <c r="A23" s="117" t="s">
        <v>253</v>
      </c>
      <c r="P23" s="164"/>
    </row>
    <row r="24" spans="1:16" x14ac:dyDescent="0.25">
      <c r="A24" s="165"/>
      <c r="P24" s="164"/>
    </row>
    <row r="25" spans="1:16" x14ac:dyDescent="0.25">
      <c r="A25" s="177"/>
      <c r="B25" s="373"/>
      <c r="C25" s="49"/>
      <c r="D25" s="373"/>
      <c r="E25" s="373"/>
      <c r="F25" s="373"/>
      <c r="G25" s="373"/>
      <c r="H25" s="373"/>
      <c r="I25" s="97"/>
      <c r="J25" s="97"/>
      <c r="K25" s="97"/>
      <c r="L25" s="97"/>
      <c r="M25" s="97"/>
      <c r="N25" s="97"/>
      <c r="O25" s="97"/>
      <c r="P25" s="98"/>
    </row>
    <row r="26" spans="1:16" s="42" customFormat="1" x14ac:dyDescent="0.2">
      <c r="A26" s="719" t="s">
        <v>92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1"/>
    </row>
    <row r="27" spans="1:16" s="42" customFormat="1" x14ac:dyDescent="0.2">
      <c r="A27" s="351"/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</row>
    <row r="28" spans="1:16" s="42" customFormat="1" ht="16.5" x14ac:dyDescent="0.3">
      <c r="A28" s="353" t="s">
        <v>277</v>
      </c>
      <c r="B28" s="248"/>
      <c r="C28" s="248"/>
      <c r="D28" s="354" t="e">
        <f>#REF!+#REF!+#REF!+#REF!+#REF!+#REF!+#REF!+#REF!</f>
        <v>#REF!</v>
      </c>
      <c r="E28" s="357" t="s">
        <v>113</v>
      </c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</row>
    <row r="29" spans="1:16" s="42" customFormat="1" ht="16.5" x14ac:dyDescent="0.3">
      <c r="A29" s="353" t="s">
        <v>254</v>
      </c>
      <c r="B29" s="248"/>
      <c r="C29" s="248"/>
      <c r="D29" s="355">
        <v>8.9499999999999996E-2</v>
      </c>
      <c r="E29" s="358" t="s">
        <v>255</v>
      </c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</row>
    <row r="30" spans="1:16" s="42" customFormat="1" ht="16.5" x14ac:dyDescent="0.3">
      <c r="A30" s="353"/>
      <c r="B30" s="248"/>
      <c r="C30" s="248"/>
      <c r="D30" s="248"/>
      <c r="E30" s="359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</row>
    <row r="31" spans="1:16" s="42" customFormat="1" ht="16.5" x14ac:dyDescent="0.3">
      <c r="A31" s="353" t="s">
        <v>278</v>
      </c>
      <c r="B31" s="248"/>
      <c r="C31" s="248"/>
      <c r="D31" s="354" t="e">
        <f>+D28*D29</f>
        <v>#REF!</v>
      </c>
      <c r="E31" s="358" t="s">
        <v>256</v>
      </c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</row>
    <row r="32" spans="1:16" s="42" customFormat="1" ht="16.5" x14ac:dyDescent="0.3">
      <c r="A32" s="353"/>
      <c r="B32" s="248"/>
      <c r="C32" s="248"/>
      <c r="D32" s="248"/>
      <c r="E32" s="359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</row>
    <row r="33" spans="1:22" s="42" customFormat="1" ht="16.5" x14ac:dyDescent="0.3">
      <c r="A33" s="353" t="s">
        <v>279</v>
      </c>
      <c r="B33" s="248"/>
      <c r="C33" s="248"/>
      <c r="D33" s="354" t="e">
        <f>-(#REF!+#REF!)</f>
        <v>#REF!</v>
      </c>
      <c r="E33" s="357" t="s">
        <v>113</v>
      </c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</row>
    <row r="34" spans="1:22" s="42" customFormat="1" ht="16.5" x14ac:dyDescent="0.3">
      <c r="A34" s="353"/>
      <c r="B34" s="248"/>
      <c r="C34" s="248"/>
      <c r="D34" s="248"/>
      <c r="E34" s="359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</row>
    <row r="35" spans="1:22" s="42" customFormat="1" ht="16.5" x14ac:dyDescent="0.3">
      <c r="A35" s="353" t="s">
        <v>139</v>
      </c>
      <c r="B35" s="248"/>
      <c r="C35" s="248"/>
      <c r="D35" s="356" t="e">
        <f>D31-D33</f>
        <v>#REF!</v>
      </c>
      <c r="E35" s="248" t="s">
        <v>275</v>
      </c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</row>
    <row r="36" spans="1:22" ht="15.75" thickBot="1" x14ac:dyDescent="0.3"/>
    <row r="37" spans="1:22" x14ac:dyDescent="0.25">
      <c r="A37" s="162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63"/>
    </row>
    <row r="38" spans="1:22" x14ac:dyDescent="0.25">
      <c r="A38" s="117" t="s">
        <v>257</v>
      </c>
      <c r="P38" s="164"/>
    </row>
    <row r="39" spans="1:22" x14ac:dyDescent="0.25">
      <c r="A39" s="165"/>
      <c r="P39" s="164"/>
    </row>
    <row r="40" spans="1:22" ht="15" customHeight="1" x14ac:dyDescent="0.25">
      <c r="A40" s="187" t="s">
        <v>220</v>
      </c>
      <c r="B40" s="120"/>
      <c r="C40" s="49"/>
      <c r="D40" s="97"/>
      <c r="E40" s="120"/>
      <c r="F40" s="714" t="s">
        <v>221</v>
      </c>
      <c r="G40" s="714"/>
      <c r="H40" s="714"/>
      <c r="I40" s="714"/>
      <c r="J40" s="714"/>
      <c r="K40" s="714"/>
      <c r="L40" s="97"/>
      <c r="M40" s="97"/>
      <c r="N40" s="97"/>
      <c r="O40" s="97"/>
      <c r="P40" s="98"/>
    </row>
    <row r="41" spans="1:22" x14ac:dyDescent="0.25">
      <c r="A41" s="509"/>
      <c r="B41" s="373"/>
      <c r="C41" s="49"/>
      <c r="D41" s="373"/>
      <c r="E41" s="373"/>
      <c r="F41" s="511"/>
      <c r="G41" s="373"/>
      <c r="H41" s="373"/>
      <c r="I41" s="97"/>
      <c r="J41" s="97"/>
      <c r="K41" s="97"/>
      <c r="L41" s="97"/>
      <c r="M41" s="97"/>
      <c r="N41" s="97"/>
      <c r="O41" s="97"/>
      <c r="P41" s="98"/>
    </row>
    <row r="42" spans="1:22" x14ac:dyDescent="0.25">
      <c r="A42" s="715" t="s">
        <v>222</v>
      </c>
      <c r="B42" s="716"/>
      <c r="C42" s="716"/>
      <c r="D42" s="716"/>
      <c r="E42" s="716"/>
      <c r="F42" s="716"/>
      <c r="G42" s="716"/>
      <c r="H42" s="716"/>
      <c r="I42" s="97"/>
      <c r="J42" s="97"/>
      <c r="K42" s="97"/>
      <c r="L42" s="97"/>
      <c r="M42" s="97"/>
      <c r="N42" s="97"/>
      <c r="O42" s="97"/>
      <c r="P42" s="98"/>
    </row>
    <row r="43" spans="1:22" x14ac:dyDescent="0.25">
      <c r="A43" s="177"/>
      <c r="B43" s="373"/>
      <c r="C43" s="49"/>
      <c r="D43" s="373"/>
      <c r="E43" s="373"/>
      <c r="F43" s="373"/>
      <c r="G43" s="373"/>
      <c r="H43" s="373"/>
      <c r="I43" s="97"/>
      <c r="J43" s="97"/>
      <c r="K43" s="97"/>
      <c r="L43" s="97"/>
      <c r="M43" s="97"/>
      <c r="N43" s="97"/>
      <c r="O43" s="97"/>
      <c r="P43" s="98"/>
    </row>
    <row r="44" spans="1:22" s="42" customFormat="1" ht="75" customHeight="1" thickBot="1" x14ac:dyDescent="0.25">
      <c r="A44" s="719" t="s">
        <v>92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1"/>
    </row>
    <row r="45" spans="1:22" x14ac:dyDescent="0.25">
      <c r="A45" s="336"/>
      <c r="B45" s="337"/>
      <c r="C45" s="338"/>
      <c r="D45" s="338"/>
      <c r="E45" s="338"/>
      <c r="F45" s="339"/>
      <c r="G45" s="339"/>
      <c r="H45" s="339"/>
      <c r="I45" s="339"/>
      <c r="J45" s="339"/>
      <c r="K45" s="339"/>
      <c r="L45" s="339"/>
      <c r="M45" s="339"/>
      <c r="N45" s="339"/>
      <c r="O45" s="339"/>
      <c r="P45" s="340"/>
      <c r="Q45" s="137"/>
      <c r="R45" s="137"/>
      <c r="S45" s="137"/>
      <c r="T45" s="137"/>
      <c r="U45" s="137"/>
      <c r="V45" s="163"/>
    </row>
    <row r="46" spans="1:22" x14ac:dyDescent="0.25">
      <c r="A46" s="121"/>
      <c r="B46" s="122"/>
      <c r="C46" s="123"/>
      <c r="D46" s="123"/>
      <c r="E46" s="123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8"/>
      <c r="V46" s="164"/>
    </row>
  </sheetData>
  <sheetProtection formatCells="0" formatColumns="0" formatRows="0" insertColumns="0" insertRows="0" insertHyperlinks="0" deleteColumns="0" deleteRows="0" sort="0" autoFilter="0" pivotTables="0"/>
  <mergeCells count="22">
    <mergeCell ref="A44:P44"/>
    <mergeCell ref="A26:P26"/>
    <mergeCell ref="A11:P11"/>
    <mergeCell ref="A13:P13"/>
    <mergeCell ref="A14:P14"/>
    <mergeCell ref="A19:P19"/>
    <mergeCell ref="F40:K40"/>
    <mergeCell ref="A42:H42"/>
    <mergeCell ref="O8:P8"/>
    <mergeCell ref="A9:C9"/>
    <mergeCell ref="D9:E9"/>
    <mergeCell ref="F9:I9"/>
    <mergeCell ref="J9:K9"/>
    <mergeCell ref="L9:N9"/>
    <mergeCell ref="O9:P9"/>
    <mergeCell ref="D1:M2"/>
    <mergeCell ref="A3:P5"/>
    <mergeCell ref="E6:L7"/>
    <mergeCell ref="M6:N6"/>
    <mergeCell ref="O6:P6"/>
    <mergeCell ref="M7:N7"/>
    <mergeCell ref="O7:P7"/>
  </mergeCells>
  <dataValidations disablePrompts="1" count="2">
    <dataValidation type="list" showInputMessage="1" showErrorMessage="1" sqref="D9:E9" xr:uid="{00000000-0002-0000-0900-000000000000}">
      <formula1>RAS</formula1>
    </dataValidation>
    <dataValidation type="list" allowBlank="1" showInputMessage="1" showErrorMessage="1" sqref="O9:P9" xr:uid="{00000000-0002-0000-0900-000001000000}">
      <formula1>Diligences</formula1>
    </dataValidation>
  </dataValidations>
  <hyperlinks>
    <hyperlink ref="O8:P8" location="'S Synthèse'!A1" display="S Synthèse" xr:uid="{00000000-0004-0000-09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472D7786B104FBBC17FD0F74A457F" ma:contentTypeVersion="8" ma:contentTypeDescription="Crée un document." ma:contentTypeScope="" ma:versionID="df40d5669a1a94aecd9664a3eecb10a8">
  <xsd:schema xmlns:xsd="http://www.w3.org/2001/XMLSchema" xmlns:xs="http://www.w3.org/2001/XMLSchema" xmlns:p="http://schemas.microsoft.com/office/2006/metadata/properties" xmlns:ns2="9d7aee5f-c6d7-4567-bea9-00a4b0c47d6f" targetNamespace="http://schemas.microsoft.com/office/2006/metadata/properties" ma:root="true" ma:fieldsID="cdecd5e406078ff0a71b6eddae87f96f" ns2:_="">
    <xsd:import namespace="9d7aee5f-c6d7-4567-bea9-00a4b0c47d6f"/>
    <xsd:element name="properties">
      <xsd:complexType>
        <xsd:sequence>
          <xsd:element name="documentManagement">
            <xsd:complexType>
              <xsd:all>
                <xsd:element ref="ns2:SPSPreparepar" minOccurs="0"/>
                <xsd:element ref="ns2:SPSPreparele" minOccurs="0"/>
                <xsd:element ref="ns2:SPSSupervisepar" minOccurs="0"/>
                <xsd:element ref="ns2:SPSSupervisele" minOccurs="0"/>
                <xsd:element ref="ns2:SPSApprouvepar" minOccurs="0"/>
                <xsd:element ref="ns2:SPSApprouvele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aee5f-c6d7-4567-bea9-00a4b0c47d6f" elementFormDefault="qualified">
    <xsd:import namespace="http://schemas.microsoft.com/office/2006/documentManagement/types"/>
    <xsd:import namespace="http://schemas.microsoft.com/office/infopath/2007/PartnerControls"/>
    <xsd:element name="SPSPreparepar" ma:index="8" nillable="true" ma:displayName="Préparé par" ma:internalName="SPSPreparepa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PSPreparele" ma:index="9" nillable="true" ma:displayName="Préparé le" ma:internalName="SPSPreparele">
      <xsd:simpleType>
        <xsd:restriction base="dms:DateTime"/>
      </xsd:simpleType>
    </xsd:element>
    <xsd:element name="SPSSupervisepar" ma:index="10" nillable="true" ma:displayName="Supervisé par" ma:internalName="SPSSupervisepa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PSSupervisele" ma:index="11" nillable="true" ma:displayName="Supervisé le" ma:internalName="SPSSupervisele">
      <xsd:simpleType>
        <xsd:restriction base="dms:DateTime"/>
      </xsd:simpleType>
    </xsd:element>
    <xsd:element name="SPSApprouvepar" ma:index="12" nillable="true" ma:displayName="Approuvé par" ma:internalName="SPSApprouvepa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PSApprouvele" ma:index="13" nillable="true" ma:displayName="Approuvé le" ma:internalName="SPSApprouvele">
      <xsd:simpleType>
        <xsd:restriction base="dms:DateTime"/>
      </xsd:simpleType>
    </xsd:element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Preparepar xmlns="9d7aee5f-c6d7-4567-bea9-00a4b0c47d6f">
      <UserInfo>
        <DisplayName/>
        <AccountId xsi:nil="true"/>
        <AccountType/>
      </UserInfo>
    </SPSPreparepar>
    <SPSApprouvepar xmlns="9d7aee5f-c6d7-4567-bea9-00a4b0c47d6f">
      <UserInfo>
        <DisplayName/>
        <AccountId xsi:nil="true"/>
        <AccountType/>
      </UserInfo>
    </SPSApprouvepar>
    <SPSPreparele xmlns="9d7aee5f-c6d7-4567-bea9-00a4b0c47d6f" xsi:nil="true"/>
    <SPSApprouvele xmlns="9d7aee5f-c6d7-4567-bea9-00a4b0c47d6f" xsi:nil="true"/>
    <SPSSupervisele xmlns="9d7aee5f-c6d7-4567-bea9-00a4b0c47d6f" xsi:nil="true"/>
    <SPSSupervisepar xmlns="9d7aee5f-c6d7-4567-bea9-00a4b0c47d6f">
      <UserInfo>
        <DisplayName/>
        <AccountId xsi:nil="true"/>
        <AccountType/>
      </UserInfo>
    </SPSSupervisepar>
  </documentManagement>
</p:properties>
</file>

<file path=customXml/itemProps1.xml><?xml version="1.0" encoding="utf-8"?>
<ds:datastoreItem xmlns:ds="http://schemas.openxmlformats.org/officeDocument/2006/customXml" ds:itemID="{F86164FE-A969-4DDB-BBE6-D1C0B31FB5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E1256-DCE9-45FE-881F-93CE04B39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7aee5f-c6d7-4567-bea9-00a4b0c47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9EFEC9-8438-4354-B803-B0CABD0BF5A9}">
  <ds:schemaRefs>
    <ds:schemaRef ds:uri="http://purl.org/dc/terms/"/>
    <ds:schemaRef ds:uri="http://schemas.openxmlformats.org/package/2006/metadata/core-properties"/>
    <ds:schemaRef ds:uri="9d7aee5f-c6d7-4567-bea9-00a4b0c47d6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ed0d0bd-a659-4dbf-bbaa-a56f4efa3b0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37</vt:i4>
      </vt:variant>
    </vt:vector>
  </HeadingPairs>
  <TitlesOfParts>
    <vt:vector size="47" baseType="lpstr">
      <vt:lpstr>S Synthèse</vt:lpstr>
      <vt:lpstr>Questionnaire</vt:lpstr>
      <vt:lpstr>S100 Tableau var stocks</vt:lpstr>
      <vt:lpstr>S200 Rappro états stock-compta</vt:lpstr>
      <vt:lpstr>S400 Réconciliation IP PR</vt:lpstr>
      <vt:lpstr>S300 Rotation stocks</vt:lpstr>
      <vt:lpstr>S500 Boucle stock</vt:lpstr>
      <vt:lpstr>S610 Dépréciation stock VN</vt:lpstr>
      <vt:lpstr>S620 Dépréciation stock VO</vt:lpstr>
      <vt:lpstr>S630 Dépréciation stock PR</vt:lpstr>
      <vt:lpstr>'S620 Dépréciation stock VO'!date_livraison_client</vt:lpstr>
      <vt:lpstr>'S630 Dépréciation stock PR'!date_livraison_client</vt:lpstr>
      <vt:lpstr>date_livraison_client</vt:lpstr>
      <vt:lpstr>'S620 Dépréciation stock VO'!DEPRE__APV</vt:lpstr>
      <vt:lpstr>'S630 Dépréciation stock PR'!DEPRE__APV</vt:lpstr>
      <vt:lpstr>DEPRE__APV</vt:lpstr>
      <vt:lpstr>'S620 Dépréciation stock VO'!Dépréciation</vt:lpstr>
      <vt:lpstr>'S630 Dépréciation stock PR'!Dépréciation</vt:lpstr>
      <vt:lpstr>Dépréciation</vt:lpstr>
      <vt:lpstr>Questionnaire!Diligences</vt:lpstr>
      <vt:lpstr>Diligences</vt:lpstr>
      <vt:lpstr>Questionnaire!Etat</vt:lpstr>
      <vt:lpstr>Etat</vt:lpstr>
      <vt:lpstr>'S620 Dépréciation stock VO'!Mois_à_déprécier_à_1</vt:lpstr>
      <vt:lpstr>'S630 Dépréciation stock PR'!Mois_à_déprécier_à_1</vt:lpstr>
      <vt:lpstr>Mois_à_déprécier_à_1</vt:lpstr>
      <vt:lpstr>'S620 Dépréciation stock VO'!Mois_à_déprécier_à_2__si_VD</vt:lpstr>
      <vt:lpstr>'S630 Dépréciation stock PR'!Mois_à_déprécier_à_2__si_VD</vt:lpstr>
      <vt:lpstr>Mois_à_déprécier_à_2__si_VD</vt:lpstr>
      <vt:lpstr>'S620 Dépréciation stock VO'!Montant__marge_2</vt:lpstr>
      <vt:lpstr>'S630 Dépréciation stock PR'!Montant__marge_2</vt:lpstr>
      <vt:lpstr>Montant__marge_2</vt:lpstr>
      <vt:lpstr>'S620 Dépréciation stock VO'!Prix_d_achat</vt:lpstr>
      <vt:lpstr>'S630 Dépréciation stock PR'!Prix_d_achat</vt:lpstr>
      <vt:lpstr>Prix_d_achat</vt:lpstr>
      <vt:lpstr>Questionnaire!RAS</vt:lpstr>
      <vt:lpstr>RAS</vt:lpstr>
      <vt:lpstr>Questionnaire!Zone_d_impression</vt:lpstr>
      <vt:lpstr>'S Synthèse'!Zone_d_impression</vt:lpstr>
      <vt:lpstr>'S100 Tableau var stocks'!Zone_d_impression</vt:lpstr>
      <vt:lpstr>'S200 Rappro états stock-compta'!Zone_d_impression</vt:lpstr>
      <vt:lpstr>'S300 Rotation stocks'!Zone_d_impression</vt:lpstr>
      <vt:lpstr>'S400 Réconciliation IP PR'!Zone_d_impression</vt:lpstr>
      <vt:lpstr>'S500 Boucle stock'!Zone_d_impression</vt:lpstr>
      <vt:lpstr>'S610 Dépréciation stock VN'!Zone_d_impression</vt:lpstr>
      <vt:lpstr>'S620 Dépréciation stock VO'!Zone_d_impression</vt:lpstr>
      <vt:lpstr>'S630 Dépréciation stock PR'!Zone_d_impression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Brian RAULY</cp:lastModifiedBy>
  <cp:revision/>
  <dcterms:created xsi:type="dcterms:W3CDTF">2017-01-24T11:12:27Z</dcterms:created>
  <dcterms:modified xsi:type="dcterms:W3CDTF">2025-02-04T16:05:02Z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0x01010074B472D7786B104FBBC17FD0F74A457F</vt:lpwstr>
  </property>
</Properties>
</file>