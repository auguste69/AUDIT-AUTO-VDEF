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https://aviseo-my.sharepoint.com/personal/augustin_pedrini_avizeo_eu/Documents/Bureau/Modèles/Dossier annuel/A- Fournisseurs-Achats/"/>
    </mc:Choice>
  </mc:AlternateContent>
  <xr:revisionPtr revIDLastSave="0" documentId="13_ncr:1_{40A71F83-882D-4D01-863F-021F75B2E416}" xr6:coauthVersionLast="47" xr6:coauthVersionMax="47" xr10:uidLastSave="{00000000-0000-0000-0000-000000000000}"/>
  <bookViews>
    <workbookView xWindow="-28920" yWindow="-120" windowWidth="29040" windowHeight="15720" tabRatio="728" xr2:uid="{00000000-000D-0000-FFFF-FFFF00000000}"/>
  </bookViews>
  <sheets>
    <sheet name="A Synthèse" sheetId="36" r:id="rId1"/>
    <sheet name="A100 Rappro BA-BG" sheetId="38" r:id="rId2"/>
    <sheet name="A110 Revue frs débiteurs" sheetId="14" r:id="rId3"/>
    <sheet name="A200 DPO Frs" sheetId="15" r:id="rId4"/>
    <sheet name="A300 Réciprocité intragroupe" sheetId="16" r:id="rId5"/>
    <sheet name="A410 Revue FNP" sheetId="24" r:id="rId6"/>
    <sheet name="A420 Revue AAR" sheetId="25" r:id="rId7"/>
    <sheet name="A430 Revue RFA" sheetId="33" r:id="rId8"/>
    <sheet name="A440 Revue CCA" sheetId="26" r:id="rId9"/>
    <sheet name="A450 Test cut off achats" sheetId="27" r:id="rId10"/>
    <sheet name="A500 Circularisations" sheetId="30" r:id="rId11"/>
    <sheet name="A600 Revue AACE" sheetId="31" r:id="rId12"/>
    <sheet name="A700 Revue EAP" sheetId="34" state="hidden" r:id="rId13"/>
    <sheet name="A800 Frs en devise" sheetId="20" state="hidden" r:id="rId14"/>
  </sheets>
  <externalReferences>
    <externalReference r:id="rId15"/>
  </externalReferences>
  <definedNames>
    <definedName name="ça">"$#REF !.$B$508:$R$508"</definedName>
    <definedName name="CA_N">[1]SIG!$B$8</definedName>
    <definedName name="CA_N_1">[1]SIG!$D$8</definedName>
    <definedName name="çb">"$#REF !.$A$48:$K$48"</definedName>
    <definedName name="çi">"$#REF !.$R$11:$R$508"</definedName>
    <definedName name="cloture">"$#REF !.$G$9"</definedName>
    <definedName name="çp">"$#REF !.$B$44:$F$44"</definedName>
    <definedName name="çr">"$#REF !.$B$62:$H$62"</definedName>
    <definedName name="çs">"$#REF !.$B$161:$L$161"</definedName>
    <definedName name="dateCloture" localSheetId="1">#REF!</definedName>
    <definedName name="dateCloture" localSheetId="2">#REF!</definedName>
    <definedName name="dateCloture" localSheetId="3">#REF!</definedName>
    <definedName name="dateCloture" localSheetId="4">#REF!</definedName>
    <definedName name="dateCloture" localSheetId="5">#REF!</definedName>
    <definedName name="dateCloture" localSheetId="6">#REF!</definedName>
    <definedName name="dateCloture" localSheetId="7">#REF!</definedName>
    <definedName name="dateCloture" localSheetId="8">#REF!</definedName>
    <definedName name="dateCloture" localSheetId="9">#REF!</definedName>
    <definedName name="dateCloture" localSheetId="10">#REF!</definedName>
    <definedName name="dateCloture" localSheetId="11">#REF!</definedName>
    <definedName name="dateCloture" localSheetId="12">#REF!</definedName>
    <definedName name="dateCloture" localSheetId="13">#REF!</definedName>
    <definedName name="dateCloture">#REF!</definedName>
    <definedName name="DatesCloture">"$#REF !.$F$9:$#REF !.$M$9"</definedName>
    <definedName name="Diligences" localSheetId="1">'A100 Rappro BA-BG'!#REF!</definedName>
    <definedName name="Diligences" localSheetId="2">'A110 Revue frs débiteurs'!#REF!</definedName>
    <definedName name="Diligences" localSheetId="3">'A200 DPO Frs'!#REF!</definedName>
    <definedName name="Diligences" localSheetId="4">'A300 Réciprocité intragroupe'!#REF!</definedName>
    <definedName name="Diligences" localSheetId="5">'A410 Revue FNP'!#REF!</definedName>
    <definedName name="Diligences" localSheetId="6">'A420 Revue AAR'!#REF!</definedName>
    <definedName name="Diligences" localSheetId="7">'A430 Revue RFA'!#REF!</definedName>
    <definedName name="Diligences" localSheetId="8">'A440 Revue CCA'!#REF!</definedName>
    <definedName name="Diligences" localSheetId="9">'A450 Test cut off achats'!#REF!</definedName>
    <definedName name="Diligences" localSheetId="10">'A500 Circularisations'!#REF!</definedName>
    <definedName name="Diligences" localSheetId="11">'A600 Revue AACE'!#REF!</definedName>
    <definedName name="Diligences" localSheetId="12">'A700 Revue EAP'!#REF!</definedName>
    <definedName name="Diligences" localSheetId="13">'A800 Frs en devise'!#REF!</definedName>
    <definedName name="Diligences">#REF!</definedName>
    <definedName name="Etat" localSheetId="1">'A100 Rappro BA-BG'!#REF!</definedName>
    <definedName name="Etat" localSheetId="2">'A110 Revue frs débiteurs'!#REF!</definedName>
    <definedName name="Etat" localSheetId="3">'A200 DPO Frs'!#REF!</definedName>
    <definedName name="Etat" localSheetId="4">'A300 Réciprocité intragroupe'!#REF!</definedName>
    <definedName name="Etat" localSheetId="5">'A410 Revue FNP'!#REF!</definedName>
    <definedName name="Etat" localSheetId="6">'A420 Revue AAR'!#REF!</definedName>
    <definedName name="Etat" localSheetId="7">'A430 Revue RFA'!#REF!</definedName>
    <definedName name="Etat" localSheetId="8">'A440 Revue CCA'!#REF!</definedName>
    <definedName name="Etat" localSheetId="9">'A450 Test cut off achats'!#REF!</definedName>
    <definedName name="Etat" localSheetId="10">'A500 Circularisations'!#REF!</definedName>
    <definedName name="Etat" localSheetId="11">'A600 Revue AACE'!#REF!</definedName>
    <definedName name="Etat" localSheetId="12">'A700 Revue EAP'!#REF!</definedName>
    <definedName name="Etat" localSheetId="13">'A800 Frs en devise'!#REF!</definedName>
    <definedName name="Etat">#REF!</definedName>
    <definedName name="NomDossier">"$#REF !.$E$1"</definedName>
    <definedName name="RAS" localSheetId="1">'A100 Rappro BA-BG'!#REF!</definedName>
    <definedName name="RAS" localSheetId="2">'A110 Revue frs débiteurs'!#REF!</definedName>
    <definedName name="RAS" localSheetId="3">'A200 DPO Frs'!#REF!</definedName>
    <definedName name="RAS" localSheetId="4">'A300 Réciprocité intragroupe'!#REF!</definedName>
    <definedName name="RAS" localSheetId="5">'A410 Revue FNP'!#REF!</definedName>
    <definedName name="RAS" localSheetId="6">'A420 Revue AAR'!#REF!</definedName>
    <definedName name="RAS" localSheetId="7">'A430 Revue RFA'!#REF!</definedName>
    <definedName name="RAS" localSheetId="8">'A440 Revue CCA'!#REF!</definedName>
    <definedName name="RAS" localSheetId="9">'A450 Test cut off achats'!#REF!</definedName>
    <definedName name="RAS" localSheetId="10">'A500 Circularisations'!#REF!</definedName>
    <definedName name="RAS" localSheetId="11">'A600 Revue AACE'!#REF!</definedName>
    <definedName name="RAS" localSheetId="12">'A700 Revue EAP'!#REF!</definedName>
    <definedName name="RAS" localSheetId="13">'A800 Frs en devise'!#REF!</definedName>
    <definedName name="RAS">#REF!</definedName>
    <definedName name="referenceDossier" localSheetId="1">#REF!</definedName>
    <definedName name="referenceDossier" localSheetId="2">#REF!</definedName>
    <definedName name="referenceDossier" localSheetId="3">#REF!</definedName>
    <definedName name="referenceDossier" localSheetId="4">#REF!</definedName>
    <definedName name="referenceDossier" localSheetId="5">#REF!</definedName>
    <definedName name="referenceDossier" localSheetId="6">#REF!</definedName>
    <definedName name="referenceDossier" localSheetId="7">#REF!</definedName>
    <definedName name="referenceDossier" localSheetId="8">#REF!</definedName>
    <definedName name="referenceDossier" localSheetId="9">#REF!</definedName>
    <definedName name="referenceDossier" localSheetId="10">#REF!</definedName>
    <definedName name="referenceDossier" localSheetId="11">#REF!</definedName>
    <definedName name="referenceDossier" localSheetId="12">#REF!</definedName>
    <definedName name="referenceDossier" localSheetId="13">#REF!</definedName>
    <definedName name="referenceDossier">#REF!</definedName>
    <definedName name="sold6037">"$#REF !.$A$85:$I$85"</definedName>
    <definedName name="sold607">"$#REF !.$A$84:$I$84"</definedName>
    <definedName name="sold701">"$#REF !.$A$73:$I$73"</definedName>
    <definedName name="sold706">"$#REF !.$A$74:$I$74"</definedName>
    <definedName name="sold707">"$#REF !.$A$72:$I$72"</definedName>
    <definedName name="sold71">"$#REF !.$A$75:$I$75"</definedName>
    <definedName name="sold781">"$#REF !.$A$151:$I$151"</definedName>
    <definedName name="sold791">"$#REF !.$A$82:$I$82"</definedName>
    <definedName name="soldesCapitaux">"$#REF !.$A$55:$J$66"</definedName>
    <definedName name="start_toc" localSheetId="1">#REF!</definedName>
    <definedName name="start_toc" localSheetId="2">#REF!</definedName>
    <definedName name="start_toc" localSheetId="3">#REF!</definedName>
    <definedName name="start_toc" localSheetId="4">#REF!</definedName>
    <definedName name="start_toc" localSheetId="5">#REF!</definedName>
    <definedName name="start_toc" localSheetId="6">#REF!</definedName>
    <definedName name="start_toc" localSheetId="7">#REF!</definedName>
    <definedName name="start_toc" localSheetId="8">#REF!</definedName>
    <definedName name="start_toc" localSheetId="9">#REF!</definedName>
    <definedName name="start_toc" localSheetId="10">#REF!</definedName>
    <definedName name="start_toc" localSheetId="11">#REF!</definedName>
    <definedName name="start_toc" localSheetId="12">#REF!</definedName>
    <definedName name="start_toc" localSheetId="13">#REF!</definedName>
    <definedName name="start_toc">#REF!</definedName>
    <definedName name="TOTAL1_N">'[1]BILAN PASSIF'!$F$24</definedName>
    <definedName name="TOTAL1_N_1">'[1]BILAN PASSIF'!$H$24</definedName>
    <definedName name="TOTAL2_N">'[1]BILAN PASSIF'!$F$29</definedName>
    <definedName name="TOTAL2_N_1">'[1]BILAN PASSIF'!$H$29</definedName>
    <definedName name="TOTAL3_N">'[1]BILAN PASSIF'!$F$34</definedName>
    <definedName name="TOTAL3_N_1">'[1]BILAN PASSIF'!$H$34</definedName>
    <definedName name="TOTAL4_N">'[1]BILAN PASSIF'!$F$54</definedName>
    <definedName name="TOTAL4_N_1">'[1]BILAN PASSIF'!$H$54</definedName>
    <definedName name="TOTAL5_N">'[1]BILAN PASSIF'!$F$56</definedName>
    <definedName name="TOTAL5_N_1">'[1]BILAN PASSIF'!$H$56</definedName>
    <definedName name="TOTALGEN_N">'[1]BILAN PASSIF'!$F$58</definedName>
    <definedName name="TOTALGEN_N_1">'[1]BILAN PASSIF'!$H$58</definedName>
    <definedName name="uniteMonetaire" localSheetId="1">#REF!</definedName>
    <definedName name="uniteMonetaire" localSheetId="2">#REF!</definedName>
    <definedName name="uniteMonetaire" localSheetId="3">#REF!</definedName>
    <definedName name="uniteMonetaire" localSheetId="4">#REF!</definedName>
    <definedName name="uniteMonetaire" localSheetId="5">#REF!</definedName>
    <definedName name="uniteMonetaire" localSheetId="6">#REF!</definedName>
    <definedName name="uniteMonetaire" localSheetId="7">#REF!</definedName>
    <definedName name="uniteMonetaire" localSheetId="8">#REF!</definedName>
    <definedName name="uniteMonetaire" localSheetId="9">#REF!</definedName>
    <definedName name="uniteMonetaire" localSheetId="10">#REF!</definedName>
    <definedName name="uniteMonetaire" localSheetId="11">#REF!</definedName>
    <definedName name="uniteMonetaire" localSheetId="12">#REF!</definedName>
    <definedName name="uniteMonetaire" localSheetId="13">#REF!</definedName>
    <definedName name="uniteMonetaire">#REF!</definedName>
    <definedName name="Z_11CE3843_8765_4D4C_AA39_79A83C002DF6_.wvu.PrintArea" localSheetId="0" hidden="1">'A Synthèse'!$A$1:$O$22</definedName>
    <definedName name="Z_11CE3843_8765_4D4C_AA39_79A83C002DF6_.wvu.PrintArea" localSheetId="1" hidden="1">'A100 Rappro BA-BG'!$A$1:$P$10</definedName>
    <definedName name="Z_11CE3843_8765_4D4C_AA39_79A83C002DF6_.wvu.PrintArea" localSheetId="2" hidden="1">'A110 Revue frs débiteurs'!$A$1:$P$10</definedName>
    <definedName name="Z_11CE3843_8765_4D4C_AA39_79A83C002DF6_.wvu.PrintArea" localSheetId="3" hidden="1">'A200 DPO Frs'!$A$1:$P$10</definedName>
    <definedName name="Z_11CE3843_8765_4D4C_AA39_79A83C002DF6_.wvu.PrintArea" localSheetId="4" hidden="1">'A300 Réciprocité intragroupe'!$A$1:$P$10</definedName>
    <definedName name="Z_11CE3843_8765_4D4C_AA39_79A83C002DF6_.wvu.PrintArea" localSheetId="5" hidden="1">'A410 Revue FNP'!$A$1:$P$10</definedName>
    <definedName name="Z_11CE3843_8765_4D4C_AA39_79A83C002DF6_.wvu.PrintArea" localSheetId="6" hidden="1">'A420 Revue AAR'!$A$1:$P$10</definedName>
    <definedName name="Z_11CE3843_8765_4D4C_AA39_79A83C002DF6_.wvu.PrintArea" localSheetId="7" hidden="1">'A430 Revue RFA'!$A$1:$P$10</definedName>
    <definedName name="Z_11CE3843_8765_4D4C_AA39_79A83C002DF6_.wvu.PrintArea" localSheetId="8" hidden="1">'A440 Revue CCA'!$A$1:$P$10</definedName>
    <definedName name="Z_11CE3843_8765_4D4C_AA39_79A83C002DF6_.wvu.PrintArea" localSheetId="9" hidden="1">'A450 Test cut off achats'!$A$1:$P$10</definedName>
    <definedName name="Z_11CE3843_8765_4D4C_AA39_79A83C002DF6_.wvu.PrintArea" localSheetId="10" hidden="1">'A500 Circularisations'!$A$1:$P$10</definedName>
    <definedName name="Z_11CE3843_8765_4D4C_AA39_79A83C002DF6_.wvu.PrintArea" localSheetId="11" hidden="1">'A600 Revue AACE'!$A$1:$P$10</definedName>
    <definedName name="Z_11CE3843_8765_4D4C_AA39_79A83C002DF6_.wvu.PrintArea" localSheetId="12" hidden="1">'A700 Revue EAP'!$A$1:$P$10</definedName>
    <definedName name="Z_11CE3843_8765_4D4C_AA39_79A83C002DF6_.wvu.PrintArea" localSheetId="13" hidden="1">'A800 Frs en devise'!$A$1:$P$10</definedName>
    <definedName name="Z_3BBE5D10_E029_4BF5_BC04_29D3FAA5A0EB_.wvu.PrintArea" localSheetId="0" hidden="1">'A Synthèse'!$A$1:$O$22</definedName>
    <definedName name="Z_3BBE5D10_E029_4BF5_BC04_29D3FAA5A0EB_.wvu.PrintArea" localSheetId="1" hidden="1">'A100 Rappro BA-BG'!$A$1:$P$10</definedName>
    <definedName name="Z_3BBE5D10_E029_4BF5_BC04_29D3FAA5A0EB_.wvu.PrintArea" localSheetId="2" hidden="1">'A110 Revue frs débiteurs'!$A$1:$P$10</definedName>
    <definedName name="Z_3BBE5D10_E029_4BF5_BC04_29D3FAA5A0EB_.wvu.PrintArea" localSheetId="3" hidden="1">'A200 DPO Frs'!$A$1:$P$10</definedName>
    <definedName name="Z_3BBE5D10_E029_4BF5_BC04_29D3FAA5A0EB_.wvu.PrintArea" localSheetId="4" hidden="1">'A300 Réciprocité intragroupe'!$A$1:$P$10</definedName>
    <definedName name="Z_3BBE5D10_E029_4BF5_BC04_29D3FAA5A0EB_.wvu.PrintArea" localSheetId="5" hidden="1">'A410 Revue FNP'!$A$1:$P$10</definedName>
    <definedName name="Z_3BBE5D10_E029_4BF5_BC04_29D3FAA5A0EB_.wvu.PrintArea" localSheetId="6" hidden="1">'A420 Revue AAR'!$A$1:$P$10</definedName>
    <definedName name="Z_3BBE5D10_E029_4BF5_BC04_29D3FAA5A0EB_.wvu.PrintArea" localSheetId="7" hidden="1">'A430 Revue RFA'!$A$1:$P$10</definedName>
    <definedName name="Z_3BBE5D10_E029_4BF5_BC04_29D3FAA5A0EB_.wvu.PrintArea" localSheetId="8" hidden="1">'A440 Revue CCA'!$A$1:$P$10</definedName>
    <definedName name="Z_3BBE5D10_E029_4BF5_BC04_29D3FAA5A0EB_.wvu.PrintArea" localSheetId="9" hidden="1">'A450 Test cut off achats'!$A$1:$P$10</definedName>
    <definedName name="Z_3BBE5D10_E029_4BF5_BC04_29D3FAA5A0EB_.wvu.PrintArea" localSheetId="10" hidden="1">'A500 Circularisations'!$A$1:$P$10</definedName>
    <definedName name="Z_3BBE5D10_E029_4BF5_BC04_29D3FAA5A0EB_.wvu.PrintArea" localSheetId="11" hidden="1">'A600 Revue AACE'!$A$1:$P$10</definedName>
    <definedName name="Z_3BBE5D10_E029_4BF5_BC04_29D3FAA5A0EB_.wvu.PrintArea" localSheetId="12" hidden="1">'A700 Revue EAP'!$A$1:$P$10</definedName>
    <definedName name="Z_3BBE5D10_E029_4BF5_BC04_29D3FAA5A0EB_.wvu.PrintArea" localSheetId="13" hidden="1">'A800 Frs en devise'!$A$1:$P$10</definedName>
    <definedName name="_xlnm.Print_Area" localSheetId="0">'A Synthèse'!$A$1:$O$34</definedName>
    <definedName name="_xlnm.Print_Area" localSheetId="1">'A100 Rappro BA-BG'!$A$1:$P$27</definedName>
    <definedName name="_xlnm.Print_Area" localSheetId="2">'A110 Revue frs débiteurs'!$A$1:$P$14</definedName>
    <definedName name="_xlnm.Print_Area" localSheetId="3">'A200 DPO Frs'!$A$1:$P$14</definedName>
    <definedName name="_xlnm.Print_Area" localSheetId="4">'A300 Réciprocité intragroupe'!$A$1:$P$14</definedName>
    <definedName name="_xlnm.Print_Area" localSheetId="6">'A420 Revue AAR'!$A$1:$P$14</definedName>
    <definedName name="_xlnm.Print_Area" localSheetId="7">'A430 Revue RFA'!$A$1:$P$14</definedName>
    <definedName name="_xlnm.Print_Area" localSheetId="8">'A440 Revue CCA'!$A$1:$P$14</definedName>
    <definedName name="_xlnm.Print_Area" localSheetId="9">'A450 Test cut off achats'!$A$1:$P$54</definedName>
    <definedName name="_xlnm.Print_Area" localSheetId="10">'A500 Circularisations'!$A$1:$P$14</definedName>
    <definedName name="_xlnm.Print_Area" localSheetId="11">'A600 Revue AACE'!$A$1:$P$14</definedName>
    <definedName name="_xlnm.Print_Area" localSheetId="12">'A700 Revue EAP'!$A$1:$P$14</definedName>
    <definedName name="_xlnm.Print_Area" localSheetId="13">'A800 Frs en devise'!$A$1:$P$14</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16" l="1"/>
  <c r="O9" i="20"/>
  <c r="O9" i="34"/>
  <c r="O9" i="31"/>
  <c r="O9" i="30"/>
  <c r="O9" i="27"/>
  <c r="O9" i="26"/>
  <c r="O9" i="33"/>
  <c r="O9" i="25"/>
  <c r="O9" i="24"/>
  <c r="O9" i="15"/>
  <c r="O9" i="14"/>
  <c r="O9" i="38"/>
  <c r="I50" i="30" l="1"/>
  <c r="I51" i="30"/>
  <c r="I52" i="30"/>
  <c r="I53" i="30"/>
  <c r="I54" i="30"/>
  <c r="I55" i="30"/>
  <c r="I56" i="30"/>
  <c r="I57" i="30"/>
  <c r="I49" i="30"/>
  <c r="D39" i="30"/>
  <c r="D27" i="24"/>
  <c r="F36" i="15"/>
  <c r="E24" i="38"/>
  <c r="E26" i="38" s="1"/>
  <c r="D24" i="38"/>
  <c r="D26" i="38" s="1"/>
  <c r="F24" i="38" l="1"/>
  <c r="D44" i="34"/>
  <c r="E51" i="27"/>
  <c r="E53" i="27" s="1"/>
  <c r="F36" i="24"/>
  <c r="F38" i="24"/>
  <c r="E43" i="15"/>
  <c r="E42" i="15"/>
  <c r="E41" i="15"/>
  <c r="F18" i="38"/>
  <c r="F26" i="38" s="1"/>
  <c r="F41" i="20"/>
  <c r="G41" i="20" s="1"/>
  <c r="F40" i="20"/>
  <c r="G40" i="20" s="1"/>
  <c r="F42" i="20"/>
  <c r="H42" i="20" s="1"/>
  <c r="F43" i="20"/>
  <c r="G43" i="20" s="1"/>
  <c r="F44" i="20"/>
  <c r="F45" i="20"/>
  <c r="H45" i="20" s="1"/>
  <c r="F46" i="20"/>
  <c r="G46" i="20" s="1"/>
  <c r="F47" i="20"/>
  <c r="F48" i="20"/>
  <c r="F49" i="20"/>
  <c r="H49" i="20" s="1"/>
  <c r="F50" i="20"/>
  <c r="G50" i="20" s="1"/>
  <c r="F51" i="20"/>
  <c r="G51" i="20" s="1"/>
  <c r="F52" i="20"/>
  <c r="F53" i="20"/>
  <c r="H53" i="20" s="1"/>
  <c r="F54" i="20"/>
  <c r="G54" i="20" s="1"/>
  <c r="F55" i="20"/>
  <c r="E31" i="27"/>
  <c r="E33" i="27"/>
  <c r="F36" i="26"/>
  <c r="F38" i="26" s="1"/>
  <c r="G37" i="33"/>
  <c r="H37" i="33" s="1"/>
  <c r="E35" i="33"/>
  <c r="E39" i="33" s="1"/>
  <c r="G30" i="33"/>
  <c r="H30" i="33" s="1"/>
  <c r="G31" i="33"/>
  <c r="F35" i="33"/>
  <c r="F39" i="33" s="1"/>
  <c r="E59" i="33"/>
  <c r="E49" i="33"/>
  <c r="E50" i="33"/>
  <c r="G50" i="33" s="1"/>
  <c r="F33" i="14"/>
  <c r="I23" i="20"/>
  <c r="J23" i="20" s="1"/>
  <c r="D23" i="34"/>
  <c r="D1" i="31"/>
  <c r="D1" i="30"/>
  <c r="D1" i="27"/>
  <c r="D1" i="26"/>
  <c r="D1" i="33"/>
  <c r="D1" i="25"/>
  <c r="D1" i="24"/>
  <c r="D1" i="20"/>
  <c r="D1" i="16"/>
  <c r="D1" i="15"/>
  <c r="D1" i="34"/>
  <c r="D1" i="14"/>
  <c r="M7" i="14"/>
  <c r="M7" i="34"/>
  <c r="M7" i="15"/>
  <c r="M7" i="16"/>
  <c r="M7" i="20"/>
  <c r="M7" i="24"/>
  <c r="M7" i="25"/>
  <c r="M7" i="33"/>
  <c r="M7" i="26"/>
  <c r="M7" i="27"/>
  <c r="M7" i="30"/>
  <c r="M7" i="31"/>
  <c r="M7" i="38"/>
  <c r="D7" i="14"/>
  <c r="B7" i="14"/>
  <c r="D6" i="14"/>
  <c r="B6" i="14"/>
  <c r="D7" i="34"/>
  <c r="B7" i="34"/>
  <c r="D6" i="34"/>
  <c r="B6" i="34"/>
  <c r="D7" i="15"/>
  <c r="B7" i="15"/>
  <c r="D6" i="15"/>
  <c r="B6" i="15"/>
  <c r="D7" i="16"/>
  <c r="B7" i="16"/>
  <c r="D6" i="16"/>
  <c r="B6" i="16"/>
  <c r="D7" i="20"/>
  <c r="B7" i="20"/>
  <c r="D6" i="20"/>
  <c r="B6" i="20"/>
  <c r="D7" i="24"/>
  <c r="B7" i="24"/>
  <c r="D6" i="24"/>
  <c r="B6" i="24"/>
  <c r="D7" i="25"/>
  <c r="B7" i="25"/>
  <c r="D6" i="25"/>
  <c r="B6" i="25"/>
  <c r="D7" i="33"/>
  <c r="B7" i="33"/>
  <c r="D6" i="33"/>
  <c r="B6" i="33"/>
  <c r="D7" i="26"/>
  <c r="B7" i="26"/>
  <c r="D6" i="26"/>
  <c r="B6" i="26"/>
  <c r="D7" i="27"/>
  <c r="B7" i="27"/>
  <c r="D6" i="27"/>
  <c r="B6" i="27"/>
  <c r="D7" i="30"/>
  <c r="B7" i="30"/>
  <c r="D6" i="30"/>
  <c r="B6" i="30"/>
  <c r="D7" i="31"/>
  <c r="B7" i="31"/>
  <c r="D6" i="31"/>
  <c r="B6" i="31"/>
  <c r="D7" i="38"/>
  <c r="B7" i="38"/>
  <c r="D6" i="38"/>
  <c r="B6" i="38"/>
  <c r="D1" i="38"/>
  <c r="K27" i="30"/>
  <c r="M27" i="30" s="1"/>
  <c r="F35" i="30"/>
  <c r="H35" i="30" s="1"/>
  <c r="F34" i="30"/>
  <c r="H34" i="30" s="1"/>
  <c r="F33" i="30"/>
  <c r="H33" i="30" s="1"/>
  <c r="F32" i="30"/>
  <c r="H32" i="30" s="1"/>
  <c r="F31" i="30"/>
  <c r="H31" i="30" s="1"/>
  <c r="F30" i="30"/>
  <c r="H30" i="30" s="1"/>
  <c r="F29" i="30"/>
  <c r="H29" i="30" s="1"/>
  <c r="F28" i="30"/>
  <c r="H28" i="30" s="1"/>
  <c r="F27" i="30"/>
  <c r="H27" i="30" s="1"/>
  <c r="D37" i="30"/>
  <c r="D41" i="30" s="1"/>
  <c r="E27" i="24"/>
  <c r="J9" i="14"/>
  <c r="D9" i="14"/>
  <c r="J9" i="34"/>
  <c r="D9" i="34"/>
  <c r="J9" i="15"/>
  <c r="D9" i="15"/>
  <c r="J9" i="16"/>
  <c r="D9" i="16"/>
  <c r="J9" i="20"/>
  <c r="D9" i="20"/>
  <c r="J9" i="24"/>
  <c r="D9" i="24"/>
  <c r="J9" i="25"/>
  <c r="D9" i="25"/>
  <c r="J9" i="33"/>
  <c r="D9" i="33"/>
  <c r="J9" i="26"/>
  <c r="D9" i="26"/>
  <c r="J9" i="27"/>
  <c r="D9" i="27"/>
  <c r="J9" i="30"/>
  <c r="D9" i="30"/>
  <c r="J9" i="31"/>
  <c r="D9" i="31"/>
  <c r="J9" i="38"/>
  <c r="D9" i="38"/>
  <c r="E27" i="26"/>
  <c r="D27" i="26"/>
  <c r="F26" i="26"/>
  <c r="G26" i="26" s="1"/>
  <c r="F25" i="26"/>
  <c r="G25" i="26" s="1"/>
  <c r="F24" i="26"/>
  <c r="G24" i="26" s="1"/>
  <c r="F23" i="26"/>
  <c r="G23" i="26" s="1"/>
  <c r="F22" i="26"/>
  <c r="G22" i="26"/>
  <c r="F21" i="26"/>
  <c r="G21" i="26" s="1"/>
  <c r="F20" i="26"/>
  <c r="G20" i="26"/>
  <c r="E24" i="25"/>
  <c r="D24" i="25"/>
  <c r="F23" i="25"/>
  <c r="G23" i="25" s="1"/>
  <c r="F22" i="25"/>
  <c r="G22" i="25" s="1"/>
  <c r="F21" i="25"/>
  <c r="G21" i="25" s="1"/>
  <c r="F20" i="25"/>
  <c r="G20" i="25" s="1"/>
  <c r="F21" i="24"/>
  <c r="G21" i="24" s="1"/>
  <c r="F22" i="24"/>
  <c r="G22" i="24" s="1"/>
  <c r="F23" i="24"/>
  <c r="G23" i="24"/>
  <c r="F24" i="24"/>
  <c r="G24" i="24" s="1"/>
  <c r="F25" i="24"/>
  <c r="G25" i="24"/>
  <c r="F26" i="24"/>
  <c r="G26" i="24" s="1"/>
  <c r="F20" i="24"/>
  <c r="G34" i="33"/>
  <c r="H34" i="33" s="1"/>
  <c r="G33" i="33"/>
  <c r="H33" i="33" s="1"/>
  <c r="G32" i="33"/>
  <c r="H32" i="33" s="1"/>
  <c r="I37" i="30"/>
  <c r="I41" i="30" s="1"/>
  <c r="G20" i="24"/>
  <c r="H31" i="33"/>
  <c r="H45" i="25"/>
  <c r="H44" i="25"/>
  <c r="H43" i="25"/>
  <c r="H42" i="25"/>
  <c r="D48" i="34"/>
  <c r="F18" i="14"/>
  <c r="E18" i="14"/>
  <c r="G31" i="14" s="1"/>
  <c r="G33" i="14"/>
  <c r="E62" i="33"/>
  <c r="E61" i="33"/>
  <c r="E60" i="33"/>
  <c r="E52" i="33"/>
  <c r="G52" i="33" s="1"/>
  <c r="E51" i="33"/>
  <c r="G51" i="33"/>
  <c r="E33" i="25"/>
  <c r="E35" i="25" s="1"/>
  <c r="L19" i="16"/>
  <c r="D42" i="15"/>
  <c r="D43" i="15"/>
  <c r="D41" i="15"/>
  <c r="K35" i="30"/>
  <c r="M35" i="30" s="1"/>
  <c r="K34" i="30"/>
  <c r="M34" i="30"/>
  <c r="K33" i="30"/>
  <c r="M33" i="30" s="1"/>
  <c r="K32" i="30"/>
  <c r="M32" i="30" s="1"/>
  <c r="K31" i="30"/>
  <c r="M31" i="30" s="1"/>
  <c r="K30" i="30"/>
  <c r="M30" i="30" s="1"/>
  <c r="K29" i="30"/>
  <c r="M29" i="30" s="1"/>
  <c r="K28" i="30"/>
  <c r="M28" i="30" s="1"/>
  <c r="G49" i="33"/>
  <c r="H55" i="20"/>
  <c r="H52" i="20"/>
  <c r="G48" i="20"/>
  <c r="H47" i="20"/>
  <c r="H44" i="20"/>
  <c r="I32" i="20"/>
  <c r="J32" i="20" s="1"/>
  <c r="I31" i="20"/>
  <c r="J31" i="20" s="1"/>
  <c r="I30" i="20"/>
  <c r="J30" i="20" s="1"/>
  <c r="I29" i="20"/>
  <c r="J29" i="20" s="1"/>
  <c r="I28" i="20"/>
  <c r="J28" i="20" s="1"/>
  <c r="I27" i="20"/>
  <c r="J27" i="20" s="1"/>
  <c r="I26" i="20"/>
  <c r="J26" i="20" s="1"/>
  <c r="I25" i="20"/>
  <c r="J25" i="20" s="1"/>
  <c r="I24" i="20"/>
  <c r="J24" i="20" s="1"/>
  <c r="L22" i="16"/>
  <c r="L21" i="16"/>
  <c r="L20" i="16"/>
  <c r="G53" i="20"/>
  <c r="G45" i="20"/>
  <c r="G44" i="20"/>
  <c r="G52" i="20"/>
  <c r="H40" i="20"/>
  <c r="G47" i="20"/>
  <c r="H48" i="20"/>
  <c r="G55" i="20"/>
  <c r="F45" i="15"/>
  <c r="F44" i="15"/>
  <c r="F39" i="15"/>
  <c r="E39" i="15"/>
  <c r="E36" i="15"/>
  <c r="F28" i="15"/>
  <c r="E28" i="15"/>
  <c r="F23" i="15"/>
  <c r="J41" i="15" s="1"/>
  <c r="J42" i="15" s="1"/>
  <c r="J43" i="15" s="1"/>
  <c r="F41" i="15"/>
  <c r="E23" i="15"/>
  <c r="E25" i="15" s="1"/>
  <c r="F42" i="15"/>
  <c r="F43" i="15"/>
  <c r="G25" i="14"/>
  <c r="G32" i="14"/>
  <c r="G27" i="14"/>
  <c r="G30" i="14"/>
  <c r="G29" i="14"/>
  <c r="I41" i="15" l="1"/>
  <c r="I42" i="15" s="1"/>
  <c r="I43" i="15" s="1"/>
  <c r="I46" i="25"/>
  <c r="I48" i="25" s="1"/>
  <c r="G35" i="33"/>
  <c r="H35" i="33" s="1"/>
  <c r="G42" i="20"/>
  <c r="H51" i="20"/>
  <c r="H41" i="20"/>
  <c r="F27" i="24"/>
  <c r="G27" i="24" s="1"/>
  <c r="F27" i="26"/>
  <c r="G27" i="26" s="1"/>
  <c r="G39" i="33"/>
  <c r="H43" i="20"/>
  <c r="G28" i="14"/>
  <c r="G23" i="14"/>
  <c r="G24" i="14"/>
  <c r="F48" i="15"/>
  <c r="F49" i="15" s="1"/>
  <c r="H54" i="20"/>
  <c r="G49" i="20"/>
  <c r="F24" i="25"/>
  <c r="G24" i="25" s="1"/>
  <c r="H50" i="20"/>
  <c r="G26" i="14"/>
  <c r="H46" i="20"/>
  <c r="E48" i="15"/>
  <c r="G48" i="15" l="1"/>
  <c r="J49" i="15" s="1"/>
  <c r="E49" i="15"/>
  <c r="G49" i="15" s="1"/>
  <c r="J48" i="15" s="1"/>
  <c r="J50" i="15" s="1"/>
</calcChain>
</file>

<file path=xl/sharedStrings.xml><?xml version="1.0" encoding="utf-8"?>
<sst xmlns="http://schemas.openxmlformats.org/spreadsheetml/2006/main" count="556" uniqueCount="265">
  <si>
    <t>#NomClient</t>
  </si>
  <si>
    <t>OUI</t>
  </si>
  <si>
    <t>NON</t>
  </si>
  <si>
    <t>FOURNISSEURS - ACHATS</t>
  </si>
  <si>
    <t>Faible</t>
  </si>
  <si>
    <t>Modéré</t>
  </si>
  <si>
    <t>Fait par :</t>
  </si>
  <si>
    <t>Revu par :</t>
  </si>
  <si>
    <t>Synthèse du cycle</t>
  </si>
  <si>
    <t>Date Clôture</t>
  </si>
  <si>
    <t>XRef</t>
  </si>
  <si>
    <t>Elevé</t>
  </si>
  <si>
    <t>Le :</t>
  </si>
  <si>
    <t>#DateClôture</t>
  </si>
  <si>
    <t>A</t>
  </si>
  <si>
    <t>PB</t>
  </si>
  <si>
    <t>PE</t>
  </si>
  <si>
    <t>Risque d'anomalies significatives</t>
  </si>
  <si>
    <t>Seuil d'investigation</t>
  </si>
  <si>
    <t>Niveau de diligences</t>
  </si>
  <si>
    <t>PE + VP</t>
  </si>
  <si>
    <t>Xref</t>
  </si>
  <si>
    <t>Contrôles</t>
  </si>
  <si>
    <t>Diligence à tester</t>
  </si>
  <si>
    <t>Liens</t>
  </si>
  <si>
    <t>A100</t>
  </si>
  <si>
    <t>Rapprochement BA-BG</t>
  </si>
  <si>
    <t>A100 Rappro BA-BG</t>
  </si>
  <si>
    <t>A110</t>
  </si>
  <si>
    <t>Revue des fournisseurs débiteurs</t>
  </si>
  <si>
    <t>A110 Revue frs débiteurs</t>
  </si>
  <si>
    <t>A200</t>
  </si>
  <si>
    <t>DPO Fournissseurs</t>
  </si>
  <si>
    <t>A200 DPO Frs</t>
  </si>
  <si>
    <t>A300</t>
  </si>
  <si>
    <t>Réciprocité intragroupe</t>
  </si>
  <si>
    <t>A300 Réciprocité intragroupe</t>
  </si>
  <si>
    <t>A410</t>
  </si>
  <si>
    <t>Revue des FNP</t>
  </si>
  <si>
    <t>A410 Revue FNP</t>
  </si>
  <si>
    <t>A420</t>
  </si>
  <si>
    <t>Revue des AAR</t>
  </si>
  <si>
    <t>A420 Revue AAR</t>
  </si>
  <si>
    <t>A430</t>
  </si>
  <si>
    <t>Revue des RFA</t>
  </si>
  <si>
    <t>A430 Revue RFA</t>
  </si>
  <si>
    <t>A440</t>
  </si>
  <si>
    <t>Revue des CCA</t>
  </si>
  <si>
    <t>A440 Revue CCA</t>
  </si>
  <si>
    <t>A450</t>
  </si>
  <si>
    <t>Test de cut-off achats</t>
  </si>
  <si>
    <t>A450 Test cut off achats</t>
  </si>
  <si>
    <t>A500</t>
  </si>
  <si>
    <t>Circularisations</t>
  </si>
  <si>
    <t>A500 Circularisations</t>
  </si>
  <si>
    <t>A600</t>
  </si>
  <si>
    <t>Revue AACE</t>
  </si>
  <si>
    <t>A600 Revue AACE</t>
  </si>
  <si>
    <t>A700</t>
  </si>
  <si>
    <t>Revue EAP</t>
  </si>
  <si>
    <t>A700 Revue EAP</t>
  </si>
  <si>
    <t>A800</t>
  </si>
  <si>
    <t>Fournisseurs en devise</t>
  </si>
  <si>
    <t>A800 Frs en devise</t>
  </si>
  <si>
    <t>Revue analytique</t>
  </si>
  <si>
    <t>CONCLUSION</t>
  </si>
  <si>
    <t>A Synthèse</t>
  </si>
  <si>
    <t>Commentaire</t>
  </si>
  <si>
    <r>
      <t>Objectif :</t>
    </r>
    <r>
      <rPr>
        <b/>
        <sz val="11"/>
        <rFont val="Calibri"/>
        <family val="2"/>
        <scheme val="minor"/>
      </rPr>
      <t xml:space="preserve"> </t>
    </r>
    <r>
      <rPr>
        <sz val="11"/>
        <rFont val="Calibri"/>
        <family val="2"/>
        <scheme val="minor"/>
      </rPr>
      <t xml:space="preserve">Contrôle de l'exhaustivité des dettes fournisseurs
Contrôle de la correcte présentation des comptes entre clients débiteurs et clients créditeurs.
</t>
    </r>
    <r>
      <rPr>
        <b/>
        <u/>
        <sz val="11"/>
        <rFont val="Calibri"/>
        <family val="2"/>
        <scheme val="minor"/>
      </rPr>
      <t>Travail effectué</t>
    </r>
    <r>
      <rPr>
        <sz val="11"/>
        <rFont val="Calibri"/>
        <family val="2"/>
        <scheme val="minor"/>
      </rPr>
      <t xml:space="preserve">
Contrôle de la concordance entre la balance auxiliaire et la balance générale. 
S'assurer que les fournisseurs débiteurs sont bien identifiés et comptabilisés en fournisseurs débiteurs dans les comptes.</t>
    </r>
  </si>
  <si>
    <t>Conclusion sur le contrôle</t>
  </si>
  <si>
    <t>BALANCE AUXILIAIRE</t>
  </si>
  <si>
    <t>Solde débiteur</t>
  </si>
  <si>
    <t>Solde créditeur</t>
  </si>
  <si>
    <t>Solde Net</t>
  </si>
  <si>
    <t>401000 - Fournisseurs</t>
  </si>
  <si>
    <t>X-Ref</t>
  </si>
  <si>
    <t>BALANCE GENERALE</t>
  </si>
  <si>
    <t>401XX</t>
  </si>
  <si>
    <t>Total</t>
  </si>
  <si>
    <t>Ecart</t>
  </si>
  <si>
    <t>Revue fournisseurs débiteurs</t>
  </si>
  <si>
    <r>
      <t>Objectif</t>
    </r>
    <r>
      <rPr>
        <sz val="11"/>
        <rFont val="Calibri"/>
        <family val="2"/>
        <scheme val="minor"/>
      </rPr>
      <t xml:space="preserve">
Présentation des fournisseurs
</t>
    </r>
    <r>
      <rPr>
        <b/>
        <u/>
        <sz val="11"/>
        <rFont val="Calibri"/>
        <family val="2"/>
        <scheme val="minor"/>
      </rPr>
      <t>Travail effectué</t>
    </r>
    <r>
      <rPr>
        <sz val="11"/>
        <rFont val="Calibri"/>
        <family val="2"/>
        <scheme val="minor"/>
      </rPr>
      <t xml:space="preserve">
S’assurer qu’il n’existe pas de fournisseurs débiteurs significatifs compensés avec les fournisseurs créditeurs.
Le cas échéant proposer le reclassement. 
Comprendre pourquoi la société comptabilise des fournisseurs débiteurs et vérifier que ces soldes ne sont pas constitutifs d'une anomalie ou d'un litige.</t>
    </r>
  </si>
  <si>
    <t>Débiteurs</t>
  </si>
  <si>
    <t>Créditeurs</t>
  </si>
  <si>
    <t>Balance auxiliaire Frs</t>
  </si>
  <si>
    <t>Principaux fournisseurs débiteurs</t>
  </si>
  <si>
    <t>Solde</t>
  </si>
  <si>
    <t>% des débiteurs</t>
  </si>
  <si>
    <t>Analyse</t>
  </si>
  <si>
    <t>Total fournisseurs débiteurs testés</t>
  </si>
  <si>
    <t>DPO Fournisseurs</t>
  </si>
  <si>
    <r>
      <t>Objectif</t>
    </r>
    <r>
      <rPr>
        <sz val="11"/>
        <rFont val="Calibri"/>
        <family val="2"/>
        <scheme val="minor"/>
      </rPr>
      <t xml:space="preserve">
Analyse de l'évolution de l'encours frs
</t>
    </r>
    <r>
      <rPr>
        <b/>
        <u/>
        <sz val="11"/>
        <rFont val="Calibri"/>
        <family val="2"/>
        <scheme val="minor"/>
      </rPr>
      <t>Travail effectué</t>
    </r>
    <r>
      <rPr>
        <sz val="11"/>
        <rFont val="Calibri"/>
        <family val="2"/>
        <scheme val="minor"/>
      </rPr>
      <t xml:space="preserve">
A partir des derniers journaux d'achats de l'exercice et du solde frs à la clôture, calculer le délai de règlement des frs à la clôture de l'exercice. Pour rappel, la règle LME s'applique aux frs
externes français et étrangers et aux frs intragroupe. Il n'est donc pas nécessaire de procéder à un retraitement de ces dettes lors du calcul du délai. 
Revue analytique N / N-1
Comparaison avec les habitudes de paiement de la société (délai théorique)
Comparaison avec les obligations de la LME</t>
    </r>
  </si>
  <si>
    <t>Total fournisseurs</t>
  </si>
  <si>
    <t>N</t>
  </si>
  <si>
    <t>N-1</t>
  </si>
  <si>
    <t>Frs</t>
  </si>
  <si>
    <t>EAP (si inclus dans jal achats)</t>
  </si>
  <si>
    <t>TOTAL</t>
  </si>
  <si>
    <t>Variation</t>
  </si>
  <si>
    <t>Nombre</t>
  </si>
  <si>
    <t>de jours</t>
  </si>
  <si>
    <t>Journaux d'achats mensuels TTC</t>
  </si>
  <si>
    <t>M</t>
  </si>
  <si>
    <t>M-1</t>
  </si>
  <si>
    <t>M-2</t>
  </si>
  <si>
    <t>Nombre de jours</t>
  </si>
  <si>
    <t>RESTE N</t>
  </si>
  <si>
    <t>Var</t>
  </si>
  <si>
    <t>Délai FIFO</t>
  </si>
  <si>
    <t>Effet activité</t>
  </si>
  <si>
    <t>CA/JOUR</t>
  </si>
  <si>
    <t>Effet délai</t>
  </si>
  <si>
    <t>Total effets</t>
  </si>
  <si>
    <r>
      <t xml:space="preserve">Rappel de la LME : 
</t>
    </r>
    <r>
      <rPr>
        <sz val="11"/>
        <rFont val="Calibri"/>
        <family val="2"/>
        <scheme val="minor"/>
      </rPr>
      <t xml:space="preserve">Les délais de paiement entre professionnels sont réglementés : sans dispositions contraires figurant aux conditions de vente ou convenues entre les parties, le délai de règlement est fixé au 30e jour suivant la réception des marchandises ou l'exécution de la prestation. Mais s'il est précisé au contrat, le délai peut aller au-delà des 30 jours, sans dépasser 45 jours jours fin de mois (ou 60 jours à partir de la facturation). Des dérogations existent pour les produits périssables.
</t>
    </r>
    <r>
      <rPr>
        <i/>
        <sz val="11"/>
        <rFont val="Calibri"/>
        <family val="2"/>
        <scheme val="minor"/>
      </rPr>
      <t>Mise à jour le 17.09.2014 - Direction de l'information légale et administrative (Premier ministre)
http://vosdroits.service-public.fr/professionnels-entreprises/F23211.xhtml</t>
    </r>
  </si>
  <si>
    <r>
      <t>Objectif</t>
    </r>
    <r>
      <rPr>
        <sz val="11"/>
        <rFont val="Calibri"/>
        <family val="2"/>
        <scheme val="minor"/>
      </rPr>
      <t xml:space="preserve">
Contrôler l'exhaustivité des soldes frs interco
</t>
    </r>
    <r>
      <rPr>
        <b/>
        <u/>
        <sz val="11"/>
        <rFont val="Calibri"/>
        <family val="2"/>
        <scheme val="minor"/>
      </rPr>
      <t>Travail effectué</t>
    </r>
    <r>
      <rPr>
        <sz val="11"/>
        <rFont val="Calibri"/>
        <family val="2"/>
        <scheme val="minor"/>
      </rPr>
      <t xml:space="preserve">
A partir des soldes interco, contrôler la réciprocité des encours avec ceux de la balance frs de ces mêmes sociétés.</t>
    </r>
  </si>
  <si>
    <t>Solde chez X</t>
  </si>
  <si>
    <t>Solde chez intercos</t>
  </si>
  <si>
    <t xml:space="preserve">Ecart </t>
  </si>
  <si>
    <t>débit</t>
  </si>
  <si>
    <t>X-Ref BA</t>
  </si>
  <si>
    <t>crédit</t>
  </si>
  <si>
    <t xml:space="preserve">débit </t>
  </si>
  <si>
    <t>B</t>
  </si>
  <si>
    <t>C</t>
  </si>
  <si>
    <t>D</t>
  </si>
  <si>
    <t>Revue FNP</t>
  </si>
  <si>
    <r>
      <t>Objectif</t>
    </r>
    <r>
      <rPr>
        <sz val="11"/>
        <rFont val="Calibri"/>
        <family val="2"/>
        <scheme val="minor"/>
      </rPr>
      <t xml:space="preserve">
Exhaustivité et évaluation des FNP
</t>
    </r>
    <r>
      <rPr>
        <b/>
        <u/>
        <sz val="11"/>
        <rFont val="Calibri"/>
        <family val="2"/>
        <scheme val="minor"/>
      </rPr>
      <t>Travail effectué</t>
    </r>
    <r>
      <rPr>
        <sz val="11"/>
        <rFont val="Calibri"/>
        <family val="2"/>
        <scheme val="minor"/>
      </rPr>
      <t xml:space="preserve">
Obtenir les détails des comptes de FNP et les cadrer avec la balance générale et effectuer les contrôles arithmétiques nécessaires.
Procéder par revue analytique : identifier les principales FNP et identifier si ce sont des éléments récurrents notamment des frais généraux (à partir des détails N-1). Investiguer notamment en cas d'absence de FNP que l'on sait de nature récurrente. Selon l'approche d'audit retenue sur le dossier (en lien notamment avec l'assurance que l'on a sur le process Frs/Achats et les autres tests de détail menés sur les fournisseurs notamment le cut off), cette revue analytique peut être suffisante pour valider l'exhaustivité et l'exactitude des FNP.
Pour les FNP &gt; SI, obtenir les justificatifs : factures émises sur la période subséquente et si nécessaires bons de livraisons / réalisation des prestations… 
Croiser ce test avec les travaux réalisés sur le cut off et les circularisations frs notamment.</t>
    </r>
  </si>
  <si>
    <t>a) Revue analytique des FNP :</t>
  </si>
  <si>
    <t>Nature des FNP</t>
  </si>
  <si>
    <t>31/12/N</t>
  </si>
  <si>
    <t>31/12/N-1</t>
  </si>
  <si>
    <t>Var %</t>
  </si>
  <si>
    <t>Caractère récurrent</t>
  </si>
  <si>
    <t>Ref pièce</t>
  </si>
  <si>
    <t>b) Test de détail sur les FNP :</t>
  </si>
  <si>
    <t>Fournisseur</t>
  </si>
  <si>
    <t>N° facture</t>
  </si>
  <si>
    <t>Date facturation</t>
  </si>
  <si>
    <t xml:space="preserve">Montant HT </t>
  </si>
  <si>
    <t>Date de la prestation ou réception</t>
  </si>
  <si>
    <t>N° BL</t>
  </si>
  <si>
    <t>Observations</t>
  </si>
  <si>
    <t>Population testée</t>
  </si>
  <si>
    <t>Population totale</t>
  </si>
  <si>
    <t>% Testé</t>
  </si>
  <si>
    <t>Revue AAR</t>
  </si>
  <si>
    <r>
      <t>Objectif</t>
    </r>
    <r>
      <rPr>
        <sz val="11"/>
        <rFont val="Calibri"/>
        <family val="2"/>
        <scheme val="minor"/>
      </rPr>
      <t xml:space="preserve">
Réalité et évaluation des AAR
</t>
    </r>
    <r>
      <rPr>
        <b/>
        <u/>
        <sz val="11"/>
        <rFont val="Calibri"/>
        <family val="2"/>
        <scheme val="minor"/>
      </rPr>
      <t>Travail effectué</t>
    </r>
    <r>
      <rPr>
        <sz val="11"/>
        <rFont val="Calibri"/>
        <family val="2"/>
        <scheme val="minor"/>
      </rPr>
      <t xml:space="preserve">
Obtenir les détails des comptes de AAR et les cadrer avec la balance générale et effectuer les contrôles arithmétiques nécessaires.
Procéder par revue analytique : identifier les principaux AAR et identifier si ce sont des éléments récurrents (à partir des détails N-1), la nature des AAR (avoirs sur factures, RFA,...). Investiguer notamment en cas d'absence d'AAR que l'on sait de nature récurrente. Selon l'approche d'audit retenue sur le dossier (en lien notamment avec l'assurance que l'on a sur le process Frs/Achats et les autres tests de détail menés sur les frs notamment le cut off), cette revue analytique peut être suffisante pour  contrôler la réalité et l'exactitude des AAR.
Pour les AAR &gt; SI, obtenir les justificatifs : avoirs émis sur la période subséquente
A partir du journal d'achat de janvier N+1 sélection des avoirs HT &gt; à SI et contrôle de la nécessité de provisionner un AAR à la clôture.</t>
    </r>
  </si>
  <si>
    <t>a) Revue analytique des AAR :</t>
  </si>
  <si>
    <t>Principaux AAR</t>
  </si>
  <si>
    <t>b) Test de détail sur les AAR :</t>
  </si>
  <si>
    <t>c/ Tests sur les journaux d'achats post-clôture</t>
  </si>
  <si>
    <t>Ref avoir</t>
  </si>
  <si>
    <t>Fournisseurs</t>
  </si>
  <si>
    <t>Nature</t>
  </si>
  <si>
    <t>HT</t>
  </si>
  <si>
    <t>TVA</t>
  </si>
  <si>
    <t>TTC</t>
  </si>
  <si>
    <t>Nécessité d'une provision AAR</t>
  </si>
  <si>
    <t>Commentaires</t>
  </si>
  <si>
    <t xml:space="preserve">Total testé = </t>
  </si>
  <si>
    <t xml:space="preserve">Total des AAR = </t>
  </si>
  <si>
    <t xml:space="preserve">Scope de test = </t>
  </si>
  <si>
    <t>Revue RFA</t>
  </si>
  <si>
    <r>
      <t xml:space="preserve">Objectif
</t>
    </r>
    <r>
      <rPr>
        <sz val="11"/>
        <rFont val="Calibri"/>
        <family val="2"/>
        <scheme val="minor"/>
      </rPr>
      <t xml:space="preserve">Réalité et évaluation des RFA
</t>
    </r>
    <r>
      <rPr>
        <b/>
        <u/>
        <sz val="11"/>
        <rFont val="Calibri"/>
        <family val="2"/>
        <scheme val="minor"/>
      </rPr>
      <t xml:space="preserve">
Travail effectué
</t>
    </r>
    <r>
      <rPr>
        <sz val="11"/>
        <rFont val="Calibri"/>
        <family val="2"/>
        <scheme val="minor"/>
      </rPr>
      <t xml:space="preserve">1/ Après entretien avec la Direction et des travaux N-1, comprendre si la société perçoit ou non les RFA (remises de fin d'année). 
 ==&gt; Rappel de la politique de la société vis-à-vis des RFA perçues.
Si oui, s'assurer qu'elle comptabilise/provisionne bien ces RFA à la clôture de l'exercice audité. 
2/ Revue analytique des RFA N/N-1 et calcul du taux moyen de RFA sur les deux exercices.
3/ Si Revue analytique et taux de RFA moyen sur l'année non cohérents (2/), procéder à des test de détail sur les RFA. 
S'assurer que les taux utilisés sont conformes aux contrats (s'il y en a) ou autre élément de preuve (mails, entretien avec la Direction, …).
S'assurer en outre que la base de CA annuel utilisée pour calculer ces RFA est conforme au CA réalisé en stat commerciale. 
4/ Dans tous les cas, vérifier sur N l'apurement des RFA comptabilisées en N-1, permettant de contrôler la méthode.
</t>
    </r>
    <r>
      <rPr>
        <b/>
        <u/>
        <sz val="11"/>
        <rFont val="Calibri"/>
        <family val="2"/>
        <scheme val="minor"/>
      </rPr>
      <t xml:space="preserve">
</t>
    </r>
  </si>
  <si>
    <t>1/ Liste des fournisseurs concernés et termes des accords</t>
  </si>
  <si>
    <t xml:space="preserve">Termes du contrat </t>
  </si>
  <si>
    <t>2/ Revue analytique des RFA N/N-1 et calcul du taux moyen de RFA sur les deux exercices</t>
  </si>
  <si>
    <t xml:space="preserve">Var </t>
  </si>
  <si>
    <t>Total RFA HT annuelles</t>
  </si>
  <si>
    <t>Montant annuel du CA HT net</t>
  </si>
  <si>
    <t>Taux moyen annuel de RFA</t>
  </si>
  <si>
    <r>
      <rPr>
        <i/>
        <u/>
        <sz val="11"/>
        <rFont val="Calibri"/>
        <family val="2"/>
        <scheme val="minor"/>
      </rPr>
      <t xml:space="preserve">Revue analytique des RFA </t>
    </r>
    <r>
      <rPr>
        <i/>
        <sz val="11"/>
        <rFont val="Calibri"/>
        <family val="2"/>
        <scheme val="minor"/>
      </rPr>
      <t xml:space="preserve">
</t>
    </r>
  </si>
  <si>
    <t>3/ Test sur des RFA comptabilisées à la clôture de l'exercice (optionnel si Revue analytique et taux de RFA moyen sur l'année non cohérents)</t>
  </si>
  <si>
    <t>Base du CA issu 
stat commerciale N</t>
  </si>
  <si>
    <t>Taux RFA</t>
  </si>
  <si>
    <t>RFA à comptabiliser 
à la clôture</t>
  </si>
  <si>
    <t>RFA en compta 
à la clôture</t>
  </si>
  <si>
    <t>4/ Contrôle de l'apurement des RFA N-1 (A faire dans tous les cas)</t>
  </si>
  <si>
    <t>RFA provisionnées en N-1</t>
  </si>
  <si>
    <t>RFA accordées/perçues en N</t>
  </si>
  <si>
    <t>Revue CCA</t>
  </si>
  <si>
    <r>
      <t>Objectif</t>
    </r>
    <r>
      <rPr>
        <sz val="11"/>
        <rFont val="Calibri"/>
        <family val="2"/>
        <scheme val="minor"/>
      </rPr>
      <t xml:space="preserve">
Exhaustivité et évaluation des charges constatées d'avance
</t>
    </r>
    <r>
      <rPr>
        <b/>
        <u/>
        <sz val="11"/>
        <rFont val="Calibri"/>
        <family val="2"/>
        <scheme val="minor"/>
      </rPr>
      <t>Travail effectué</t>
    </r>
    <r>
      <rPr>
        <sz val="11"/>
        <rFont val="Calibri"/>
        <family val="2"/>
        <scheme val="minor"/>
      </rPr>
      <t xml:space="preserve">
Obtenir le détail des CCA et le rapprocher de la comptabilité
Effectuer des tests justifiant la correcte évaluation des CCA provisionnés
Effectuer un comparatif par grandes masses avec les CCA de l'exercice précédent et expliquer les principales évolutions
</t>
    </r>
  </si>
  <si>
    <t>a) Revue analytique des CCA :</t>
  </si>
  <si>
    <t>Nature des CCA</t>
  </si>
  <si>
    <t>b) Test de détail sur les CCA :</t>
  </si>
  <si>
    <t>Test cut off achats</t>
  </si>
  <si>
    <r>
      <t>Objectif</t>
    </r>
    <r>
      <rPr>
        <sz val="11"/>
        <rFont val="Calibri"/>
        <family val="2"/>
        <scheme val="minor"/>
      </rPr>
      <t xml:space="preserve">
S'assurer du respect du principe de séparation des exercices
</t>
    </r>
    <r>
      <rPr>
        <b/>
        <u/>
        <sz val="11"/>
        <rFont val="Calibri"/>
        <family val="2"/>
        <scheme val="minor"/>
      </rPr>
      <t>Travail effectué</t>
    </r>
    <r>
      <rPr>
        <sz val="11"/>
        <rFont val="Calibri"/>
        <family val="2"/>
        <scheme val="minor"/>
      </rPr>
      <t xml:space="preserve">
Sélection de factures HT &gt;  SI
Rapprochement aux justificatifs : facture + date de comptabilisation de la facture + BR ou bon de transports émargés/date de prestation
En fonction du sens du risque (tendance de la société à majorer ou à minorer son résultat), effectuer un des deux tests suivants : 
1/ Revue des achats de décembre N (en cas de tendance à la minoration du résultat)
2/ Revue des achats de janvier N (en cas de tendance à la majoration du résultat)
</t>
    </r>
    <r>
      <rPr>
        <u/>
        <sz val="11"/>
        <rFont val="Calibri"/>
        <family val="2"/>
        <scheme val="minor"/>
      </rPr>
      <t>Vigilance :</t>
    </r>
    <r>
      <rPr>
        <sz val="11"/>
        <rFont val="Calibri"/>
        <family val="2"/>
        <scheme val="minor"/>
      </rPr>
      <t xml:space="preserve"> incoterms
</t>
    </r>
  </si>
  <si>
    <t>1/ Dernier mois de l'exercice N</t>
  </si>
  <si>
    <t>Date de facture</t>
  </si>
  <si>
    <t>Facture N°</t>
  </si>
  <si>
    <t>Date du BR ou date PS</t>
  </si>
  <si>
    <t>Conclusion</t>
  </si>
  <si>
    <t>X-ref</t>
  </si>
  <si>
    <t xml:space="preserve">Total journal = </t>
  </si>
  <si>
    <t>2/ Premier mois de l'exercice N+1</t>
  </si>
  <si>
    <t>1° Critères de sélections</t>
  </si>
  <si>
    <t>cf. fichier sélection auto circul</t>
  </si>
  <si>
    <t>2° Tableau de synthèse des circularisations</t>
  </si>
  <si>
    <t>Comptabilité</t>
  </si>
  <si>
    <t>Justification du solde</t>
  </si>
  <si>
    <t>Justification du solde des mouvements créditeurs</t>
  </si>
  <si>
    <t>X Ref</t>
  </si>
  <si>
    <t>Solde Frs 
à la clôture (BA)</t>
  </si>
  <si>
    <t>Solde confirmé 
par le tiers</t>
  </si>
  <si>
    <t>Ecart justifié</t>
  </si>
  <si>
    <t>Ecart non justifié</t>
  </si>
  <si>
    <t>Total mvt créditeur à la clôture</t>
  </si>
  <si>
    <t>Total des mvt confirmé</t>
  </si>
  <si>
    <t xml:space="preserve">Total sélection solde créditeurs = </t>
  </si>
  <si>
    <t xml:space="preserve">Total sélection mvt créditeurs = </t>
  </si>
  <si>
    <t xml:space="preserve">Total balance solde créditeurs = </t>
  </si>
  <si>
    <t xml:space="preserve">Total balance mvt créditeurs = </t>
  </si>
  <si>
    <t xml:space="preserve">% sélection solde créditeurs = </t>
  </si>
  <si>
    <t xml:space="preserve">% sélection mvt créditeurs = </t>
  </si>
  <si>
    <r>
      <t>Objectif</t>
    </r>
    <r>
      <rPr>
        <sz val="11"/>
        <rFont val="Calibri"/>
        <family val="2"/>
        <scheme val="minor"/>
      </rPr>
      <t xml:space="preserve">
Contrôle de l'évaluation et de la présentation des effets à payer
</t>
    </r>
    <r>
      <rPr>
        <b/>
        <u/>
        <sz val="11"/>
        <rFont val="Calibri"/>
        <family val="2"/>
        <scheme val="minor"/>
      </rPr>
      <t>Travail effectué</t>
    </r>
    <r>
      <rPr>
        <sz val="11"/>
        <rFont val="Calibri"/>
        <family val="2"/>
        <scheme val="minor"/>
      </rPr>
      <t xml:space="preserve">
Rapprocher la comptabilité du détail des effets à payer par date d’échéance - contrôle apurement des EAP si l'antériorité n'est pas satisfaisante.
S’assurer que tous les effets à payer sont à échéance post clôture, dans le cas contraire proposer le reclassement</t>
    </r>
  </si>
  <si>
    <t>Montant des effets à payer en comptabilité</t>
  </si>
  <si>
    <t>Etat des effets à payer à la clôture</t>
  </si>
  <si>
    <t>écart</t>
  </si>
  <si>
    <t>Nom fournisseurs</t>
  </si>
  <si>
    <t>Antériorité</t>
  </si>
  <si>
    <t>Apurement</t>
  </si>
  <si>
    <t>X-Réf</t>
  </si>
  <si>
    <t>Remarques</t>
  </si>
  <si>
    <t>Total Sélection Fournisseurs - Effets à payer</t>
  </si>
  <si>
    <t>Total Fournisseurs - Effets à payer</t>
  </si>
  <si>
    <t>% de contrôle</t>
  </si>
  <si>
    <r>
      <t>Objectif</t>
    </r>
    <r>
      <rPr>
        <sz val="11"/>
        <rFont val="Calibri"/>
        <family val="2"/>
        <scheme val="minor"/>
      </rPr>
      <t xml:space="preserve">
S'assurer de la correcte évaluation des dettes libellées en devise à la clôture de l'exercice.
</t>
    </r>
    <r>
      <rPr>
        <b/>
        <u/>
        <sz val="11"/>
        <rFont val="Calibri"/>
        <family val="2"/>
        <scheme val="minor"/>
      </rPr>
      <t>Travail effectué</t>
    </r>
    <r>
      <rPr>
        <sz val="11"/>
        <rFont val="Calibri"/>
        <family val="2"/>
        <scheme val="minor"/>
      </rPr>
      <t xml:space="preserve">
1) obtenir la liste des fournisseurs pour lesquels un risque de conversion existe (Encours avec une facturation en devises hors euros)
2)  Vérifier la cohérence du taux de conversion utilisé par l'entité
3) Vérifier la correcte comptabilisation de la réévaluation (réévaluation de la dette et constatation d'un ECA/ECP)
4) S'assurer que les écarts de conversion actifs ont fait l'objet d'une provision pour risques si nécessaire
5) S'assurer que les profits de change latents sont réintégrés pour la détermination du résultat fiscal</t>
    </r>
  </si>
  <si>
    <t xml:space="preserve">1°  Liste des fournisseurs facturés au moins partiellement en devise et </t>
  </si>
  <si>
    <t>2°  Cohérence des taux de conversion utilisés par l'entité</t>
  </si>
  <si>
    <t>N° compte frs</t>
  </si>
  <si>
    <t>Nom du frs</t>
  </si>
  <si>
    <t>Devise de 
facturation</t>
  </si>
  <si>
    <t>Solde en euros à la date de 
clôture (issu BA)</t>
  </si>
  <si>
    <t>Taux de change 
utilisé</t>
  </si>
  <si>
    <t>Taux de change à la 
clôture (issu BDF)</t>
  </si>
  <si>
    <t>Impact résultat</t>
  </si>
  <si>
    <t>3°  Correcte comptabilisation de la réévaluation (réévaluation de la créance et constatation d'un ECA/ECP)</t>
  </si>
  <si>
    <t>Devise</t>
  </si>
  <si>
    <t>E.C.A</t>
  </si>
  <si>
    <t>E.C.P</t>
  </si>
  <si>
    <t>Solde en 
devise</t>
  </si>
  <si>
    <t>Taux de 
clôture</t>
  </si>
  <si>
    <t>Solde 
réévalué</t>
  </si>
  <si>
    <t>Montant de la facture TTC</t>
  </si>
  <si>
    <t>Numéro et Nom du fournisseur</t>
  </si>
  <si>
    <t>A0</t>
  </si>
  <si>
    <t>3°Procédures alternatives fournisseurs</t>
  </si>
  <si>
    <t>Nombre de factures sélectionné</t>
  </si>
  <si>
    <t>Méthode de test</t>
  </si>
  <si>
    <t>Total montant testé</t>
  </si>
  <si>
    <t>Résultat</t>
  </si>
  <si>
    <t>X Ref sélection</t>
  </si>
  <si>
    <t>Factures sélectionnées &gt; à</t>
  </si>
  <si>
    <t>Scope</t>
  </si>
  <si>
    <r>
      <t xml:space="preserve">Objectif
</t>
    </r>
    <r>
      <rPr>
        <sz val="11"/>
        <rFont val="Calibri"/>
        <family val="2"/>
        <scheme val="minor"/>
      </rPr>
      <t>Exhaustivité des encours frs par circularisation des tiers</t>
    </r>
    <r>
      <rPr>
        <b/>
        <u/>
        <sz val="11"/>
        <rFont val="Calibri"/>
        <family val="2"/>
        <scheme val="minor"/>
      </rPr>
      <t xml:space="preserve">
Travail effectué
</t>
    </r>
    <r>
      <rPr>
        <sz val="11"/>
        <rFont val="Calibri"/>
        <family val="2"/>
        <scheme val="minor"/>
      </rPr>
      <t>1/ A partir de la balance auxiliaire provisioire en date du XX/XX/XXXX, sélectionner les mouvements créditeurs les plus significatifs (cf. procédure circularisations dans Sharepoint)
2/ Emettre des courriers de demande de confirmation de soldes
3/ Exploiter les réponses de circularisations reçues
4/ En cas de non réponse, mise en place de la procédire alternative (à partir de l'extrait de GL fournisseur, sélection des factures significatives et retour sur pièces)7</t>
    </r>
  </si>
  <si>
    <r>
      <t>Objectif</t>
    </r>
    <r>
      <rPr>
        <sz val="11"/>
        <rFont val="Calibri"/>
        <family val="2"/>
        <scheme val="minor"/>
      </rPr>
      <t xml:space="preserve">
Exhaustivité et évaluation des autres charges externes
</t>
    </r>
    <r>
      <rPr>
        <b/>
        <u/>
        <sz val="11"/>
        <rFont val="Calibri"/>
        <family val="2"/>
        <scheme val="minor"/>
      </rPr>
      <t xml:space="preserve">Travail effectué
</t>
    </r>
    <r>
      <rPr>
        <sz val="11"/>
        <rFont val="Calibri"/>
        <family val="2"/>
        <scheme val="minor"/>
      </rPr>
      <t xml:space="preserve">Revue analytique des charges : comprendre les variations par grands postes de charges.
Cadrage des prestations facturées avec les conventions (groupes) signées.
Retour sur les pièces justificatives pour les postes à fortes variations.
S'assurer que la variation est cohérante avec l'analyse de l'activité, éventuellement au moyen de ratios pertinents (commissions / ventes ou achats, frais de ports / CA, énergie / activité…).
</t>
    </r>
  </si>
  <si>
    <t>1° Revue analytique des AACE</t>
  </si>
  <si>
    <t>Cf. A610 AACE</t>
  </si>
  <si>
    <t>1° Rapprochemenent Balance générale / état des EAP</t>
  </si>
  <si>
    <t xml:space="preserve">2° Test de détail : contrôle antériorité des EAP </t>
  </si>
  <si>
    <t>3° Test de cut off sur les EAP</t>
  </si>
  <si>
    <t>A partir du grand-livre des effet à payer, contrôle de l'absence d'effet dont la date d'échéance est antérieure à la clôture</t>
  </si>
  <si>
    <t>A défaut proposer le reclassement en #512 et sa neutralisation en ERB</t>
  </si>
  <si>
    <t>BRA</t>
  </si>
  <si>
    <t>Cf. 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</si>
</sst>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8" formatCode="#,##0.00\ &quot;€&quot;;[Red]\-#,##0.00\ &quot;€&quot;"/>
    <numFmt numFmtId="44" formatCode="_-* #,##0.00\ &quot;€&quot;_-;\-* #,##0.00\ &quot;€&quot;_-;_-* &quot;-&quot;??\ &quot;€&quot;_-;_-@_-"/>
    <numFmt numFmtId="164" formatCode="_-* #,##0.00\ _€_-;\-* #,##0.00\ _€_-;_-* &quot;-&quot;??\ _€_-;_-@_-"/>
    <numFmt numFmtId="165" formatCode="_-* #,##0\ _€_-;\-* #,##0\ _€_-;_-* &quot;-&quot;??\ _€_-;_-@_-"/>
    <numFmt numFmtId="166" formatCode="_-* #,##0.0\ _€_-;\-* #,##0.0\ _€_-;_-* &quot;-&quot;??\ _€_-;_-@_-"/>
    <numFmt numFmtId="167" formatCode="#,##0_ ;\-#,##0\ "/>
    <numFmt numFmtId="168" formatCode="_(* #,##0_);_(* \(#,##0\);_(* &quot;-&quot;_);_(@_)"/>
    <numFmt numFmtId="169" formatCode="dd/mm/yy"/>
    <numFmt numFmtId="170" formatCode="General_)"/>
    <numFmt numFmtId="171" formatCode="#,##0.00_);\(#,##0.00\)"/>
    <numFmt numFmtId="172" formatCode="_(* #,##0.00_);_(* \(#,##0.00\);_(* &quot;-&quot;_);_(@_)"/>
    <numFmt numFmtId="173" formatCode="0.0%"/>
    <numFmt numFmtId="174" formatCode="[$-40C]d\-mmm\-yy;@"/>
    <numFmt numFmtId="175" formatCode="_(* #,##0.00_);_(* \(#,##0.00\);_(* &quot;-&quot;??_);_(@_)"/>
    <numFmt numFmtId="176" formatCode="#,##0.0"/>
  </numFmts>
  <fonts count="42">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Calibri"/>
      <family val="2"/>
      <scheme val="minor"/>
    </font>
    <font>
      <b/>
      <sz val="12"/>
      <name val="Calibri"/>
      <family val="2"/>
      <scheme val="minor"/>
    </font>
    <font>
      <u/>
      <sz val="12"/>
      <name val="Calibri"/>
      <family val="2"/>
      <scheme val="minor"/>
    </font>
    <font>
      <b/>
      <sz val="11"/>
      <name val="Calibri"/>
      <family val="2"/>
      <scheme val="minor"/>
    </font>
    <font>
      <sz val="8"/>
      <name val="Calibri"/>
      <family val="2"/>
      <scheme val="minor"/>
    </font>
    <font>
      <b/>
      <sz val="14"/>
      <name val="Calibri"/>
      <family val="2"/>
      <scheme val="minor"/>
    </font>
    <font>
      <sz val="14"/>
      <name val="Calibri"/>
      <family val="2"/>
      <scheme val="minor"/>
    </font>
    <font>
      <sz val="11"/>
      <name val="Calibri"/>
      <family val="2"/>
      <scheme val="minor"/>
    </font>
    <font>
      <sz val="9"/>
      <name val="Calibri"/>
      <family val="2"/>
      <scheme val="minor"/>
    </font>
    <font>
      <b/>
      <sz val="12"/>
      <color rgb="FFFF0000"/>
      <name val="Calibri"/>
      <family val="2"/>
      <scheme val="minor"/>
    </font>
    <font>
      <b/>
      <i/>
      <sz val="13"/>
      <name val="Calibri"/>
      <family val="2"/>
      <scheme val="minor"/>
    </font>
    <font>
      <b/>
      <sz val="17"/>
      <name val="Calibri"/>
      <family val="2"/>
      <scheme val="minor"/>
    </font>
    <font>
      <b/>
      <sz val="11"/>
      <color rgb="FFFF0000"/>
      <name val="Calibri"/>
      <family val="2"/>
      <scheme val="minor"/>
    </font>
    <font>
      <sz val="13"/>
      <name val="Calibri"/>
      <family val="2"/>
      <scheme val="minor"/>
    </font>
    <font>
      <i/>
      <sz val="11"/>
      <name val="Calibri"/>
      <family val="2"/>
      <scheme val="minor"/>
    </font>
    <font>
      <b/>
      <u/>
      <sz val="11"/>
      <name val="Calibri"/>
      <family val="2"/>
      <scheme val="minor"/>
    </font>
    <font>
      <b/>
      <sz val="10"/>
      <name val="Arial"/>
      <family val="2"/>
    </font>
    <font>
      <sz val="11"/>
      <name val="Arial Narrow"/>
      <family val="2"/>
    </font>
    <font>
      <b/>
      <i/>
      <sz val="11"/>
      <name val="Calibri"/>
      <family val="2"/>
      <scheme val="minor"/>
    </font>
    <font>
      <u/>
      <sz val="8"/>
      <color theme="10"/>
      <name val="Trebuchet MS"/>
      <family val="2"/>
    </font>
    <font>
      <u/>
      <sz val="11"/>
      <color theme="10"/>
      <name val="Calibri"/>
      <family val="2"/>
      <scheme val="minor"/>
    </font>
    <font>
      <sz val="11"/>
      <name val="Times New Roman"/>
      <family val="1"/>
    </font>
    <font>
      <u/>
      <sz val="10"/>
      <name val="Arial"/>
      <family val="2"/>
    </font>
    <font>
      <sz val="10"/>
      <name val="Geneva"/>
    </font>
    <font>
      <b/>
      <sz val="11"/>
      <color theme="1"/>
      <name val="Calibri"/>
      <family val="2"/>
      <scheme val="minor"/>
    </font>
    <font>
      <b/>
      <sz val="11"/>
      <color indexed="10"/>
      <name val="Calibri"/>
      <family val="2"/>
      <scheme val="minor"/>
    </font>
    <font>
      <sz val="11"/>
      <color rgb="FFFF0000"/>
      <name val="Calibri"/>
      <family val="2"/>
      <scheme val="minor"/>
    </font>
    <font>
      <sz val="11"/>
      <name val="Calibri"/>
      <family val="2"/>
      <scheme val="minor"/>
    </font>
    <font>
      <u/>
      <sz val="11"/>
      <name val="Calibri"/>
      <family val="2"/>
      <scheme val="minor"/>
    </font>
    <font>
      <sz val="11"/>
      <name val="Calibri"/>
      <family val="2"/>
      <scheme val="minor"/>
    </font>
    <font>
      <b/>
      <i/>
      <sz val="11"/>
      <color rgb="FF0070C0"/>
      <name val="Calibri"/>
      <family val="2"/>
      <scheme val="minor"/>
    </font>
    <font>
      <b/>
      <sz val="11"/>
      <color indexed="17"/>
      <name val="Calibri"/>
      <family val="2"/>
      <scheme val="minor"/>
    </font>
    <font>
      <sz val="10"/>
      <name val="Times New Roman"/>
      <family val="1"/>
    </font>
    <font>
      <sz val="10"/>
      <name val="Trebuchet MS"/>
      <family val="2"/>
    </font>
    <font>
      <i/>
      <u/>
      <sz val="11"/>
      <name val="Calibri"/>
      <family val="2"/>
      <scheme val="minor"/>
    </font>
    <font>
      <u/>
      <sz val="8"/>
      <color rgb="FFFF0000"/>
      <name val="Trebuchet MS"/>
      <family val="2"/>
    </font>
    <font>
      <b/>
      <u/>
      <sz val="8"/>
      <color rgb="FFFF0000"/>
      <name val="Trebuchet MS"/>
      <family val="2"/>
    </font>
  </fonts>
  <fills count="10">
    <fill>
      <patternFill patternType="none"/>
    </fill>
    <fill>
      <patternFill patternType="gray125"/>
    </fill>
    <fill>
      <patternFill patternType="solid">
        <fgColor indexed="27"/>
        <bgColor indexed="41"/>
      </patternFill>
    </fill>
    <fill>
      <patternFill patternType="solid">
        <fgColor indexed="9"/>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tint="-0.14996795556505021"/>
        <bgColor auto="1"/>
      </patternFill>
    </fill>
    <fill>
      <patternFill patternType="solid">
        <fgColor indexed="65"/>
        <bgColor auto="1"/>
      </patternFill>
    </fill>
    <fill>
      <patternFill patternType="solid">
        <fgColor rgb="FF002060"/>
        <bgColor indexed="64"/>
      </patternFill>
    </fill>
  </fills>
  <borders count="125">
    <border>
      <left/>
      <right/>
      <top/>
      <bottom/>
      <diagonal/>
    </border>
    <border>
      <left/>
      <right style="thin">
        <color indexed="64"/>
      </right>
      <top style="thin">
        <color indexed="64"/>
      </top>
      <bottom/>
      <diagonal/>
    </border>
    <border>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dotted">
        <color indexed="64"/>
      </left>
      <right/>
      <top style="medium">
        <color indexed="64"/>
      </top>
      <bottom style="medium">
        <color indexed="64"/>
      </bottom>
      <diagonal/>
    </border>
    <border>
      <left style="thin">
        <color indexed="64"/>
      </left>
      <right style="thin">
        <color indexed="64"/>
      </right>
      <top style="medium">
        <color auto="1"/>
      </top>
      <bottom/>
      <diagonal/>
    </border>
    <border>
      <left style="thin">
        <color indexed="64"/>
      </left>
      <right style="thin">
        <color indexed="64"/>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style="medium">
        <color auto="1"/>
      </left>
      <right/>
      <top style="thin">
        <color auto="1"/>
      </top>
      <bottom style="thin">
        <color auto="1"/>
      </bottom>
      <diagonal/>
    </border>
    <border>
      <left/>
      <right style="medium">
        <color indexed="64"/>
      </right>
      <top style="thin">
        <color auto="1"/>
      </top>
      <bottom style="thin">
        <color auto="1"/>
      </bottom>
      <diagonal/>
    </border>
    <border>
      <left style="medium">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hair">
        <color indexed="64"/>
      </left>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style="thin">
        <color indexed="64"/>
      </top>
      <bottom style="hair">
        <color indexed="64"/>
      </bottom>
      <diagonal/>
    </border>
    <border>
      <left style="hair">
        <color indexed="64"/>
      </left>
      <right style="thin">
        <color auto="1"/>
      </right>
      <top style="thin">
        <color indexed="64"/>
      </top>
      <bottom style="hair">
        <color indexed="64"/>
      </bottom>
      <diagonal/>
    </border>
    <border>
      <left style="hair">
        <color indexed="64"/>
      </left>
      <right style="thin">
        <color auto="1"/>
      </right>
      <top style="hair">
        <color indexed="64"/>
      </top>
      <bottom style="hair">
        <color indexed="64"/>
      </bottom>
      <diagonal/>
    </border>
    <border>
      <left style="hair">
        <color indexed="64"/>
      </left>
      <right style="hair">
        <color indexed="64"/>
      </right>
      <top style="hair">
        <color indexed="64"/>
      </top>
      <bottom style="thin">
        <color auto="1"/>
      </bottom>
      <diagonal/>
    </border>
    <border>
      <left/>
      <right/>
      <top style="hair">
        <color indexed="64"/>
      </top>
      <bottom style="thin">
        <color auto="1"/>
      </bottom>
      <diagonal/>
    </border>
    <border>
      <left/>
      <right style="hair">
        <color indexed="64"/>
      </right>
      <top style="hair">
        <color indexed="64"/>
      </top>
      <bottom style="thin">
        <color auto="1"/>
      </bottom>
      <diagonal/>
    </border>
    <border>
      <left style="hair">
        <color indexed="64"/>
      </left>
      <right style="thin">
        <color auto="1"/>
      </right>
      <top style="hair">
        <color indexed="64"/>
      </top>
      <bottom style="thin">
        <color auto="1"/>
      </bottom>
      <diagonal/>
    </border>
    <border>
      <left style="thin">
        <color auto="1"/>
      </left>
      <right/>
      <top style="thin">
        <color indexed="64"/>
      </top>
      <bottom style="hair">
        <color indexed="64"/>
      </bottom>
      <diagonal/>
    </border>
    <border>
      <left/>
      <right style="thin">
        <color auto="1"/>
      </right>
      <top style="thin">
        <color indexed="64"/>
      </top>
      <bottom style="hair">
        <color indexed="64"/>
      </bottom>
      <diagonal/>
    </border>
    <border>
      <left/>
      <right style="thin">
        <color auto="1"/>
      </right>
      <top style="hair">
        <color indexed="64"/>
      </top>
      <bottom style="hair">
        <color indexed="64"/>
      </bottom>
      <diagonal/>
    </border>
    <border>
      <left/>
      <right style="thin">
        <color indexed="64"/>
      </right>
      <top style="hair">
        <color indexed="64"/>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8"/>
      </left>
      <right style="thin">
        <color indexed="8"/>
      </right>
      <top style="thin">
        <color indexed="64"/>
      </top>
      <bottom style="hair">
        <color indexed="64"/>
      </bottom>
      <diagonal/>
    </border>
    <border>
      <left style="thin">
        <color indexed="8"/>
      </left>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style="thin">
        <color indexed="8"/>
      </right>
      <top style="thin">
        <color indexed="64"/>
      </top>
      <bottom style="hair">
        <color indexed="64"/>
      </bottom>
      <diagonal/>
    </border>
    <border>
      <left style="medium">
        <color indexed="64"/>
      </left>
      <right style="thin">
        <color indexed="8"/>
      </right>
      <top style="hair">
        <color indexed="64"/>
      </top>
      <bottom style="hair">
        <color indexed="64"/>
      </bottom>
      <diagonal/>
    </border>
    <border>
      <left style="medium">
        <color indexed="64"/>
      </left>
      <right style="thin">
        <color indexed="8"/>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auto="1"/>
      </left>
      <right/>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dashed">
        <color auto="1"/>
      </left>
      <right style="medium">
        <color auto="1"/>
      </right>
      <top style="medium">
        <color auto="1"/>
      </top>
      <bottom/>
      <diagonal/>
    </border>
    <border>
      <left style="dashed">
        <color auto="1"/>
      </left>
      <right style="medium">
        <color auto="1"/>
      </right>
      <top/>
      <bottom style="medium">
        <color auto="1"/>
      </bottom>
      <diagonal/>
    </border>
    <border>
      <left/>
      <right style="thin">
        <color indexed="64"/>
      </right>
      <top style="medium">
        <color auto="1"/>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thin">
        <color indexed="64"/>
      </bottom>
      <diagonal/>
    </border>
    <border>
      <left/>
      <right style="thin">
        <color indexed="64"/>
      </right>
      <top/>
      <bottom style="hair">
        <color indexed="64"/>
      </bottom>
      <diagonal/>
    </border>
    <border>
      <left/>
      <right/>
      <top/>
      <bottom style="hair">
        <color auto="1"/>
      </bottom>
      <diagonal/>
    </border>
    <border>
      <left style="thin">
        <color indexed="64"/>
      </left>
      <right style="medium">
        <color indexed="64"/>
      </right>
      <top style="thin">
        <color indexed="64"/>
      </top>
      <bottom/>
      <diagonal/>
    </border>
    <border>
      <left/>
      <right style="medium">
        <color indexed="64"/>
      </right>
      <top/>
      <bottom style="hair">
        <color indexed="64"/>
      </bottom>
      <diagonal/>
    </border>
    <border>
      <left style="thin">
        <color auto="1"/>
      </left>
      <right/>
      <top style="hair">
        <color indexed="64"/>
      </top>
      <bottom style="hair">
        <color indexed="64"/>
      </bottom>
      <diagonal/>
    </border>
    <border>
      <left style="thin">
        <color auto="1"/>
      </left>
      <right/>
      <top style="hair">
        <color indexed="64"/>
      </top>
      <bottom style="thin">
        <color indexed="64"/>
      </bottom>
      <diagonal/>
    </border>
    <border>
      <left style="thin">
        <color indexed="8"/>
      </left>
      <right style="thin">
        <color indexed="8"/>
      </right>
      <top style="hair">
        <color indexed="64"/>
      </top>
      <bottom style="hair">
        <color indexed="64"/>
      </bottom>
      <diagonal/>
    </border>
    <border>
      <left style="thin">
        <color indexed="8"/>
      </left>
      <right/>
      <top style="hair">
        <color indexed="64"/>
      </top>
      <bottom style="hair">
        <color indexed="64"/>
      </bottom>
      <diagonal/>
    </border>
    <border>
      <left style="thin">
        <color indexed="64"/>
      </left>
      <right/>
      <top style="hair">
        <color indexed="64"/>
      </top>
      <bottom style="hair">
        <color indexed="64"/>
      </bottom>
      <diagonal/>
    </border>
    <border>
      <left style="thin">
        <color indexed="8"/>
      </left>
      <right style="thin">
        <color indexed="8"/>
      </right>
      <top style="hair">
        <color indexed="64"/>
      </top>
      <bottom style="thin">
        <color indexed="64"/>
      </bottom>
      <diagonal/>
    </border>
    <border>
      <left style="thin">
        <color indexed="8"/>
      </left>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thin">
        <color indexed="64"/>
      </top>
      <bottom/>
      <diagonal/>
    </border>
    <border>
      <left style="thin">
        <color indexed="64"/>
      </left>
      <right style="hair">
        <color indexed="64"/>
      </right>
      <top/>
      <bottom style="hair">
        <color indexed="64"/>
      </bottom>
      <diagonal/>
    </border>
    <border>
      <left style="medium">
        <color auto="1"/>
      </left>
      <right style="hair">
        <color indexed="64"/>
      </right>
      <top style="thin">
        <color indexed="64"/>
      </top>
      <bottom style="thin">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indexed="64"/>
      </top>
      <bottom/>
      <diagonal/>
    </border>
    <border>
      <left style="medium">
        <color indexed="64"/>
      </left>
      <right style="medium">
        <color indexed="64"/>
      </right>
      <top style="thin">
        <color auto="1"/>
      </top>
      <bottom style="medium">
        <color indexed="64"/>
      </bottom>
      <diagonal/>
    </border>
  </borders>
  <cellStyleXfs count="16">
    <xf numFmtId="0" fontId="0" fillId="0" borderId="0"/>
    <xf numFmtId="164" fontId="3" fillId="0" borderId="0" applyFont="0" applyFill="0" applyBorder="0" applyAlignment="0" applyProtection="0"/>
    <xf numFmtId="9" fontId="4" fillId="0" borderId="0" applyFont="0" applyFill="0" applyBorder="0" applyAlignment="0" applyProtection="0"/>
    <xf numFmtId="0" fontId="4" fillId="0" borderId="0"/>
    <xf numFmtId="49" fontId="4" fillId="2" borderId="0" applyFont="0" applyBorder="0" applyProtection="0">
      <alignment vertical="center" readingOrder="1"/>
    </xf>
    <xf numFmtId="0" fontId="24" fillId="0" borderId="0" applyNumberFormat="0" applyFill="0" applyBorder="0" applyAlignment="0" applyProtection="0">
      <alignment vertical="top"/>
      <protection locked="0"/>
    </xf>
    <xf numFmtId="0" fontId="4" fillId="0" borderId="0"/>
    <xf numFmtId="0" fontId="26" fillId="0" borderId="0"/>
    <xf numFmtId="170" fontId="4" fillId="0" borderId="0"/>
    <xf numFmtId="0" fontId="4" fillId="0" borderId="0"/>
    <xf numFmtId="0" fontId="4" fillId="0" borderId="0"/>
    <xf numFmtId="9" fontId="4" fillId="0" borderId="0" applyFont="0" applyFill="0" applyBorder="0" applyAlignment="0" applyProtection="0"/>
    <xf numFmtId="164" fontId="2" fillId="0" borderId="0" applyFont="0" applyFill="0" applyBorder="0" applyAlignment="0" applyProtection="0"/>
    <xf numFmtId="0" fontId="37" fillId="0" borderId="0"/>
    <xf numFmtId="0" fontId="38" fillId="0" borderId="0"/>
    <xf numFmtId="0" fontId="1" fillId="0" borderId="0"/>
  </cellStyleXfs>
  <cellXfs count="939">
    <xf numFmtId="0" fontId="0" fillId="0" borderId="0" xfId="0"/>
    <xf numFmtId="0" fontId="5" fillId="0" borderId="0" xfId="0" applyFont="1" applyAlignment="1" applyProtection="1">
      <alignment vertical="center"/>
      <protection locked="0"/>
    </xf>
    <xf numFmtId="0" fontId="7" fillId="0" borderId="0" xfId="0" applyFont="1" applyProtection="1">
      <protection locked="0"/>
    </xf>
    <xf numFmtId="49" fontId="8" fillId="0" borderId="0" xfId="0" applyNumberFormat="1" applyFont="1" applyAlignment="1" applyProtection="1">
      <alignment horizontal="right"/>
      <protection locked="0"/>
    </xf>
    <xf numFmtId="49" fontId="5" fillId="0" borderId="0" xfId="0" applyNumberFormat="1" applyFont="1" applyAlignment="1" applyProtection="1">
      <alignment horizontal="right"/>
      <protection locked="0"/>
    </xf>
    <xf numFmtId="0" fontId="8" fillId="0" borderId="0" xfId="0" applyFont="1" applyAlignment="1" applyProtection="1">
      <alignment horizontal="left"/>
      <protection locked="0"/>
    </xf>
    <xf numFmtId="0" fontId="6" fillId="0" borderId="0" xfId="0" applyFont="1" applyAlignment="1" applyProtection="1">
      <alignment horizontal="left"/>
      <protection locked="0"/>
    </xf>
    <xf numFmtId="0" fontId="5" fillId="0" borderId="0" xfId="0" applyFont="1" applyProtection="1">
      <protection locked="0"/>
    </xf>
    <xf numFmtId="49" fontId="6" fillId="0" borderId="0" xfId="0" applyNumberFormat="1" applyFont="1" applyAlignment="1" applyProtection="1">
      <alignment horizontal="right"/>
      <protection locked="0"/>
    </xf>
    <xf numFmtId="0" fontId="7" fillId="0" borderId="0" xfId="0" applyFont="1" applyAlignment="1" applyProtection="1">
      <alignment vertical="center"/>
      <protection locked="0"/>
    </xf>
    <xf numFmtId="14" fontId="10" fillId="0" borderId="13" xfId="0" applyNumberFormat="1" applyFont="1" applyBorder="1" applyAlignment="1" applyProtection="1">
      <alignment vertical="center"/>
      <protection locked="0"/>
    </xf>
    <xf numFmtId="14" fontId="10" fillId="0" borderId="14" xfId="0" applyNumberFormat="1" applyFont="1" applyBorder="1" applyAlignment="1" applyProtection="1">
      <alignment vertical="center"/>
      <protection locked="0"/>
    </xf>
    <xf numFmtId="14" fontId="10" fillId="0" borderId="15" xfId="0" applyNumberFormat="1" applyFont="1" applyBorder="1" applyAlignment="1" applyProtection="1">
      <alignment vertical="center"/>
      <protection locked="0"/>
    </xf>
    <xf numFmtId="14" fontId="10" fillId="0" borderId="16" xfId="0" applyNumberFormat="1" applyFont="1" applyBorder="1" applyAlignment="1" applyProtection="1">
      <alignment vertical="center"/>
      <protection locked="0"/>
    </xf>
    <xf numFmtId="14" fontId="10" fillId="0" borderId="0" xfId="0" applyNumberFormat="1" applyFont="1" applyAlignment="1" applyProtection="1">
      <alignment vertical="center"/>
      <protection locked="0"/>
    </xf>
    <xf numFmtId="14" fontId="10" fillId="0" borderId="17" xfId="0" applyNumberFormat="1" applyFont="1" applyBorder="1" applyAlignment="1" applyProtection="1">
      <alignment vertical="center"/>
      <protection locked="0"/>
    </xf>
    <xf numFmtId="14" fontId="13" fillId="0" borderId="0" xfId="0" applyNumberFormat="1" applyFont="1" applyAlignment="1" applyProtection="1">
      <alignment vertical="center"/>
      <protection locked="0"/>
    </xf>
    <xf numFmtId="0" fontId="8" fillId="0" borderId="13" xfId="0" applyFont="1" applyBorder="1" applyAlignment="1" applyProtection="1">
      <alignment vertical="center"/>
      <protection locked="0"/>
    </xf>
    <xf numFmtId="0" fontId="8" fillId="0" borderId="18" xfId="0" applyFont="1" applyBorder="1" applyAlignment="1" applyProtection="1">
      <alignment vertical="center"/>
      <protection locked="0"/>
    </xf>
    <xf numFmtId="0" fontId="8" fillId="0" borderId="0" xfId="0" applyFont="1" applyAlignment="1" applyProtection="1">
      <alignment vertical="center"/>
      <protection locked="0"/>
    </xf>
    <xf numFmtId="0" fontId="12" fillId="0" borderId="0" xfId="0" applyFont="1" applyAlignment="1" applyProtection="1">
      <alignment horizontal="center" vertical="center"/>
      <protection locked="0"/>
    </xf>
    <xf numFmtId="49" fontId="11" fillId="0" borderId="0" xfId="0" applyNumberFormat="1" applyFont="1" applyAlignment="1" applyProtection="1">
      <alignment horizontal="center" vertical="center"/>
      <protection locked="0"/>
    </xf>
    <xf numFmtId="14" fontId="12" fillId="0" borderId="0" xfId="0" applyNumberFormat="1" applyFont="1" applyAlignment="1" applyProtection="1">
      <alignment horizontal="center" vertical="center"/>
      <protection locked="0"/>
    </xf>
    <xf numFmtId="0" fontId="5" fillId="0" borderId="0" xfId="0" applyFont="1" applyAlignment="1" applyProtection="1">
      <alignment horizontal="left"/>
      <protection locked="0"/>
    </xf>
    <xf numFmtId="0" fontId="8" fillId="0" borderId="14" xfId="0" applyFont="1" applyBorder="1" applyAlignment="1" applyProtection="1">
      <alignment vertical="center" wrapText="1"/>
      <protection locked="0"/>
    </xf>
    <xf numFmtId="0" fontId="12" fillId="0" borderId="0" xfId="0" applyFont="1" applyProtection="1">
      <protection locked="0"/>
    </xf>
    <xf numFmtId="0" fontId="9" fillId="0" borderId="0" xfId="0" applyFont="1" applyAlignment="1" applyProtection="1">
      <alignment horizontal="center" vertical="center"/>
      <protection locked="0"/>
    </xf>
    <xf numFmtId="0" fontId="5" fillId="0" borderId="0" xfId="0" applyFont="1" applyAlignment="1">
      <alignment vertical="center"/>
    </xf>
    <xf numFmtId="0" fontId="5" fillId="0" borderId="0" xfId="0" applyFont="1"/>
    <xf numFmtId="0" fontId="12" fillId="0" borderId="0" xfId="0" applyFont="1"/>
    <xf numFmtId="0" fontId="8" fillId="0" borderId="0" xfId="0" applyFont="1" applyAlignment="1">
      <alignment horizontal="center"/>
    </xf>
    <xf numFmtId="0" fontId="17" fillId="0" borderId="0" xfId="0" applyFont="1" applyAlignment="1">
      <alignment horizontal="center" vertical="top"/>
    </xf>
    <xf numFmtId="3" fontId="12" fillId="0" borderId="0" xfId="0" applyNumberFormat="1" applyFont="1" applyAlignment="1">
      <alignment horizontal="center"/>
    </xf>
    <xf numFmtId="0" fontId="12" fillId="0" borderId="0" xfId="0" applyFont="1" applyAlignment="1">
      <alignment horizontal="center"/>
    </xf>
    <xf numFmtId="3" fontId="12" fillId="0" borderId="0" xfId="0" applyNumberFormat="1" applyFont="1" applyAlignment="1">
      <alignment horizontal="right" indent="1"/>
    </xf>
    <xf numFmtId="0" fontId="12" fillId="0" borderId="0" xfId="0" applyFont="1" applyAlignment="1" applyProtection="1">
      <alignment vertical="center"/>
      <protection locked="0"/>
    </xf>
    <xf numFmtId="49" fontId="12" fillId="0" borderId="0" xfId="0" applyNumberFormat="1" applyFont="1" applyAlignment="1" applyProtection="1">
      <alignment horizontal="right"/>
      <protection locked="0"/>
    </xf>
    <xf numFmtId="0" fontId="12" fillId="0" borderId="0" xfId="0" applyFont="1" applyAlignment="1" applyProtection="1">
      <alignment horizontal="left"/>
      <protection locked="0"/>
    </xf>
    <xf numFmtId="14" fontId="12" fillId="0" borderId="0" xfId="0" applyNumberFormat="1" applyFont="1" applyAlignment="1" applyProtection="1">
      <alignment vertical="center"/>
      <protection locked="0"/>
    </xf>
    <xf numFmtId="49" fontId="12" fillId="0" borderId="0" xfId="0" applyNumberFormat="1" applyFont="1" applyAlignment="1" applyProtection="1">
      <alignment horizontal="center" vertical="center"/>
      <protection locked="0"/>
    </xf>
    <xf numFmtId="0" fontId="12" fillId="0" borderId="4" xfId="0" applyFont="1" applyBorder="1" applyProtection="1">
      <protection locked="0"/>
    </xf>
    <xf numFmtId="0" fontId="12" fillId="0" borderId="16" xfId="0" applyFont="1" applyBorder="1"/>
    <xf numFmtId="44" fontId="12" fillId="0" borderId="0" xfId="1" applyNumberFormat="1" applyFont="1" applyBorder="1"/>
    <xf numFmtId="165" fontId="12" fillId="0" borderId="0" xfId="1" applyNumberFormat="1" applyFont="1" applyFill="1" applyBorder="1"/>
    <xf numFmtId="0" fontId="25" fillId="0" borderId="0" xfId="5" quotePrefix="1" applyFont="1" applyBorder="1" applyAlignment="1" applyProtection="1"/>
    <xf numFmtId="0" fontId="12" fillId="0" borderId="0" xfId="0" applyFont="1" applyAlignment="1">
      <alignment vertical="top" wrapText="1"/>
    </xf>
    <xf numFmtId="0" fontId="12" fillId="0" borderId="0" xfId="6" applyFont="1"/>
    <xf numFmtId="4" fontId="12" fillId="0" borderId="0" xfId="0" applyNumberFormat="1" applyFont="1"/>
    <xf numFmtId="0" fontId="8" fillId="0" borderId="0" xfId="0" applyFont="1"/>
    <xf numFmtId="168" fontId="12" fillId="0" borderId="16" xfId="0" applyNumberFormat="1" applyFont="1" applyBorder="1"/>
    <xf numFmtId="168" fontId="12" fillId="0" borderId="0" xfId="0" applyNumberFormat="1" applyFont="1"/>
    <xf numFmtId="168" fontId="12" fillId="0" borderId="0" xfId="0" applyNumberFormat="1" applyFont="1" applyAlignment="1">
      <alignment horizontal="center"/>
    </xf>
    <xf numFmtId="168" fontId="12" fillId="0" borderId="0" xfId="0" applyNumberFormat="1" applyFont="1" applyAlignment="1">
      <alignment horizontal="centerContinuous"/>
    </xf>
    <xf numFmtId="4" fontId="8" fillId="0" borderId="16" xfId="0" applyNumberFormat="1" applyFont="1" applyBorder="1"/>
    <xf numFmtId="0" fontId="12" fillId="0" borderId="0" xfId="0" applyFont="1" applyAlignment="1">
      <alignment horizontal="center" vertical="center"/>
    </xf>
    <xf numFmtId="0" fontId="8" fillId="0" borderId="16" xfId="0" applyFont="1" applyBorder="1"/>
    <xf numFmtId="164" fontId="12" fillId="0" borderId="0" xfId="1" applyFont="1" applyBorder="1"/>
    <xf numFmtId="14" fontId="12" fillId="0" borderId="0" xfId="0" applyNumberFormat="1" applyFont="1" applyAlignment="1">
      <alignment horizontal="center" vertical="center"/>
    </xf>
    <xf numFmtId="0" fontId="12" fillId="0" borderId="13" xfId="0" applyFont="1" applyBorder="1"/>
    <xf numFmtId="0" fontId="12" fillId="0" borderId="18" xfId="0" applyFont="1" applyBorder="1"/>
    <xf numFmtId="0" fontId="12" fillId="0" borderId="13" xfId="0" applyFont="1" applyBorder="1" applyProtection="1">
      <protection locked="0"/>
    </xf>
    <xf numFmtId="0" fontId="12" fillId="0" borderId="14" xfId="0" applyFont="1" applyBorder="1" applyProtection="1">
      <protection locked="0"/>
    </xf>
    <xf numFmtId="0" fontId="12" fillId="0" borderId="15" xfId="0" applyFont="1" applyBorder="1" applyProtection="1">
      <protection locked="0"/>
    </xf>
    <xf numFmtId="0" fontId="12" fillId="0" borderId="16" xfId="0" applyFont="1" applyBorder="1" applyProtection="1">
      <protection locked="0"/>
    </xf>
    <xf numFmtId="0" fontId="12" fillId="0" borderId="17" xfId="0" applyFont="1" applyBorder="1" applyProtection="1">
      <protection locked="0"/>
    </xf>
    <xf numFmtId="0" fontId="12" fillId="0" borderId="18" xfId="0" applyFont="1" applyBorder="1" applyProtection="1">
      <protection locked="0"/>
    </xf>
    <xf numFmtId="0" fontId="12" fillId="0" borderId="19" xfId="0" applyFont="1" applyBorder="1" applyProtection="1">
      <protection locked="0"/>
    </xf>
    <xf numFmtId="0" fontId="12" fillId="0" borderId="20" xfId="0" applyFont="1" applyBorder="1" applyProtection="1">
      <protection locked="0"/>
    </xf>
    <xf numFmtId="0" fontId="12" fillId="0" borderId="0" xfId="0" applyFont="1" applyAlignment="1" applyProtection="1">
      <alignment vertical="center" wrapText="1"/>
      <protection locked="0"/>
    </xf>
    <xf numFmtId="0" fontId="17" fillId="6" borderId="8" xfId="5" applyFont="1" applyFill="1" applyBorder="1" applyAlignment="1" applyProtection="1">
      <alignment horizontal="center" vertical="center" wrapText="1"/>
    </xf>
    <xf numFmtId="0" fontId="12" fillId="0" borderId="16" xfId="0" applyFont="1" applyBorder="1" applyAlignment="1" applyProtection="1">
      <alignment vertical="center" wrapText="1"/>
      <protection locked="0"/>
    </xf>
    <xf numFmtId="0" fontId="12" fillId="0" borderId="17" xfId="0" applyFont="1" applyBorder="1" applyAlignment="1" applyProtection="1">
      <alignment vertical="center" wrapText="1"/>
      <protection locked="0"/>
    </xf>
    <xf numFmtId="4" fontId="12" fillId="0" borderId="14" xfId="0" applyNumberFormat="1" applyFont="1" applyBorder="1"/>
    <xf numFmtId="0" fontId="12" fillId="0" borderId="19" xfId="0" applyFont="1" applyBorder="1"/>
    <xf numFmtId="0" fontId="8" fillId="3" borderId="0" xfId="0" applyFont="1" applyFill="1" applyAlignment="1">
      <alignment horizontal="center"/>
    </xf>
    <xf numFmtId="0" fontId="8" fillId="3" borderId="0" xfId="0" applyFont="1" applyFill="1"/>
    <xf numFmtId="0" fontId="12" fillId="3" borderId="0" xfId="0" applyFont="1" applyFill="1"/>
    <xf numFmtId="3" fontId="12" fillId="3" borderId="23" xfId="0" applyNumberFormat="1" applyFont="1" applyFill="1" applyBorder="1" applyAlignment="1">
      <alignment horizontal="right" indent="1"/>
    </xf>
    <xf numFmtId="0" fontId="12" fillId="3" borderId="0" xfId="0" applyFont="1" applyFill="1" applyAlignment="1">
      <alignment horizontal="center"/>
    </xf>
    <xf numFmtId="1" fontId="8" fillId="3" borderId="0" xfId="0" applyNumberFormat="1" applyFont="1" applyFill="1"/>
    <xf numFmtId="0" fontId="17" fillId="3" borderId="0" xfId="0" applyFont="1" applyFill="1" applyAlignment="1">
      <alignment horizontal="center"/>
    </xf>
    <xf numFmtId="0" fontId="20" fillId="0" borderId="0" xfId="0" applyFont="1"/>
    <xf numFmtId="9" fontId="12" fillId="0" borderId="0" xfId="2" applyFont="1" applyFill="1" applyBorder="1" applyAlignment="1">
      <alignment horizontal="center"/>
    </xf>
    <xf numFmtId="0" fontId="8" fillId="3" borderId="16" xfId="0" applyFont="1" applyFill="1" applyBorder="1"/>
    <xf numFmtId="0" fontId="12" fillId="3" borderId="40" xfId="0" applyFont="1" applyFill="1" applyBorder="1" applyAlignment="1">
      <alignment horizontal="center"/>
    </xf>
    <xf numFmtId="0" fontId="12" fillId="3" borderId="42" xfId="0" applyFont="1" applyFill="1" applyBorder="1" applyAlignment="1">
      <alignment horizontal="center"/>
    </xf>
    <xf numFmtId="3" fontId="30" fillId="3" borderId="0" xfId="0" applyNumberFormat="1" applyFont="1" applyFill="1" applyAlignment="1">
      <alignment horizontal="center"/>
    </xf>
    <xf numFmtId="3" fontId="8" fillId="0" borderId="0" xfId="0" applyNumberFormat="1" applyFont="1" applyAlignment="1">
      <alignment horizontal="center"/>
    </xf>
    <xf numFmtId="0" fontId="12" fillId="3" borderId="41" xfId="0" applyFont="1" applyFill="1" applyBorder="1" applyAlignment="1">
      <alignment horizontal="center"/>
    </xf>
    <xf numFmtId="3" fontId="12" fillId="3" borderId="0" xfId="0" applyNumberFormat="1" applyFont="1" applyFill="1"/>
    <xf numFmtId="0" fontId="19" fillId="0" borderId="0" xfId="0" applyFont="1" applyAlignment="1">
      <alignment horizontal="center"/>
    </xf>
    <xf numFmtId="9" fontId="12" fillId="0" borderId="0" xfId="2" applyFont="1" applyFill="1" applyBorder="1"/>
    <xf numFmtId="3" fontId="12" fillId="3" borderId="0" xfId="0" applyNumberFormat="1" applyFont="1" applyFill="1" applyAlignment="1">
      <alignment horizontal="center"/>
    </xf>
    <xf numFmtId="3" fontId="19" fillId="0" borderId="0" xfId="0" applyNumberFormat="1" applyFont="1" applyAlignment="1">
      <alignment horizontal="center"/>
    </xf>
    <xf numFmtId="1" fontId="12" fillId="0" borderId="0" xfId="0" applyNumberFormat="1" applyFont="1"/>
    <xf numFmtId="3" fontId="12" fillId="3" borderId="37" xfId="0" applyNumberFormat="1" applyFont="1" applyFill="1" applyBorder="1" applyAlignment="1">
      <alignment horizontal="right" indent="1"/>
    </xf>
    <xf numFmtId="3" fontId="12" fillId="3" borderId="17" xfId="0" applyNumberFormat="1" applyFont="1" applyFill="1" applyBorder="1" applyAlignment="1">
      <alignment horizontal="right" indent="1"/>
    </xf>
    <xf numFmtId="3" fontId="12" fillId="3" borderId="38" xfId="0" applyNumberFormat="1" applyFont="1" applyFill="1" applyBorder="1" applyAlignment="1">
      <alignment horizontal="right" indent="1"/>
    </xf>
    <xf numFmtId="3" fontId="12" fillId="3" borderId="20" xfId="0" applyNumberFormat="1" applyFont="1" applyFill="1" applyBorder="1" applyAlignment="1">
      <alignment horizontal="right" indent="1"/>
    </xf>
    <xf numFmtId="0" fontId="20" fillId="0" borderId="0" xfId="0" applyFont="1" applyAlignment="1">
      <alignment horizontal="center"/>
    </xf>
    <xf numFmtId="3" fontId="8" fillId="0" borderId="0" xfId="0" applyNumberFormat="1" applyFont="1" applyAlignment="1">
      <alignment horizontal="right" indent="1"/>
    </xf>
    <xf numFmtId="166" fontId="12" fillId="3" borderId="0" xfId="1" applyNumberFormat="1" applyFont="1" applyFill="1" applyBorder="1" applyAlignment="1">
      <alignment horizontal="left" indent="1"/>
    </xf>
    <xf numFmtId="1" fontId="12" fillId="3" borderId="0" xfId="0" applyNumberFormat="1" applyFont="1" applyFill="1"/>
    <xf numFmtId="1" fontId="8" fillId="0" borderId="0" xfId="0" applyNumberFormat="1" applyFont="1" applyAlignment="1">
      <alignment horizontal="right"/>
    </xf>
    <xf numFmtId="0" fontId="20" fillId="0" borderId="16" xfId="0" applyFont="1" applyBorder="1" applyAlignment="1">
      <alignment horizontal="left" vertical="top"/>
    </xf>
    <xf numFmtId="0" fontId="20" fillId="0" borderId="0" xfId="0" applyFont="1" applyAlignment="1">
      <alignment horizontal="left" vertical="top"/>
    </xf>
    <xf numFmtId="0" fontId="25" fillId="3" borderId="0" xfId="5" quotePrefix="1" applyFont="1" applyFill="1" applyBorder="1" applyAlignment="1" applyProtection="1"/>
    <xf numFmtId="3" fontId="12" fillId="3" borderId="0" xfId="0" applyNumberFormat="1" applyFont="1" applyFill="1" applyAlignment="1">
      <alignment horizontal="left"/>
    </xf>
    <xf numFmtId="3" fontId="12" fillId="3" borderId="4" xfId="0" applyNumberFormat="1" applyFont="1" applyFill="1" applyBorder="1" applyAlignment="1">
      <alignment horizontal="left"/>
    </xf>
    <xf numFmtId="165" fontId="12" fillId="6" borderId="55" xfId="1" applyNumberFormat="1" applyFont="1" applyFill="1" applyBorder="1"/>
    <xf numFmtId="165" fontId="12" fillId="6" borderId="3" xfId="1" applyNumberFormat="1" applyFont="1" applyFill="1" applyBorder="1"/>
    <xf numFmtId="165" fontId="8" fillId="6" borderId="55" xfId="1" applyNumberFormat="1" applyFont="1" applyFill="1" applyBorder="1" applyAlignment="1">
      <alignment horizontal="right" indent="1"/>
    </xf>
    <xf numFmtId="14" fontId="8" fillId="7" borderId="11" xfId="0" applyNumberFormat="1" applyFont="1" applyFill="1" applyBorder="1" applyAlignment="1">
      <alignment horizontal="center"/>
    </xf>
    <xf numFmtId="3" fontId="12" fillId="7" borderId="36" xfId="0" applyNumberFormat="1" applyFont="1" applyFill="1" applyBorder="1" applyAlignment="1">
      <alignment horizontal="right" indent="1"/>
    </xf>
    <xf numFmtId="3" fontId="12" fillId="7" borderId="37" xfId="0" applyNumberFormat="1" applyFont="1" applyFill="1" applyBorder="1" applyAlignment="1">
      <alignment horizontal="right" indent="1"/>
    </xf>
    <xf numFmtId="0" fontId="8" fillId="7" borderId="39" xfId="0" applyFont="1" applyFill="1" applyBorder="1" applyAlignment="1">
      <alignment horizontal="center"/>
    </xf>
    <xf numFmtId="0" fontId="8" fillId="7" borderId="43" xfId="0" applyFont="1" applyFill="1" applyBorder="1" applyAlignment="1">
      <alignment horizontal="center"/>
    </xf>
    <xf numFmtId="3" fontId="12" fillId="7" borderId="44" xfId="0" applyNumberFormat="1" applyFont="1" applyFill="1" applyBorder="1" applyAlignment="1">
      <alignment horizontal="right" indent="1"/>
    </xf>
    <xf numFmtId="3" fontId="12" fillId="7" borderId="45" xfId="0" applyNumberFormat="1" applyFont="1" applyFill="1" applyBorder="1" applyAlignment="1">
      <alignment horizontal="right" indent="1"/>
    </xf>
    <xf numFmtId="3" fontId="12" fillId="7" borderId="17" xfId="0" applyNumberFormat="1" applyFont="1" applyFill="1" applyBorder="1" applyAlignment="1">
      <alignment horizontal="right" indent="1"/>
    </xf>
    <xf numFmtId="0" fontId="8" fillId="7" borderId="40" xfId="0" applyFont="1" applyFill="1" applyBorder="1" applyAlignment="1">
      <alignment horizontal="center"/>
    </xf>
    <xf numFmtId="0" fontId="8" fillId="7" borderId="41" xfId="0" applyFont="1" applyFill="1" applyBorder="1" applyAlignment="1">
      <alignment horizontal="center"/>
    </xf>
    <xf numFmtId="14" fontId="8" fillId="7" borderId="43" xfId="0" applyNumberFormat="1" applyFont="1" applyFill="1" applyBorder="1" applyAlignment="1">
      <alignment horizontal="center"/>
    </xf>
    <xf numFmtId="0" fontId="12" fillId="3" borderId="16" xfId="0" applyFont="1" applyFill="1" applyBorder="1"/>
    <xf numFmtId="0" fontId="12" fillId="3" borderId="17" xfId="0" applyFont="1" applyFill="1" applyBorder="1"/>
    <xf numFmtId="3" fontId="12" fillId="3" borderId="44" xfId="0" applyNumberFormat="1" applyFont="1" applyFill="1" applyBorder="1" applyAlignment="1">
      <alignment horizontal="right" indent="1"/>
    </xf>
    <xf numFmtId="3" fontId="12" fillId="3" borderId="45" xfId="0" applyNumberFormat="1" applyFont="1" applyFill="1" applyBorder="1" applyAlignment="1">
      <alignment horizontal="right" indent="1"/>
    </xf>
    <xf numFmtId="3" fontId="12" fillId="3" borderId="53" xfId="0" applyNumberFormat="1" applyFont="1" applyFill="1" applyBorder="1" applyAlignment="1">
      <alignment horizontal="right" indent="1"/>
    </xf>
    <xf numFmtId="0" fontId="30" fillId="3" borderId="17" xfId="0" applyFont="1" applyFill="1" applyBorder="1"/>
    <xf numFmtId="3" fontId="12" fillId="8" borderId="43" xfId="0" applyNumberFormat="1" applyFont="1" applyFill="1" applyBorder="1" applyAlignment="1">
      <alignment horizontal="right" indent="1"/>
    </xf>
    <xf numFmtId="3" fontId="12" fillId="3" borderId="0" xfId="0" applyNumberFormat="1" applyFont="1" applyFill="1" applyAlignment="1">
      <alignment horizontal="right" indent="1"/>
    </xf>
    <xf numFmtId="166" fontId="12" fillId="3" borderId="0" xfId="1" applyNumberFormat="1" applyFont="1" applyFill="1" applyBorder="1" applyAlignment="1">
      <alignment horizontal="center"/>
    </xf>
    <xf numFmtId="165" fontId="8" fillId="7" borderId="11" xfId="1" applyNumberFormat="1" applyFont="1" applyFill="1" applyBorder="1" applyAlignment="1">
      <alignment horizontal="right" indent="1"/>
    </xf>
    <xf numFmtId="165" fontId="8" fillId="7" borderId="11" xfId="1" applyNumberFormat="1" applyFont="1" applyFill="1" applyBorder="1" applyAlignment="1">
      <alignment horizontal="center"/>
    </xf>
    <xf numFmtId="165" fontId="12" fillId="0" borderId="22" xfId="1" applyNumberFormat="1" applyFont="1" applyFill="1" applyBorder="1" applyAlignment="1">
      <alignment horizontal="right" indent="1"/>
    </xf>
    <xf numFmtId="165" fontId="12" fillId="3" borderId="44" xfId="1" applyNumberFormat="1" applyFont="1" applyFill="1" applyBorder="1" applyAlignment="1">
      <alignment horizontal="right" indent="1"/>
    </xf>
    <xf numFmtId="165" fontId="12" fillId="0" borderId="23" xfId="1" applyNumberFormat="1" applyFont="1" applyFill="1" applyBorder="1" applyAlignment="1">
      <alignment horizontal="right" indent="1"/>
    </xf>
    <xf numFmtId="165" fontId="12" fillId="3" borderId="45" xfId="1" applyNumberFormat="1" applyFont="1" applyFill="1" applyBorder="1" applyAlignment="1">
      <alignment horizontal="right" indent="1"/>
    </xf>
    <xf numFmtId="3" fontId="12" fillId="3" borderId="42" xfId="0" applyNumberFormat="1" applyFont="1" applyFill="1" applyBorder="1" applyAlignment="1">
      <alignment horizontal="right" indent="1"/>
    </xf>
    <xf numFmtId="3" fontId="12" fillId="3" borderId="41" xfId="0" applyNumberFormat="1" applyFont="1" applyFill="1" applyBorder="1" applyAlignment="1">
      <alignment horizontal="right" indent="1"/>
    </xf>
    <xf numFmtId="3" fontId="8" fillId="6" borderId="0" xfId="0" applyNumberFormat="1" applyFont="1" applyFill="1" applyAlignment="1">
      <alignment horizontal="right" indent="1"/>
    </xf>
    <xf numFmtId="0" fontId="12" fillId="0" borderId="14" xfId="0" applyFont="1" applyBorder="1"/>
    <xf numFmtId="0" fontId="5" fillId="0" borderId="13" xfId="0" applyFont="1" applyBorder="1" applyProtection="1">
      <protection locked="0"/>
    </xf>
    <xf numFmtId="0" fontId="5" fillId="0" borderId="14" xfId="0" applyFont="1" applyBorder="1" applyProtection="1">
      <protection locked="0"/>
    </xf>
    <xf numFmtId="0" fontId="5" fillId="0" borderId="15" xfId="0" applyFont="1" applyBorder="1" applyProtection="1">
      <protection locked="0"/>
    </xf>
    <xf numFmtId="0" fontId="5" fillId="0" borderId="17" xfId="0" applyFont="1" applyBorder="1" applyProtection="1">
      <protection locked="0"/>
    </xf>
    <xf numFmtId="0" fontId="5" fillId="0" borderId="16" xfId="0" applyFont="1" applyBorder="1" applyProtection="1">
      <protection locked="0"/>
    </xf>
    <xf numFmtId="0" fontId="28" fillId="0" borderId="0" xfId="0" applyFont="1"/>
    <xf numFmtId="0" fontId="5" fillId="0" borderId="18" xfId="0" applyFont="1" applyBorder="1" applyProtection="1">
      <protection locked="0"/>
    </xf>
    <xf numFmtId="0" fontId="5" fillId="0" borderId="19" xfId="0" applyFont="1" applyBorder="1" applyProtection="1">
      <protection locked="0"/>
    </xf>
    <xf numFmtId="0" fontId="5" fillId="0" borderId="20" xfId="0" applyFont="1" applyBorder="1" applyProtection="1">
      <protection locked="0"/>
    </xf>
    <xf numFmtId="168" fontId="8" fillId="7" borderId="8" xfId="0" applyNumberFormat="1" applyFont="1" applyFill="1" applyBorder="1" applyAlignment="1">
      <alignment horizontal="centerContinuous" vertical="center"/>
    </xf>
    <xf numFmtId="172" fontId="8" fillId="7" borderId="8" xfId="0" applyNumberFormat="1" applyFont="1" applyFill="1" applyBorder="1" applyAlignment="1">
      <alignment horizontal="centerContinuous" vertical="center"/>
    </xf>
    <xf numFmtId="3" fontId="12" fillId="0" borderId="79" xfId="8" applyNumberFormat="1" applyFont="1" applyBorder="1" applyAlignment="1" applyProtection="1">
      <alignment horizontal="right" indent="2"/>
      <protection locked="0"/>
    </xf>
    <xf numFmtId="49" fontId="8" fillId="0" borderId="16" xfId="0" applyNumberFormat="1" applyFont="1" applyBorder="1" applyAlignment="1">
      <alignment horizontal="left"/>
    </xf>
    <xf numFmtId="3" fontId="12" fillId="7" borderId="77" xfId="0" applyNumberFormat="1" applyFont="1" applyFill="1" applyBorder="1" applyAlignment="1">
      <alignment horizontal="center"/>
    </xf>
    <xf numFmtId="3" fontId="12" fillId="7" borderId="71" xfId="0" applyNumberFormat="1" applyFont="1" applyFill="1" applyBorder="1" applyAlignment="1">
      <alignment horizontal="center"/>
    </xf>
    <xf numFmtId="3" fontId="12" fillId="7" borderId="78" xfId="0" applyNumberFormat="1" applyFont="1" applyFill="1" applyBorder="1" applyAlignment="1">
      <alignment horizontal="center"/>
    </xf>
    <xf numFmtId="3" fontId="12" fillId="7" borderId="72" xfId="0" applyNumberFormat="1" applyFont="1" applyFill="1" applyBorder="1" applyAlignment="1">
      <alignment horizontal="center"/>
    </xf>
    <xf numFmtId="3" fontId="12" fillId="7" borderId="73" xfId="0" applyNumberFormat="1" applyFont="1" applyFill="1" applyBorder="1" applyAlignment="1">
      <alignment horizontal="center"/>
    </xf>
    <xf numFmtId="168" fontId="21" fillId="0" borderId="77" xfId="7" applyNumberFormat="1" applyFont="1" applyBorder="1" applyAlignment="1">
      <alignment horizontal="center" vertical="center" wrapText="1"/>
    </xf>
    <xf numFmtId="168" fontId="21" fillId="0" borderId="78" xfId="7" applyNumberFormat="1" applyFont="1" applyBorder="1" applyAlignment="1">
      <alignment horizontal="center" vertical="center" wrapText="1"/>
    </xf>
    <xf numFmtId="0" fontId="21" fillId="0" borderId="14" xfId="6" applyFont="1" applyBorder="1"/>
    <xf numFmtId="0" fontId="4" fillId="0" borderId="14" xfId="6" applyBorder="1"/>
    <xf numFmtId="14" fontId="4" fillId="0" borderId="14" xfId="6" applyNumberFormat="1" applyBorder="1"/>
    <xf numFmtId="0" fontId="27" fillId="0" borderId="16" xfId="6" applyFont="1" applyBorder="1"/>
    <xf numFmtId="0" fontId="4" fillId="0" borderId="0" xfId="6"/>
    <xf numFmtId="14" fontId="4" fillId="0" borderId="0" xfId="6" applyNumberFormat="1"/>
    <xf numFmtId="0" fontId="32" fillId="0" borderId="0" xfId="0" applyFont="1" applyAlignment="1" applyProtection="1">
      <alignment vertical="center"/>
      <protection locked="0"/>
    </xf>
    <xf numFmtId="0" fontId="32" fillId="0" borderId="0" xfId="0" applyFont="1" applyProtection="1">
      <protection locked="0"/>
    </xf>
    <xf numFmtId="0" fontId="32" fillId="0" borderId="0" xfId="0" applyFont="1" applyAlignment="1" applyProtection="1">
      <alignment horizontal="center" vertical="center"/>
      <protection locked="0"/>
    </xf>
    <xf numFmtId="4" fontId="17" fillId="0" borderId="64" xfId="0" applyNumberFormat="1" applyFont="1" applyBorder="1" applyAlignment="1">
      <alignment horizontal="left" vertical="top"/>
    </xf>
    <xf numFmtId="4" fontId="17" fillId="0" borderId="65" xfId="0" applyNumberFormat="1" applyFont="1" applyBorder="1" applyAlignment="1">
      <alignment horizontal="left" vertical="top"/>
    </xf>
    <xf numFmtId="4" fontId="17" fillId="0" borderId="69" xfId="0" applyNumberFormat="1" applyFont="1" applyBorder="1" applyAlignment="1">
      <alignment horizontal="left" vertical="top"/>
    </xf>
    <xf numFmtId="4" fontId="17" fillId="0" borderId="19" xfId="0" applyNumberFormat="1" applyFont="1" applyBorder="1" applyAlignment="1">
      <alignment horizontal="left" vertical="top"/>
    </xf>
    <xf numFmtId="0" fontId="8" fillId="0" borderId="0" xfId="0" applyFont="1" applyAlignment="1">
      <alignment horizontal="right" vertical="center"/>
    </xf>
    <xf numFmtId="0" fontId="12" fillId="0" borderId="19" xfId="0" applyFont="1" applyBorder="1" applyAlignment="1">
      <alignment horizontal="center" vertical="center"/>
    </xf>
    <xf numFmtId="164" fontId="12" fillId="0" borderId="19" xfId="1" applyFont="1" applyBorder="1"/>
    <xf numFmtId="14" fontId="12" fillId="0" borderId="19" xfId="0" applyNumberFormat="1" applyFont="1" applyBorder="1" applyAlignment="1">
      <alignment horizontal="center" vertical="center"/>
    </xf>
    <xf numFmtId="10" fontId="17" fillId="0" borderId="79" xfId="8" applyNumberFormat="1" applyFont="1" applyBorder="1" applyAlignment="1" applyProtection="1">
      <alignment horizontal="center"/>
      <protection locked="0"/>
    </xf>
    <xf numFmtId="0" fontId="12" fillId="0" borderId="14" xfId="0" applyFont="1" applyBorder="1" applyAlignment="1">
      <alignment horizontal="center" vertical="center"/>
    </xf>
    <xf numFmtId="164" fontId="12" fillId="0" borderId="14" xfId="1" applyFont="1" applyBorder="1"/>
    <xf numFmtId="14" fontId="12" fillId="0" borderId="14" xfId="0" applyNumberFormat="1" applyFont="1" applyBorder="1" applyAlignment="1">
      <alignment horizontal="center" vertical="center"/>
    </xf>
    <xf numFmtId="0" fontId="34" fillId="0" borderId="0" xfId="0" applyFont="1" applyAlignment="1" applyProtection="1">
      <alignment vertical="center"/>
      <protection locked="0"/>
    </xf>
    <xf numFmtId="0" fontId="34" fillId="0" borderId="0" xfId="0" applyFont="1" applyProtection="1">
      <protection locked="0"/>
    </xf>
    <xf numFmtId="0" fontId="34" fillId="0" borderId="0" xfId="0" applyFont="1" applyAlignment="1" applyProtection="1">
      <alignment horizontal="center" vertical="center"/>
      <protection locked="0"/>
    </xf>
    <xf numFmtId="0" fontId="35" fillId="0" borderId="16" xfId="0" applyFont="1" applyBorder="1" applyAlignment="1">
      <alignment horizontal="left"/>
    </xf>
    <xf numFmtId="0" fontId="36" fillId="0" borderId="0" xfId="0" applyFont="1" applyAlignment="1">
      <alignment horizontal="left" indent="1"/>
    </xf>
    <xf numFmtId="168" fontId="21" fillId="6" borderId="8" xfId="7" applyNumberFormat="1" applyFont="1" applyFill="1" applyBorder="1" applyAlignment="1">
      <alignment horizontal="center" vertical="center" wrapText="1"/>
    </xf>
    <xf numFmtId="4" fontId="12" fillId="0" borderId="0" xfId="0" applyNumberFormat="1" applyFont="1" applyAlignment="1">
      <alignment horizontal="center" vertical="center"/>
    </xf>
    <xf numFmtId="167" fontId="12" fillId="0" borderId="78" xfId="1" applyNumberFormat="1" applyFont="1" applyFill="1" applyBorder="1" applyAlignment="1">
      <alignment horizontal="right" vertical="center" indent="3"/>
    </xf>
    <xf numFmtId="165" fontId="12" fillId="0" borderId="78" xfId="1" applyNumberFormat="1" applyFont="1" applyFill="1" applyBorder="1" applyAlignment="1">
      <alignment horizontal="right" vertical="center"/>
    </xf>
    <xf numFmtId="0" fontId="12" fillId="0" borderId="0" xfId="0" applyFont="1" applyAlignment="1">
      <alignment horizontal="left" vertical="center"/>
    </xf>
    <xf numFmtId="167" fontId="12" fillId="0" borderId="0" xfId="1" applyNumberFormat="1" applyFont="1" applyFill="1" applyBorder="1" applyAlignment="1">
      <alignment horizontal="right" vertical="center" indent="3"/>
    </xf>
    <xf numFmtId="165" fontId="12" fillId="0" borderId="0" xfId="1" applyNumberFormat="1" applyFont="1" applyFill="1" applyBorder="1" applyAlignment="1">
      <alignment horizontal="right" vertical="center"/>
    </xf>
    <xf numFmtId="167" fontId="8" fillId="0" borderId="8" xfId="1" applyNumberFormat="1" applyFont="1" applyFill="1" applyBorder="1" applyAlignment="1">
      <alignment horizontal="right" vertical="center" indent="3"/>
    </xf>
    <xf numFmtId="167" fontId="8" fillId="6" borderId="8" xfId="1" applyNumberFormat="1" applyFont="1" applyFill="1" applyBorder="1" applyAlignment="1">
      <alignment horizontal="right" vertical="center" indent="3"/>
    </xf>
    <xf numFmtId="9" fontId="8" fillId="6" borderId="8" xfId="2" applyFont="1" applyFill="1" applyBorder="1" applyAlignment="1">
      <alignment horizontal="right" vertical="center" indent="3"/>
    </xf>
    <xf numFmtId="0" fontId="23" fillId="0" borderId="13" xfId="0" applyFont="1" applyBorder="1" applyAlignment="1">
      <alignment horizontal="left"/>
    </xf>
    <xf numFmtId="165" fontId="12" fillId="0" borderId="18" xfId="1" applyNumberFormat="1" applyFont="1" applyFill="1" applyBorder="1" applyAlignment="1">
      <alignment horizontal="right" vertical="center"/>
    </xf>
    <xf numFmtId="165" fontId="12" fillId="0" borderId="19" xfId="1" applyNumberFormat="1" applyFont="1" applyFill="1" applyBorder="1" applyAlignment="1">
      <alignment horizontal="right" vertical="center"/>
    </xf>
    <xf numFmtId="176" fontId="12" fillId="0" borderId="19" xfId="0" applyNumberFormat="1" applyFont="1" applyBorder="1"/>
    <xf numFmtId="0" fontId="8" fillId="3" borderId="9" xfId="0" applyFont="1" applyFill="1" applyBorder="1" applyAlignment="1">
      <alignment horizontal="center"/>
    </xf>
    <xf numFmtId="0" fontId="8" fillId="3" borderId="12" xfId="0" applyFont="1" applyFill="1" applyBorder="1" applyAlignment="1">
      <alignment horizontal="center"/>
    </xf>
    <xf numFmtId="14" fontId="8" fillId="7" borderId="32" xfId="0" applyNumberFormat="1" applyFont="1" applyFill="1" applyBorder="1" applyAlignment="1">
      <alignment horizontal="center"/>
    </xf>
    <xf numFmtId="0" fontId="33" fillId="0" borderId="16" xfId="6" applyFont="1" applyBorder="1"/>
    <xf numFmtId="14" fontId="12" fillId="0" borderId="0" xfId="6" applyNumberFormat="1" applyFont="1"/>
    <xf numFmtId="0" fontId="12" fillId="0" borderId="71" xfId="6" applyFont="1" applyBorder="1"/>
    <xf numFmtId="0" fontId="12" fillId="0" borderId="77" xfId="6" applyFont="1" applyBorder="1"/>
    <xf numFmtId="168" fontId="8" fillId="6" borderId="8" xfId="7" applyNumberFormat="1" applyFont="1" applyFill="1" applyBorder="1" applyAlignment="1">
      <alignment horizontal="centerContinuous" vertical="center" wrapText="1"/>
    </xf>
    <xf numFmtId="168" fontId="8" fillId="0" borderId="77" xfId="7" applyNumberFormat="1" applyFont="1" applyBorder="1" applyAlignment="1">
      <alignment horizontal="center" vertical="center" wrapText="1"/>
    </xf>
    <xf numFmtId="168" fontId="8" fillId="0" borderId="77" xfId="7" applyNumberFormat="1" applyFont="1" applyBorder="1" applyAlignment="1">
      <alignment horizontal="centerContinuous" vertical="center" wrapText="1"/>
    </xf>
    <xf numFmtId="168" fontId="8" fillId="0" borderId="78" xfId="7" applyNumberFormat="1" applyFont="1" applyBorder="1" applyAlignment="1">
      <alignment horizontal="center" vertical="center" wrapText="1"/>
    </xf>
    <xf numFmtId="168" fontId="8" fillId="0" borderId="78" xfId="7" applyNumberFormat="1" applyFont="1" applyBorder="1" applyAlignment="1">
      <alignment horizontal="centerContinuous" vertical="center" wrapText="1"/>
    </xf>
    <xf numFmtId="0" fontId="33" fillId="0" borderId="13" xfId="6" applyFont="1" applyBorder="1"/>
    <xf numFmtId="0" fontId="12" fillId="0" borderId="14" xfId="14" applyFont="1" applyBorder="1" applyAlignment="1">
      <alignment horizontal="left"/>
    </xf>
    <xf numFmtId="0" fontId="12" fillId="0" borderId="14" xfId="14" applyFont="1" applyBorder="1"/>
    <xf numFmtId="3" fontId="12" fillId="0" borderId="14" xfId="14" applyNumberFormat="1" applyFont="1" applyBorder="1"/>
    <xf numFmtId="0" fontId="12" fillId="0" borderId="14" xfId="14" applyFont="1" applyBorder="1" applyAlignment="1">
      <alignment horizontal="left" indent="1"/>
    </xf>
    <xf numFmtId="4" fontId="12" fillId="0" borderId="14" xfId="14" applyNumberFormat="1" applyFont="1" applyBorder="1"/>
    <xf numFmtId="0" fontId="23" fillId="0" borderId="16" xfId="14" applyFont="1" applyBorder="1" applyAlignment="1">
      <alignment horizontal="left"/>
    </xf>
    <xf numFmtId="0" fontId="12" fillId="0" borderId="0" xfId="14" applyFont="1" applyAlignment="1">
      <alignment horizontal="left"/>
    </xf>
    <xf numFmtId="0" fontId="12" fillId="0" borderId="0" xfId="14" applyFont="1"/>
    <xf numFmtId="3" fontId="12" fillId="0" borderId="0" xfId="14" applyNumberFormat="1" applyFont="1"/>
    <xf numFmtId="0" fontId="12" fillId="0" borderId="0" xfId="14" applyFont="1" applyAlignment="1">
      <alignment horizontal="left" indent="1"/>
    </xf>
    <xf numFmtId="4" fontId="12" fillId="0" borderId="0" xfId="14" applyNumberFormat="1" applyFont="1"/>
    <xf numFmtId="0" fontId="12" fillId="0" borderId="16" xfId="14" applyFont="1" applyBorder="1" applyAlignment="1">
      <alignment horizontal="left"/>
    </xf>
    <xf numFmtId="0" fontId="8" fillId="0" borderId="14" xfId="6" applyFont="1" applyBorder="1"/>
    <xf numFmtId="0" fontId="12" fillId="0" borderId="14" xfId="6" applyFont="1" applyBorder="1"/>
    <xf numFmtId="14" fontId="12" fillId="0" borderId="14" xfId="6" applyNumberFormat="1" applyFont="1" applyBorder="1"/>
    <xf numFmtId="173" fontId="12" fillId="0" borderId="78" xfId="2" applyNumberFormat="1" applyFont="1" applyBorder="1" applyAlignment="1">
      <alignment horizontal="center"/>
    </xf>
    <xf numFmtId="0" fontId="12" fillId="0" borderId="77" xfId="6" applyFont="1" applyBorder="1" applyAlignment="1">
      <alignment horizontal="center"/>
    </xf>
    <xf numFmtId="173" fontId="12" fillId="0" borderId="77" xfId="2" applyNumberFormat="1" applyFont="1" applyBorder="1" applyAlignment="1">
      <alignment horizontal="center"/>
    </xf>
    <xf numFmtId="0" fontId="8" fillId="0" borderId="16" xfId="0" applyFont="1" applyBorder="1" applyProtection="1">
      <protection locked="0"/>
    </xf>
    <xf numFmtId="0" fontId="8" fillId="0" borderId="0" xfId="6" applyFont="1"/>
    <xf numFmtId="0" fontId="8" fillId="0" borderId="0" xfId="0" applyFont="1" applyProtection="1">
      <protection locked="0"/>
    </xf>
    <xf numFmtId="0" fontId="8" fillId="0" borderId="17" xfId="0" applyFont="1" applyBorder="1" applyProtection="1">
      <protection locked="0"/>
    </xf>
    <xf numFmtId="0" fontId="12" fillId="0" borderId="0" xfId="6" applyFont="1" applyAlignment="1">
      <alignment horizontal="center"/>
    </xf>
    <xf numFmtId="0" fontId="8" fillId="7" borderId="8" xfId="0" applyFont="1" applyFill="1" applyBorder="1" applyAlignment="1">
      <alignment horizontal="center" vertical="center" wrapText="1"/>
    </xf>
    <xf numFmtId="4" fontId="12" fillId="0" borderId="14" xfId="0" applyNumberFormat="1" applyFont="1" applyBorder="1" applyAlignment="1">
      <alignment horizontal="center" vertical="center"/>
    </xf>
    <xf numFmtId="4" fontId="12" fillId="0" borderId="0" xfId="0" applyNumberFormat="1" applyFont="1" applyAlignment="1">
      <alignment horizontal="right" indent="2"/>
    </xf>
    <xf numFmtId="0" fontId="17" fillId="6" borderId="8" xfId="0" applyFont="1" applyFill="1" applyBorder="1" applyAlignment="1">
      <alignment horizontal="center" vertical="center"/>
    </xf>
    <xf numFmtId="0" fontId="8" fillId="0" borderId="0" xfId="0" applyFont="1" applyAlignment="1">
      <alignment vertical="center"/>
    </xf>
    <xf numFmtId="0" fontId="12" fillId="0" borderId="0" xfId="0" applyFont="1" applyAlignment="1">
      <alignment horizontal="right" vertical="center"/>
    </xf>
    <xf numFmtId="166" fontId="12" fillId="0" borderId="78" xfId="1" applyNumberFormat="1" applyFont="1" applyFill="1" applyBorder="1" applyAlignment="1">
      <alignment horizontal="right" vertical="center"/>
    </xf>
    <xf numFmtId="175" fontId="31" fillId="0" borderId="78" xfId="0" applyNumberFormat="1" applyFont="1" applyBorder="1" applyAlignment="1">
      <alignment horizontal="center" vertical="center"/>
    </xf>
    <xf numFmtId="3" fontId="12" fillId="0" borderId="40" xfId="0" applyNumberFormat="1" applyFont="1" applyBorder="1" applyAlignment="1">
      <alignment horizontal="right" indent="1"/>
    </xf>
    <xf numFmtId="3" fontId="12" fillId="0" borderId="42" xfId="0" applyNumberFormat="1" applyFont="1" applyBorder="1" applyAlignment="1">
      <alignment horizontal="right" indent="1"/>
    </xf>
    <xf numFmtId="167" fontId="8" fillId="6" borderId="8" xfId="12" applyNumberFormat="1" applyFont="1" applyFill="1" applyBorder="1" applyAlignment="1">
      <alignment horizontal="center"/>
    </xf>
    <xf numFmtId="173" fontId="8" fillId="6" borderId="8" xfId="2" applyNumberFormat="1" applyFont="1" applyFill="1" applyBorder="1"/>
    <xf numFmtId="0" fontId="12" fillId="0" borderId="72" xfId="6" applyFont="1" applyBorder="1"/>
    <xf numFmtId="0" fontId="12" fillId="0" borderId="78" xfId="6" applyFont="1" applyBorder="1" applyAlignment="1">
      <alignment horizontal="center"/>
    </xf>
    <xf numFmtId="0" fontId="12" fillId="0" borderId="78" xfId="6" applyFont="1" applyBorder="1"/>
    <xf numFmtId="0" fontId="12" fillId="0" borderId="73" xfId="6" applyFont="1" applyBorder="1"/>
    <xf numFmtId="0" fontId="12" fillId="0" borderId="89" xfId="0" applyFont="1" applyBorder="1" applyAlignment="1">
      <alignment horizontal="left"/>
    </xf>
    <xf numFmtId="165" fontId="12" fillId="0" borderId="91" xfId="1" applyNumberFormat="1" applyFont="1" applyFill="1" applyBorder="1" applyAlignment="1">
      <alignment horizontal="center"/>
    </xf>
    <xf numFmtId="165" fontId="12" fillId="6" borderId="89" xfId="1" applyNumberFormat="1" applyFont="1" applyFill="1" applyBorder="1" applyAlignment="1">
      <alignment horizontal="right" indent="1"/>
    </xf>
    <xf numFmtId="164" fontId="12" fillId="0" borderId="89" xfId="12" applyFont="1" applyFill="1" applyBorder="1"/>
    <xf numFmtId="0" fontId="12" fillId="0" borderId="78" xfId="0" applyFont="1" applyBorder="1" applyAlignment="1">
      <alignment horizontal="left"/>
    </xf>
    <xf numFmtId="165" fontId="12" fillId="6" borderId="78" xfId="1" applyNumberFormat="1" applyFont="1" applyFill="1" applyBorder="1" applyAlignment="1">
      <alignment horizontal="right" indent="1"/>
    </xf>
    <xf numFmtId="164" fontId="12" fillId="0" borderId="78" xfId="12" applyFont="1" applyFill="1" applyBorder="1"/>
    <xf numFmtId="4" fontId="8" fillId="0" borderId="0" xfId="14" applyNumberFormat="1" applyFont="1" applyAlignment="1">
      <alignment horizontal="right"/>
    </xf>
    <xf numFmtId="165" fontId="12" fillId="0" borderId="0" xfId="1" applyNumberFormat="1" applyFont="1" applyBorder="1" applyAlignment="1">
      <alignment horizontal="right"/>
    </xf>
    <xf numFmtId="165" fontId="12" fillId="0" borderId="0" xfId="1" applyNumberFormat="1" applyFont="1" applyBorder="1" applyAlignment="1" applyProtection="1">
      <alignment horizontal="right"/>
      <protection locked="0"/>
    </xf>
    <xf numFmtId="0" fontId="21" fillId="0" borderId="0" xfId="6" applyFont="1"/>
    <xf numFmtId="0" fontId="21" fillId="0" borderId="2" xfId="6" applyFont="1" applyBorder="1"/>
    <xf numFmtId="0" fontId="8" fillId="0" borderId="16" xfId="0" applyFont="1" applyBorder="1" applyAlignment="1">
      <alignment horizontal="left"/>
    </xf>
    <xf numFmtId="0" fontId="34" fillId="0" borderId="0" xfId="0" applyFont="1" applyAlignment="1" applyProtection="1">
      <alignment horizontal="center"/>
      <protection locked="0"/>
    </xf>
    <xf numFmtId="0" fontId="8" fillId="7" borderId="96" xfId="0" applyFont="1" applyFill="1" applyBorder="1" applyAlignment="1">
      <alignment horizontal="center" vertical="center" wrapText="1"/>
    </xf>
    <xf numFmtId="0" fontId="8" fillId="7" borderId="95" xfId="0" applyFont="1" applyFill="1" applyBorder="1" applyAlignment="1">
      <alignment horizontal="center" vertical="center" wrapText="1"/>
    </xf>
    <xf numFmtId="0" fontId="12" fillId="0" borderId="0" xfId="0" applyFont="1" applyAlignment="1">
      <alignment vertical="center"/>
    </xf>
    <xf numFmtId="0" fontId="13" fillId="0" borderId="98" xfId="0" applyFont="1" applyBorder="1" applyAlignment="1" applyProtection="1">
      <alignment horizontal="left" vertical="center"/>
      <protection locked="0"/>
    </xf>
    <xf numFmtId="14" fontId="13" fillId="0" borderId="99" xfId="0" applyNumberFormat="1" applyFont="1" applyBorder="1" applyAlignment="1" applyProtection="1">
      <alignment horizontal="left" vertical="center"/>
      <protection locked="0"/>
    </xf>
    <xf numFmtId="0" fontId="14" fillId="0" borderId="0" xfId="0" applyFont="1" applyAlignment="1" applyProtection="1">
      <alignment horizontal="center" vertical="center"/>
      <protection locked="0"/>
    </xf>
    <xf numFmtId="0" fontId="17" fillId="0" borderId="0" xfId="0" applyFont="1" applyAlignment="1" applyProtection="1">
      <alignment horizontal="center"/>
      <protection locked="0"/>
    </xf>
    <xf numFmtId="0" fontId="12" fillId="0" borderId="21" xfId="0" applyFont="1" applyBorder="1" applyAlignment="1" applyProtection="1">
      <alignment vertical="center" wrapText="1"/>
      <protection locked="0"/>
    </xf>
    <xf numFmtId="0" fontId="12" fillId="0" borderId="12" xfId="0" applyFont="1" applyBorder="1" applyAlignment="1" applyProtection="1">
      <alignment vertical="center" wrapText="1"/>
      <protection locked="0"/>
    </xf>
    <xf numFmtId="0" fontId="12" fillId="0" borderId="6" xfId="0" applyFont="1" applyBorder="1" applyAlignment="1" applyProtection="1">
      <alignment vertical="center" wrapText="1"/>
      <protection locked="0"/>
    </xf>
    <xf numFmtId="165" fontId="12" fillId="0" borderId="21" xfId="12" applyNumberFormat="1" applyFont="1" applyFill="1" applyBorder="1" applyAlignment="1" applyProtection="1">
      <alignment vertical="center" wrapText="1"/>
      <protection locked="0"/>
    </xf>
    <xf numFmtId="165" fontId="12" fillId="0" borderId="12" xfId="12" applyNumberFormat="1" applyFont="1" applyFill="1" applyBorder="1" applyAlignment="1" applyProtection="1">
      <alignment vertical="center" wrapText="1"/>
      <protection locked="0"/>
    </xf>
    <xf numFmtId="0" fontId="12" fillId="0" borderId="6" xfId="0" applyFont="1" applyBorder="1" applyAlignment="1" applyProtection="1">
      <alignment vertical="center"/>
      <protection locked="0"/>
    </xf>
    <xf numFmtId="0" fontId="12" fillId="0" borderId="19" xfId="0" applyFont="1" applyBorder="1" applyAlignment="1" applyProtection="1">
      <alignment vertical="center"/>
      <protection locked="0"/>
    </xf>
    <xf numFmtId="0" fontId="8" fillId="0" borderId="8" xfId="0" applyFont="1" applyBorder="1" applyAlignment="1">
      <alignment horizontal="center" vertical="center"/>
    </xf>
    <xf numFmtId="0" fontId="8" fillId="0" borderId="8" xfId="5" applyFont="1" applyBorder="1" applyAlignment="1" applyProtection="1">
      <alignment horizontal="center" vertical="center"/>
    </xf>
    <xf numFmtId="165" fontId="12" fillId="0" borderId="78" xfId="1" applyNumberFormat="1" applyFont="1" applyBorder="1" applyAlignment="1">
      <alignment horizontal="right"/>
    </xf>
    <xf numFmtId="4" fontId="8" fillId="6" borderId="8" xfId="0" applyNumberFormat="1" applyFont="1" applyFill="1" applyBorder="1" applyAlignment="1">
      <alignment horizontal="center" vertical="center"/>
    </xf>
    <xf numFmtId="14" fontId="8" fillId="6" borderId="8" xfId="0" applyNumberFormat="1" applyFont="1" applyFill="1" applyBorder="1" applyAlignment="1">
      <alignment horizontal="center" vertical="center"/>
    </xf>
    <xf numFmtId="165" fontId="12" fillId="0" borderId="77" xfId="1" applyNumberFormat="1" applyFont="1" applyBorder="1" applyAlignment="1">
      <alignment horizontal="right"/>
    </xf>
    <xf numFmtId="0" fontId="8" fillId="6" borderId="5" xfId="9" applyFont="1" applyFill="1" applyBorder="1" applyAlignment="1">
      <alignment horizontal="center" vertical="center" wrapText="1"/>
    </xf>
    <xf numFmtId="0" fontId="8" fillId="6" borderId="5" xfId="9" applyFont="1" applyFill="1" applyBorder="1" applyAlignment="1">
      <alignment horizontal="center" vertical="center"/>
    </xf>
    <xf numFmtId="0" fontId="8" fillId="6" borderId="35" xfId="9" applyFont="1" applyFill="1" applyBorder="1" applyAlignment="1">
      <alignment horizontal="center" vertical="center" wrapText="1"/>
    </xf>
    <xf numFmtId="165" fontId="12" fillId="0" borderId="0" xfId="12" applyNumberFormat="1" applyFont="1" applyFill="1" applyBorder="1" applyAlignment="1">
      <alignment vertical="center"/>
    </xf>
    <xf numFmtId="166" fontId="12" fillId="0" borderId="2" xfId="12" applyNumberFormat="1" applyFont="1" applyBorder="1" applyAlignment="1" applyProtection="1">
      <protection locked="0"/>
    </xf>
    <xf numFmtId="0" fontId="25" fillId="0" borderId="0" xfId="5" quotePrefix="1" applyFont="1" applyFill="1" applyBorder="1" applyAlignment="1" applyProtection="1">
      <alignment horizontal="left" wrapText="1"/>
    </xf>
    <xf numFmtId="0" fontId="8" fillId="0" borderId="8" xfId="0" applyFont="1" applyBorder="1" applyAlignment="1">
      <alignment horizontal="center" vertical="center" wrapText="1"/>
    </xf>
    <xf numFmtId="0" fontId="8" fillId="0" borderId="0" xfId="0" applyFont="1" applyAlignment="1">
      <alignment vertical="center" wrapText="1"/>
    </xf>
    <xf numFmtId="0" fontId="8" fillId="0" borderId="0" xfId="0" applyFont="1" applyAlignment="1">
      <alignment vertical="top"/>
    </xf>
    <xf numFmtId="165" fontId="8" fillId="0" borderId="8" xfId="0" applyNumberFormat="1" applyFont="1" applyBorder="1" applyAlignment="1">
      <alignment vertical="top"/>
    </xf>
    <xf numFmtId="165" fontId="12" fillId="6" borderId="8" xfId="2" applyNumberFormat="1" applyFont="1" applyFill="1" applyBorder="1" applyAlignment="1" applyProtection="1">
      <alignment vertical="center"/>
    </xf>
    <xf numFmtId="3" fontId="12" fillId="3" borderId="100" xfId="0" applyNumberFormat="1" applyFont="1" applyFill="1" applyBorder="1" applyAlignment="1">
      <alignment horizontal="right" indent="1"/>
    </xf>
    <xf numFmtId="3" fontId="12" fillId="3" borderId="55" xfId="0" applyNumberFormat="1" applyFont="1" applyFill="1" applyBorder="1" applyAlignment="1">
      <alignment horizontal="right" indent="1"/>
    </xf>
    <xf numFmtId="3" fontId="12" fillId="3" borderId="34" xfId="0" applyNumberFormat="1" applyFont="1" applyFill="1" applyBorder="1" applyAlignment="1">
      <alignment horizontal="right" indent="1"/>
    </xf>
    <xf numFmtId="3" fontId="12" fillId="8" borderId="32" xfId="0" applyNumberFormat="1" applyFont="1" applyFill="1" applyBorder="1" applyAlignment="1">
      <alignment horizontal="right" indent="1"/>
    </xf>
    <xf numFmtId="0" fontId="8" fillId="7" borderId="33" xfId="0" applyFont="1" applyFill="1" applyBorder="1"/>
    <xf numFmtId="0" fontId="12" fillId="3" borderId="42" xfId="0" applyFont="1" applyFill="1" applyBorder="1"/>
    <xf numFmtId="0" fontId="8" fillId="3" borderId="42" xfId="0" applyFont="1" applyFill="1" applyBorder="1"/>
    <xf numFmtId="0" fontId="8" fillId="0" borderId="41" xfId="0" applyFont="1" applyBorder="1"/>
    <xf numFmtId="0" fontId="8" fillId="0" borderId="33" xfId="0" applyFont="1" applyBorder="1"/>
    <xf numFmtId="0" fontId="8" fillId="3" borderId="33" xfId="0" applyFont="1" applyFill="1" applyBorder="1"/>
    <xf numFmtId="0" fontId="25" fillId="3" borderId="33" xfId="5" applyFont="1" applyFill="1" applyBorder="1" applyAlignment="1" applyProtection="1">
      <alignment horizontal="center"/>
    </xf>
    <xf numFmtId="0" fontId="8" fillId="7" borderId="33" xfId="0" applyFont="1" applyFill="1" applyBorder="1" applyAlignment="1">
      <alignment horizontal="center" vertical="center" wrapText="1"/>
    </xf>
    <xf numFmtId="0" fontId="8" fillId="7" borderId="33" xfId="0" applyFont="1" applyFill="1" applyBorder="1" applyAlignment="1">
      <alignment horizontal="center" vertical="center"/>
    </xf>
    <xf numFmtId="0" fontId="8" fillId="3" borderId="41" xfId="0" applyFont="1" applyFill="1" applyBorder="1"/>
    <xf numFmtId="0" fontId="12" fillId="3" borderId="33" xfId="0" applyFont="1" applyFill="1" applyBorder="1"/>
    <xf numFmtId="168" fontId="12" fillId="6" borderId="8" xfId="6" applyNumberFormat="1" applyFont="1" applyFill="1" applyBorder="1"/>
    <xf numFmtId="0" fontId="12" fillId="6" borderId="8" xfId="6" applyFont="1" applyFill="1" applyBorder="1"/>
    <xf numFmtId="165" fontId="12" fillId="0" borderId="91" xfId="1" applyNumberFormat="1" applyFont="1" applyFill="1" applyBorder="1" applyAlignment="1"/>
    <xf numFmtId="3" fontId="12" fillId="0" borderId="8" xfId="0" applyNumberFormat="1" applyFont="1" applyBorder="1" applyAlignment="1">
      <alignment horizontal="right" indent="1"/>
    </xf>
    <xf numFmtId="9" fontId="12" fillId="6" borderId="8" xfId="0" applyNumberFormat="1" applyFont="1" applyFill="1" applyBorder="1" applyAlignment="1">
      <alignment horizontal="right" indent="1"/>
    </xf>
    <xf numFmtId="165" fontId="8" fillId="6" borderId="8" xfId="1" applyNumberFormat="1" applyFont="1" applyFill="1" applyBorder="1" applyAlignment="1"/>
    <xf numFmtId="165" fontId="12" fillId="0" borderId="78" xfId="1" applyNumberFormat="1" applyFont="1" applyBorder="1" applyAlignment="1"/>
    <xf numFmtId="165" fontId="12" fillId="0" borderId="77" xfId="1" applyNumberFormat="1" applyFont="1" applyBorder="1" applyAlignment="1"/>
    <xf numFmtId="165" fontId="12" fillId="0" borderId="81" xfId="1" applyNumberFormat="1" applyFont="1" applyBorder="1" applyAlignment="1"/>
    <xf numFmtId="165" fontId="8" fillId="6" borderId="5" xfId="1" applyNumberFormat="1" applyFont="1" applyFill="1" applyBorder="1" applyAlignment="1"/>
    <xf numFmtId="165" fontId="12" fillId="0" borderId="78" xfId="1" applyNumberFormat="1" applyFont="1" applyBorder="1" applyAlignment="1">
      <alignment horizontal="center" vertical="center"/>
    </xf>
    <xf numFmtId="165" fontId="8" fillId="6" borderId="8" xfId="12" applyNumberFormat="1" applyFont="1" applyFill="1" applyBorder="1" applyAlignment="1"/>
    <xf numFmtId="165" fontId="12" fillId="0" borderId="77" xfId="1" applyNumberFormat="1" applyFont="1" applyBorder="1" applyAlignment="1">
      <alignment horizontal="center" vertical="center"/>
    </xf>
    <xf numFmtId="165" fontId="12" fillId="0" borderId="8" xfId="1" applyNumberFormat="1" applyFont="1" applyBorder="1" applyAlignment="1"/>
    <xf numFmtId="173" fontId="8" fillId="6" borderId="54" xfId="0" applyNumberFormat="1" applyFont="1" applyFill="1" applyBorder="1"/>
    <xf numFmtId="165" fontId="12" fillId="0" borderId="8" xfId="1" applyNumberFormat="1" applyFont="1" applyFill="1" applyBorder="1" applyAlignment="1"/>
    <xf numFmtId="173" fontId="8" fillId="0" borderId="0" xfId="0" applyNumberFormat="1" applyFont="1"/>
    <xf numFmtId="173" fontId="8" fillId="6" borderId="23" xfId="0" applyNumberFormat="1" applyFont="1" applyFill="1" applyBorder="1"/>
    <xf numFmtId="168" fontId="4" fillId="6" borderId="8" xfId="6" applyNumberFormat="1" applyFill="1" applyBorder="1"/>
    <xf numFmtId="0" fontId="4" fillId="6" borderId="8" xfId="6" applyFill="1" applyBorder="1"/>
    <xf numFmtId="9" fontId="8" fillId="7" borderId="8" xfId="2" applyFont="1" applyFill="1" applyBorder="1" applyAlignment="1">
      <alignment vertical="center"/>
    </xf>
    <xf numFmtId="0" fontId="8" fillId="0" borderId="14" xfId="0" applyFont="1" applyBorder="1" applyAlignment="1" applyProtection="1">
      <alignment horizontal="center" vertical="center" wrapText="1"/>
      <protection locked="0"/>
    </xf>
    <xf numFmtId="14" fontId="10" fillId="0" borderId="14" xfId="0" applyNumberFormat="1" applyFont="1" applyBorder="1" applyAlignment="1" applyProtection="1">
      <alignment horizontal="center" vertical="center" wrapText="1"/>
      <protection locked="0"/>
    </xf>
    <xf numFmtId="14" fontId="10" fillId="0" borderId="0" xfId="0" applyNumberFormat="1" applyFont="1" applyAlignment="1" applyProtection="1">
      <alignment horizontal="center" vertical="center" wrapText="1"/>
      <protection locked="0"/>
    </xf>
    <xf numFmtId="14" fontId="13" fillId="0" borderId="0" xfId="0" applyNumberFormat="1" applyFont="1" applyAlignment="1" applyProtection="1">
      <alignment horizontal="center" vertical="center" wrapText="1"/>
      <protection locked="0"/>
    </xf>
    <xf numFmtId="0" fontId="12" fillId="0" borderId="0" xfId="0" applyFont="1" applyAlignment="1" applyProtection="1">
      <alignment horizontal="center" vertical="center" wrapText="1"/>
      <protection locked="0"/>
    </xf>
    <xf numFmtId="0" fontId="12" fillId="0" borderId="14" xfId="0" applyFont="1" applyBorder="1" applyAlignment="1">
      <alignment horizontal="center" vertical="center" wrapText="1"/>
    </xf>
    <xf numFmtId="0" fontId="12" fillId="0" borderId="0" xfId="0" applyFont="1" applyAlignment="1">
      <alignment horizontal="center" vertical="center" wrapText="1"/>
    </xf>
    <xf numFmtId="0" fontId="5" fillId="0" borderId="19"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3" fontId="12" fillId="0" borderId="72" xfId="8" applyNumberFormat="1" applyFont="1" applyBorder="1" applyProtection="1">
      <protection locked="0"/>
    </xf>
    <xf numFmtId="3" fontId="12" fillId="0" borderId="71" xfId="8" applyNumberFormat="1" applyFont="1" applyBorder="1" applyProtection="1">
      <protection locked="0"/>
    </xf>
    <xf numFmtId="3" fontId="12" fillId="0" borderId="73" xfId="8" applyNumberFormat="1" applyFont="1" applyBorder="1" applyProtection="1">
      <protection locked="0"/>
    </xf>
    <xf numFmtId="172" fontId="12" fillId="7" borderId="70" xfId="0" applyNumberFormat="1" applyFont="1" applyFill="1" applyBorder="1"/>
    <xf numFmtId="168" fontId="8" fillId="6" borderId="8" xfId="7" applyNumberFormat="1" applyFont="1" applyFill="1" applyBorder="1" applyAlignment="1">
      <alignment horizontal="center" vertical="center" wrapText="1"/>
    </xf>
    <xf numFmtId="4" fontId="12" fillId="0" borderId="16" xfId="0" applyNumberFormat="1" applyFont="1" applyBorder="1"/>
    <xf numFmtId="4" fontId="17" fillId="6" borderId="8" xfId="0" applyNumberFormat="1" applyFont="1" applyFill="1" applyBorder="1" applyAlignment="1">
      <alignment horizontal="center" vertical="center" wrapText="1"/>
    </xf>
    <xf numFmtId="4" fontId="12" fillId="0" borderId="81" xfId="0" applyNumberFormat="1" applyFont="1" applyBorder="1" applyAlignment="1">
      <alignment vertical="top"/>
    </xf>
    <xf numFmtId="4" fontId="12" fillId="0" borderId="51" xfId="0" applyNumberFormat="1" applyFont="1" applyBorder="1" applyAlignment="1">
      <alignment vertical="top"/>
    </xf>
    <xf numFmtId="4" fontId="12" fillId="0" borderId="48" xfId="0" applyNumberFormat="1" applyFont="1" applyBorder="1" applyAlignment="1">
      <alignment vertical="top"/>
    </xf>
    <xf numFmtId="4" fontId="12" fillId="0" borderId="59" xfId="0" applyNumberFormat="1" applyFont="1" applyBorder="1" applyAlignment="1">
      <alignment vertical="top"/>
    </xf>
    <xf numFmtId="4" fontId="12" fillId="0" borderId="19" xfId="0" applyNumberFormat="1" applyFont="1" applyBorder="1" applyAlignment="1">
      <alignment horizontal="left" vertical="top"/>
    </xf>
    <xf numFmtId="4" fontId="25" fillId="0" borderId="0" xfId="5" quotePrefix="1" applyNumberFormat="1" applyFont="1" applyBorder="1" applyAlignment="1" applyProtection="1"/>
    <xf numFmtId="4" fontId="12" fillId="0" borderId="13" xfId="0" applyNumberFormat="1" applyFont="1" applyBorder="1"/>
    <xf numFmtId="4" fontId="8" fillId="0" borderId="8" xfId="0" applyNumberFormat="1" applyFont="1" applyBorder="1"/>
    <xf numFmtId="4" fontId="8" fillId="0" borderId="0" xfId="0" applyNumberFormat="1" applyFont="1"/>
    <xf numFmtId="4" fontId="12" fillId="0" borderId="18" xfId="0" applyNumberFormat="1" applyFont="1" applyBorder="1"/>
    <xf numFmtId="4" fontId="12" fillId="0" borderId="19" xfId="0" applyNumberFormat="1" applyFont="1" applyBorder="1"/>
    <xf numFmtId="4" fontId="8" fillId="7" borderId="8" xfId="0" applyNumberFormat="1" applyFont="1" applyFill="1" applyBorder="1" applyAlignment="1">
      <alignment horizontal="center" vertical="center" wrapText="1"/>
    </xf>
    <xf numFmtId="4" fontId="8" fillId="7" borderId="8" xfId="0" applyNumberFormat="1" applyFont="1" applyFill="1" applyBorder="1" applyAlignment="1">
      <alignment vertical="center"/>
    </xf>
    <xf numFmtId="4" fontId="8" fillId="7" borderId="8" xfId="0" applyNumberFormat="1" applyFont="1" applyFill="1" applyBorder="1" applyAlignment="1">
      <alignment horizontal="center" vertical="center"/>
    </xf>
    <xf numFmtId="165" fontId="12" fillId="0" borderId="51" xfId="1" quotePrefix="1" applyNumberFormat="1" applyFont="1" applyBorder="1" applyAlignment="1" applyProtection="1"/>
    <xf numFmtId="9" fontId="12" fillId="0" borderId="51" xfId="2" applyFont="1" applyBorder="1" applyAlignment="1"/>
    <xf numFmtId="165" fontId="12" fillId="7" borderId="51" xfId="1" applyNumberFormat="1" applyFont="1" applyFill="1" applyBorder="1" applyAlignment="1"/>
    <xf numFmtId="165" fontId="12" fillId="0" borderId="51" xfId="1" applyNumberFormat="1" applyFont="1" applyBorder="1" applyAlignment="1"/>
    <xf numFmtId="165" fontId="12" fillId="0" borderId="48" xfId="1" quotePrefix="1" applyNumberFormat="1" applyFont="1" applyBorder="1" applyAlignment="1" applyProtection="1"/>
    <xf numFmtId="9" fontId="12" fillId="0" borderId="48" xfId="2" applyFont="1" applyBorder="1" applyAlignment="1"/>
    <xf numFmtId="165" fontId="12" fillId="7" borderId="48" xfId="1" applyNumberFormat="1" applyFont="1" applyFill="1" applyBorder="1" applyAlignment="1"/>
    <xf numFmtId="165" fontId="12" fillId="0" borderId="48" xfId="1" applyNumberFormat="1" applyFont="1" applyBorder="1" applyAlignment="1"/>
    <xf numFmtId="165" fontId="12" fillId="0" borderId="59" xfId="1" quotePrefix="1" applyNumberFormat="1" applyFont="1" applyBorder="1" applyAlignment="1" applyProtection="1"/>
    <xf numFmtId="9" fontId="12" fillId="0" borderId="59" xfId="2" applyFont="1" applyBorder="1" applyAlignment="1"/>
    <xf numFmtId="165" fontId="12" fillId="7" borderId="59" xfId="1" applyNumberFormat="1" applyFont="1" applyFill="1" applyBorder="1" applyAlignment="1"/>
    <xf numFmtId="165" fontId="12" fillId="0" borderId="59" xfId="1" applyNumberFormat="1" applyFont="1" applyBorder="1" applyAlignment="1"/>
    <xf numFmtId="165" fontId="12" fillId="6" borderId="77" xfId="1" applyNumberFormat="1" applyFont="1" applyFill="1" applyBorder="1" applyAlignment="1"/>
    <xf numFmtId="165" fontId="12" fillId="6" borderId="78" xfId="1" applyNumberFormat="1" applyFont="1" applyFill="1" applyBorder="1" applyAlignment="1"/>
    <xf numFmtId="0" fontId="23" fillId="0" borderId="0" xfId="0" applyFont="1" applyAlignment="1">
      <alignment horizontal="left"/>
    </xf>
    <xf numFmtId="0" fontId="8" fillId="7" borderId="97" xfId="0" applyFont="1" applyFill="1" applyBorder="1" applyAlignment="1">
      <alignment horizontal="center" vertical="center" wrapText="1"/>
    </xf>
    <xf numFmtId="165" fontId="12" fillId="0" borderId="92" xfId="1" applyNumberFormat="1" applyFont="1" applyFill="1" applyBorder="1" applyAlignment="1">
      <alignment horizontal="right" indent="2"/>
    </xf>
    <xf numFmtId="165" fontId="12" fillId="7" borderId="50" xfId="1" applyNumberFormat="1" applyFont="1" applyFill="1" applyBorder="1" applyAlignment="1">
      <alignment horizontal="right" indent="2"/>
    </xf>
    <xf numFmtId="165" fontId="12" fillId="0" borderId="50" xfId="1" applyNumberFormat="1" applyFont="1" applyFill="1" applyBorder="1" applyAlignment="1">
      <alignment horizontal="right"/>
    </xf>
    <xf numFmtId="165" fontId="12" fillId="7" borderId="64" xfId="1" applyNumberFormat="1" applyFont="1" applyFill="1" applyBorder="1" applyAlignment="1">
      <alignment horizontal="right" indent="2"/>
    </xf>
    <xf numFmtId="165" fontId="12" fillId="0" borderId="50" xfId="1" applyNumberFormat="1" applyFont="1" applyFill="1" applyBorder="1" applyAlignment="1">
      <alignment horizontal="right" indent="2"/>
    </xf>
    <xf numFmtId="3" fontId="12" fillId="0" borderId="50" xfId="0" applyNumberFormat="1" applyFont="1" applyBorder="1" applyAlignment="1">
      <alignment horizontal="right" indent="2"/>
    </xf>
    <xf numFmtId="165" fontId="12" fillId="0" borderId="93" xfId="1" applyNumberFormat="1" applyFont="1" applyFill="1" applyBorder="1" applyAlignment="1">
      <alignment horizontal="right" indent="2"/>
    </xf>
    <xf numFmtId="165" fontId="12" fillId="7" borderId="47" xfId="1" applyNumberFormat="1" applyFont="1" applyFill="1" applyBorder="1" applyAlignment="1">
      <alignment horizontal="right" indent="2"/>
    </xf>
    <xf numFmtId="165" fontId="12" fillId="0" borderId="47" xfId="1" applyNumberFormat="1" applyFont="1" applyFill="1" applyBorder="1" applyAlignment="1">
      <alignment horizontal="right"/>
    </xf>
    <xf numFmtId="165" fontId="12" fillId="7" borderId="65" xfId="1" applyNumberFormat="1" applyFont="1" applyFill="1" applyBorder="1" applyAlignment="1">
      <alignment horizontal="right" indent="2"/>
    </xf>
    <xf numFmtId="165" fontId="12" fillId="0" borderId="47" xfId="1" applyNumberFormat="1" applyFont="1" applyFill="1" applyBorder="1" applyAlignment="1">
      <alignment horizontal="right" indent="2"/>
    </xf>
    <xf numFmtId="3" fontId="12" fillId="0" borderId="47" xfId="0" applyNumberFormat="1" applyFont="1" applyBorder="1" applyAlignment="1">
      <alignment horizontal="right" indent="2"/>
    </xf>
    <xf numFmtId="165" fontId="12" fillId="0" borderId="94" xfId="1" applyNumberFormat="1" applyFont="1" applyFill="1" applyBorder="1" applyAlignment="1">
      <alignment horizontal="right" indent="2"/>
    </xf>
    <xf numFmtId="165" fontId="12" fillId="7" borderId="66" xfId="1" applyNumberFormat="1" applyFont="1" applyFill="1" applyBorder="1" applyAlignment="1">
      <alignment horizontal="right" indent="2"/>
    </xf>
    <xf numFmtId="165" fontId="12" fillId="0" borderId="66" xfId="1" applyNumberFormat="1" applyFont="1" applyFill="1" applyBorder="1" applyAlignment="1">
      <alignment horizontal="right"/>
    </xf>
    <xf numFmtId="165" fontId="12" fillId="7" borderId="69" xfId="1" applyNumberFormat="1" applyFont="1" applyFill="1" applyBorder="1" applyAlignment="1">
      <alignment horizontal="right" indent="2"/>
    </xf>
    <xf numFmtId="165" fontId="12" fillId="0" borderId="66" xfId="1" applyNumberFormat="1" applyFont="1" applyFill="1" applyBorder="1" applyAlignment="1">
      <alignment horizontal="right" indent="2"/>
    </xf>
    <xf numFmtId="3" fontId="12" fillId="0" borderId="66" xfId="0" applyNumberFormat="1" applyFont="1" applyBorder="1" applyAlignment="1">
      <alignment horizontal="right" indent="2"/>
    </xf>
    <xf numFmtId="165" fontId="12" fillId="0" borderId="0" xfId="1" applyNumberFormat="1" applyFont="1" applyBorder="1"/>
    <xf numFmtId="165" fontId="12" fillId="7" borderId="15" xfId="1" applyNumberFormat="1" applyFont="1" applyFill="1" applyBorder="1" applyAlignment="1">
      <alignment horizontal="right" indent="2"/>
    </xf>
    <xf numFmtId="3" fontId="12" fillId="0" borderId="0" xfId="0" applyNumberFormat="1" applyFont="1"/>
    <xf numFmtId="165" fontId="12" fillId="0" borderId="17" xfId="1" applyNumberFormat="1" applyFont="1" applyFill="1" applyBorder="1" applyAlignment="1">
      <alignment horizontal="right" indent="2"/>
    </xf>
    <xf numFmtId="10" fontId="12" fillId="0" borderId="17" xfId="0" applyNumberFormat="1" applyFont="1" applyBorder="1" applyAlignment="1">
      <alignment horizontal="center"/>
    </xf>
    <xf numFmtId="10" fontId="8" fillId="0" borderId="0" xfId="0" applyNumberFormat="1" applyFont="1"/>
    <xf numFmtId="9" fontId="12" fillId="7" borderId="20" xfId="0" applyNumberFormat="1" applyFont="1" applyFill="1" applyBorder="1" applyAlignment="1">
      <alignment horizontal="center"/>
    </xf>
    <xf numFmtId="3" fontId="12" fillId="7" borderId="102" xfId="0" applyNumberFormat="1" applyFont="1" applyFill="1" applyBorder="1" applyAlignment="1">
      <alignment horizontal="center"/>
    </xf>
    <xf numFmtId="168" fontId="12" fillId="0" borderId="102" xfId="7" applyNumberFormat="1" applyFont="1" applyBorder="1"/>
    <xf numFmtId="168" fontId="12" fillId="0" borderId="102" xfId="7" applyNumberFormat="1" applyFont="1" applyBorder="1" applyAlignment="1">
      <alignment horizontal="right"/>
    </xf>
    <xf numFmtId="169" fontId="12" fillId="0" borderId="102" xfId="7" applyNumberFormat="1" applyFont="1" applyBorder="1" applyAlignment="1">
      <alignment horizontal="center"/>
    </xf>
    <xf numFmtId="0" fontId="12" fillId="0" borderId="102" xfId="6" applyFont="1" applyBorder="1" applyAlignment="1">
      <alignment horizontal="center"/>
    </xf>
    <xf numFmtId="173" fontId="12" fillId="0" borderId="102" xfId="2" applyNumberFormat="1" applyFont="1" applyBorder="1" applyAlignment="1">
      <alignment horizontal="center"/>
    </xf>
    <xf numFmtId="0" fontId="12" fillId="0" borderId="102" xfId="6" applyFont="1" applyBorder="1"/>
    <xf numFmtId="0" fontId="12" fillId="0" borderId="102" xfId="0" applyFont="1" applyBorder="1" applyAlignment="1">
      <alignment horizontal="left"/>
    </xf>
    <xf numFmtId="165" fontId="12" fillId="0" borderId="102" xfId="1" applyNumberFormat="1" applyFont="1" applyFill="1" applyBorder="1" applyAlignment="1">
      <alignment horizontal="center"/>
    </xf>
    <xf numFmtId="164" fontId="12" fillId="0" borderId="102" xfId="12" applyFont="1" applyFill="1" applyBorder="1"/>
    <xf numFmtId="165" fontId="12" fillId="0" borderId="102" xfId="1" applyNumberFormat="1" applyFont="1" applyBorder="1" applyAlignment="1"/>
    <xf numFmtId="165" fontId="12" fillId="0" borderId="102" xfId="1" applyNumberFormat="1" applyFont="1" applyBorder="1" applyAlignment="1">
      <alignment horizontal="right"/>
    </xf>
    <xf numFmtId="165" fontId="12" fillId="0" borderId="102" xfId="1" applyNumberFormat="1" applyFont="1" applyBorder="1" applyAlignment="1">
      <alignment horizontal="center" vertical="center"/>
    </xf>
    <xf numFmtId="165" fontId="12" fillId="6" borderId="102" xfId="1" applyNumberFormat="1" applyFont="1" applyFill="1" applyBorder="1" applyAlignment="1"/>
    <xf numFmtId="168" fontId="4" fillId="0" borderId="102" xfId="7" applyNumberFormat="1" applyFont="1" applyBorder="1" applyAlignment="1">
      <alignment horizontal="right"/>
    </xf>
    <xf numFmtId="169" fontId="4" fillId="0" borderId="102" xfId="7" applyNumberFormat="1" applyFont="1" applyBorder="1" applyAlignment="1">
      <alignment horizontal="center"/>
    </xf>
    <xf numFmtId="168" fontId="4" fillId="0" borderId="102" xfId="7" applyNumberFormat="1" applyFont="1" applyBorder="1"/>
    <xf numFmtId="167" fontId="12" fillId="0" borderId="102" xfId="1" applyNumberFormat="1" applyFont="1" applyFill="1" applyBorder="1" applyAlignment="1">
      <alignment horizontal="right" vertical="center" indent="3"/>
    </xf>
    <xf numFmtId="165" fontId="12" fillId="0" borderId="102" xfId="1" applyNumberFormat="1" applyFont="1" applyFill="1" applyBorder="1" applyAlignment="1">
      <alignment horizontal="right" vertical="center"/>
    </xf>
    <xf numFmtId="166" fontId="12" fillId="0" borderId="102" xfId="1" applyNumberFormat="1" applyFont="1" applyFill="1" applyBorder="1" applyAlignment="1">
      <alignment horizontal="right" vertical="center"/>
    </xf>
    <xf numFmtId="175" fontId="31" fillId="0" borderId="102" xfId="0" applyNumberFormat="1" applyFont="1" applyBorder="1" applyAlignment="1">
      <alignment horizontal="center" vertical="center"/>
    </xf>
    <xf numFmtId="0" fontId="17" fillId="0" borderId="103" xfId="0" applyFont="1" applyBorder="1"/>
    <xf numFmtId="0" fontId="31" fillId="0" borderId="104" xfId="15" applyFont="1" applyBorder="1"/>
    <xf numFmtId="0" fontId="17" fillId="0" borderId="104" xfId="0" applyFont="1" applyBorder="1"/>
    <xf numFmtId="0" fontId="40" fillId="0" borderId="104" xfId="5" applyFont="1" applyFill="1" applyBorder="1" applyAlignment="1" applyProtection="1"/>
    <xf numFmtId="0" fontId="17" fillId="0" borderId="105" xfId="0" applyFont="1" applyBorder="1"/>
    <xf numFmtId="14" fontId="12" fillId="0" borderId="0" xfId="0" applyNumberFormat="1" applyFont="1" applyProtection="1">
      <protection locked="0"/>
    </xf>
    <xf numFmtId="166" fontId="12" fillId="0" borderId="0" xfId="12" applyNumberFormat="1" applyFont="1" applyBorder="1" applyAlignment="1" applyProtection="1">
      <protection locked="0"/>
    </xf>
    <xf numFmtId="0" fontId="12" fillId="0" borderId="16" xfId="0" applyFont="1" applyBorder="1" applyAlignment="1" applyProtection="1">
      <alignment vertical="center"/>
      <protection locked="0"/>
    </xf>
    <xf numFmtId="165" fontId="12" fillId="6" borderId="8" xfId="1" applyNumberFormat="1" applyFont="1" applyFill="1" applyBorder="1" applyAlignment="1">
      <alignment vertical="center"/>
    </xf>
    <xf numFmtId="165" fontId="12" fillId="0" borderId="0" xfId="1" applyNumberFormat="1" applyFont="1" applyFill="1" applyBorder="1" applyAlignment="1">
      <alignment vertical="center"/>
    </xf>
    <xf numFmtId="0" fontId="12" fillId="0" borderId="17" xfId="0" applyFont="1" applyBorder="1" applyAlignment="1" applyProtection="1">
      <alignment vertical="center"/>
      <protection locked="0"/>
    </xf>
    <xf numFmtId="0" fontId="8" fillId="0" borderId="2" xfId="0" applyFont="1" applyBorder="1" applyAlignment="1">
      <alignment horizontal="right" vertical="top"/>
    </xf>
    <xf numFmtId="0" fontId="8" fillId="0" borderId="1" xfId="0" applyFont="1" applyBorder="1" applyAlignment="1">
      <alignment horizontal="right" vertical="top"/>
    </xf>
    <xf numFmtId="0" fontId="12" fillId="0" borderId="106" xfId="0" applyFont="1" applyBorder="1" applyAlignment="1" applyProtection="1">
      <alignment horizontal="left"/>
      <protection locked="0"/>
    </xf>
    <xf numFmtId="165" fontId="25" fillId="0" borderId="77" xfId="1" quotePrefix="1" applyNumberFormat="1" applyFont="1" applyFill="1" applyBorder="1" applyAlignment="1" applyProtection="1">
      <alignment vertical="center"/>
    </xf>
    <xf numFmtId="0" fontId="12" fillId="6" borderId="77" xfId="2" applyNumberFormat="1" applyFont="1" applyFill="1" applyBorder="1" applyAlignment="1" applyProtection="1">
      <alignment vertical="center"/>
    </xf>
    <xf numFmtId="0" fontId="12" fillId="0" borderId="77" xfId="0" applyFont="1" applyBorder="1"/>
    <xf numFmtId="0" fontId="12" fillId="0" borderId="72" xfId="0" applyFont="1" applyBorder="1" applyAlignment="1" applyProtection="1">
      <alignment horizontal="left"/>
      <protection locked="0"/>
    </xf>
    <xf numFmtId="165" fontId="25" fillId="0" borderId="78" xfId="1" quotePrefix="1" applyNumberFormat="1" applyFont="1" applyFill="1" applyBorder="1" applyAlignment="1" applyProtection="1">
      <alignment vertical="center"/>
    </xf>
    <xf numFmtId="0" fontId="12" fillId="6" borderId="78" xfId="2" applyNumberFormat="1" applyFont="1" applyFill="1" applyBorder="1" applyAlignment="1" applyProtection="1">
      <alignment vertical="center"/>
    </xf>
    <xf numFmtId="0" fontId="12" fillId="0" borderId="78" xfId="0" applyFont="1" applyBorder="1"/>
    <xf numFmtId="0" fontId="12" fillId="0" borderId="73" xfId="0" applyFont="1" applyBorder="1" applyAlignment="1" applyProtection="1">
      <alignment horizontal="left"/>
      <protection locked="0"/>
    </xf>
    <xf numFmtId="165" fontId="25" fillId="0" borderId="102" xfId="1" quotePrefix="1" applyNumberFormat="1" applyFont="1" applyFill="1" applyBorder="1" applyAlignment="1" applyProtection="1">
      <alignment vertical="center"/>
    </xf>
    <xf numFmtId="0" fontId="12" fillId="6" borderId="102" xfId="2" applyNumberFormat="1" applyFont="1" applyFill="1" applyBorder="1" applyAlignment="1" applyProtection="1">
      <alignment vertical="center"/>
    </xf>
    <xf numFmtId="0" fontId="12" fillId="0" borderId="102" xfId="0" applyFont="1" applyBorder="1"/>
    <xf numFmtId="165" fontId="25" fillId="0" borderId="91" xfId="1" quotePrefix="1" applyNumberFormat="1" applyFont="1" applyFill="1" applyBorder="1" applyAlignment="1" applyProtection="1">
      <alignment horizontal="left" vertical="center"/>
    </xf>
    <xf numFmtId="0" fontId="8" fillId="3" borderId="42" xfId="0" applyFont="1" applyFill="1" applyBorder="1" applyAlignment="1">
      <alignment horizontal="left"/>
    </xf>
    <xf numFmtId="0" fontId="8" fillId="3" borderId="42" xfId="0" applyFont="1" applyFill="1" applyBorder="1" applyAlignment="1">
      <alignment horizontal="left" vertical="center" wrapText="1"/>
    </xf>
    <xf numFmtId="0" fontId="29" fillId="5" borderId="5" xfId="0" applyFont="1" applyFill="1" applyBorder="1" applyAlignment="1">
      <alignment vertical="center" wrapText="1"/>
    </xf>
    <xf numFmtId="0" fontId="29" fillId="5" borderId="7" xfId="0" applyFont="1" applyFill="1" applyBorder="1" applyAlignment="1">
      <alignment vertical="center" wrapText="1"/>
    </xf>
    <xf numFmtId="4" fontId="8" fillId="6" borderId="8" xfId="0" applyNumberFormat="1" applyFont="1" applyFill="1" applyBorder="1" applyAlignment="1">
      <alignment vertical="center"/>
    </xf>
    <xf numFmtId="165" fontId="12" fillId="0" borderId="8" xfId="1" applyNumberFormat="1" applyFont="1" applyBorder="1" applyAlignment="1">
      <alignment horizontal="right" vertical="center"/>
    </xf>
    <xf numFmtId="167" fontId="12" fillId="0" borderId="8" xfId="1" applyNumberFormat="1" applyFont="1" applyBorder="1" applyAlignment="1">
      <alignment horizontal="right" vertical="center"/>
    </xf>
    <xf numFmtId="0" fontId="12" fillId="0" borderId="46" xfId="6" applyFont="1" applyBorder="1"/>
    <xf numFmtId="0" fontId="12" fillId="0" borderId="61" xfId="6" applyFont="1" applyBorder="1"/>
    <xf numFmtId="0" fontId="12" fillId="0" borderId="61" xfId="0" applyFont="1" applyBorder="1" applyProtection="1">
      <protection locked="0"/>
    </xf>
    <xf numFmtId="167" fontId="8" fillId="6" borderId="101" xfId="12" applyNumberFormat="1" applyFont="1" applyFill="1" applyBorder="1" applyAlignment="1">
      <alignment horizontal="center"/>
    </xf>
    <xf numFmtId="165" fontId="8" fillId="6" borderId="101" xfId="1" applyNumberFormat="1" applyFont="1" applyFill="1" applyBorder="1" applyAlignment="1">
      <alignment horizontal="center"/>
    </xf>
    <xf numFmtId="173" fontId="8" fillId="6" borderId="101" xfId="2" applyNumberFormat="1" applyFont="1" applyFill="1" applyBorder="1"/>
    <xf numFmtId="0" fontId="12" fillId="0" borderId="67" xfId="6" applyFont="1" applyBorder="1"/>
    <xf numFmtId="0" fontId="12" fillId="0" borderId="67" xfId="0" applyFont="1" applyBorder="1" applyProtection="1">
      <protection locked="0"/>
    </xf>
    <xf numFmtId="0" fontId="12" fillId="0" borderId="63" xfId="6" applyFont="1" applyBorder="1" applyAlignment="1">
      <alignment horizontal="left"/>
    </xf>
    <xf numFmtId="0" fontId="12" fillId="0" borderId="56" xfId="6" applyFont="1" applyBorder="1"/>
    <xf numFmtId="168" fontId="8" fillId="6" borderId="90" xfId="7" applyNumberFormat="1" applyFont="1" applyFill="1" applyBorder="1" applyAlignment="1">
      <alignment horizontal="center" vertical="center" wrapText="1"/>
    </xf>
    <xf numFmtId="0" fontId="12" fillId="0" borderId="72" xfId="0" applyFont="1" applyBorder="1" applyProtection="1">
      <protection locked="0"/>
    </xf>
    <xf numFmtId="168" fontId="8" fillId="0" borderId="63" xfId="7" applyNumberFormat="1" applyFont="1" applyBorder="1" applyAlignment="1">
      <alignment horizontal="center" vertical="center" wrapText="1"/>
    </xf>
    <xf numFmtId="168" fontId="8" fillId="0" borderId="46" xfId="7" applyNumberFormat="1" applyFont="1" applyBorder="1" applyAlignment="1">
      <alignment horizontal="center" vertical="center" wrapText="1"/>
    </xf>
    <xf numFmtId="168" fontId="12" fillId="0" borderId="56" xfId="7" applyNumberFormat="1" applyFont="1" applyBorder="1"/>
    <xf numFmtId="0" fontId="12" fillId="0" borderId="71" xfId="0" applyFont="1" applyBorder="1" applyProtection="1">
      <protection locked="0"/>
    </xf>
    <xf numFmtId="0" fontId="12" fillId="0" borderId="73" xfId="0" applyFont="1" applyBorder="1" applyProtection="1">
      <protection locked="0"/>
    </xf>
    <xf numFmtId="0" fontId="12" fillId="0" borderId="63" xfId="0" applyFont="1" applyBorder="1" applyProtection="1">
      <protection locked="0"/>
    </xf>
    <xf numFmtId="0" fontId="12" fillId="0" borderId="46" xfId="0" applyFont="1" applyBorder="1" applyProtection="1">
      <protection locked="0"/>
    </xf>
    <xf numFmtId="0" fontId="12" fillId="0" borderId="56" xfId="0" applyFont="1" applyBorder="1" applyProtection="1">
      <protection locked="0"/>
    </xf>
    <xf numFmtId="0" fontId="12" fillId="0" borderId="63" xfId="6" applyFont="1" applyBorder="1"/>
    <xf numFmtId="0" fontId="12" fillId="0" borderId="60" xfId="6" applyFont="1" applyBorder="1"/>
    <xf numFmtId="3" fontId="12" fillId="6" borderId="101" xfId="0" applyNumberFormat="1" applyFont="1" applyFill="1" applyBorder="1" applyAlignment="1">
      <alignment horizontal="right" indent="1"/>
    </xf>
    <xf numFmtId="165" fontId="12" fillId="6" borderId="102" xfId="1" applyNumberFormat="1" applyFont="1" applyFill="1" applyBorder="1" applyAlignment="1">
      <alignment horizontal="right" indent="1"/>
    </xf>
    <xf numFmtId="0" fontId="12" fillId="0" borderId="81" xfId="0" applyFont="1" applyBorder="1" applyProtection="1">
      <protection locked="0"/>
    </xf>
    <xf numFmtId="0" fontId="12" fillId="0" borderId="60" xfId="0" applyFont="1" applyBorder="1" applyProtection="1">
      <protection locked="0"/>
    </xf>
    <xf numFmtId="0" fontId="12" fillId="0" borderId="81" xfId="0" applyFont="1" applyBorder="1" applyAlignment="1" applyProtection="1">
      <alignment horizontal="left" vertical="center"/>
      <protection locked="0"/>
    </xf>
    <xf numFmtId="0" fontId="12" fillId="0" borderId="60" xfId="0" applyFont="1" applyBorder="1" applyAlignment="1" applyProtection="1">
      <alignment horizontal="left" vertical="center"/>
      <protection locked="0"/>
    </xf>
    <xf numFmtId="0" fontId="12" fillId="0" borderId="71" xfId="0" applyFont="1" applyBorder="1" applyAlignment="1">
      <alignment horizontal="left" vertical="center"/>
    </xf>
    <xf numFmtId="0" fontId="12" fillId="0" borderId="61" xfId="0" applyFont="1" applyBorder="1" applyAlignment="1" applyProtection="1">
      <alignment horizontal="left" vertical="center"/>
      <protection locked="0"/>
    </xf>
    <xf numFmtId="0" fontId="12" fillId="0" borderId="72" xfId="0" applyFont="1" applyBorder="1" applyAlignment="1">
      <alignment horizontal="left" vertical="center"/>
    </xf>
    <xf numFmtId="0" fontId="12" fillId="0" borderId="67" xfId="0" applyFont="1" applyBorder="1" applyAlignment="1" applyProtection="1">
      <alignment horizontal="left" vertical="center"/>
      <protection locked="0"/>
    </xf>
    <xf numFmtId="0" fontId="12" fillId="0" borderId="73" xfId="0" applyFont="1" applyBorder="1" applyAlignment="1">
      <alignment horizontal="left" vertical="center"/>
    </xf>
    <xf numFmtId="164" fontId="12" fillId="0" borderId="60" xfId="12" applyFont="1" applyFill="1" applyBorder="1" applyAlignment="1"/>
    <xf numFmtId="0" fontId="12" fillId="0" borderId="74" xfId="0" applyFont="1" applyBorder="1" applyProtection="1">
      <protection locked="0"/>
    </xf>
    <xf numFmtId="164" fontId="12" fillId="0" borderId="61" xfId="12" applyFont="1" applyFill="1" applyBorder="1" applyAlignment="1"/>
    <xf numFmtId="0" fontId="12" fillId="0" borderId="75" xfId="0" applyFont="1" applyBorder="1" applyProtection="1">
      <protection locked="0"/>
    </xf>
    <xf numFmtId="164" fontId="12" fillId="0" borderId="67" xfId="12" applyFont="1" applyFill="1" applyBorder="1" applyAlignment="1"/>
    <xf numFmtId="0" fontId="12" fillId="0" borderId="76" xfId="0" applyFont="1" applyBorder="1" applyProtection="1">
      <protection locked="0"/>
    </xf>
    <xf numFmtId="4" fontId="12" fillId="0" borderId="81" xfId="0" applyNumberFormat="1" applyFont="1" applyBorder="1"/>
    <xf numFmtId="0" fontId="12" fillId="0" borderId="63" xfId="0" applyFont="1" applyBorder="1" applyAlignment="1" applyProtection="1">
      <alignment horizontal="left"/>
      <protection locked="0"/>
    </xf>
    <xf numFmtId="4" fontId="12" fillId="0" borderId="49" xfId="0" applyNumberFormat="1" applyFont="1" applyBorder="1" applyAlignment="1">
      <alignment horizontal="left" vertical="top"/>
    </xf>
    <xf numFmtId="0" fontId="12" fillId="0" borderId="46" xfId="0" applyFont="1" applyBorder="1" applyAlignment="1" applyProtection="1">
      <alignment horizontal="left"/>
      <protection locked="0"/>
    </xf>
    <xf numFmtId="4" fontId="12" fillId="0" borderId="62" xfId="0" applyNumberFormat="1" applyFont="1" applyBorder="1" applyAlignment="1">
      <alignment horizontal="left" vertical="top"/>
    </xf>
    <xf numFmtId="0" fontId="12" fillId="0" borderId="56" xfId="0" applyFont="1" applyBorder="1" applyAlignment="1" applyProtection="1">
      <alignment horizontal="left"/>
      <protection locked="0"/>
    </xf>
    <xf numFmtId="4" fontId="12" fillId="0" borderId="68" xfId="0" applyNumberFormat="1" applyFont="1" applyBorder="1" applyAlignment="1">
      <alignment horizontal="left" vertical="top"/>
    </xf>
    <xf numFmtId="0" fontId="12" fillId="0" borderId="51" xfId="0" applyFont="1" applyBorder="1" applyAlignment="1">
      <alignment horizontal="left" vertical="center"/>
    </xf>
    <xf numFmtId="0" fontId="12" fillId="0" borderId="60" xfId="0" applyFont="1" applyBorder="1" applyAlignment="1">
      <alignment horizontal="left" vertical="center"/>
    </xf>
    <xf numFmtId="0" fontId="12" fillId="0" borderId="48" xfId="0" applyFont="1" applyBorder="1" applyAlignment="1">
      <alignment horizontal="left" vertical="center"/>
    </xf>
    <xf numFmtId="0" fontId="12" fillId="0" borderId="61" xfId="0" applyFont="1" applyBorder="1" applyAlignment="1">
      <alignment horizontal="left" vertical="center"/>
    </xf>
    <xf numFmtId="0" fontId="12" fillId="0" borderId="59" xfId="0" applyFont="1" applyBorder="1" applyAlignment="1">
      <alignment horizontal="left" vertical="center"/>
    </xf>
    <xf numFmtId="0" fontId="12" fillId="0" borderId="67" xfId="0" applyFont="1" applyBorder="1" applyAlignment="1">
      <alignment horizontal="left" vertical="center"/>
    </xf>
    <xf numFmtId="4" fontId="12" fillId="0" borderId="81" xfId="0" applyNumberFormat="1" applyFont="1" applyBorder="1" applyAlignment="1">
      <alignment horizontal="left" vertical="center"/>
    </xf>
    <xf numFmtId="4" fontId="12" fillId="0" borderId="60" xfId="0" applyNumberFormat="1" applyFont="1" applyBorder="1" applyAlignment="1">
      <alignment horizontal="left" vertical="center"/>
    </xf>
    <xf numFmtId="4" fontId="12" fillId="0" borderId="71" xfId="0" applyNumberFormat="1" applyFont="1" applyBorder="1" applyAlignment="1">
      <alignment horizontal="left" vertical="center"/>
    </xf>
    <xf numFmtId="4" fontId="12" fillId="0" borderId="61" xfId="0" applyNumberFormat="1" applyFont="1" applyBorder="1" applyAlignment="1">
      <alignment horizontal="left" vertical="center"/>
    </xf>
    <xf numFmtId="4" fontId="12" fillId="0" borderId="72" xfId="0" applyNumberFormat="1" applyFont="1" applyBorder="1" applyAlignment="1">
      <alignment horizontal="left" vertical="center"/>
    </xf>
    <xf numFmtId="4" fontId="12" fillId="0" borderId="67" xfId="0" applyNumberFormat="1" applyFont="1" applyBorder="1" applyAlignment="1">
      <alignment horizontal="left" vertical="center"/>
    </xf>
    <xf numFmtId="4" fontId="12" fillId="0" borderId="73" xfId="0" applyNumberFormat="1" applyFont="1" applyBorder="1" applyAlignment="1">
      <alignment horizontal="left" vertical="center"/>
    </xf>
    <xf numFmtId="165" fontId="12" fillId="0" borderId="77" xfId="1" quotePrefix="1" applyNumberFormat="1" applyFont="1" applyBorder="1" applyAlignment="1" applyProtection="1">
      <alignment vertical="center"/>
    </xf>
    <xf numFmtId="165" fontId="12" fillId="0" borderId="77" xfId="1" applyNumberFormat="1" applyFont="1" applyBorder="1" applyAlignment="1">
      <alignment vertical="center"/>
    </xf>
    <xf numFmtId="165" fontId="12" fillId="0" borderId="78" xfId="1" quotePrefix="1" applyNumberFormat="1" applyFont="1" applyBorder="1" applyAlignment="1" applyProtection="1">
      <alignment vertical="center"/>
    </xf>
    <xf numFmtId="165" fontId="12" fillId="0" borderId="78" xfId="1" applyNumberFormat="1" applyFont="1" applyBorder="1" applyAlignment="1">
      <alignment vertical="center"/>
    </xf>
    <xf numFmtId="165" fontId="12" fillId="0" borderId="102" xfId="1" quotePrefix="1" applyNumberFormat="1" applyFont="1" applyBorder="1" applyAlignment="1" applyProtection="1">
      <alignment vertical="center"/>
    </xf>
    <xf numFmtId="165" fontId="12" fillId="0" borderId="102" xfId="1" applyNumberFormat="1" applyFont="1" applyBorder="1" applyAlignment="1">
      <alignment vertical="center"/>
    </xf>
    <xf numFmtId="168" fontId="8" fillId="6" borderId="77" xfId="7" applyNumberFormat="1" applyFont="1" applyFill="1" applyBorder="1" applyAlignment="1">
      <alignment horizontal="center" vertical="center" wrapText="1"/>
    </xf>
    <xf numFmtId="165" fontId="8" fillId="7" borderId="101" xfId="1" applyNumberFormat="1" applyFont="1" applyFill="1" applyBorder="1" applyAlignment="1"/>
    <xf numFmtId="174" fontId="12" fillId="0" borderId="85" xfId="0" applyNumberFormat="1" applyFont="1" applyBorder="1" applyAlignment="1">
      <alignment vertical="center"/>
    </xf>
    <xf numFmtId="0" fontId="12" fillId="0" borderId="77" xfId="0" applyFont="1" applyBorder="1" applyAlignment="1">
      <alignment vertical="center"/>
    </xf>
    <xf numFmtId="165" fontId="12" fillId="0" borderId="77" xfId="1" applyNumberFormat="1" applyFont="1" applyFill="1" applyBorder="1" applyAlignment="1"/>
    <xf numFmtId="174" fontId="12" fillId="0" borderId="77" xfId="0" applyNumberFormat="1" applyFont="1" applyBorder="1" applyAlignment="1">
      <alignment vertical="center"/>
    </xf>
    <xf numFmtId="174" fontId="12" fillId="0" borderId="86" xfId="0" applyNumberFormat="1" applyFont="1" applyBorder="1" applyAlignment="1">
      <alignment vertical="center"/>
    </xf>
    <xf numFmtId="0" fontId="12" fillId="0" borderId="78" xfId="0" applyFont="1" applyBorder="1" applyAlignment="1">
      <alignment vertical="center"/>
    </xf>
    <xf numFmtId="165" fontId="12" fillId="0" borderId="78" xfId="1" applyNumberFormat="1" applyFont="1" applyFill="1" applyBorder="1" applyAlignment="1"/>
    <xf numFmtId="174" fontId="12" fillId="0" borderId="78" xfId="0" applyNumberFormat="1" applyFont="1" applyBorder="1" applyAlignment="1">
      <alignment vertical="center"/>
    </xf>
    <xf numFmtId="174" fontId="12" fillId="0" borderId="87" xfId="0" applyNumberFormat="1" applyFont="1" applyBorder="1" applyAlignment="1">
      <alignment vertical="center"/>
    </xf>
    <xf numFmtId="0" fontId="12" fillId="0" borderId="102" xfId="0" applyFont="1" applyBorder="1" applyAlignment="1">
      <alignment vertical="center"/>
    </xf>
    <xf numFmtId="165" fontId="12" fillId="0" borderId="102" xfId="1" applyNumberFormat="1" applyFont="1" applyFill="1" applyBorder="1" applyAlignment="1"/>
    <xf numFmtId="174" fontId="12" fillId="0" borderId="102" xfId="0" applyNumberFormat="1" applyFont="1" applyBorder="1" applyAlignment="1">
      <alignment vertical="center"/>
    </xf>
    <xf numFmtId="14" fontId="12" fillId="0" borderId="71" xfId="0" applyNumberFormat="1" applyFont="1" applyBorder="1" applyAlignment="1">
      <alignment vertical="center"/>
    </xf>
    <xf numFmtId="14" fontId="12" fillId="0" borderId="72" xfId="0" applyNumberFormat="1" applyFont="1" applyBorder="1" applyAlignment="1">
      <alignment vertical="center"/>
    </xf>
    <xf numFmtId="14" fontId="12" fillId="0" borderId="73" xfId="0" applyNumberFormat="1" applyFont="1" applyBorder="1" applyAlignment="1">
      <alignment vertical="center"/>
    </xf>
    <xf numFmtId="0" fontId="17" fillId="6" borderId="57" xfId="9" applyFont="1" applyFill="1" applyBorder="1" applyAlignment="1">
      <alignment horizontal="center" vertical="center"/>
    </xf>
    <xf numFmtId="0" fontId="31" fillId="0" borderId="52" xfId="0" applyFont="1" applyBorder="1" applyAlignment="1">
      <alignment horizontal="center" vertical="center" wrapText="1"/>
    </xf>
    <xf numFmtId="0" fontId="31" fillId="0" borderId="58" xfId="0" applyFont="1" applyBorder="1" applyAlignment="1">
      <alignment horizontal="center" vertical="center" wrapText="1"/>
    </xf>
    <xf numFmtId="0" fontId="31" fillId="0" borderId="88" xfId="0" applyFont="1" applyBorder="1" applyAlignment="1">
      <alignment horizontal="center" vertical="center" wrapText="1"/>
    </xf>
    <xf numFmtId="0" fontId="13" fillId="0" borderId="98" xfId="0" applyFont="1" applyBorder="1" applyAlignment="1" applyProtection="1">
      <alignment horizontal="left" vertical="center" wrapText="1"/>
      <protection locked="0"/>
    </xf>
    <xf numFmtId="14" fontId="13" fillId="0" borderId="99" xfId="0" applyNumberFormat="1" applyFont="1" applyBorder="1" applyAlignment="1" applyProtection="1">
      <alignment horizontal="left" vertical="center" wrapText="1"/>
      <protection locked="0"/>
    </xf>
    <xf numFmtId="9" fontId="12" fillId="0" borderId="61" xfId="2" applyFont="1" applyFill="1" applyBorder="1" applyAlignment="1">
      <alignment horizontal="left" vertical="center"/>
    </xf>
    <xf numFmtId="9" fontId="12" fillId="0" borderId="67" xfId="2" applyFont="1" applyFill="1" applyBorder="1" applyAlignment="1">
      <alignment horizontal="left" vertical="center"/>
    </xf>
    <xf numFmtId="9" fontId="12" fillId="0" borderId="75" xfId="2" applyFont="1" applyFill="1" applyBorder="1" applyAlignment="1">
      <alignment horizontal="left" vertical="center"/>
    </xf>
    <xf numFmtId="9" fontId="12" fillId="0" borderId="76" xfId="2" applyFont="1" applyFill="1" applyBorder="1" applyAlignment="1">
      <alignment horizontal="left" vertical="center"/>
    </xf>
    <xf numFmtId="167" fontId="12" fillId="0" borderId="89" xfId="1" applyNumberFormat="1" applyFont="1" applyFill="1" applyBorder="1" applyAlignment="1">
      <alignment horizontal="right" vertical="center" indent="3"/>
    </xf>
    <xf numFmtId="165" fontId="12" fillId="0" borderId="89" xfId="1" applyNumberFormat="1" applyFont="1" applyFill="1" applyBorder="1" applyAlignment="1">
      <alignment horizontal="right" vertical="center"/>
    </xf>
    <xf numFmtId="166" fontId="12" fillId="0" borderId="89" xfId="1" applyNumberFormat="1" applyFont="1" applyFill="1" applyBorder="1" applyAlignment="1">
      <alignment horizontal="right" vertical="center"/>
    </xf>
    <xf numFmtId="175" fontId="31" fillId="0" borderId="89" xfId="0" applyNumberFormat="1" applyFont="1" applyBorder="1" applyAlignment="1">
      <alignment horizontal="center" vertical="center"/>
    </xf>
    <xf numFmtId="9" fontId="12" fillId="0" borderId="91" xfId="2" applyFont="1" applyFill="1" applyBorder="1" applyAlignment="1">
      <alignment horizontal="left" vertical="center"/>
    </xf>
    <xf numFmtId="9" fontId="12" fillId="0" borderId="107" xfId="2" applyFont="1" applyFill="1" applyBorder="1" applyAlignment="1">
      <alignment horizontal="left" vertical="center"/>
    </xf>
    <xf numFmtId="9" fontId="12" fillId="0" borderId="109" xfId="2" applyFont="1" applyFill="1" applyBorder="1" applyAlignment="1">
      <alignment horizontal="left" vertical="center"/>
    </xf>
    <xf numFmtId="0" fontId="12" fillId="0" borderId="63" xfId="0" applyFont="1" applyBorder="1" applyAlignment="1">
      <alignment horizontal="left"/>
    </xf>
    <xf numFmtId="0" fontId="12" fillId="0" borderId="60" xfId="0" applyFont="1" applyBorder="1" applyAlignment="1">
      <alignment vertical="center"/>
    </xf>
    <xf numFmtId="0" fontId="12" fillId="0" borderId="46" xfId="0" applyFont="1" applyBorder="1" applyAlignment="1">
      <alignment horizontal="left"/>
    </xf>
    <xf numFmtId="0" fontId="12" fillId="0" borderId="61" xfId="0" applyFont="1" applyBorder="1" applyAlignment="1">
      <alignment vertical="center"/>
    </xf>
    <xf numFmtId="0" fontId="12" fillId="0" borderId="56" xfId="0" applyFont="1" applyBorder="1" applyAlignment="1">
      <alignment horizontal="left"/>
    </xf>
    <xf numFmtId="0" fontId="12" fillId="0" borderId="67" xfId="0" applyFont="1" applyBorder="1" applyAlignment="1">
      <alignment vertical="center"/>
    </xf>
    <xf numFmtId="171" fontId="12" fillId="0" borderId="60" xfId="8" applyNumberFormat="1" applyFont="1" applyBorder="1" applyProtection="1">
      <protection locked="0"/>
    </xf>
    <xf numFmtId="171" fontId="12" fillId="0" borderId="70" xfId="8" applyNumberFormat="1" applyFont="1" applyBorder="1" applyProtection="1">
      <protection locked="0"/>
    </xf>
    <xf numFmtId="172" fontId="12" fillId="7" borderId="110" xfId="0" applyNumberFormat="1" applyFont="1" applyFill="1" applyBorder="1"/>
    <xf numFmtId="0" fontId="12" fillId="0" borderId="21" xfId="0" applyFont="1" applyBorder="1" applyAlignment="1" applyProtection="1">
      <alignment horizontal="center" vertical="center" wrapText="1"/>
      <protection locked="0"/>
    </xf>
    <xf numFmtId="0" fontId="12" fillId="0" borderId="12" xfId="0" applyFont="1" applyBorder="1" applyAlignment="1" applyProtection="1">
      <alignment horizontal="center" vertical="center" wrapText="1"/>
      <protection locked="0"/>
    </xf>
    <xf numFmtId="165" fontId="12" fillId="0" borderId="102" xfId="1" applyNumberFormat="1" applyFont="1" applyBorder="1" applyAlignment="1">
      <alignment horizontal="center"/>
    </xf>
    <xf numFmtId="165" fontId="12" fillId="0" borderId="78" xfId="1" applyNumberFormat="1" applyFont="1" applyBorder="1" applyAlignment="1">
      <alignment horizontal="center"/>
    </xf>
    <xf numFmtId="0" fontId="8" fillId="6" borderId="8" xfId="0" applyFont="1" applyFill="1" applyBorder="1" applyAlignment="1">
      <alignment horizontal="center" vertical="center" wrapText="1"/>
    </xf>
    <xf numFmtId="165" fontId="12" fillId="0" borderId="77" xfId="1" applyNumberFormat="1" applyFont="1" applyBorder="1" applyAlignment="1">
      <alignment horizontal="center"/>
    </xf>
    <xf numFmtId="0" fontId="8" fillId="3" borderId="0" xfId="0" applyFont="1" applyFill="1" applyAlignment="1">
      <alignment horizontal="left"/>
    </xf>
    <xf numFmtId="0" fontId="8" fillId="0" borderId="0" xfId="0" applyFont="1" applyAlignment="1">
      <alignment horizontal="left"/>
    </xf>
    <xf numFmtId="0" fontId="8" fillId="6" borderId="8" xfId="0" applyFont="1" applyFill="1" applyBorder="1" applyAlignment="1">
      <alignment horizontal="center" vertical="center"/>
    </xf>
    <xf numFmtId="0" fontId="8" fillId="6" borderId="7" xfId="6" applyFont="1" applyFill="1" applyBorder="1" applyAlignment="1">
      <alignment horizontal="center" vertical="center" wrapText="1"/>
    </xf>
    <xf numFmtId="0" fontId="12" fillId="0" borderId="61" xfId="6" applyFont="1" applyBorder="1" applyAlignment="1">
      <alignment horizontal="left"/>
    </xf>
    <xf numFmtId="0" fontId="8" fillId="6" borderId="90" xfId="6" applyFont="1" applyFill="1" applyBorder="1" applyAlignment="1">
      <alignment horizontal="center" vertical="center" wrapText="1"/>
    </xf>
    <xf numFmtId="0" fontId="12" fillId="0" borderId="60" xfId="6" applyFont="1" applyBorder="1" applyAlignment="1">
      <alignment horizontal="left"/>
    </xf>
    <xf numFmtId="0" fontId="8" fillId="6" borderId="8" xfId="6" applyFont="1" applyFill="1" applyBorder="1" applyAlignment="1">
      <alignment horizontal="center" vertical="center" wrapText="1"/>
    </xf>
    <xf numFmtId="0" fontId="12" fillId="0" borderId="71" xfId="6" applyFont="1" applyBorder="1" applyAlignment="1">
      <alignment horizontal="left"/>
    </xf>
    <xf numFmtId="0" fontId="8" fillId="0" borderId="0" xfId="6" applyFont="1" applyAlignment="1">
      <alignment horizontal="right"/>
    </xf>
    <xf numFmtId="0" fontId="8" fillId="6" borderId="77" xfId="6" applyFont="1" applyFill="1" applyBorder="1" applyAlignment="1">
      <alignment horizontal="center" vertical="center" wrapText="1"/>
    </xf>
    <xf numFmtId="0" fontId="8" fillId="6" borderId="8" xfId="9" applyFont="1" applyFill="1" applyBorder="1" applyAlignment="1">
      <alignment horizontal="center" vertical="center" wrapText="1"/>
    </xf>
    <xf numFmtId="0" fontId="8" fillId="0" borderId="0" xfId="0" applyFont="1" applyAlignment="1">
      <alignment horizontal="right"/>
    </xf>
    <xf numFmtId="4" fontId="8" fillId="6" borderId="8" xfId="0" applyNumberFormat="1" applyFont="1" applyFill="1" applyBorder="1" applyAlignment="1">
      <alignment horizontal="center" vertical="center" wrapText="1"/>
    </xf>
    <xf numFmtId="0" fontId="12" fillId="0" borderId="0" xfId="0" applyFont="1" applyAlignment="1">
      <alignment horizontal="left"/>
    </xf>
    <xf numFmtId="165" fontId="25" fillId="0" borderId="110" xfId="1" quotePrefix="1" applyNumberFormat="1" applyFont="1" applyFill="1" applyBorder="1" applyAlignment="1" applyProtection="1">
      <alignment horizontal="left" vertical="center"/>
    </xf>
    <xf numFmtId="165" fontId="25" fillId="0" borderId="111" xfId="1" quotePrefix="1" applyNumberFormat="1" applyFont="1" applyFill="1" applyBorder="1" applyAlignment="1" applyProtection="1">
      <alignment horizontal="left" vertical="center"/>
    </xf>
    <xf numFmtId="165" fontId="1" fillId="5" borderId="8" xfId="1" applyNumberFormat="1" applyFont="1" applyFill="1" applyBorder="1" applyAlignment="1">
      <alignment horizontal="right" vertical="center" wrapText="1"/>
    </xf>
    <xf numFmtId="167" fontId="1" fillId="5" borderId="8" xfId="1" applyNumberFormat="1" applyFont="1" applyFill="1" applyBorder="1" applyAlignment="1">
      <alignment horizontal="right" vertical="center" wrapText="1"/>
    </xf>
    <xf numFmtId="165" fontId="1" fillId="6" borderId="8" xfId="1" applyNumberFormat="1" applyFont="1" applyFill="1" applyBorder="1" applyAlignment="1">
      <alignment horizontal="right" vertical="center" wrapText="1"/>
    </xf>
    <xf numFmtId="0" fontId="12" fillId="0" borderId="110" xfId="0" applyFont="1" applyBorder="1" applyAlignment="1" applyProtection="1">
      <alignment horizontal="left" vertical="center"/>
      <protection locked="0"/>
    </xf>
    <xf numFmtId="165" fontId="12" fillId="0" borderId="110" xfId="1" applyNumberFormat="1" applyFont="1" applyFill="1" applyBorder="1" applyAlignment="1"/>
    <xf numFmtId="165" fontId="12" fillId="0" borderId="110" xfId="1" applyNumberFormat="1" applyFont="1" applyFill="1" applyBorder="1" applyAlignment="1">
      <alignment horizontal="center"/>
    </xf>
    <xf numFmtId="0" fontId="12" fillId="0" borderId="111" xfId="0" applyFont="1" applyBorder="1" applyAlignment="1" applyProtection="1">
      <alignment horizontal="left" vertical="center"/>
      <protection locked="0"/>
    </xf>
    <xf numFmtId="165" fontId="12" fillId="0" borderId="111" xfId="1" applyNumberFormat="1" applyFont="1" applyFill="1" applyBorder="1" applyAlignment="1"/>
    <xf numFmtId="4" fontId="12" fillId="0" borderId="110" xfId="0" applyNumberFormat="1" applyFont="1" applyBorder="1" applyAlignment="1">
      <alignment vertical="top"/>
    </xf>
    <xf numFmtId="4" fontId="12" fillId="0" borderId="111" xfId="0" applyNumberFormat="1" applyFont="1" applyBorder="1" applyAlignment="1">
      <alignment vertical="top"/>
    </xf>
    <xf numFmtId="4" fontId="12" fillId="0" borderId="110" xfId="0" applyNumberFormat="1" applyFont="1" applyBorder="1"/>
    <xf numFmtId="165" fontId="12" fillId="0" borderId="110" xfId="1" applyNumberFormat="1" applyFont="1" applyBorder="1" applyAlignment="1"/>
    <xf numFmtId="4" fontId="12" fillId="0" borderId="111" xfId="0" applyNumberFormat="1" applyFont="1" applyBorder="1"/>
    <xf numFmtId="0" fontId="12" fillId="0" borderId="7" xfId="0" applyFont="1" applyBorder="1" applyProtection="1">
      <protection locked="0"/>
    </xf>
    <xf numFmtId="4" fontId="12" fillId="0" borderId="110" xfId="0" applyNumberFormat="1" applyFont="1" applyBorder="1" applyAlignment="1">
      <alignment horizontal="left" vertical="center"/>
    </xf>
    <xf numFmtId="4" fontId="12" fillId="0" borderId="111" xfId="0" applyNumberFormat="1" applyFont="1" applyBorder="1" applyAlignment="1">
      <alignment horizontal="left" vertical="center"/>
    </xf>
    <xf numFmtId="0" fontId="12" fillId="0" borderId="110" xfId="6" applyFont="1" applyBorder="1" applyAlignment="1">
      <alignment horizontal="left"/>
    </xf>
    <xf numFmtId="0" fontId="12" fillId="0" borderId="110" xfId="6" applyFont="1" applyBorder="1"/>
    <xf numFmtId="0" fontId="12" fillId="0" borderId="111" xfId="6" applyFont="1" applyBorder="1"/>
    <xf numFmtId="0" fontId="12" fillId="0" borderId="110" xfId="0" applyFont="1" applyBorder="1" applyProtection="1">
      <protection locked="0"/>
    </xf>
    <xf numFmtId="0" fontId="12" fillId="0" borderId="111" xfId="0" applyFont="1" applyBorder="1" applyProtection="1">
      <protection locked="0"/>
    </xf>
    <xf numFmtId="0" fontId="1" fillId="0" borderId="14" xfId="0" applyFont="1" applyBorder="1"/>
    <xf numFmtId="0" fontId="1" fillId="0" borderId="0" xfId="0" applyFont="1"/>
    <xf numFmtId="0" fontId="1" fillId="0" borderId="16" xfId="0" applyFont="1" applyBorder="1"/>
    <xf numFmtId="3" fontId="1" fillId="0" borderId="33" xfId="0" applyNumberFormat="1" applyFont="1" applyBorder="1" applyAlignment="1">
      <alignment horizontal="right" vertical="center" indent="4"/>
    </xf>
    <xf numFmtId="3" fontId="1" fillId="0" borderId="0" xfId="0" applyNumberFormat="1" applyFont="1" applyAlignment="1">
      <alignment horizontal="right" vertical="center" indent="4"/>
    </xf>
    <xf numFmtId="3" fontId="1" fillId="6" borderId="33" xfId="0" applyNumberFormat="1" applyFont="1" applyFill="1" applyBorder="1" applyAlignment="1">
      <alignment horizontal="right" vertical="center" indent="4"/>
    </xf>
    <xf numFmtId="9" fontId="12" fillId="0" borderId="110" xfId="2" applyFont="1" applyFill="1" applyBorder="1" applyAlignment="1">
      <alignment horizontal="left" vertical="center"/>
    </xf>
    <xf numFmtId="9" fontId="12" fillId="0" borderId="111" xfId="2" applyFont="1" applyFill="1" applyBorder="1" applyAlignment="1">
      <alignment horizontal="left" vertical="center"/>
    </xf>
    <xf numFmtId="49" fontId="1" fillId="0" borderId="82" xfId="8" applyNumberFormat="1" applyFont="1" applyBorder="1" applyAlignment="1" applyProtection="1">
      <alignment horizontal="center"/>
      <protection locked="0"/>
    </xf>
    <xf numFmtId="171" fontId="1" fillId="0" borderId="79" xfId="8" applyNumberFormat="1" applyFont="1" applyBorder="1" applyAlignment="1" applyProtection="1">
      <alignment horizontal="center"/>
      <protection locked="0"/>
    </xf>
    <xf numFmtId="3" fontId="1" fillId="0" borderId="79" xfId="8" applyNumberFormat="1" applyFont="1" applyBorder="1" applyAlignment="1" applyProtection="1">
      <alignment horizontal="right" indent="2"/>
      <protection locked="0"/>
    </xf>
    <xf numFmtId="3" fontId="1" fillId="0" borderId="79" xfId="8" applyNumberFormat="1" applyFont="1" applyBorder="1" applyAlignment="1" applyProtection="1">
      <alignment horizontal="left" indent="2"/>
      <protection locked="0"/>
    </xf>
    <xf numFmtId="10" fontId="1" fillId="0" borderId="79" xfId="8" applyNumberFormat="1" applyFont="1" applyBorder="1" applyAlignment="1" applyProtection="1">
      <alignment horizontal="right" indent="2"/>
      <protection locked="0"/>
    </xf>
    <xf numFmtId="10" fontId="1" fillId="7" borderId="79" xfId="8" applyNumberFormat="1" applyFont="1" applyFill="1" applyBorder="1" applyProtection="1">
      <protection locked="0"/>
    </xf>
    <xf numFmtId="3" fontId="1" fillId="7" borderId="80" xfId="8" applyNumberFormat="1" applyFont="1" applyFill="1" applyBorder="1" applyAlignment="1" applyProtection="1">
      <alignment horizontal="right" indent="2"/>
      <protection locked="0"/>
    </xf>
    <xf numFmtId="49" fontId="1" fillId="0" borderId="83" xfId="8" applyNumberFormat="1" applyFont="1" applyBorder="1" applyAlignment="1" applyProtection="1">
      <alignment horizontal="center"/>
      <protection locked="0"/>
    </xf>
    <xf numFmtId="171" fontId="1" fillId="0" borderId="112" xfId="8" applyNumberFormat="1" applyFont="1" applyBorder="1" applyAlignment="1" applyProtection="1">
      <alignment horizontal="center"/>
      <protection locked="0"/>
    </xf>
    <xf numFmtId="3" fontId="1" fillId="0" borderId="112" xfId="8" applyNumberFormat="1" applyFont="1" applyBorder="1" applyAlignment="1" applyProtection="1">
      <alignment horizontal="right" indent="2"/>
      <protection locked="0"/>
    </xf>
    <xf numFmtId="3" fontId="1" fillId="0" borderId="112" xfId="8" applyNumberFormat="1" applyFont="1" applyBorder="1" applyAlignment="1" applyProtection="1">
      <alignment horizontal="left" indent="2"/>
      <protection locked="0"/>
    </xf>
    <xf numFmtId="10" fontId="1" fillId="0" borderId="112" xfId="8" applyNumberFormat="1" applyFont="1" applyBorder="1" applyAlignment="1" applyProtection="1">
      <alignment horizontal="right" indent="2"/>
      <protection locked="0"/>
    </xf>
    <xf numFmtId="10" fontId="17" fillId="0" borderId="112" xfId="8" applyNumberFormat="1" applyFont="1" applyBorder="1" applyAlignment="1" applyProtection="1">
      <alignment horizontal="center"/>
      <protection locked="0"/>
    </xf>
    <xf numFmtId="10" fontId="1" fillId="7" borderId="112" xfId="8" applyNumberFormat="1" applyFont="1" applyFill="1" applyBorder="1" applyProtection="1">
      <protection locked="0"/>
    </xf>
    <xf numFmtId="3" fontId="1" fillId="7" borderId="113" xfId="8" applyNumberFormat="1" applyFont="1" applyFill="1" applyBorder="1" applyAlignment="1" applyProtection="1">
      <alignment horizontal="right" indent="2"/>
      <protection locked="0"/>
    </xf>
    <xf numFmtId="49" fontId="1" fillId="0" borderId="84" xfId="8" applyNumberFormat="1" applyFont="1" applyBorder="1" applyAlignment="1" applyProtection="1">
      <alignment horizontal="center"/>
      <protection locked="0"/>
    </xf>
    <xf numFmtId="3" fontId="12" fillId="0" borderId="112" xfId="8" applyNumberFormat="1" applyFont="1" applyBorder="1" applyAlignment="1" applyProtection="1">
      <alignment horizontal="right" indent="2"/>
      <protection locked="0"/>
    </xf>
    <xf numFmtId="171" fontId="1" fillId="0" borderId="83" xfId="8" applyNumberFormat="1" applyFont="1" applyBorder="1" applyAlignment="1" applyProtection="1">
      <alignment horizontal="center"/>
      <protection locked="0"/>
    </xf>
    <xf numFmtId="171" fontId="1" fillId="0" borderId="84" xfId="8" applyNumberFormat="1" applyFont="1" applyBorder="1" applyAlignment="1" applyProtection="1">
      <alignment horizontal="center"/>
      <protection locked="0"/>
    </xf>
    <xf numFmtId="0" fontId="8" fillId="0" borderId="18" xfId="0" applyFont="1" applyBorder="1" applyAlignment="1">
      <alignment horizontal="right"/>
    </xf>
    <xf numFmtId="0" fontId="8" fillId="0" borderId="19" xfId="0" applyFont="1" applyBorder="1" applyAlignment="1">
      <alignment horizontal="right"/>
    </xf>
    <xf numFmtId="0" fontId="8" fillId="0" borderId="16" xfId="0" applyFont="1" applyBorder="1" applyAlignment="1">
      <alignment horizontal="right"/>
    </xf>
    <xf numFmtId="171" fontId="1" fillId="0" borderId="115" xfId="8" applyNumberFormat="1" applyFont="1" applyBorder="1" applyAlignment="1" applyProtection="1">
      <alignment horizontal="center"/>
      <protection locked="0"/>
    </xf>
    <xf numFmtId="3" fontId="1" fillId="0" borderId="115" xfId="8" applyNumberFormat="1" applyFont="1" applyBorder="1" applyAlignment="1" applyProtection="1">
      <alignment horizontal="right" indent="2"/>
      <protection locked="0"/>
    </xf>
    <xf numFmtId="3" fontId="1" fillId="0" borderId="115" xfId="8" applyNumberFormat="1" applyFont="1" applyBorder="1" applyAlignment="1" applyProtection="1">
      <alignment horizontal="left" indent="2"/>
      <protection locked="0"/>
    </xf>
    <xf numFmtId="10" fontId="1" fillId="0" borderId="115" xfId="8" applyNumberFormat="1" applyFont="1" applyBorder="1" applyAlignment="1" applyProtection="1">
      <alignment horizontal="right" indent="2"/>
      <protection locked="0"/>
    </xf>
    <xf numFmtId="10" fontId="17" fillId="0" borderId="115" xfId="8" applyNumberFormat="1" applyFont="1" applyBorder="1" applyAlignment="1" applyProtection="1">
      <alignment horizontal="center"/>
      <protection locked="0"/>
    </xf>
    <xf numFmtId="10" fontId="1" fillId="7" borderId="115" xfId="8" applyNumberFormat="1" applyFont="1" applyFill="1" applyBorder="1" applyProtection="1">
      <protection locked="0"/>
    </xf>
    <xf numFmtId="3" fontId="1" fillId="7" borderId="116" xfId="8" applyNumberFormat="1" applyFont="1" applyFill="1" applyBorder="1" applyAlignment="1" applyProtection="1">
      <alignment horizontal="right" indent="2"/>
      <protection locked="0"/>
    </xf>
    <xf numFmtId="172" fontId="12" fillId="7" borderId="117" xfId="0" applyNumberFormat="1" applyFont="1" applyFill="1" applyBorder="1"/>
    <xf numFmtId="0" fontId="12" fillId="0" borderId="51" xfId="0" applyFont="1" applyBorder="1"/>
    <xf numFmtId="165" fontId="12" fillId="0" borderId="71" xfId="1" applyNumberFormat="1" applyFont="1" applyFill="1" applyBorder="1" applyAlignment="1">
      <alignment horizontal="right"/>
    </xf>
    <xf numFmtId="165" fontId="12" fillId="0" borderId="72" xfId="1" applyNumberFormat="1" applyFont="1" applyFill="1" applyBorder="1" applyAlignment="1">
      <alignment horizontal="right"/>
    </xf>
    <xf numFmtId="165" fontId="12" fillId="0" borderId="73" xfId="1" applyNumberFormat="1" applyFont="1" applyFill="1" applyBorder="1" applyAlignment="1">
      <alignment horizontal="right"/>
    </xf>
    <xf numFmtId="0" fontId="12" fillId="0" borderId="48" xfId="0" applyFont="1" applyBorder="1"/>
    <xf numFmtId="0" fontId="12" fillId="0" borderId="62" xfId="0" applyFont="1" applyBorder="1"/>
    <xf numFmtId="0" fontId="12" fillId="0" borderId="49" xfId="0" applyFont="1" applyBorder="1"/>
    <xf numFmtId="0" fontId="12" fillId="0" borderId="59" xfId="0" applyFont="1" applyBorder="1"/>
    <xf numFmtId="0" fontId="12" fillId="0" borderId="68" xfId="0" applyFont="1" applyBorder="1"/>
    <xf numFmtId="3" fontId="12" fillId="0" borderId="81" xfId="0" applyNumberFormat="1" applyFont="1" applyBorder="1" applyAlignment="1">
      <alignment horizontal="left" vertical="top"/>
    </xf>
    <xf numFmtId="0" fontId="34" fillId="0" borderId="60" xfId="0" applyFont="1" applyBorder="1" applyProtection="1">
      <protection locked="0"/>
    </xf>
    <xf numFmtId="0" fontId="34" fillId="0" borderId="74" xfId="0" applyFont="1" applyBorder="1" applyProtection="1">
      <protection locked="0"/>
    </xf>
    <xf numFmtId="3" fontId="12" fillId="0" borderId="114" xfId="0" applyNumberFormat="1" applyFont="1" applyBorder="1" applyAlignment="1">
      <alignment horizontal="left" vertical="top"/>
    </xf>
    <xf numFmtId="0" fontId="34" fillId="0" borderId="61" xfId="0" applyFont="1" applyBorder="1" applyProtection="1">
      <protection locked="0"/>
    </xf>
    <xf numFmtId="0" fontId="34" fillId="0" borderId="75" xfId="0" applyFont="1" applyBorder="1" applyProtection="1">
      <protection locked="0"/>
    </xf>
    <xf numFmtId="3" fontId="12" fillId="0" borderId="117" xfId="0" applyNumberFormat="1" applyFont="1" applyBorder="1" applyAlignment="1">
      <alignment horizontal="left" vertical="top"/>
    </xf>
    <xf numFmtId="0" fontId="34" fillId="0" borderId="67" xfId="0" applyFont="1" applyBorder="1" applyProtection="1">
      <protection locked="0"/>
    </xf>
    <xf numFmtId="0" fontId="34" fillId="0" borderId="76" xfId="0" applyFont="1" applyBorder="1" applyProtection="1">
      <protection locked="0"/>
    </xf>
    <xf numFmtId="165" fontId="12" fillId="0" borderId="106" xfId="1" applyNumberFormat="1" applyFont="1" applyFill="1" applyBorder="1" applyAlignment="1">
      <alignment horizontal="right"/>
    </xf>
    <xf numFmtId="165" fontId="12" fillId="0" borderId="119" xfId="1" applyNumberFormat="1" applyFont="1" applyFill="1" applyBorder="1" applyAlignment="1">
      <alignment horizontal="right" indent="2"/>
    </xf>
    <xf numFmtId="165" fontId="12" fillId="0" borderId="91" xfId="1" applyNumberFormat="1" applyFont="1" applyFill="1" applyBorder="1" applyAlignment="1">
      <alignment horizontal="right" indent="2"/>
    </xf>
    <xf numFmtId="165" fontId="12" fillId="0" borderId="114" xfId="1" applyNumberFormat="1" applyFont="1" applyFill="1" applyBorder="1" applyAlignment="1">
      <alignment horizontal="right" indent="2"/>
    </xf>
    <xf numFmtId="165" fontId="12" fillId="0" borderId="117" xfId="1" applyNumberFormat="1" applyFont="1" applyFill="1" applyBorder="1" applyAlignment="1">
      <alignment horizontal="right" indent="2"/>
    </xf>
    <xf numFmtId="0" fontId="12" fillId="0" borderId="77" xfId="0" applyFont="1" applyBorder="1" applyProtection="1">
      <protection locked="0"/>
    </xf>
    <xf numFmtId="0" fontId="34" fillId="0" borderId="77" xfId="0" applyFont="1" applyBorder="1" applyProtection="1">
      <protection locked="0"/>
    </xf>
    <xf numFmtId="0" fontId="34" fillId="0" borderId="78" xfId="0" applyFont="1" applyBorder="1" applyProtection="1">
      <protection locked="0"/>
    </xf>
    <xf numFmtId="0" fontId="34" fillId="0" borderId="102" xfId="0" applyFont="1" applyBorder="1" applyProtection="1">
      <protection locked="0"/>
    </xf>
    <xf numFmtId="0" fontId="34" fillId="0" borderId="81" xfId="0" applyFont="1" applyBorder="1" applyAlignment="1" applyProtection="1">
      <alignment horizontal="left" vertical="center"/>
      <protection locked="0"/>
    </xf>
    <xf numFmtId="0" fontId="34" fillId="0" borderId="60" xfId="0" applyFont="1" applyBorder="1" applyAlignment="1" applyProtection="1">
      <alignment horizontal="left" vertical="center"/>
      <protection locked="0"/>
    </xf>
    <xf numFmtId="0" fontId="34" fillId="0" borderId="74" xfId="0" applyFont="1" applyBorder="1" applyAlignment="1" applyProtection="1">
      <alignment horizontal="left" vertical="center"/>
      <protection locked="0"/>
    </xf>
    <xf numFmtId="0" fontId="34" fillId="0" borderId="114" xfId="0" applyFont="1" applyBorder="1" applyAlignment="1" applyProtection="1">
      <alignment horizontal="left" vertical="center"/>
      <protection locked="0"/>
    </xf>
    <xf numFmtId="0" fontId="34" fillId="0" borderId="61" xfId="0" applyFont="1" applyBorder="1" applyAlignment="1" applyProtection="1">
      <alignment horizontal="left" vertical="center"/>
      <protection locked="0"/>
    </xf>
    <xf numFmtId="0" fontId="34" fillId="0" borderId="75" xfId="0" applyFont="1" applyBorder="1" applyAlignment="1" applyProtection="1">
      <alignment horizontal="left" vertical="center"/>
      <protection locked="0"/>
    </xf>
    <xf numFmtId="0" fontId="34" fillId="0" borderId="117" xfId="0" applyFont="1" applyBorder="1" applyAlignment="1" applyProtection="1">
      <alignment horizontal="left" vertical="center"/>
      <protection locked="0"/>
    </xf>
    <xf numFmtId="0" fontId="34" fillId="0" borderId="67" xfId="0" applyFont="1" applyBorder="1" applyAlignment="1" applyProtection="1">
      <alignment horizontal="left" vertical="center"/>
      <protection locked="0"/>
    </xf>
    <xf numFmtId="0" fontId="34" fillId="0" borderId="76" xfId="0" applyFont="1" applyBorder="1" applyAlignment="1" applyProtection="1">
      <alignment horizontal="left" vertical="center"/>
      <protection locked="0"/>
    </xf>
    <xf numFmtId="0" fontId="34" fillId="0" borderId="17" xfId="0" applyFont="1" applyBorder="1" applyProtection="1">
      <protection locked="0"/>
    </xf>
    <xf numFmtId="0" fontId="34" fillId="0" borderId="16" xfId="0" applyFont="1" applyBorder="1" applyProtection="1">
      <protection locked="0"/>
    </xf>
    <xf numFmtId="0" fontId="17" fillId="7" borderId="120" xfId="0" applyFont="1" applyFill="1" applyBorder="1" applyAlignment="1">
      <alignment horizontal="center" vertical="center" wrapText="1"/>
    </xf>
    <xf numFmtId="0" fontId="34" fillId="0" borderId="18" xfId="0" applyFont="1" applyBorder="1" applyProtection="1">
      <protection locked="0"/>
    </xf>
    <xf numFmtId="0" fontId="34" fillId="0" borderId="19" xfId="0" applyFont="1" applyBorder="1" applyProtection="1">
      <protection locked="0"/>
    </xf>
    <xf numFmtId="0" fontId="34" fillId="0" borderId="20" xfId="0" applyFont="1" applyBorder="1" applyProtection="1">
      <protection locked="0"/>
    </xf>
    <xf numFmtId="0" fontId="8" fillId="0" borderId="121" xfId="0" applyFont="1" applyBorder="1" applyAlignment="1" applyProtection="1">
      <alignment horizontal="center"/>
      <protection locked="0"/>
    </xf>
    <xf numFmtId="0" fontId="12" fillId="0" borderId="124" xfId="0" applyFont="1" applyBorder="1" applyAlignment="1" applyProtection="1">
      <alignment horizontal="center" vertical="center"/>
      <protection locked="0"/>
    </xf>
    <xf numFmtId="0" fontId="12" fillId="0" borderId="122" xfId="0" applyFont="1" applyBorder="1" applyAlignment="1" applyProtection="1">
      <alignment horizontal="center" vertical="center"/>
      <protection locked="0"/>
    </xf>
    <xf numFmtId="0" fontId="12" fillId="0" borderId="123" xfId="0" applyFont="1" applyBorder="1" applyAlignment="1" applyProtection="1">
      <alignment horizontal="center" vertical="center"/>
      <protection locked="0"/>
    </xf>
    <xf numFmtId="0" fontId="12" fillId="0" borderId="40" xfId="0" applyFont="1" applyBorder="1" applyAlignment="1" applyProtection="1">
      <alignment horizontal="center" vertical="center"/>
      <protection locked="0"/>
    </xf>
    <xf numFmtId="14" fontId="19" fillId="0" borderId="41" xfId="0" applyNumberFormat="1" applyFont="1" applyBorder="1" applyAlignment="1" applyProtection="1">
      <alignment horizontal="center"/>
      <protection locked="0"/>
    </xf>
    <xf numFmtId="0" fontId="17" fillId="0" borderId="104" xfId="15" applyFont="1" applyBorder="1"/>
    <xf numFmtId="0" fontId="41" fillId="0" borderId="104" xfId="5" applyFont="1" applyFill="1" applyBorder="1" applyAlignment="1" applyProtection="1"/>
    <xf numFmtId="0" fontId="14" fillId="0" borderId="13" xfId="0" applyFont="1" applyBorder="1" applyAlignment="1" applyProtection="1">
      <alignment horizontal="left" vertical="top"/>
      <protection locked="0"/>
    </xf>
    <xf numFmtId="0" fontId="14" fillId="0" borderId="14" xfId="0" applyFont="1" applyBorder="1" applyAlignment="1" applyProtection="1">
      <alignment horizontal="left" vertical="top"/>
      <protection locked="0"/>
    </xf>
    <xf numFmtId="0" fontId="14" fillId="0" borderId="15" xfId="0" applyFont="1" applyBorder="1" applyAlignment="1" applyProtection="1">
      <alignment horizontal="left" vertical="top"/>
      <protection locked="0"/>
    </xf>
    <xf numFmtId="0" fontId="14" fillId="0" borderId="16" xfId="0" applyFont="1" applyBorder="1" applyAlignment="1" applyProtection="1">
      <alignment horizontal="left" vertical="top"/>
      <protection locked="0"/>
    </xf>
    <xf numFmtId="0" fontId="14" fillId="0" borderId="0" xfId="0" applyFont="1" applyAlignment="1" applyProtection="1">
      <alignment horizontal="left" vertical="top"/>
      <protection locked="0"/>
    </xf>
    <xf numFmtId="0" fontId="14" fillId="0" borderId="17" xfId="0" applyFont="1" applyBorder="1" applyAlignment="1" applyProtection="1">
      <alignment horizontal="left" vertical="top"/>
      <protection locked="0"/>
    </xf>
    <xf numFmtId="0" fontId="14" fillId="0" borderId="18" xfId="0" applyFont="1" applyBorder="1" applyAlignment="1" applyProtection="1">
      <alignment horizontal="left" vertical="top"/>
      <protection locked="0"/>
    </xf>
    <xf numFmtId="0" fontId="14" fillId="0" borderId="19" xfId="0" applyFont="1" applyBorder="1" applyAlignment="1" applyProtection="1">
      <alignment horizontal="left" vertical="top"/>
      <protection locked="0"/>
    </xf>
    <xf numFmtId="0" fontId="14" fillId="0" borderId="20" xfId="0" applyFont="1" applyBorder="1" applyAlignment="1" applyProtection="1">
      <alignment horizontal="left" vertical="top"/>
      <protection locked="0"/>
    </xf>
    <xf numFmtId="14" fontId="16" fillId="0" borderId="16" xfId="0" applyNumberFormat="1" applyFont="1" applyBorder="1" applyAlignment="1" applyProtection="1">
      <alignment horizontal="center" vertical="center"/>
      <protection locked="0"/>
    </xf>
    <xf numFmtId="14" fontId="16" fillId="0" borderId="0" xfId="0" applyNumberFormat="1" applyFont="1" applyAlignment="1" applyProtection="1">
      <alignment horizontal="center" vertical="center"/>
      <protection locked="0"/>
    </xf>
    <xf numFmtId="14" fontId="16" fillId="0" borderId="17" xfId="0" applyNumberFormat="1" applyFont="1" applyBorder="1" applyAlignment="1" applyProtection="1">
      <alignment horizontal="center" vertical="center"/>
      <protection locked="0"/>
    </xf>
    <xf numFmtId="14" fontId="16" fillId="0" borderId="18" xfId="0" applyNumberFormat="1" applyFont="1" applyBorder="1" applyAlignment="1" applyProtection="1">
      <alignment horizontal="center" vertical="center"/>
      <protection locked="0"/>
    </xf>
    <xf numFmtId="14" fontId="16" fillId="0" borderId="19" xfId="0" applyNumberFormat="1" applyFont="1" applyBorder="1" applyAlignment="1" applyProtection="1">
      <alignment horizontal="center" vertical="center"/>
      <protection locked="0"/>
    </xf>
    <xf numFmtId="14" fontId="16" fillId="0" borderId="20" xfId="0" applyNumberFormat="1" applyFont="1" applyBorder="1" applyAlignment="1" applyProtection="1">
      <alignment horizontal="center" vertical="center"/>
      <protection locked="0"/>
    </xf>
    <xf numFmtId="49" fontId="18" fillId="0" borderId="13" xfId="0" applyNumberFormat="1" applyFont="1" applyBorder="1" applyAlignment="1" applyProtection="1">
      <alignment horizontal="center" vertical="center"/>
      <protection locked="0"/>
    </xf>
    <xf numFmtId="49" fontId="18" fillId="0" borderId="14" xfId="0" applyNumberFormat="1" applyFont="1" applyBorder="1" applyAlignment="1" applyProtection="1">
      <alignment horizontal="center" vertical="center"/>
      <protection locked="0"/>
    </xf>
    <xf numFmtId="49" fontId="18" fillId="0" borderId="15" xfId="0" applyNumberFormat="1" applyFont="1" applyBorder="1" applyAlignment="1" applyProtection="1">
      <alignment horizontal="center" vertical="center"/>
      <protection locked="0"/>
    </xf>
    <xf numFmtId="49" fontId="18" fillId="0" borderId="18" xfId="0" applyNumberFormat="1" applyFont="1" applyBorder="1" applyAlignment="1" applyProtection="1">
      <alignment horizontal="center" vertical="center"/>
      <protection locked="0"/>
    </xf>
    <xf numFmtId="49" fontId="18" fillId="0" borderId="19" xfId="0" applyNumberFormat="1" applyFont="1" applyBorder="1" applyAlignment="1" applyProtection="1">
      <alignment horizontal="center" vertical="center"/>
      <protection locked="0"/>
    </xf>
    <xf numFmtId="49" fontId="18" fillId="0" borderId="20" xfId="0" applyNumberFormat="1" applyFont="1" applyBorder="1" applyAlignment="1" applyProtection="1">
      <alignment horizontal="center" vertical="center"/>
      <protection locked="0"/>
    </xf>
    <xf numFmtId="0" fontId="6" fillId="0" borderId="14" xfId="0" applyFont="1" applyBorder="1" applyAlignment="1" applyProtection="1">
      <alignment horizontal="center" vertical="center"/>
      <protection locked="0"/>
    </xf>
    <xf numFmtId="0" fontId="6" fillId="0" borderId="15" xfId="0" applyFont="1" applyBorder="1" applyAlignment="1" applyProtection="1">
      <alignment horizontal="center" vertical="center"/>
      <protection locked="0"/>
    </xf>
    <xf numFmtId="0" fontId="14" fillId="0" borderId="19" xfId="0" applyFont="1" applyBorder="1" applyAlignment="1" applyProtection="1">
      <alignment horizontal="center" vertical="center"/>
      <protection locked="0"/>
    </xf>
    <xf numFmtId="0" fontId="14" fillId="0" borderId="20" xfId="0" applyFont="1" applyBorder="1" applyAlignment="1" applyProtection="1">
      <alignment horizontal="center" vertical="center"/>
      <protection locked="0"/>
    </xf>
    <xf numFmtId="0" fontId="5" fillId="0" borderId="14" xfId="0" applyFont="1" applyBorder="1" applyAlignment="1" applyProtection="1">
      <alignment horizontal="left" vertical="top"/>
      <protection locked="0"/>
    </xf>
    <xf numFmtId="0" fontId="5" fillId="0" borderId="15" xfId="0" applyFont="1" applyBorder="1" applyAlignment="1" applyProtection="1">
      <alignment horizontal="left" vertical="top"/>
      <protection locked="0"/>
    </xf>
    <xf numFmtId="0" fontId="5" fillId="0" borderId="16" xfId="0" applyFont="1" applyBorder="1" applyAlignment="1" applyProtection="1">
      <alignment horizontal="left" vertical="top"/>
      <protection locked="0"/>
    </xf>
    <xf numFmtId="0" fontId="5" fillId="0" borderId="0" xfId="0" applyFont="1" applyAlignment="1" applyProtection="1">
      <alignment horizontal="left" vertical="top"/>
      <protection locked="0"/>
    </xf>
    <xf numFmtId="0" fontId="5" fillId="0" borderId="17" xfId="0" applyFont="1" applyBorder="1" applyAlignment="1" applyProtection="1">
      <alignment horizontal="left" vertical="top"/>
      <protection locked="0"/>
    </xf>
    <xf numFmtId="0" fontId="5" fillId="0" borderId="18" xfId="0" applyFont="1" applyBorder="1" applyAlignment="1" applyProtection="1">
      <alignment horizontal="left" vertical="top"/>
      <protection locked="0"/>
    </xf>
    <xf numFmtId="0" fontId="5" fillId="0" borderId="19" xfId="0" applyFont="1" applyBorder="1" applyAlignment="1" applyProtection="1">
      <alignment horizontal="left" vertical="top"/>
      <protection locked="0"/>
    </xf>
    <xf numFmtId="0" fontId="5" fillId="0" borderId="20" xfId="0" applyFont="1" applyBorder="1" applyAlignment="1" applyProtection="1">
      <alignment horizontal="left" vertical="top"/>
      <protection locked="0"/>
    </xf>
    <xf numFmtId="0" fontId="8" fillId="0" borderId="9" xfId="0" applyFont="1" applyBorder="1" applyAlignment="1" applyProtection="1">
      <alignment horizontal="left" vertical="center" wrapText="1" indent="2"/>
      <protection locked="0"/>
    </xf>
    <xf numFmtId="0" fontId="8" fillId="0" borderId="10" xfId="0" applyFont="1" applyBorder="1" applyAlignment="1" applyProtection="1">
      <alignment horizontal="left" vertical="center" wrapText="1" indent="2"/>
      <protection locked="0"/>
    </xf>
    <xf numFmtId="0" fontId="8" fillId="0" borderId="9"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13" xfId="0" applyFont="1" applyBorder="1" applyAlignment="1" applyProtection="1">
      <alignment horizontal="center" vertical="center"/>
      <protection locked="0"/>
    </xf>
    <xf numFmtId="0" fontId="8" fillId="0" borderId="15" xfId="0" applyFont="1" applyBorder="1" applyAlignment="1" applyProtection="1">
      <alignment horizontal="center" vertical="center"/>
      <protection locked="0"/>
    </xf>
    <xf numFmtId="0" fontId="17" fillId="0" borderId="27" xfId="0" applyFont="1" applyBorder="1" applyAlignment="1" applyProtection="1">
      <alignment horizontal="center" vertical="center"/>
      <protection locked="0"/>
    </xf>
    <xf numFmtId="0" fontId="17" fillId="0" borderId="28" xfId="0" applyFont="1" applyBorder="1" applyAlignment="1" applyProtection="1">
      <alignment horizontal="center" vertical="center"/>
      <protection locked="0"/>
    </xf>
    <xf numFmtId="0" fontId="25" fillId="0" borderId="6" xfId="5" applyFont="1" applyFill="1" applyBorder="1" applyAlignment="1" applyProtection="1">
      <alignment horizontal="left" vertical="center"/>
      <protection locked="0"/>
    </xf>
    <xf numFmtId="0" fontId="25" fillId="0" borderId="28" xfId="5" applyFont="1" applyFill="1" applyBorder="1" applyAlignment="1" applyProtection="1">
      <alignment horizontal="left" vertical="center"/>
      <protection locked="0"/>
    </xf>
    <xf numFmtId="0" fontId="8" fillId="0" borderId="14" xfId="0" applyFont="1" applyBorder="1" applyAlignment="1" applyProtection="1">
      <alignment horizontal="center" wrapText="1"/>
      <protection locked="0"/>
    </xf>
    <xf numFmtId="0" fontId="8" fillId="0" borderId="15" xfId="0" applyFont="1" applyBorder="1" applyAlignment="1" applyProtection="1">
      <alignment horizontal="center" wrapText="1"/>
      <protection locked="0"/>
    </xf>
    <xf numFmtId="14" fontId="15" fillId="0" borderId="13" xfId="0" applyNumberFormat="1" applyFont="1" applyBorder="1" applyAlignment="1" applyProtection="1">
      <alignment horizontal="center" vertical="center"/>
      <protection locked="0"/>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8" fillId="0" borderId="24" xfId="0" applyFont="1" applyBorder="1" applyAlignment="1" applyProtection="1">
      <alignment horizontal="center"/>
      <protection locked="0"/>
    </xf>
    <xf numFmtId="0" fontId="8" fillId="0" borderId="25" xfId="0" applyFont="1" applyBorder="1" applyAlignment="1" applyProtection="1">
      <alignment horizontal="center"/>
      <protection locked="0"/>
    </xf>
    <xf numFmtId="0" fontId="8" fillId="0" borderId="26" xfId="0" applyFont="1" applyBorder="1" applyAlignment="1" applyProtection="1">
      <alignment horizontal="center"/>
      <protection locked="0"/>
    </xf>
    <xf numFmtId="0" fontId="8" fillId="0" borderId="13" xfId="0" applyFont="1" applyBorder="1" applyAlignment="1" applyProtection="1">
      <alignment horizontal="left"/>
      <protection locked="0"/>
    </xf>
    <xf numFmtId="0" fontId="8" fillId="0" borderId="14" xfId="0" applyFont="1" applyBorder="1" applyAlignment="1" applyProtection="1">
      <alignment horizontal="left"/>
      <protection locked="0"/>
    </xf>
    <xf numFmtId="0" fontId="8" fillId="0" borderId="15" xfId="0" applyFont="1" applyBorder="1" applyAlignment="1" applyProtection="1">
      <alignment horizontal="left"/>
      <protection locked="0"/>
    </xf>
    <xf numFmtId="0" fontId="8" fillId="0" borderId="30" xfId="0" applyFont="1" applyBorder="1" applyAlignment="1" applyProtection="1">
      <alignment horizontal="left" vertical="center"/>
      <protection locked="0"/>
    </xf>
    <xf numFmtId="0" fontId="8" fillId="0" borderId="31" xfId="0" applyFont="1" applyBorder="1" applyAlignment="1" applyProtection="1">
      <alignment horizontal="left" vertical="center"/>
      <protection locked="0"/>
    </xf>
    <xf numFmtId="0" fontId="17" fillId="0" borderId="18" xfId="0" applyFont="1" applyBorder="1" applyAlignment="1" applyProtection="1">
      <alignment horizontal="center" vertical="center"/>
      <protection locked="0"/>
    </xf>
    <xf numFmtId="0" fontId="17" fillId="0" borderId="20" xfId="0" applyFont="1" applyBorder="1" applyAlignment="1" applyProtection="1">
      <alignment horizontal="center" vertical="center"/>
      <protection locked="0"/>
    </xf>
    <xf numFmtId="0" fontId="25" fillId="9" borderId="6" xfId="5" applyFont="1" applyFill="1" applyBorder="1" applyAlignment="1" applyProtection="1">
      <alignment horizontal="left" vertical="center"/>
      <protection locked="0"/>
    </xf>
    <xf numFmtId="0" fontId="25" fillId="9" borderId="28" xfId="5" applyFont="1" applyFill="1" applyBorder="1" applyAlignment="1" applyProtection="1">
      <alignment horizontal="left" vertical="center"/>
      <protection locked="0"/>
    </xf>
    <xf numFmtId="0" fontId="12" fillId="0" borderId="21" xfId="0" applyFont="1" applyBorder="1" applyAlignment="1" applyProtection="1">
      <alignment horizontal="center" vertical="center" wrapText="1"/>
      <protection locked="0"/>
    </xf>
    <xf numFmtId="0" fontId="12" fillId="0" borderId="12" xfId="0" applyFont="1" applyBorder="1" applyAlignment="1" applyProtection="1">
      <alignment horizontal="center" vertical="center" wrapText="1"/>
      <protection locked="0"/>
    </xf>
    <xf numFmtId="14" fontId="15" fillId="0" borderId="14" xfId="0" applyNumberFormat="1" applyFont="1" applyBorder="1" applyAlignment="1" applyProtection="1">
      <alignment horizontal="center" vertical="center"/>
      <protection locked="0"/>
    </xf>
    <xf numFmtId="14" fontId="15" fillId="0" borderId="15" xfId="0" applyNumberFormat="1" applyFont="1" applyBorder="1" applyAlignment="1" applyProtection="1">
      <alignment horizontal="center" vertical="center"/>
      <protection locked="0"/>
    </xf>
    <xf numFmtId="14" fontId="15" fillId="0" borderId="18" xfId="0" applyNumberFormat="1" applyFont="1" applyBorder="1" applyAlignment="1" applyProtection="1">
      <alignment horizontal="center" vertical="center"/>
      <protection locked="0"/>
    </xf>
    <xf numFmtId="14" fontId="15" fillId="0" borderId="19" xfId="0" applyNumberFormat="1" applyFont="1" applyBorder="1" applyAlignment="1" applyProtection="1">
      <alignment horizontal="center" vertical="center"/>
      <protection locked="0"/>
    </xf>
    <xf numFmtId="14" fontId="15" fillId="0" borderId="20" xfId="0" applyNumberFormat="1" applyFont="1" applyBorder="1" applyAlignment="1" applyProtection="1">
      <alignment horizontal="center" vertical="center"/>
      <protection locked="0"/>
    </xf>
    <xf numFmtId="0" fontId="12" fillId="0" borderId="13" xfId="0" applyFont="1" applyBorder="1" applyAlignment="1" applyProtection="1">
      <alignment horizontal="center" vertical="center"/>
      <protection locked="0"/>
    </xf>
    <xf numFmtId="0" fontId="12" fillId="0" borderId="15" xfId="0" applyFont="1" applyBorder="1" applyAlignment="1" applyProtection="1">
      <alignment horizontal="center" vertical="center"/>
      <protection locked="0"/>
    </xf>
    <xf numFmtId="14" fontId="19" fillId="0" borderId="18" xfId="0" applyNumberFormat="1" applyFont="1" applyBorder="1" applyAlignment="1" applyProtection="1">
      <alignment horizontal="center" vertical="center"/>
      <protection locked="0"/>
    </xf>
    <xf numFmtId="0" fontId="19" fillId="0" borderId="20" xfId="0" applyFont="1" applyBorder="1" applyAlignment="1" applyProtection="1">
      <alignment horizontal="center" vertical="center"/>
      <protection locked="0"/>
    </xf>
    <xf numFmtId="165" fontId="12" fillId="0" borderId="21" xfId="12" applyNumberFormat="1" applyFont="1" applyFill="1" applyBorder="1" applyAlignment="1" applyProtection="1">
      <alignment horizontal="center" vertical="center" wrapText="1"/>
      <protection locked="0"/>
    </xf>
    <xf numFmtId="165" fontId="12" fillId="0" borderId="12" xfId="12" applyNumberFormat="1" applyFont="1" applyFill="1" applyBorder="1" applyAlignment="1" applyProtection="1">
      <alignment horizontal="center" vertical="center" wrapText="1"/>
      <protection locked="0"/>
    </xf>
    <xf numFmtId="0" fontId="24" fillId="0" borderId="10" xfId="5" applyBorder="1" applyAlignment="1" applyProtection="1">
      <alignment horizontal="center" vertical="center"/>
      <protection locked="0"/>
    </xf>
    <xf numFmtId="165" fontId="12" fillId="0" borderId="0" xfId="12" applyNumberFormat="1" applyFont="1" applyFill="1" applyBorder="1" applyAlignment="1">
      <alignment horizontal="center" vertical="center"/>
    </xf>
    <xf numFmtId="0" fontId="20" fillId="0" borderId="9" xfId="0" applyFont="1" applyBorder="1" applyAlignment="1" applyProtection="1">
      <alignment horizontal="left" vertical="top" wrapText="1"/>
      <protection locked="0"/>
    </xf>
    <xf numFmtId="0" fontId="12" fillId="0" borderId="10" xfId="0" applyFont="1" applyBorder="1" applyAlignment="1" applyProtection="1">
      <alignment horizontal="left" vertical="top"/>
      <protection locked="0"/>
    </xf>
    <xf numFmtId="0" fontId="12" fillId="0" borderId="12" xfId="0" applyFont="1" applyBorder="1" applyAlignment="1" applyProtection="1">
      <alignment horizontal="left" vertical="top"/>
      <protection locked="0"/>
    </xf>
    <xf numFmtId="0" fontId="8" fillId="0" borderId="24" xfId="0" applyFont="1" applyBorder="1" applyAlignment="1" applyProtection="1">
      <alignment horizontal="left"/>
      <protection locked="0"/>
    </xf>
    <xf numFmtId="0" fontId="8" fillId="0" borderId="25" xfId="0" applyFont="1" applyBorder="1" applyAlignment="1" applyProtection="1">
      <alignment horizontal="left"/>
      <protection locked="0"/>
    </xf>
    <xf numFmtId="0" fontId="8" fillId="0" borderId="26" xfId="0" applyFont="1" applyBorder="1" applyAlignment="1" applyProtection="1">
      <alignment horizontal="left"/>
      <protection locked="0"/>
    </xf>
    <xf numFmtId="0" fontId="12" fillId="0" borderId="18" xfId="0" applyFont="1" applyBorder="1" applyAlignment="1" applyProtection="1">
      <alignment horizontal="left" vertical="top" wrapText="1"/>
      <protection locked="0"/>
    </xf>
    <xf numFmtId="0" fontId="12" fillId="0" borderId="19" xfId="0" applyFont="1" applyBorder="1" applyAlignment="1" applyProtection="1">
      <alignment horizontal="left" vertical="top"/>
      <protection locked="0"/>
    </xf>
    <xf numFmtId="0" fontId="12" fillId="0" borderId="20" xfId="0" applyFont="1" applyBorder="1" applyAlignment="1" applyProtection="1">
      <alignment horizontal="left" vertical="top"/>
      <protection locked="0"/>
    </xf>
    <xf numFmtId="0" fontId="8" fillId="6" borderId="5"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12" fillId="0" borderId="81" xfId="0" applyFont="1" applyBorder="1" applyAlignment="1">
      <alignment horizontal="left"/>
    </xf>
    <xf numFmtId="0" fontId="12" fillId="0" borderId="60" xfId="0" applyFont="1" applyBorder="1" applyAlignment="1">
      <alignment horizontal="left"/>
    </xf>
    <xf numFmtId="0" fontId="12" fillId="0" borderId="71" xfId="0" applyFont="1" applyBorder="1" applyAlignment="1">
      <alignment horizontal="left"/>
    </xf>
    <xf numFmtId="0" fontId="12" fillId="0" borderId="114" xfId="0" applyFont="1" applyBorder="1" applyAlignment="1">
      <alignment horizontal="left"/>
    </xf>
    <xf numFmtId="0" fontId="12" fillId="0" borderId="61" xfId="0" applyFont="1" applyBorder="1" applyAlignment="1">
      <alignment horizontal="left"/>
    </xf>
    <xf numFmtId="0" fontId="12" fillId="0" borderId="72" xfId="0" applyFont="1" applyBorder="1" applyAlignment="1">
      <alignment horizontal="left"/>
    </xf>
    <xf numFmtId="0" fontId="12" fillId="0" borderId="117" xfId="0" applyFont="1" applyBorder="1" applyAlignment="1">
      <alignment horizontal="left"/>
    </xf>
    <xf numFmtId="0" fontId="12" fillId="0" borderId="67" xfId="0" applyFont="1" applyBorder="1" applyAlignment="1">
      <alignment horizontal="left"/>
    </xf>
    <xf numFmtId="0" fontId="12" fillId="0" borderId="73" xfId="0" applyFont="1" applyBorder="1" applyAlignment="1">
      <alignment horizontal="left"/>
    </xf>
    <xf numFmtId="0" fontId="20" fillId="4" borderId="16" xfId="0" applyFont="1" applyFill="1" applyBorder="1" applyAlignment="1">
      <alignment horizontal="left" vertical="center" wrapText="1"/>
    </xf>
    <xf numFmtId="0" fontId="20" fillId="4" borderId="0" xfId="0" applyFont="1" applyFill="1" applyAlignment="1">
      <alignment horizontal="left" vertical="center" wrapText="1"/>
    </xf>
    <xf numFmtId="0" fontId="20" fillId="4" borderId="17" xfId="0" applyFont="1" applyFill="1" applyBorder="1" applyAlignment="1">
      <alignment horizontal="left" vertical="center" wrapText="1"/>
    </xf>
    <xf numFmtId="0" fontId="8" fillId="3" borderId="0" xfId="0" applyFont="1" applyFill="1" applyAlignment="1">
      <alignment horizontal="left"/>
    </xf>
    <xf numFmtId="0" fontId="8" fillId="0" borderId="0" xfId="0" applyFont="1" applyAlignment="1">
      <alignment horizontal="left"/>
    </xf>
    <xf numFmtId="0" fontId="8" fillId="0" borderId="55" xfId="0" applyFont="1" applyBorder="1" applyAlignment="1">
      <alignment horizontal="left"/>
    </xf>
    <xf numFmtId="0" fontId="8" fillId="6" borderId="8" xfId="0" applyFont="1" applyFill="1" applyBorder="1" applyAlignment="1">
      <alignment horizontal="center" vertical="center"/>
    </xf>
    <xf numFmtId="0" fontId="4" fillId="0" borderId="110" xfId="6" applyBorder="1" applyAlignment="1">
      <alignment horizontal="left"/>
    </xf>
    <xf numFmtId="0" fontId="4" fillId="0" borderId="61" xfId="6" applyBorder="1" applyAlignment="1">
      <alignment horizontal="left"/>
    </xf>
    <xf numFmtId="0" fontId="4" fillId="0" borderId="75" xfId="6" applyBorder="1" applyAlignment="1">
      <alignment horizontal="left"/>
    </xf>
    <xf numFmtId="0" fontId="4" fillId="0" borderId="111" xfId="6" applyBorder="1" applyAlignment="1">
      <alignment horizontal="left"/>
    </xf>
    <xf numFmtId="0" fontId="4" fillId="0" borderId="67" xfId="6" applyBorder="1" applyAlignment="1">
      <alignment horizontal="left"/>
    </xf>
    <xf numFmtId="0" fontId="4" fillId="0" borderId="76" xfId="6" applyBorder="1" applyAlignment="1">
      <alignment horizontal="left"/>
    </xf>
    <xf numFmtId="0" fontId="8" fillId="6" borderId="90" xfId="6" applyFont="1" applyFill="1" applyBorder="1" applyAlignment="1">
      <alignment horizontal="center" vertical="center" wrapText="1"/>
    </xf>
    <xf numFmtId="0" fontId="8" fillId="6" borderId="108" xfId="6" applyFont="1" applyFill="1" applyBorder="1" applyAlignment="1">
      <alignment horizontal="center" vertical="center" wrapText="1"/>
    </xf>
    <xf numFmtId="0" fontId="12" fillId="0" borderId="81" xfId="6" applyFont="1" applyBorder="1" applyAlignment="1">
      <alignment horizontal="left"/>
    </xf>
    <xf numFmtId="0" fontId="12" fillId="0" borderId="60" xfId="6" applyFont="1" applyBorder="1" applyAlignment="1">
      <alignment horizontal="left"/>
    </xf>
    <xf numFmtId="0" fontId="12" fillId="0" borderId="74" xfId="6" applyFont="1" applyBorder="1" applyAlignment="1">
      <alignment horizontal="left"/>
    </xf>
    <xf numFmtId="0" fontId="12" fillId="0" borderId="110" xfId="6" applyFont="1" applyBorder="1" applyAlignment="1">
      <alignment horizontal="left"/>
    </xf>
    <xf numFmtId="0" fontId="12" fillId="0" borderId="61" xfId="6" applyFont="1" applyBorder="1" applyAlignment="1">
      <alignment horizontal="left"/>
    </xf>
    <xf numFmtId="0" fontId="12" fillId="0" borderId="75" xfId="6" applyFont="1" applyBorder="1" applyAlignment="1">
      <alignment horizontal="left"/>
    </xf>
    <xf numFmtId="0" fontId="8" fillId="6" borderId="27" xfId="6" applyFont="1" applyFill="1" applyBorder="1" applyAlignment="1">
      <alignment horizontal="center" vertical="center" wrapText="1"/>
    </xf>
    <xf numFmtId="0" fontId="8" fillId="6" borderId="6" xfId="6" applyFont="1" applyFill="1" applyBorder="1" applyAlignment="1">
      <alignment horizontal="center" vertical="center" wrapText="1"/>
    </xf>
    <xf numFmtId="0" fontId="8" fillId="6" borderId="7" xfId="6" applyFont="1" applyFill="1" applyBorder="1" applyAlignment="1">
      <alignment horizontal="center" vertical="center" wrapText="1"/>
    </xf>
    <xf numFmtId="168" fontId="8" fillId="6" borderId="5" xfId="7" applyNumberFormat="1" applyFont="1" applyFill="1" applyBorder="1" applyAlignment="1">
      <alignment horizontal="center" vertical="center" wrapText="1"/>
    </xf>
    <xf numFmtId="168" fontId="8" fillId="6" borderId="7" xfId="7" applyNumberFormat="1" applyFont="1" applyFill="1" applyBorder="1" applyAlignment="1">
      <alignment horizontal="center" vertical="center" wrapText="1"/>
    </xf>
    <xf numFmtId="168" fontId="21" fillId="6" borderId="5" xfId="7" applyNumberFormat="1" applyFont="1" applyFill="1" applyBorder="1" applyAlignment="1">
      <alignment horizontal="center" vertical="center" wrapText="1"/>
    </xf>
    <xf numFmtId="168" fontId="21" fillId="6" borderId="6" xfId="7" applyNumberFormat="1" applyFont="1" applyFill="1" applyBorder="1" applyAlignment="1">
      <alignment horizontal="center" vertical="center" wrapText="1"/>
    </xf>
    <xf numFmtId="168" fontId="21" fillId="6" borderId="28" xfId="7" applyNumberFormat="1" applyFont="1" applyFill="1" applyBorder="1" applyAlignment="1">
      <alignment horizontal="center" vertical="center" wrapText="1"/>
    </xf>
    <xf numFmtId="0" fontId="4" fillId="0" borderId="81" xfId="6" applyBorder="1" applyAlignment="1">
      <alignment horizontal="left"/>
    </xf>
    <xf numFmtId="0" fontId="4" fillId="0" borderId="60" xfId="6" applyBorder="1" applyAlignment="1">
      <alignment horizontal="left"/>
    </xf>
    <xf numFmtId="0" fontId="4" fillId="0" borderId="74" xfId="6" applyBorder="1" applyAlignment="1">
      <alignment horizontal="left"/>
    </xf>
    <xf numFmtId="3" fontId="22" fillId="0" borderId="0" xfId="13" applyNumberFormat="1" applyFont="1" applyAlignment="1">
      <alignment horizontal="left" vertical="center" wrapText="1"/>
    </xf>
    <xf numFmtId="0" fontId="12" fillId="0" borderId="111" xfId="6" applyFont="1" applyBorder="1" applyAlignment="1">
      <alignment horizontal="left"/>
    </xf>
    <xf numFmtId="0" fontId="12" fillId="0" borderId="67" xfId="6" applyFont="1" applyBorder="1" applyAlignment="1">
      <alignment horizontal="left"/>
    </xf>
    <xf numFmtId="0" fontId="12" fillId="0" borderId="76" xfId="6" applyFont="1" applyBorder="1" applyAlignment="1">
      <alignment horizontal="left"/>
    </xf>
    <xf numFmtId="164" fontId="12" fillId="0" borderId="110" xfId="12" applyFont="1" applyFill="1" applyBorder="1" applyAlignment="1">
      <alignment horizontal="center"/>
    </xf>
    <xf numFmtId="164" fontId="12" fillId="0" borderId="61" xfId="12" applyFont="1" applyFill="1" applyBorder="1" applyAlignment="1">
      <alignment horizontal="center"/>
    </xf>
    <xf numFmtId="164" fontId="12" fillId="0" borderId="111" xfId="12" applyFont="1" applyFill="1" applyBorder="1" applyAlignment="1">
      <alignment horizontal="center"/>
    </xf>
    <xf numFmtId="164" fontId="12" fillId="0" borderId="67" xfId="12" applyFont="1" applyFill="1" applyBorder="1" applyAlignment="1">
      <alignment horizontal="center"/>
    </xf>
    <xf numFmtId="0" fontId="8" fillId="0" borderId="0" xfId="6" applyFont="1" applyAlignment="1">
      <alignment horizontal="right"/>
    </xf>
    <xf numFmtId="0" fontId="8" fillId="0" borderId="2" xfId="6" applyFont="1" applyBorder="1" applyAlignment="1">
      <alignment horizontal="right"/>
    </xf>
    <xf numFmtId="0" fontId="12" fillId="0" borderId="111" xfId="6" applyFont="1" applyBorder="1" applyAlignment="1">
      <alignment horizontal="center"/>
    </xf>
    <xf numFmtId="0" fontId="12" fillId="0" borderId="67" xfId="6" applyFont="1" applyBorder="1" applyAlignment="1">
      <alignment horizontal="center"/>
    </xf>
    <xf numFmtId="0" fontId="12" fillId="0" borderId="76" xfId="6" applyFont="1" applyBorder="1" applyAlignment="1">
      <alignment horizontal="center"/>
    </xf>
    <xf numFmtId="0" fontId="12" fillId="0" borderId="110" xfId="6" applyFont="1" applyBorder="1" applyAlignment="1">
      <alignment horizontal="center"/>
    </xf>
    <xf numFmtId="0" fontId="12" fillId="0" borderId="61" xfId="6" applyFont="1" applyBorder="1" applyAlignment="1">
      <alignment horizontal="center"/>
    </xf>
    <xf numFmtId="0" fontId="12" fillId="0" borderId="75" xfId="6" applyFont="1" applyBorder="1" applyAlignment="1">
      <alignment horizontal="center"/>
    </xf>
    <xf numFmtId="168" fontId="8" fillId="6" borderId="6" xfId="7" applyNumberFormat="1" applyFont="1" applyFill="1" applyBorder="1" applyAlignment="1">
      <alignment horizontal="center" vertical="center" wrapText="1"/>
    </xf>
    <xf numFmtId="168" fontId="8" fillId="6" borderId="28" xfId="7" applyNumberFormat="1" applyFont="1" applyFill="1" applyBorder="1" applyAlignment="1">
      <alignment horizontal="center" vertical="center" wrapText="1"/>
    </xf>
    <xf numFmtId="0" fontId="12" fillId="0" borderId="72" xfId="6" applyFont="1" applyBorder="1" applyAlignment="1">
      <alignment horizontal="left"/>
    </xf>
    <xf numFmtId="164" fontId="12" fillId="0" borderId="81" xfId="12" applyFont="1" applyFill="1" applyBorder="1" applyAlignment="1">
      <alignment horizontal="center"/>
    </xf>
    <xf numFmtId="164" fontId="12" fillId="0" borderId="60" xfId="12" applyFont="1" applyFill="1" applyBorder="1" applyAlignment="1">
      <alignment horizontal="center"/>
    </xf>
    <xf numFmtId="0" fontId="12" fillId="0" borderId="29" xfId="0" applyFont="1" applyBorder="1" applyAlignment="1" applyProtection="1">
      <alignment horizontal="left" vertical="top" wrapText="1"/>
      <protection locked="0"/>
    </xf>
    <xf numFmtId="0" fontId="12" fillId="0" borderId="30" xfId="0" applyFont="1" applyBorder="1" applyAlignment="1" applyProtection="1">
      <alignment horizontal="left" vertical="top" wrapText="1"/>
      <protection locked="0"/>
    </xf>
    <xf numFmtId="0" fontId="12" fillId="0" borderId="31" xfId="0" applyFont="1" applyBorder="1" applyAlignment="1" applyProtection="1">
      <alignment horizontal="left" vertical="top" wrapText="1"/>
      <protection locked="0"/>
    </xf>
    <xf numFmtId="0" fontId="12" fillId="0" borderId="71" xfId="6" applyFont="1" applyBorder="1" applyAlignment="1">
      <alignment horizontal="left"/>
    </xf>
    <xf numFmtId="0" fontId="12" fillId="0" borderId="81" xfId="6" applyFont="1" applyBorder="1" applyAlignment="1">
      <alignment horizontal="center"/>
    </xf>
    <xf numFmtId="0" fontId="12" fillId="0" borderId="60" xfId="6" applyFont="1" applyBorder="1" applyAlignment="1">
      <alignment horizontal="center"/>
    </xf>
    <xf numFmtId="0" fontId="12" fillId="0" borderId="74" xfId="6" applyFont="1" applyBorder="1" applyAlignment="1">
      <alignment horizontal="center"/>
    </xf>
    <xf numFmtId="0" fontId="8" fillId="6" borderId="5" xfId="6" applyFont="1" applyFill="1" applyBorder="1" applyAlignment="1">
      <alignment horizontal="center" vertical="center" wrapText="1"/>
    </xf>
    <xf numFmtId="0" fontId="8" fillId="6" borderId="5" xfId="0" applyFont="1" applyFill="1" applyBorder="1" applyAlignment="1">
      <alignment horizontal="center" vertical="center"/>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28" xfId="0" applyFont="1" applyFill="1" applyBorder="1" applyAlignment="1">
      <alignment horizontal="center" vertical="center"/>
    </xf>
    <xf numFmtId="0" fontId="12" fillId="0" borderId="73" xfId="6" applyFont="1" applyBorder="1" applyAlignment="1">
      <alignment horizontal="left"/>
    </xf>
    <xf numFmtId="0" fontId="8" fillId="6" borderId="8" xfId="6" applyFont="1" applyFill="1" applyBorder="1" applyAlignment="1">
      <alignment horizontal="center" vertical="center" wrapText="1"/>
    </xf>
    <xf numFmtId="4" fontId="8" fillId="7" borderId="5" xfId="0" applyNumberFormat="1" applyFont="1" applyFill="1" applyBorder="1" applyAlignment="1">
      <alignment horizontal="center" vertical="center"/>
    </xf>
    <xf numFmtId="4" fontId="8" fillId="7" borderId="7" xfId="0" applyNumberFormat="1" applyFont="1" applyFill="1" applyBorder="1" applyAlignment="1">
      <alignment horizontal="center" vertical="center"/>
    </xf>
    <xf numFmtId="173" fontId="12" fillId="0" borderId="0" xfId="2" applyNumberFormat="1" applyFont="1" applyFill="1" applyBorder="1" applyAlignment="1">
      <alignment horizontal="center"/>
    </xf>
    <xf numFmtId="165" fontId="12" fillId="0" borderId="0" xfId="12" applyNumberFormat="1" applyFont="1" applyFill="1" applyBorder="1" applyAlignment="1">
      <alignment horizontal="center"/>
    </xf>
    <xf numFmtId="4" fontId="8" fillId="6" borderId="5" xfId="0" applyNumberFormat="1" applyFont="1" applyFill="1" applyBorder="1" applyAlignment="1">
      <alignment horizontal="center" vertical="center"/>
    </xf>
    <xf numFmtId="4" fontId="8" fillId="6" borderId="7" xfId="0" applyNumberFormat="1" applyFont="1" applyFill="1" applyBorder="1" applyAlignment="1">
      <alignment horizontal="center" vertical="center"/>
    </xf>
    <xf numFmtId="4" fontId="19" fillId="0" borderId="27" xfId="0" applyNumberFormat="1" applyFont="1" applyBorder="1" applyAlignment="1">
      <alignment horizontal="left" vertical="top" wrapText="1"/>
    </xf>
    <xf numFmtId="4" fontId="19" fillId="0" borderId="6" xfId="0" applyNumberFormat="1" applyFont="1" applyBorder="1" applyAlignment="1">
      <alignment horizontal="left" vertical="top" wrapText="1"/>
    </xf>
    <xf numFmtId="4" fontId="19" fillId="0" borderId="28" xfId="0" applyNumberFormat="1" applyFont="1" applyBorder="1" applyAlignment="1">
      <alignment horizontal="left" vertical="top" wrapText="1"/>
    </xf>
    <xf numFmtId="0" fontId="8" fillId="7" borderId="8" xfId="0" applyFont="1" applyFill="1" applyBorder="1" applyAlignment="1">
      <alignment horizontal="center" vertical="center"/>
    </xf>
    <xf numFmtId="0" fontId="8" fillId="6" borderId="77" xfId="6" applyFont="1" applyFill="1" applyBorder="1" applyAlignment="1">
      <alignment horizontal="center" vertical="center" wrapText="1"/>
    </xf>
    <xf numFmtId="0" fontId="8" fillId="6" borderId="81" xfId="6" applyFont="1" applyFill="1" applyBorder="1" applyAlignment="1">
      <alignment horizontal="center" vertical="center" wrapText="1"/>
    </xf>
    <xf numFmtId="0" fontId="8" fillId="6" borderId="60" xfId="6" applyFont="1" applyFill="1" applyBorder="1" applyAlignment="1">
      <alignment horizontal="center" vertical="center" wrapText="1"/>
    </xf>
    <xf numFmtId="0" fontId="12" fillId="0" borderId="111" xfId="0" applyFont="1" applyBorder="1" applyAlignment="1">
      <alignment horizontal="left" vertical="center" wrapText="1"/>
    </xf>
    <xf numFmtId="0" fontId="12" fillId="0" borderId="67" xfId="0" applyFont="1" applyBorder="1" applyAlignment="1">
      <alignment horizontal="left" vertical="center" wrapText="1"/>
    </xf>
    <xf numFmtId="0" fontId="12" fillId="0" borderId="110" xfId="0" applyFont="1" applyBorder="1" applyAlignment="1">
      <alignment horizontal="left" vertical="center" wrapText="1"/>
    </xf>
    <xf numFmtId="0" fontId="12" fillId="0" borderId="61" xfId="0" applyFont="1" applyBorder="1" applyAlignment="1">
      <alignment horizontal="left" vertical="center" wrapText="1"/>
    </xf>
    <xf numFmtId="0" fontId="8" fillId="6" borderId="8" xfId="9" applyFont="1" applyFill="1" applyBorder="1" applyAlignment="1">
      <alignment horizontal="center" vertical="center" wrapText="1"/>
    </xf>
    <xf numFmtId="0" fontId="8" fillId="6" borderId="8" xfId="9" applyFont="1" applyFill="1" applyBorder="1" applyAlignment="1">
      <alignment horizontal="center" vertical="center"/>
    </xf>
    <xf numFmtId="0" fontId="12" fillId="0" borderId="81" xfId="0" applyFont="1" applyBorder="1" applyAlignment="1">
      <alignment horizontal="left" vertical="center" wrapText="1"/>
    </xf>
    <xf numFmtId="0" fontId="12" fillId="0" borderId="60" xfId="0" applyFont="1" applyBorder="1" applyAlignment="1">
      <alignment horizontal="left" vertical="center" wrapText="1"/>
    </xf>
    <xf numFmtId="0" fontId="8" fillId="6" borderId="8" xfId="0" applyFont="1" applyFill="1" applyBorder="1" applyAlignment="1" applyProtection="1">
      <alignment horizontal="center" vertical="center"/>
      <protection locked="0"/>
    </xf>
    <xf numFmtId="0" fontId="8" fillId="6" borderId="57" xfId="0" applyFont="1" applyFill="1" applyBorder="1" applyAlignment="1" applyProtection="1">
      <alignment horizontal="center" vertical="center"/>
      <protection locked="0"/>
    </xf>
    <xf numFmtId="8" fontId="8" fillId="6" borderId="5" xfId="0" applyNumberFormat="1" applyFont="1" applyFill="1" applyBorder="1" applyAlignment="1">
      <alignment horizontal="center" vertical="center"/>
    </xf>
    <xf numFmtId="8" fontId="8" fillId="6" borderId="6" xfId="0" applyNumberFormat="1" applyFont="1" applyFill="1" applyBorder="1" applyAlignment="1">
      <alignment horizontal="center" vertical="center"/>
    </xf>
    <xf numFmtId="8" fontId="8" fillId="6" borderId="28" xfId="0" applyNumberFormat="1" applyFont="1" applyFill="1" applyBorder="1" applyAlignment="1">
      <alignment horizontal="center" vertical="center"/>
    </xf>
    <xf numFmtId="0" fontId="8" fillId="7" borderId="118" xfId="0" applyFont="1" applyFill="1" applyBorder="1" applyAlignment="1">
      <alignment horizontal="center" vertical="center" wrapText="1"/>
    </xf>
    <xf numFmtId="0" fontId="8" fillId="7" borderId="1" xfId="0" applyFont="1" applyFill="1" applyBorder="1" applyAlignment="1">
      <alignment horizontal="center" vertical="center" wrapText="1"/>
    </xf>
    <xf numFmtId="8" fontId="8" fillId="6" borderId="8" xfId="0" applyNumberFormat="1" applyFont="1" applyFill="1" applyBorder="1" applyAlignment="1">
      <alignment horizontal="center" vertical="center"/>
    </xf>
    <xf numFmtId="0" fontId="8" fillId="0" borderId="18" xfId="0" applyFont="1" applyBorder="1" applyAlignment="1">
      <alignment horizontal="right"/>
    </xf>
    <xf numFmtId="0" fontId="8" fillId="0" borderId="19" xfId="0" applyFont="1" applyBorder="1" applyAlignment="1">
      <alignment horizontal="right"/>
    </xf>
    <xf numFmtId="0" fontId="8" fillId="0" borderId="16" xfId="0" applyFont="1" applyBorder="1" applyAlignment="1">
      <alignment horizontal="right"/>
    </xf>
    <xf numFmtId="0" fontId="8" fillId="0" borderId="0" xfId="0" applyFont="1" applyAlignment="1">
      <alignment horizontal="right"/>
    </xf>
    <xf numFmtId="0" fontId="8" fillId="0" borderId="13" xfId="0" applyFont="1" applyBorder="1" applyAlignment="1">
      <alignment horizontal="right"/>
    </xf>
    <xf numFmtId="0" fontId="8" fillId="0" borderId="14" xfId="0" applyFont="1" applyBorder="1" applyAlignment="1">
      <alignment horizontal="right"/>
    </xf>
    <xf numFmtId="0" fontId="8" fillId="7" borderId="5"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8" fillId="7" borderId="28" xfId="0" applyFont="1" applyFill="1" applyBorder="1" applyAlignment="1">
      <alignment horizontal="center" vertical="center" wrapText="1"/>
    </xf>
    <xf numFmtId="0" fontId="12" fillId="0" borderId="13" xfId="0" applyFont="1" applyBorder="1" applyAlignment="1" applyProtection="1">
      <alignment horizontal="left" vertical="top" wrapText="1"/>
      <protection locked="0"/>
    </xf>
    <xf numFmtId="0" fontId="12" fillId="0" borderId="14" xfId="0" applyFont="1" applyBorder="1" applyAlignment="1" applyProtection="1">
      <alignment horizontal="left" vertical="top" wrapText="1"/>
      <protection locked="0"/>
    </xf>
    <xf numFmtId="0" fontId="12" fillId="0" borderId="15" xfId="0" applyFont="1" applyBorder="1" applyAlignment="1" applyProtection="1">
      <alignment horizontal="left" vertical="top" wrapText="1"/>
      <protection locked="0"/>
    </xf>
    <xf numFmtId="0" fontId="12" fillId="0" borderId="16" xfId="0" applyFont="1" applyBorder="1" applyAlignment="1" applyProtection="1">
      <alignment horizontal="left" vertical="top" wrapText="1"/>
      <protection locked="0"/>
    </xf>
    <xf numFmtId="0" fontId="12" fillId="0" borderId="0" xfId="0" applyFont="1" applyAlignment="1" applyProtection="1">
      <alignment horizontal="left" vertical="top" wrapText="1"/>
      <protection locked="0"/>
    </xf>
    <xf numFmtId="0" fontId="12" fillId="0" borderId="17" xfId="0" applyFont="1" applyBorder="1" applyAlignment="1" applyProtection="1">
      <alignment horizontal="left" vertical="top" wrapText="1"/>
      <protection locked="0"/>
    </xf>
    <xf numFmtId="0" fontId="12" fillId="0" borderId="19" xfId="0" applyFont="1" applyBorder="1" applyAlignment="1" applyProtection="1">
      <alignment horizontal="left" vertical="top" wrapText="1"/>
      <protection locked="0"/>
    </xf>
    <xf numFmtId="0" fontId="12" fillId="0" borderId="20" xfId="0" applyFont="1" applyBorder="1" applyAlignment="1" applyProtection="1">
      <alignment horizontal="left" vertical="top" wrapText="1"/>
      <protection locked="0"/>
    </xf>
    <xf numFmtId="0" fontId="12" fillId="0" borderId="0" xfId="0" applyFont="1" applyAlignment="1">
      <alignment horizontal="left"/>
    </xf>
    <xf numFmtId="0" fontId="12" fillId="0" borderId="27" xfId="0" applyFont="1" applyBorder="1" applyAlignment="1">
      <alignment vertical="top"/>
    </xf>
    <xf numFmtId="0" fontId="12" fillId="0" borderId="6" xfId="0" applyFont="1" applyBorder="1" applyAlignment="1">
      <alignment vertical="top"/>
    </xf>
    <xf numFmtId="0" fontId="12" fillId="0" borderId="28" xfId="0" applyFont="1" applyBorder="1" applyAlignment="1">
      <alignment vertical="top"/>
    </xf>
    <xf numFmtId="172" fontId="8" fillId="7" borderId="90" xfId="0" applyNumberFormat="1" applyFont="1" applyFill="1" applyBorder="1" applyAlignment="1">
      <alignment horizontal="center" vertical="center" wrapText="1"/>
    </xf>
    <xf numFmtId="172" fontId="8" fillId="7" borderId="101" xfId="0" applyNumberFormat="1" applyFont="1" applyFill="1" applyBorder="1" applyAlignment="1">
      <alignment horizontal="center" vertical="center" wrapText="1"/>
    </xf>
    <xf numFmtId="168" fontId="8" fillId="7" borderId="35" xfId="0" applyNumberFormat="1" applyFont="1" applyFill="1" applyBorder="1" applyAlignment="1">
      <alignment horizontal="center" vertical="center" wrapText="1"/>
    </xf>
    <xf numFmtId="168" fontId="8" fillId="7" borderId="8" xfId="0" applyNumberFormat="1" applyFont="1" applyFill="1" applyBorder="1" applyAlignment="1">
      <alignment horizontal="center" vertical="center" wrapText="1"/>
    </xf>
    <xf numFmtId="168" fontId="8" fillId="7" borderId="8" xfId="0" applyNumberFormat="1" applyFont="1" applyFill="1" applyBorder="1" applyAlignment="1">
      <alignment horizontal="center" vertical="center"/>
    </xf>
    <xf numFmtId="168" fontId="8" fillId="7" borderId="90" xfId="0" applyNumberFormat="1" applyFont="1" applyFill="1" applyBorder="1" applyAlignment="1">
      <alignment vertical="center"/>
    </xf>
    <xf numFmtId="168" fontId="8" fillId="7" borderId="23" xfId="0" applyNumberFormat="1" applyFont="1" applyFill="1" applyBorder="1" applyAlignment="1">
      <alignment vertical="center"/>
    </xf>
    <xf numFmtId="168" fontId="8" fillId="7" borderId="101" xfId="0" applyNumberFormat="1" applyFont="1" applyFill="1" applyBorder="1" applyAlignment="1">
      <alignment vertical="center"/>
    </xf>
    <xf numFmtId="168" fontId="8" fillId="7" borderId="90" xfId="0" applyNumberFormat="1" applyFont="1" applyFill="1" applyBorder="1" applyAlignment="1">
      <alignment horizontal="center" vertical="center"/>
    </xf>
    <xf numFmtId="168" fontId="8" fillId="7" borderId="23" xfId="0" applyNumberFormat="1" applyFont="1" applyFill="1" applyBorder="1" applyAlignment="1">
      <alignment horizontal="center" vertical="center"/>
    </xf>
    <xf numFmtId="168" fontId="8" fillId="7" borderId="101" xfId="0" applyNumberFormat="1" applyFont="1" applyFill="1" applyBorder="1" applyAlignment="1">
      <alignment horizontal="center" vertical="center"/>
    </xf>
    <xf numFmtId="171" fontId="12" fillId="0" borderId="81" xfId="8" applyNumberFormat="1" applyFont="1" applyBorder="1" applyAlignment="1" applyProtection="1">
      <alignment horizontal="left"/>
      <protection locked="0"/>
    </xf>
    <xf numFmtId="171" fontId="12" fillId="0" borderId="60" xfId="8" applyNumberFormat="1" applyFont="1" applyBorder="1" applyAlignment="1" applyProtection="1">
      <alignment horizontal="left"/>
      <protection locked="0"/>
    </xf>
    <xf numFmtId="171" fontId="12" fillId="0" borderId="74" xfId="8" applyNumberFormat="1" applyFont="1" applyBorder="1" applyAlignment="1" applyProtection="1">
      <alignment horizontal="left"/>
      <protection locked="0"/>
    </xf>
    <xf numFmtId="168" fontId="17" fillId="7" borderId="8" xfId="0" applyNumberFormat="1" applyFont="1" applyFill="1" applyBorder="1" applyAlignment="1">
      <alignment horizontal="center" vertical="center" wrapText="1"/>
    </xf>
    <xf numFmtId="168" fontId="17" fillId="7" borderId="8" xfId="0" applyNumberFormat="1" applyFont="1" applyFill="1" applyBorder="1" applyAlignment="1">
      <alignment horizontal="center" vertical="center"/>
    </xf>
    <xf numFmtId="168" fontId="8" fillId="7" borderId="57" xfId="0" applyNumberFormat="1" applyFont="1" applyFill="1" applyBorder="1" applyAlignment="1">
      <alignment horizontal="center" vertical="center"/>
    </xf>
    <xf numFmtId="171" fontId="12" fillId="0" borderId="114" xfId="8" applyNumberFormat="1" applyFont="1" applyBorder="1" applyAlignment="1" applyProtection="1">
      <alignment horizontal="left"/>
      <protection locked="0"/>
    </xf>
    <xf numFmtId="171" fontId="12" fillId="0" borderId="61" xfId="8" applyNumberFormat="1" applyFont="1" applyBorder="1" applyAlignment="1" applyProtection="1">
      <alignment horizontal="left"/>
      <protection locked="0"/>
    </xf>
    <xf numFmtId="171" fontId="12" fillId="0" borderId="75" xfId="8" applyNumberFormat="1" applyFont="1" applyBorder="1" applyAlignment="1" applyProtection="1">
      <alignment horizontal="left"/>
      <protection locked="0"/>
    </xf>
    <xf numFmtId="171" fontId="12" fillId="0" borderId="117" xfId="8" applyNumberFormat="1" applyFont="1" applyBorder="1" applyAlignment="1" applyProtection="1">
      <alignment horizontal="left"/>
      <protection locked="0"/>
    </xf>
    <xf numFmtId="171" fontId="12" fillId="0" borderId="67" xfId="8" applyNumberFormat="1" applyFont="1" applyBorder="1" applyAlignment="1" applyProtection="1">
      <alignment horizontal="left"/>
      <protection locked="0"/>
    </xf>
    <xf numFmtId="171" fontId="12" fillId="0" borderId="76" xfId="8" applyNumberFormat="1" applyFont="1" applyBorder="1" applyAlignment="1" applyProtection="1">
      <alignment horizontal="left"/>
      <protection locked="0"/>
    </xf>
  </cellXfs>
  <cellStyles count="16">
    <cellStyle name="Lien hypertexte" xfId="5" builtinId="8"/>
    <cellStyle name="Milliers" xfId="1" builtinId="3"/>
    <cellStyle name="Milliers 2" xfId="12" xr:uid="{00000000-0005-0000-0000-000002000000}"/>
    <cellStyle name="Normal" xfId="0" builtinId="0"/>
    <cellStyle name="Normal 2" xfId="3" xr:uid="{00000000-0005-0000-0000-000004000000}"/>
    <cellStyle name="Normal 4" xfId="10" xr:uid="{00000000-0005-0000-0000-000005000000}"/>
    <cellStyle name="Normal 5" xfId="15" xr:uid="{E3CACED9-CD27-4BB8-9A39-26A21CBC85B1}"/>
    <cellStyle name="Normal 8" xfId="14" xr:uid="{00000000-0005-0000-0000-000006000000}"/>
    <cellStyle name="Normal_(08-12) - E - Clients - Novembal" xfId="9" xr:uid="{00000000-0005-0000-0000-000007000000}"/>
    <cellStyle name="Normal_Bilan Ancenis_(08-12) - E - Clients - Novembal" xfId="13" xr:uid="{00000000-0005-0000-0000-000008000000}"/>
    <cellStyle name="Normal_IDE 311205 Clients" xfId="6" xr:uid="{00000000-0005-0000-0000-000009000000}"/>
    <cellStyle name="Normal_J- écart de conversion" xfId="8" xr:uid="{00000000-0005-0000-0000-00000A000000}"/>
    <cellStyle name="Normal_xxx-L-Clients 200x" xfId="7" xr:uid="{00000000-0005-0000-0000-00000C000000}"/>
    <cellStyle name="Pourcentage" xfId="2" builtinId="5"/>
    <cellStyle name="Pourcentage 3" xfId="11" xr:uid="{00000000-0005-0000-0000-00000E000000}"/>
    <cellStyle name="Texte de fond" xfId="4" xr:uid="{00000000-0005-0000-0000-00000F000000}"/>
  </cellStyles>
  <dxfs count="0"/>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4</xdr:col>
      <xdr:colOff>0</xdr:colOff>
      <xdr:row>16</xdr:row>
      <xdr:rowOff>0</xdr:rowOff>
    </xdr:from>
    <xdr:to>
      <xdr:col>4</xdr:col>
      <xdr:colOff>0</xdr:colOff>
      <xdr:row>16</xdr:row>
      <xdr:rowOff>0</xdr:rowOff>
    </xdr:to>
    <xdr:sp macro="" textlink="">
      <xdr:nvSpPr>
        <xdr:cNvPr id="4" name="Line 1">
          <a:extLst>
            <a:ext uri="{FF2B5EF4-FFF2-40B4-BE49-F238E27FC236}">
              <a16:creationId xmlns:a16="http://schemas.microsoft.com/office/drawing/2014/main" id="{00000000-0008-0000-0A00-000004000000}"/>
            </a:ext>
          </a:extLst>
        </xdr:cNvPr>
        <xdr:cNvSpPr>
          <a:spLocks noChangeShapeType="1"/>
        </xdr:cNvSpPr>
      </xdr:nvSpPr>
      <xdr:spPr bwMode="auto">
        <a:xfrm flipV="1">
          <a:off x="2621280" y="5715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16</xdr:row>
      <xdr:rowOff>0</xdr:rowOff>
    </xdr:from>
    <xdr:to>
      <xdr:col>4</xdr:col>
      <xdr:colOff>0</xdr:colOff>
      <xdr:row>16</xdr:row>
      <xdr:rowOff>0</xdr:rowOff>
    </xdr:to>
    <xdr:sp macro="" textlink="">
      <xdr:nvSpPr>
        <xdr:cNvPr id="5" name="Line 1">
          <a:extLst>
            <a:ext uri="{FF2B5EF4-FFF2-40B4-BE49-F238E27FC236}">
              <a16:creationId xmlns:a16="http://schemas.microsoft.com/office/drawing/2014/main" id="{00000000-0008-0000-0B00-000005000000}"/>
            </a:ext>
          </a:extLst>
        </xdr:cNvPr>
        <xdr:cNvSpPr>
          <a:spLocks noChangeShapeType="1"/>
        </xdr:cNvSpPr>
      </xdr:nvSpPr>
      <xdr:spPr bwMode="auto">
        <a:xfrm flipV="1">
          <a:off x="2686050" y="5762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16</xdr:row>
      <xdr:rowOff>0</xdr:rowOff>
    </xdr:from>
    <xdr:to>
      <xdr:col>4</xdr:col>
      <xdr:colOff>0</xdr:colOff>
      <xdr:row>16</xdr:row>
      <xdr:rowOff>0</xdr:rowOff>
    </xdr:to>
    <xdr:sp macro="" textlink="">
      <xdr:nvSpPr>
        <xdr:cNvPr id="5" name="Line 1">
          <a:extLst>
            <a:ext uri="{FF2B5EF4-FFF2-40B4-BE49-F238E27FC236}">
              <a16:creationId xmlns:a16="http://schemas.microsoft.com/office/drawing/2014/main" id="{00000000-0008-0000-0D00-000005000000}"/>
            </a:ext>
          </a:extLst>
        </xdr:cNvPr>
        <xdr:cNvSpPr>
          <a:spLocks noChangeShapeType="1"/>
        </xdr:cNvSpPr>
      </xdr:nvSpPr>
      <xdr:spPr bwMode="auto">
        <a:xfrm flipV="1">
          <a:off x="2686050" y="5762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dclyo\Collaborateurs\CHA\CAC%20-%20Dossier%20annuel%20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de Garde"/>
      <sheetName val="Dossier Annuel"/>
      <sheetName val="Programme de travail"/>
      <sheetName val="Seuils de signification"/>
      <sheetName val="Quest Lutte contre blanchiment"/>
      <sheetName val="Quest Maintien mission"/>
      <sheetName val="Quest Fin de mission"/>
      <sheetName val="Quest Evènements post."/>
      <sheetName val="Quest Continuité exploi"/>
      <sheetName val="Quest Fraudes"/>
      <sheetName val="Quest Text légaux"/>
      <sheetName val="Quest Expert compt."/>
      <sheetName val="Quest Dirigeant"/>
      <sheetName val="Prépa. Décalration act."/>
      <sheetName val="Contrôle Annexe"/>
      <sheetName val="Contrôle Juridique (SAS)"/>
      <sheetName val="Contrôle Juridique (SA)"/>
      <sheetName val="Synthèse des ajustements"/>
      <sheetName val="B synth"/>
      <sheetName val="b10 quest"/>
      <sheetName val="B20"/>
      <sheetName val="B30"/>
      <sheetName val="B 40"/>
      <sheetName val="B 50"/>
      <sheetName val="B 60"/>
      <sheetName val="C synth"/>
      <sheetName val="C 10"/>
      <sheetName val="C 20"/>
      <sheetName val="D synth"/>
      <sheetName val="D.10 quest"/>
      <sheetName val="D15"/>
      <sheetName val="D 20"/>
      <sheetName val="D 30"/>
      <sheetName val="D 40"/>
      <sheetName val="D 50 "/>
      <sheetName val="D 55"/>
      <sheetName val="D60"/>
      <sheetName val="E synthèse"/>
      <sheetName val="E10 quest"/>
      <sheetName val="E 20"/>
      <sheetName val="E 30"/>
      <sheetName val="E 35"/>
      <sheetName val="E 40"/>
      <sheetName val="E 50"/>
      <sheetName val="E 60"/>
      <sheetName val="E 70"/>
      <sheetName val="E 75"/>
      <sheetName val="E80"/>
      <sheetName val="E85"/>
      <sheetName val="E 90"/>
      <sheetName val="F synthèse"/>
      <sheetName val="F10 quest"/>
      <sheetName val="F 20"/>
      <sheetName val="F 30"/>
      <sheetName val="F 40"/>
      <sheetName val="F50"/>
      <sheetName val="F60"/>
      <sheetName val="G synthèse"/>
      <sheetName val="H synthèse"/>
      <sheetName val="H10 quest"/>
      <sheetName val=" J synthèse"/>
      <sheetName val="K synthèse"/>
      <sheetName val="K 10"/>
      <sheetName val="L synthèse"/>
      <sheetName val="M synthèse"/>
      <sheetName val="M.10 quest"/>
      <sheetName val="M 20"/>
      <sheetName val="M 30"/>
      <sheetName val="M 35"/>
      <sheetName val="M 40"/>
      <sheetName val="M 50"/>
      <sheetName val="M 60"/>
      <sheetName val="M 65"/>
      <sheetName val="M70"/>
      <sheetName val="M75"/>
      <sheetName val="N synthèse"/>
      <sheetName val="N.10 quest"/>
      <sheetName val="N 01"/>
      <sheetName val="N 20"/>
      <sheetName val="N 30"/>
      <sheetName val="N 40"/>
      <sheetName val="N 50"/>
      <sheetName val="N 60"/>
      <sheetName val="P synth"/>
      <sheetName val="P10 quest"/>
      <sheetName val="P 20"/>
      <sheetName val="P 301"/>
      <sheetName val="P 302"/>
      <sheetName val="P 40"/>
      <sheetName val="P 50"/>
      <sheetName val="P 55"/>
      <sheetName val="P 60"/>
      <sheetName val="P 70"/>
      <sheetName val="P 80"/>
      <sheetName val="S synth"/>
      <sheetName val="T synth"/>
      <sheetName val="Tableau pour NDS"/>
      <sheetName val="BILAN ACTIF"/>
      <sheetName val="BILAN PASSIF"/>
      <sheetName val="SI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ow r="24">
          <cell r="F24">
            <v>0</v>
          </cell>
          <cell r="H24">
            <v>0</v>
          </cell>
        </row>
        <row r="29">
          <cell r="F29">
            <v>0</v>
          </cell>
          <cell r="H29">
            <v>0</v>
          </cell>
        </row>
        <row r="34">
          <cell r="F34">
            <v>0</v>
          </cell>
          <cell r="H34">
            <v>0</v>
          </cell>
        </row>
        <row r="54">
          <cell r="F54">
            <v>0</v>
          </cell>
          <cell r="H54">
            <v>0</v>
          </cell>
        </row>
        <row r="56">
          <cell r="F56" t="str">
            <v>#DC{£AED=1}</v>
          </cell>
          <cell r="H56" t="str">
            <v>#DC{£AED_1=1}</v>
          </cell>
        </row>
        <row r="58">
          <cell r="F58" t="e">
            <v>#VALUE!</v>
          </cell>
          <cell r="H58" t="e">
            <v>#VALUE!</v>
          </cell>
        </row>
      </sheetData>
      <sheetData sheetId="99">
        <row r="8">
          <cell r="B8" t="str">
            <v>#DC{£DS1=1}</v>
          </cell>
          <cell r="D8" t="str">
            <v>#DC{£DS1_1=1}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40"/>
  <sheetViews>
    <sheetView showGridLines="0" tabSelected="1" zoomScale="90" zoomScaleNormal="90" workbookViewId="0">
      <selection activeCell="A41" sqref="A41"/>
    </sheetView>
  </sheetViews>
  <sheetFormatPr baseColWidth="10" defaultColWidth="11.42578125" defaultRowHeight="15.75"/>
  <cols>
    <col min="1" max="12" width="14.7109375" style="7" customWidth="1"/>
    <col min="13" max="13" width="24.28515625" style="7" customWidth="1"/>
    <col min="14" max="15" width="14.7109375" style="7" customWidth="1"/>
    <col min="16" max="16" width="4.7109375" style="7" customWidth="1"/>
    <col min="17" max="17" width="9.28515625" style="7" hidden="1" customWidth="1"/>
    <col min="18" max="16384" width="11.42578125" style="7"/>
  </cols>
  <sheetData>
    <row r="1" spans="1:23" s="1" customFormat="1" ht="15" customHeight="1">
      <c r="A1" s="10"/>
      <c r="B1" s="11"/>
      <c r="C1" s="11"/>
      <c r="D1" s="745" t="s">
        <v>0</v>
      </c>
      <c r="E1" s="746"/>
      <c r="F1" s="746"/>
      <c r="G1" s="746"/>
      <c r="H1" s="746"/>
      <c r="I1" s="746"/>
      <c r="J1" s="746"/>
      <c r="K1" s="746"/>
      <c r="L1" s="746"/>
      <c r="M1" s="747"/>
      <c r="N1" s="11"/>
      <c r="O1" s="12"/>
      <c r="Q1" s="27" t="s">
        <v>1</v>
      </c>
    </row>
    <row r="2" spans="1:23" s="1" customFormat="1" ht="15" customHeight="1" thickBot="1">
      <c r="A2" s="13"/>
      <c r="B2" s="14"/>
      <c r="C2" s="14"/>
      <c r="D2" s="748"/>
      <c r="E2" s="749"/>
      <c r="F2" s="749"/>
      <c r="G2" s="749"/>
      <c r="H2" s="749"/>
      <c r="I2" s="749"/>
      <c r="J2" s="749"/>
      <c r="K2" s="749"/>
      <c r="L2" s="749"/>
      <c r="M2" s="750"/>
      <c r="N2" s="14"/>
      <c r="O2" s="15"/>
      <c r="Q2" s="27" t="s">
        <v>2</v>
      </c>
    </row>
    <row r="3" spans="1:23" ht="15" customHeight="1">
      <c r="A3" s="709" t="s">
        <v>3</v>
      </c>
      <c r="B3" s="710"/>
      <c r="C3" s="710"/>
      <c r="D3" s="710"/>
      <c r="E3" s="710"/>
      <c r="F3" s="710"/>
      <c r="G3" s="710"/>
      <c r="H3" s="710"/>
      <c r="I3" s="710"/>
      <c r="J3" s="710"/>
      <c r="K3" s="710"/>
      <c r="L3" s="710"/>
      <c r="M3" s="710"/>
      <c r="N3" s="710"/>
      <c r="O3" s="711"/>
      <c r="Q3" s="28"/>
      <c r="T3" s="3"/>
      <c r="V3" s="5"/>
      <c r="W3" s="6"/>
    </row>
    <row r="4" spans="1:23" ht="15" customHeight="1">
      <c r="A4" s="709"/>
      <c r="B4" s="710"/>
      <c r="C4" s="710"/>
      <c r="D4" s="710"/>
      <c r="E4" s="710"/>
      <c r="F4" s="710"/>
      <c r="G4" s="710"/>
      <c r="H4" s="710"/>
      <c r="I4" s="710"/>
      <c r="J4" s="710"/>
      <c r="K4" s="710"/>
      <c r="L4" s="710"/>
      <c r="M4" s="710"/>
      <c r="N4" s="710"/>
      <c r="O4" s="711"/>
      <c r="Q4" s="27" t="s">
        <v>4</v>
      </c>
      <c r="R4" s="2"/>
      <c r="T4" s="3"/>
      <c r="V4" s="5"/>
      <c r="W4" s="6"/>
    </row>
    <row r="5" spans="1:23" ht="15" customHeight="1" thickBot="1">
      <c r="A5" s="712"/>
      <c r="B5" s="713"/>
      <c r="C5" s="713"/>
      <c r="D5" s="713"/>
      <c r="E5" s="713"/>
      <c r="F5" s="713"/>
      <c r="G5" s="713"/>
      <c r="H5" s="713"/>
      <c r="I5" s="713"/>
      <c r="J5" s="713"/>
      <c r="K5" s="713"/>
      <c r="L5" s="713"/>
      <c r="M5" s="713"/>
      <c r="N5" s="713"/>
      <c r="O5" s="714"/>
      <c r="Q5" s="27" t="s">
        <v>5</v>
      </c>
      <c r="S5" s="8"/>
      <c r="T5" s="4"/>
      <c r="U5" s="23"/>
      <c r="V5" s="23"/>
      <c r="W5" s="23"/>
    </row>
    <row r="6" spans="1:23" ht="15" customHeight="1">
      <c r="A6" s="17" t="s">
        <v>6</v>
      </c>
      <c r="B6" s="271" t="s">
        <v>263</v>
      </c>
      <c r="C6" s="17" t="s">
        <v>7</v>
      </c>
      <c r="D6" s="271"/>
      <c r="E6" s="715" t="s">
        <v>8</v>
      </c>
      <c r="F6" s="716"/>
      <c r="G6" s="716"/>
      <c r="H6" s="716"/>
      <c r="I6" s="716"/>
      <c r="J6" s="716"/>
      <c r="K6" s="716"/>
      <c r="L6" s="717"/>
      <c r="M6" s="696" t="s">
        <v>9</v>
      </c>
      <c r="N6" s="721" t="s">
        <v>10</v>
      </c>
      <c r="O6" s="722"/>
      <c r="Q6" s="28" t="s">
        <v>11</v>
      </c>
      <c r="R6" s="9"/>
      <c r="T6" s="1"/>
      <c r="U6" s="1"/>
    </row>
    <row r="7" spans="1:23" ht="15" customHeight="1" thickBot="1">
      <c r="A7" s="18" t="s">
        <v>12</v>
      </c>
      <c r="B7" s="272"/>
      <c r="C7" s="18" t="s">
        <v>12</v>
      </c>
      <c r="D7" s="272"/>
      <c r="E7" s="718"/>
      <c r="F7" s="719"/>
      <c r="G7" s="719"/>
      <c r="H7" s="719"/>
      <c r="I7" s="719"/>
      <c r="J7" s="719"/>
      <c r="K7" s="719"/>
      <c r="L7" s="720"/>
      <c r="M7" s="697" t="s">
        <v>13</v>
      </c>
      <c r="N7" s="723" t="s">
        <v>14</v>
      </c>
      <c r="O7" s="724"/>
      <c r="Q7" s="27" t="s">
        <v>15</v>
      </c>
    </row>
    <row r="8" spans="1:23" ht="21" customHeight="1" thickBot="1">
      <c r="A8" s="19"/>
      <c r="B8" s="16"/>
      <c r="C8" s="20"/>
      <c r="D8" s="20"/>
      <c r="E8" s="21"/>
      <c r="F8" s="21"/>
      <c r="G8" s="21"/>
      <c r="H8" s="21"/>
      <c r="I8" s="21"/>
      <c r="J8" s="21"/>
      <c r="K8" s="21"/>
      <c r="L8" s="21"/>
      <c r="M8" s="22"/>
      <c r="N8" s="273"/>
      <c r="O8" s="273"/>
      <c r="Q8" s="27" t="s">
        <v>16</v>
      </c>
    </row>
    <row r="9" spans="1:23" s="20" customFormat="1" ht="31.5" customHeight="1" thickBot="1">
      <c r="A9" s="733" t="s">
        <v>17</v>
      </c>
      <c r="B9" s="734"/>
      <c r="C9" s="734"/>
      <c r="D9" s="275" t="s">
        <v>5</v>
      </c>
      <c r="E9" s="276"/>
      <c r="F9" s="735" t="s">
        <v>18</v>
      </c>
      <c r="G9" s="736"/>
      <c r="H9" s="736"/>
      <c r="I9" s="736"/>
      <c r="J9" s="278"/>
      <c r="K9" s="279"/>
      <c r="L9" s="735" t="s">
        <v>19</v>
      </c>
      <c r="M9" s="736"/>
      <c r="N9" s="568" t="s">
        <v>16</v>
      </c>
      <c r="O9" s="569"/>
      <c r="Q9" s="28" t="s">
        <v>20</v>
      </c>
    </row>
    <row r="10" spans="1:23" s="26" customFormat="1" ht="21" customHeight="1" thickBot="1">
      <c r="A10" s="24"/>
      <c r="B10" s="24"/>
      <c r="C10" s="24"/>
      <c r="D10" s="24"/>
      <c r="E10" s="24"/>
      <c r="F10" s="24"/>
      <c r="G10" s="24"/>
      <c r="H10" s="24"/>
      <c r="I10" s="24"/>
      <c r="J10" s="24"/>
      <c r="K10" s="24"/>
      <c r="L10" s="24"/>
      <c r="M10" s="24"/>
      <c r="N10" s="24"/>
      <c r="O10" s="24"/>
    </row>
    <row r="11" spans="1:23" ht="15" customHeight="1">
      <c r="A11" s="737" t="s">
        <v>21</v>
      </c>
      <c r="B11" s="738"/>
      <c r="C11" s="24" t="s">
        <v>22</v>
      </c>
      <c r="D11" s="24"/>
      <c r="E11" s="24"/>
      <c r="F11" s="24"/>
      <c r="G11" s="24"/>
      <c r="H11" s="24"/>
      <c r="I11" s="24"/>
      <c r="J11" s="24"/>
      <c r="K11" s="24"/>
      <c r="L11" s="24"/>
      <c r="M11" s="692" t="s">
        <v>23</v>
      </c>
      <c r="N11" s="743" t="s">
        <v>24</v>
      </c>
      <c r="O11" s="744"/>
    </row>
    <row r="12" spans="1:23" s="1" customFormat="1" ht="15" customHeight="1">
      <c r="A12" s="739" t="s">
        <v>25</v>
      </c>
      <c r="B12" s="740"/>
      <c r="C12" s="280" t="s">
        <v>26</v>
      </c>
      <c r="D12" s="277"/>
      <c r="E12" s="277"/>
      <c r="F12" s="277"/>
      <c r="G12" s="277"/>
      <c r="H12" s="277"/>
      <c r="I12" s="277"/>
      <c r="J12" s="277"/>
      <c r="K12" s="277"/>
      <c r="L12" s="277"/>
      <c r="M12" s="694" t="s">
        <v>1</v>
      </c>
      <c r="N12" s="741" t="s">
        <v>27</v>
      </c>
      <c r="O12" s="742"/>
      <c r="P12" s="274"/>
      <c r="Q12" s="7"/>
      <c r="R12" s="7"/>
    </row>
    <row r="13" spans="1:23" s="1" customFormat="1" ht="15" customHeight="1">
      <c r="A13" s="739" t="s">
        <v>28</v>
      </c>
      <c r="B13" s="740"/>
      <c r="C13" s="280" t="s">
        <v>29</v>
      </c>
      <c r="D13" s="280"/>
      <c r="E13" s="280"/>
      <c r="F13" s="280"/>
      <c r="G13" s="280"/>
      <c r="H13" s="280"/>
      <c r="I13" s="280"/>
      <c r="J13" s="280"/>
      <c r="K13" s="280"/>
      <c r="L13" s="280"/>
      <c r="M13" s="694" t="s">
        <v>1</v>
      </c>
      <c r="N13" s="741" t="s">
        <v>30</v>
      </c>
      <c r="O13" s="742"/>
      <c r="P13" s="274"/>
    </row>
    <row r="14" spans="1:23" s="1" customFormat="1" ht="15" customHeight="1">
      <c r="A14" s="739" t="s">
        <v>31</v>
      </c>
      <c r="B14" s="740"/>
      <c r="C14" s="280" t="s">
        <v>32</v>
      </c>
      <c r="D14" s="280"/>
      <c r="E14" s="280"/>
      <c r="F14" s="280"/>
      <c r="G14" s="280"/>
      <c r="H14" s="280"/>
      <c r="I14" s="280"/>
      <c r="J14" s="280"/>
      <c r="K14" s="280"/>
      <c r="L14" s="280"/>
      <c r="M14" s="694" t="s">
        <v>1</v>
      </c>
      <c r="N14" s="741" t="s">
        <v>33</v>
      </c>
      <c r="O14" s="742"/>
      <c r="P14" s="274"/>
    </row>
    <row r="15" spans="1:23" s="1" customFormat="1" ht="15" customHeight="1">
      <c r="A15" s="739" t="s">
        <v>34</v>
      </c>
      <c r="B15" s="740"/>
      <c r="C15" s="280" t="s">
        <v>35</v>
      </c>
      <c r="D15" s="280"/>
      <c r="E15" s="280"/>
      <c r="F15" s="280"/>
      <c r="G15" s="280"/>
      <c r="H15" s="280"/>
      <c r="I15" s="280"/>
      <c r="J15" s="280"/>
      <c r="K15" s="280"/>
      <c r="L15" s="280"/>
      <c r="M15" s="694" t="s">
        <v>1</v>
      </c>
      <c r="N15" s="741" t="s">
        <v>36</v>
      </c>
      <c r="O15" s="742"/>
      <c r="P15" s="274"/>
    </row>
    <row r="16" spans="1:23" s="1" customFormat="1" ht="15" customHeight="1">
      <c r="A16" s="739" t="s">
        <v>37</v>
      </c>
      <c r="B16" s="740"/>
      <c r="C16" s="280" t="s">
        <v>38</v>
      </c>
      <c r="D16" s="280"/>
      <c r="E16" s="280"/>
      <c r="F16" s="280"/>
      <c r="G16" s="280"/>
      <c r="H16" s="280"/>
      <c r="I16" s="280"/>
      <c r="J16" s="280"/>
      <c r="K16" s="280"/>
      <c r="L16" s="280"/>
      <c r="M16" s="694" t="s">
        <v>1</v>
      </c>
      <c r="N16" s="741" t="s">
        <v>39</v>
      </c>
      <c r="O16" s="742"/>
      <c r="P16" s="274"/>
    </row>
    <row r="17" spans="1:16" s="1" customFormat="1" ht="15" customHeight="1">
      <c r="A17" s="739" t="s">
        <v>40</v>
      </c>
      <c r="B17" s="740"/>
      <c r="C17" s="280" t="s">
        <v>41</v>
      </c>
      <c r="D17" s="280"/>
      <c r="E17" s="280"/>
      <c r="F17" s="280"/>
      <c r="G17" s="280"/>
      <c r="H17" s="280"/>
      <c r="I17" s="280"/>
      <c r="J17" s="280"/>
      <c r="K17" s="280"/>
      <c r="L17" s="280"/>
      <c r="M17" s="695" t="s">
        <v>1</v>
      </c>
      <c r="N17" s="741" t="s">
        <v>42</v>
      </c>
      <c r="O17" s="742"/>
      <c r="P17" s="274"/>
    </row>
    <row r="18" spans="1:16" s="1" customFormat="1" ht="15" customHeight="1">
      <c r="A18" s="739" t="s">
        <v>43</v>
      </c>
      <c r="B18" s="740"/>
      <c r="C18" s="280" t="s">
        <v>44</v>
      </c>
      <c r="D18" s="280"/>
      <c r="E18" s="280"/>
      <c r="F18" s="280"/>
      <c r="G18" s="280"/>
      <c r="H18" s="280"/>
      <c r="I18" s="280"/>
      <c r="J18" s="280"/>
      <c r="K18" s="280"/>
      <c r="L18" s="280"/>
      <c r="M18" s="695" t="s">
        <v>1</v>
      </c>
      <c r="N18" s="741" t="s">
        <v>45</v>
      </c>
      <c r="O18" s="742"/>
      <c r="P18" s="274"/>
    </row>
    <row r="19" spans="1:16" s="1" customFormat="1" ht="15" customHeight="1">
      <c r="A19" s="739" t="s">
        <v>46</v>
      </c>
      <c r="B19" s="740"/>
      <c r="C19" s="280" t="s">
        <v>47</v>
      </c>
      <c r="D19" s="280"/>
      <c r="E19" s="280"/>
      <c r="F19" s="280"/>
      <c r="G19" s="280"/>
      <c r="H19" s="280"/>
      <c r="I19" s="280"/>
      <c r="J19" s="280"/>
      <c r="K19" s="280"/>
      <c r="L19" s="280"/>
      <c r="M19" s="695" t="s">
        <v>1</v>
      </c>
      <c r="N19" s="741" t="s">
        <v>48</v>
      </c>
      <c r="O19" s="742"/>
    </row>
    <row r="20" spans="1:16" s="1" customFormat="1" ht="15" customHeight="1">
      <c r="A20" s="739" t="s">
        <v>49</v>
      </c>
      <c r="B20" s="740"/>
      <c r="C20" s="280" t="s">
        <v>50</v>
      </c>
      <c r="D20" s="280"/>
      <c r="E20" s="280"/>
      <c r="F20" s="280"/>
      <c r="G20" s="280"/>
      <c r="H20" s="280"/>
      <c r="I20" s="280"/>
      <c r="J20" s="280"/>
      <c r="K20" s="280"/>
      <c r="L20" s="280"/>
      <c r="M20" s="695" t="s">
        <v>1</v>
      </c>
      <c r="N20" s="741" t="s">
        <v>51</v>
      </c>
      <c r="O20" s="742"/>
    </row>
    <row r="21" spans="1:16" s="1" customFormat="1" ht="15" customHeight="1">
      <c r="A21" s="739" t="s">
        <v>52</v>
      </c>
      <c r="B21" s="740"/>
      <c r="C21" s="280" t="s">
        <v>53</v>
      </c>
      <c r="D21" s="280"/>
      <c r="E21" s="280"/>
      <c r="F21" s="280"/>
      <c r="G21" s="280"/>
      <c r="H21" s="280"/>
      <c r="I21" s="280"/>
      <c r="J21" s="280"/>
      <c r="K21" s="280"/>
      <c r="L21" s="280"/>
      <c r="M21" s="695" t="s">
        <v>1</v>
      </c>
      <c r="N21" s="741" t="s">
        <v>54</v>
      </c>
      <c r="O21" s="742"/>
    </row>
    <row r="22" spans="1:16" s="1" customFormat="1" ht="15" customHeight="1">
      <c r="A22" s="739" t="s">
        <v>55</v>
      </c>
      <c r="B22" s="740"/>
      <c r="C22" s="280" t="s">
        <v>56</v>
      </c>
      <c r="D22" s="280"/>
      <c r="E22" s="280"/>
      <c r="F22" s="280"/>
      <c r="G22" s="280"/>
      <c r="H22" s="280"/>
      <c r="I22" s="280"/>
      <c r="J22" s="280"/>
      <c r="K22" s="280"/>
      <c r="L22" s="280"/>
      <c r="M22" s="694" t="s">
        <v>1</v>
      </c>
      <c r="N22" s="741" t="s">
        <v>57</v>
      </c>
      <c r="O22" s="742"/>
    </row>
    <row r="23" spans="1:16" s="1" customFormat="1" ht="15" customHeight="1">
      <c r="A23" s="739"/>
      <c r="B23" s="740"/>
      <c r="C23" s="280" t="s">
        <v>59</v>
      </c>
      <c r="D23" s="280"/>
      <c r="E23" s="280"/>
      <c r="F23" s="280"/>
      <c r="G23" s="280"/>
      <c r="H23" s="280"/>
      <c r="I23" s="280"/>
      <c r="J23" s="280"/>
      <c r="K23" s="280"/>
      <c r="L23" s="280"/>
      <c r="M23" s="694" t="s">
        <v>2</v>
      </c>
      <c r="N23" s="761" t="s">
        <v>60</v>
      </c>
      <c r="O23" s="762"/>
    </row>
    <row r="24" spans="1:16" s="1" customFormat="1" ht="15" customHeight="1">
      <c r="A24" s="739"/>
      <c r="B24" s="740"/>
      <c r="C24" s="280" t="s">
        <v>62</v>
      </c>
      <c r="D24" s="280"/>
      <c r="E24" s="280"/>
      <c r="F24" s="280"/>
      <c r="G24" s="280"/>
      <c r="H24" s="280"/>
      <c r="I24" s="280"/>
      <c r="J24" s="280"/>
      <c r="K24" s="280"/>
      <c r="L24" s="280"/>
      <c r="M24" s="694" t="s">
        <v>2</v>
      </c>
      <c r="N24" s="761" t="s">
        <v>63</v>
      </c>
      <c r="O24" s="762"/>
    </row>
    <row r="25" spans="1:16" s="1" customFormat="1" ht="15" customHeight="1" thickBot="1">
      <c r="A25" s="759"/>
      <c r="B25" s="760"/>
      <c r="C25" s="281"/>
      <c r="D25" s="281"/>
      <c r="E25" s="281"/>
      <c r="F25" s="281"/>
      <c r="G25" s="281"/>
      <c r="H25" s="281"/>
      <c r="I25" s="281"/>
      <c r="J25" s="281"/>
      <c r="K25" s="281"/>
      <c r="L25" s="281"/>
      <c r="M25" s="693"/>
      <c r="N25" s="757"/>
      <c r="O25" s="758"/>
    </row>
    <row r="26" spans="1:16" s="25" customFormat="1" ht="21" customHeight="1" thickBot="1"/>
    <row r="27" spans="1:16" s="25" customFormat="1" thickBot="1">
      <c r="A27" s="754" t="s">
        <v>64</v>
      </c>
      <c r="B27" s="755"/>
      <c r="C27" s="755"/>
      <c r="D27" s="755"/>
      <c r="E27" s="755"/>
      <c r="F27" s="755"/>
      <c r="G27" s="755"/>
      <c r="H27" s="755"/>
      <c r="I27" s="755"/>
      <c r="J27" s="755"/>
      <c r="K27" s="755"/>
      <c r="L27" s="755"/>
      <c r="M27" s="755"/>
      <c r="N27" s="755"/>
      <c r="O27" s="756"/>
    </row>
    <row r="28" spans="1:16" ht="9.9499999999999993" customHeight="1">
      <c r="A28" s="700" t="s">
        <v>264</v>
      </c>
      <c r="B28" s="725"/>
      <c r="C28" s="725"/>
      <c r="D28" s="725"/>
      <c r="E28" s="725"/>
      <c r="F28" s="725"/>
      <c r="G28" s="725"/>
      <c r="H28" s="725"/>
      <c r="I28" s="725"/>
      <c r="J28" s="725"/>
      <c r="K28" s="725"/>
      <c r="L28" s="725"/>
      <c r="M28" s="725"/>
      <c r="N28" s="725"/>
      <c r="O28" s="726"/>
    </row>
    <row r="29" spans="1:16" ht="9.9499999999999993" customHeight="1">
      <c r="A29" s="727"/>
      <c r="B29" s="728"/>
      <c r="C29" s="728"/>
      <c r="D29" s="728"/>
      <c r="E29" s="728"/>
      <c r="F29" s="728"/>
      <c r="G29" s="728"/>
      <c r="H29" s="728"/>
      <c r="I29" s="728"/>
      <c r="J29" s="728"/>
      <c r="K29" s="728"/>
      <c r="L29" s="728"/>
      <c r="M29" s="728"/>
      <c r="N29" s="728"/>
      <c r="O29" s="729"/>
    </row>
    <row r="30" spans="1:16" ht="9.9499999999999993" customHeight="1">
      <c r="A30" s="727"/>
      <c r="B30" s="728"/>
      <c r="C30" s="728"/>
      <c r="D30" s="728"/>
      <c r="E30" s="728"/>
      <c r="F30" s="728"/>
      <c r="G30" s="728"/>
      <c r="H30" s="728"/>
      <c r="I30" s="728"/>
      <c r="J30" s="728"/>
      <c r="K30" s="728"/>
      <c r="L30" s="728"/>
      <c r="M30" s="728"/>
      <c r="N30" s="728"/>
      <c r="O30" s="729"/>
    </row>
    <row r="31" spans="1:16" ht="9.9499999999999993" customHeight="1">
      <c r="A31" s="727"/>
      <c r="B31" s="728"/>
      <c r="C31" s="728"/>
      <c r="D31" s="728"/>
      <c r="E31" s="728"/>
      <c r="F31" s="728"/>
      <c r="G31" s="728"/>
      <c r="H31" s="728"/>
      <c r="I31" s="728"/>
      <c r="J31" s="728"/>
      <c r="K31" s="728"/>
      <c r="L31" s="728"/>
      <c r="M31" s="728"/>
      <c r="N31" s="728"/>
      <c r="O31" s="729"/>
    </row>
    <row r="32" spans="1:16" ht="9.9499999999999993" customHeight="1" thickBot="1">
      <c r="A32" s="730"/>
      <c r="B32" s="731"/>
      <c r="C32" s="731"/>
      <c r="D32" s="731"/>
      <c r="E32" s="731"/>
      <c r="F32" s="731"/>
      <c r="G32" s="731"/>
      <c r="H32" s="731"/>
      <c r="I32" s="731"/>
      <c r="J32" s="731"/>
      <c r="K32" s="731"/>
      <c r="L32" s="731"/>
      <c r="M32" s="731"/>
      <c r="N32" s="731"/>
      <c r="O32" s="732"/>
    </row>
    <row r="33" spans="1:15" s="25" customFormat="1" ht="21" customHeight="1" thickBot="1"/>
    <row r="34" spans="1:15" s="25" customFormat="1" thickBot="1">
      <c r="A34" s="751" t="s">
        <v>65</v>
      </c>
      <c r="B34" s="752"/>
      <c r="C34" s="752"/>
      <c r="D34" s="752"/>
      <c r="E34" s="752"/>
      <c r="F34" s="752"/>
      <c r="G34" s="752"/>
      <c r="H34" s="752"/>
      <c r="I34" s="752"/>
      <c r="J34" s="752"/>
      <c r="K34" s="752"/>
      <c r="L34" s="752"/>
      <c r="M34" s="752"/>
      <c r="N34" s="752"/>
      <c r="O34" s="753"/>
    </row>
    <row r="35" spans="1:15" ht="9.9499999999999993" customHeight="1">
      <c r="A35" s="700"/>
      <c r="B35" s="701"/>
      <c r="C35" s="701"/>
      <c r="D35" s="701"/>
      <c r="E35" s="701"/>
      <c r="F35" s="701"/>
      <c r="G35" s="701"/>
      <c r="H35" s="701"/>
      <c r="I35" s="701"/>
      <c r="J35" s="701"/>
      <c r="K35" s="701"/>
      <c r="L35" s="701"/>
      <c r="M35" s="701"/>
      <c r="N35" s="701"/>
      <c r="O35" s="702"/>
    </row>
    <row r="36" spans="1:15" ht="9.9499999999999993" customHeight="1">
      <c r="A36" s="703"/>
      <c r="B36" s="704"/>
      <c r="C36" s="704"/>
      <c r="D36" s="704"/>
      <c r="E36" s="704"/>
      <c r="F36" s="704"/>
      <c r="G36" s="704"/>
      <c r="H36" s="704"/>
      <c r="I36" s="704"/>
      <c r="J36" s="704"/>
      <c r="K36" s="704"/>
      <c r="L36" s="704"/>
      <c r="M36" s="704"/>
      <c r="N36" s="704"/>
      <c r="O36" s="705"/>
    </row>
    <row r="37" spans="1:15" ht="9.9499999999999993" customHeight="1">
      <c r="A37" s="703"/>
      <c r="B37" s="704"/>
      <c r="C37" s="704"/>
      <c r="D37" s="704"/>
      <c r="E37" s="704"/>
      <c r="F37" s="704"/>
      <c r="G37" s="704"/>
      <c r="H37" s="704"/>
      <c r="I37" s="704"/>
      <c r="J37" s="704"/>
      <c r="K37" s="704"/>
      <c r="L37" s="704"/>
      <c r="M37" s="704"/>
      <c r="N37" s="704"/>
      <c r="O37" s="705"/>
    </row>
    <row r="38" spans="1:15" ht="9.9499999999999993" customHeight="1">
      <c r="A38" s="703"/>
      <c r="B38" s="704"/>
      <c r="C38" s="704"/>
      <c r="D38" s="704"/>
      <c r="E38" s="704"/>
      <c r="F38" s="704"/>
      <c r="G38" s="704"/>
      <c r="H38" s="704"/>
      <c r="I38" s="704"/>
      <c r="J38" s="704"/>
      <c r="K38" s="704"/>
      <c r="L38" s="704"/>
      <c r="M38" s="704"/>
      <c r="N38" s="704"/>
      <c r="O38" s="705"/>
    </row>
    <row r="39" spans="1:15" ht="9.9499999999999993" customHeight="1">
      <c r="A39" s="703"/>
      <c r="B39" s="704"/>
      <c r="C39" s="704"/>
      <c r="D39" s="704"/>
      <c r="E39" s="704"/>
      <c r="F39" s="704"/>
      <c r="G39" s="704"/>
      <c r="H39" s="704"/>
      <c r="I39" s="704"/>
      <c r="J39" s="704"/>
      <c r="K39" s="704"/>
      <c r="L39" s="704"/>
      <c r="M39" s="704"/>
      <c r="N39" s="704"/>
      <c r="O39" s="705"/>
    </row>
    <row r="40" spans="1:15" ht="9.9499999999999993" customHeight="1" thickBot="1">
      <c r="A40" s="706"/>
      <c r="B40" s="707"/>
      <c r="C40" s="707"/>
      <c r="D40" s="707"/>
      <c r="E40" s="707"/>
      <c r="F40" s="707"/>
      <c r="G40" s="707"/>
      <c r="H40" s="707"/>
      <c r="I40" s="707"/>
      <c r="J40" s="707"/>
      <c r="K40" s="707"/>
      <c r="L40" s="707"/>
      <c r="M40" s="707"/>
      <c r="N40" s="707"/>
      <c r="O40" s="708"/>
    </row>
  </sheetData>
  <sheetProtection formatCells="0" formatColumns="0" formatRows="0" insertColumns="0" insertRows="0" insertHyperlinks="0" deleteColumns="0" deleteRows="0" sort="0" autoFilter="0" pivotTables="0"/>
  <dataConsolidate/>
  <mergeCells count="42">
    <mergeCell ref="D1:M2"/>
    <mergeCell ref="A34:O34"/>
    <mergeCell ref="A27:O27"/>
    <mergeCell ref="N25:O25"/>
    <mergeCell ref="N21:O21"/>
    <mergeCell ref="A22:B22"/>
    <mergeCell ref="N22:O22"/>
    <mergeCell ref="A25:B25"/>
    <mergeCell ref="A24:B24"/>
    <mergeCell ref="N24:O24"/>
    <mergeCell ref="A23:B23"/>
    <mergeCell ref="N23:O23"/>
    <mergeCell ref="A21:B21"/>
    <mergeCell ref="N20:O20"/>
    <mergeCell ref="A17:B17"/>
    <mergeCell ref="N17:O17"/>
    <mergeCell ref="A18:B18"/>
    <mergeCell ref="A19:B19"/>
    <mergeCell ref="A20:B20"/>
    <mergeCell ref="N18:O18"/>
    <mergeCell ref="N19:O19"/>
    <mergeCell ref="N13:O13"/>
    <mergeCell ref="A14:B14"/>
    <mergeCell ref="N14:O14"/>
    <mergeCell ref="A15:B15"/>
    <mergeCell ref="N15:O15"/>
    <mergeCell ref="A35:O40"/>
    <mergeCell ref="A3:O5"/>
    <mergeCell ref="E6:L7"/>
    <mergeCell ref="N6:O6"/>
    <mergeCell ref="N7:O7"/>
    <mergeCell ref="A28:O32"/>
    <mergeCell ref="A9:C9"/>
    <mergeCell ref="F9:I9"/>
    <mergeCell ref="L9:M9"/>
    <mergeCell ref="A11:B11"/>
    <mergeCell ref="A16:B16"/>
    <mergeCell ref="N16:O16"/>
    <mergeCell ref="N11:O11"/>
    <mergeCell ref="A12:B12"/>
    <mergeCell ref="N12:O12"/>
    <mergeCell ref="A13:B13"/>
  </mergeCells>
  <dataValidations count="4">
    <dataValidation type="list" showInputMessage="1" showErrorMessage="1" sqref="D9:E9" xr:uid="{00000000-0002-0000-0000-000000000000}">
      <formula1>$Q$4:$Q$6</formula1>
    </dataValidation>
    <dataValidation type="list" allowBlank="1" showInputMessage="1" showErrorMessage="1" sqref="N9:O9" xr:uid="{00000000-0002-0000-0000-000001000000}">
      <formula1>$Q$7:$Q$9</formula1>
    </dataValidation>
    <dataValidation type="list" allowBlank="1" showInputMessage="1" showErrorMessage="1" sqref="M25" xr:uid="{00000000-0002-0000-0000-000002000000}">
      <formula1>Etat</formula1>
    </dataValidation>
    <dataValidation type="list" allowBlank="1" showInputMessage="1" showErrorMessage="1" sqref="M12:M24" xr:uid="{00000000-0002-0000-0000-000003000000}">
      <formula1>$Q$1:$Q$2</formula1>
    </dataValidation>
  </dataValidations>
  <hyperlinks>
    <hyperlink ref="N12:O12" location="'A100 Rappro BA-BG'!Zone_d_impression" display="A100 Rappro BA-BG" xr:uid="{00000000-0004-0000-0000-000000000000}"/>
    <hyperlink ref="N13:O13" location="'A110 Revue frs débiteurs'!Zone_d_impression" display="A110 Revue frs débiteurs" xr:uid="{00000000-0004-0000-0000-000001000000}"/>
    <hyperlink ref="N23:O23" location="'A700 Revue EAP'!Zone_d_impression" display="A700 Revue EAP" xr:uid="{00000000-0004-0000-0000-000002000000}"/>
    <hyperlink ref="N14:O14" location="'A200 DPO Frs'!Zone_d_impression" display="A200 DPO Frs" xr:uid="{00000000-0004-0000-0000-000003000000}"/>
    <hyperlink ref="N15:O15" location="'A300 Réciprocité intragroupe'!Zone_d_impression" display="A300 Réciprocité intragroupe" xr:uid="{00000000-0004-0000-0000-000004000000}"/>
    <hyperlink ref="N24:O24" location="'A800 Frs en devise'!Zone_d_impression" display="A800 Frs en devise" xr:uid="{00000000-0004-0000-0000-000005000000}"/>
    <hyperlink ref="N16:O16" location="'A410 Revue FNP'!Zone_d_impression" display="A410 Revue FNP" xr:uid="{00000000-0004-0000-0000-000006000000}"/>
    <hyperlink ref="N17:O17" location="'A420 Revue AAR'!Zone_d_impression" display="A420 Revue AAR" xr:uid="{00000000-0004-0000-0000-000007000000}"/>
    <hyperlink ref="N18:O18" location="'A430 Revue RFA'!Zone_d_impression" display="A430 Revue RFA" xr:uid="{00000000-0004-0000-0000-000008000000}"/>
    <hyperlink ref="N19:O19" location="'A440 Revue CCA'!Zone_d_impression" display="A440 Revue CCA" xr:uid="{00000000-0004-0000-0000-000009000000}"/>
    <hyperlink ref="N20:O20" location="'A450 Test cut off achats'!Zone_d_impression" display="A450 Test cut off achats" xr:uid="{00000000-0004-0000-0000-00000A000000}"/>
    <hyperlink ref="N21:O21" location="'A500 Circularisations'!Zone_d_impression" display="A500 Circularisations" xr:uid="{00000000-0004-0000-0000-00000B000000}"/>
    <hyperlink ref="N22:O22" location="'A600 Revue AACE'!Zone_d_impression" display="A600 Revue AACE" xr:uid="{00000000-0004-0000-0000-00000C000000}"/>
  </hyperlinks>
  <printOptions horizontalCentered="1"/>
  <pageMargins left="0.27559055118110237" right="0.27559055118110237" top="0.39370078740157483" bottom="0.39370078740157483" header="0.51181102362204722" footer="0.51181102362204722"/>
  <pageSetup paperSize="9" scale="42"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U28"/>
  <sheetViews>
    <sheetView showGridLines="0" zoomScale="80" zoomScaleNormal="80" workbookViewId="0">
      <selection activeCell="E26" sqref="E26"/>
    </sheetView>
  </sheetViews>
  <sheetFormatPr baseColWidth="10" defaultColWidth="11.42578125" defaultRowHeight="15"/>
  <cols>
    <col min="1" max="16" width="14.7109375" style="25" customWidth="1"/>
    <col min="17" max="16384" width="11.42578125" style="25"/>
  </cols>
  <sheetData>
    <row r="1" spans="1:21" s="35" customFormat="1" ht="15" customHeight="1">
      <c r="A1" s="10"/>
      <c r="B1" s="11"/>
      <c r="C1" s="11"/>
      <c r="D1" s="745" t="str">
        <f>'A Synthèse'!D1:M2</f>
        <v>#NomClient</v>
      </c>
      <c r="E1" s="765"/>
      <c r="F1" s="765"/>
      <c r="G1" s="765"/>
      <c r="H1" s="765"/>
      <c r="I1" s="765"/>
      <c r="J1" s="765"/>
      <c r="K1" s="765"/>
      <c r="L1" s="765"/>
      <c r="M1" s="766"/>
      <c r="N1" s="11"/>
      <c r="O1" s="11"/>
      <c r="P1" s="12"/>
    </row>
    <row r="2" spans="1:21" s="35" customFormat="1" ht="15" customHeight="1" thickBot="1">
      <c r="A2" s="13"/>
      <c r="B2" s="14"/>
      <c r="C2" s="14"/>
      <c r="D2" s="767"/>
      <c r="E2" s="768"/>
      <c r="F2" s="768"/>
      <c r="G2" s="768"/>
      <c r="H2" s="768"/>
      <c r="I2" s="768"/>
      <c r="J2" s="768"/>
      <c r="K2" s="768"/>
      <c r="L2" s="768"/>
      <c r="M2" s="769"/>
      <c r="N2" s="14"/>
      <c r="O2" s="14"/>
      <c r="P2" s="15"/>
    </row>
    <row r="3" spans="1:21" ht="15" customHeight="1">
      <c r="A3" s="709" t="s">
        <v>3</v>
      </c>
      <c r="B3" s="710"/>
      <c r="C3" s="710"/>
      <c r="D3" s="710"/>
      <c r="E3" s="710"/>
      <c r="F3" s="710"/>
      <c r="G3" s="710"/>
      <c r="H3" s="710"/>
      <c r="I3" s="710"/>
      <c r="J3" s="710"/>
      <c r="K3" s="710"/>
      <c r="L3" s="710"/>
      <c r="M3" s="710"/>
      <c r="N3" s="710"/>
      <c r="O3" s="710"/>
      <c r="P3" s="711"/>
      <c r="R3" s="3"/>
      <c r="T3" s="5"/>
      <c r="U3" s="5"/>
    </row>
    <row r="4" spans="1:21" ht="15" customHeight="1">
      <c r="A4" s="709"/>
      <c r="B4" s="710"/>
      <c r="C4" s="710"/>
      <c r="D4" s="710"/>
      <c r="E4" s="710"/>
      <c r="F4" s="710"/>
      <c r="G4" s="710"/>
      <c r="H4" s="710"/>
      <c r="I4" s="710"/>
      <c r="J4" s="710"/>
      <c r="K4" s="710"/>
      <c r="L4" s="710"/>
      <c r="M4" s="710"/>
      <c r="N4" s="710"/>
      <c r="O4" s="710"/>
      <c r="P4" s="711"/>
      <c r="R4" s="3"/>
      <c r="T4" s="5"/>
      <c r="U4" s="5"/>
    </row>
    <row r="5" spans="1:21" ht="15" customHeight="1" thickBot="1">
      <c r="A5" s="712"/>
      <c r="B5" s="713"/>
      <c r="C5" s="713"/>
      <c r="D5" s="713"/>
      <c r="E5" s="713"/>
      <c r="F5" s="713"/>
      <c r="G5" s="713"/>
      <c r="H5" s="713"/>
      <c r="I5" s="713"/>
      <c r="J5" s="713"/>
      <c r="K5" s="713"/>
      <c r="L5" s="713"/>
      <c r="M5" s="713"/>
      <c r="N5" s="713"/>
      <c r="O5" s="713"/>
      <c r="P5" s="714"/>
      <c r="Q5" s="3"/>
      <c r="R5" s="36"/>
      <c r="S5" s="37"/>
      <c r="T5" s="37"/>
      <c r="U5" s="37"/>
    </row>
    <row r="6" spans="1:21" ht="15" customHeight="1">
      <c r="A6" s="17" t="s">
        <v>6</v>
      </c>
      <c r="B6" s="271" t="str">
        <f>'A Synthèse'!B6</f>
        <v>BRA</v>
      </c>
      <c r="C6" s="17" t="s">
        <v>7</v>
      </c>
      <c r="D6" s="271">
        <f>'A Synthèse'!D6</f>
        <v>0</v>
      </c>
      <c r="E6" s="715" t="s">
        <v>26</v>
      </c>
      <c r="F6" s="716"/>
      <c r="G6" s="716"/>
      <c r="H6" s="716"/>
      <c r="I6" s="716"/>
      <c r="J6" s="716"/>
      <c r="K6" s="716"/>
      <c r="L6" s="717"/>
      <c r="M6" s="770" t="s">
        <v>9</v>
      </c>
      <c r="N6" s="771"/>
      <c r="O6" s="721" t="s">
        <v>10</v>
      </c>
      <c r="P6" s="722"/>
      <c r="R6" s="35"/>
      <c r="S6" s="35"/>
    </row>
    <row r="7" spans="1:21" ht="15" customHeight="1" thickBot="1">
      <c r="A7" s="18" t="s">
        <v>12</v>
      </c>
      <c r="B7" s="272">
        <f>'A Synthèse'!B7</f>
        <v>0</v>
      </c>
      <c r="C7" s="18" t="s">
        <v>12</v>
      </c>
      <c r="D7" s="272">
        <f>'A Synthèse'!D7</f>
        <v>0</v>
      </c>
      <c r="E7" s="718"/>
      <c r="F7" s="719"/>
      <c r="G7" s="719"/>
      <c r="H7" s="719"/>
      <c r="I7" s="719"/>
      <c r="J7" s="719"/>
      <c r="K7" s="719"/>
      <c r="L7" s="720"/>
      <c r="M7" s="772" t="str">
        <f>'A Synthèse'!M7:M7</f>
        <v>#DateClôture</v>
      </c>
      <c r="N7" s="773"/>
      <c r="O7" s="723" t="s">
        <v>25</v>
      </c>
      <c r="P7" s="724"/>
    </row>
    <row r="8" spans="1:21" ht="21" customHeight="1" thickBot="1">
      <c r="A8" s="19"/>
      <c r="B8" s="38"/>
      <c r="C8" s="20"/>
      <c r="D8" s="20"/>
      <c r="E8" s="39"/>
      <c r="F8" s="39"/>
      <c r="G8" s="39"/>
      <c r="H8" s="39"/>
      <c r="I8" s="39"/>
      <c r="J8" s="39"/>
      <c r="K8" s="39"/>
      <c r="L8" s="39"/>
      <c r="M8" s="22"/>
      <c r="N8" s="20"/>
      <c r="O8" s="776" t="s">
        <v>66</v>
      </c>
      <c r="P8" s="776"/>
    </row>
    <row r="9" spans="1:21" s="20" customFormat="1" ht="31.5" customHeight="1" thickBot="1">
      <c r="A9" s="733" t="s">
        <v>17</v>
      </c>
      <c r="B9" s="734"/>
      <c r="C9" s="734"/>
      <c r="D9" s="763" t="str">
        <f>'A Synthèse'!D9:E9</f>
        <v>Modéré</v>
      </c>
      <c r="E9" s="764"/>
      <c r="F9" s="735" t="s">
        <v>18</v>
      </c>
      <c r="G9" s="736"/>
      <c r="H9" s="736"/>
      <c r="I9" s="736"/>
      <c r="J9" s="774">
        <f>'A Synthèse'!J9:K9</f>
        <v>0</v>
      </c>
      <c r="K9" s="775"/>
      <c r="L9" s="735" t="s">
        <v>19</v>
      </c>
      <c r="M9" s="736"/>
      <c r="N9" s="736"/>
      <c r="O9" s="763" t="str">
        <f>'A Synthèse'!N9</f>
        <v>PE</v>
      </c>
      <c r="P9" s="764"/>
    </row>
    <row r="10" spans="1:21" s="20" customFormat="1" ht="21" customHeight="1" thickBot="1">
      <c r="A10" s="24"/>
      <c r="B10" s="24"/>
      <c r="C10" s="24"/>
      <c r="D10" s="24"/>
      <c r="E10" s="24"/>
      <c r="F10" s="24"/>
      <c r="G10" s="24"/>
      <c r="H10" s="24"/>
      <c r="I10" s="24"/>
      <c r="J10" s="24"/>
      <c r="K10" s="24"/>
      <c r="L10" s="24"/>
      <c r="M10" s="24"/>
      <c r="N10" s="24"/>
      <c r="O10" s="24"/>
      <c r="P10" s="24"/>
    </row>
    <row r="11" spans="1:21" ht="104.45" customHeight="1" thickBot="1">
      <c r="A11" s="778" t="s">
        <v>68</v>
      </c>
      <c r="B11" s="779"/>
      <c r="C11" s="779"/>
      <c r="D11" s="779"/>
      <c r="E11" s="779"/>
      <c r="F11" s="779"/>
      <c r="G11" s="779"/>
      <c r="H11" s="779"/>
      <c r="I11" s="779"/>
      <c r="J11" s="779"/>
      <c r="K11" s="779"/>
      <c r="L11" s="779"/>
      <c r="M11" s="779"/>
      <c r="N11" s="779"/>
      <c r="O11" s="779"/>
      <c r="P11" s="780"/>
    </row>
    <row r="12" spans="1:21" ht="9" customHeight="1" thickBot="1"/>
    <row r="13" spans="1:21">
      <c r="A13" s="781" t="s">
        <v>69</v>
      </c>
      <c r="B13" s="782"/>
      <c r="C13" s="782"/>
      <c r="D13" s="782"/>
      <c r="E13" s="782"/>
      <c r="F13" s="782"/>
      <c r="G13" s="782"/>
      <c r="H13" s="782"/>
      <c r="I13" s="782"/>
      <c r="J13" s="782"/>
      <c r="K13" s="782"/>
      <c r="L13" s="782"/>
      <c r="M13" s="782"/>
      <c r="N13" s="782"/>
      <c r="O13" s="782"/>
      <c r="P13" s="783"/>
    </row>
    <row r="14" spans="1:21" ht="60" customHeight="1" thickBot="1">
      <c r="A14" s="784"/>
      <c r="B14" s="785"/>
      <c r="C14" s="785"/>
      <c r="D14" s="785"/>
      <c r="E14" s="785"/>
      <c r="F14" s="785"/>
      <c r="G14" s="785"/>
      <c r="H14" s="785"/>
      <c r="I14" s="785"/>
      <c r="J14" s="785"/>
      <c r="K14" s="785"/>
      <c r="L14" s="785"/>
      <c r="M14" s="785"/>
      <c r="N14" s="785"/>
      <c r="O14" s="785"/>
      <c r="P14" s="786"/>
    </row>
    <row r="15" spans="1:21" ht="15.75" thickBot="1"/>
    <row r="16" spans="1:21">
      <c r="A16" s="60"/>
      <c r="B16" s="61"/>
      <c r="C16" s="61"/>
      <c r="D16" s="61"/>
      <c r="E16" s="61"/>
      <c r="F16" s="61"/>
      <c r="G16" s="61"/>
      <c r="H16" s="61"/>
      <c r="I16" s="61"/>
      <c r="J16" s="61"/>
      <c r="K16" s="61"/>
      <c r="L16" s="61"/>
      <c r="M16" s="61"/>
      <c r="N16" s="61"/>
      <c r="O16" s="61"/>
      <c r="P16" s="62"/>
    </row>
    <row r="17" spans="1:16">
      <c r="A17" s="63"/>
      <c r="B17" s="575" t="s">
        <v>70</v>
      </c>
      <c r="C17" s="29"/>
      <c r="D17" s="48" t="s">
        <v>71</v>
      </c>
      <c r="E17" s="48" t="s">
        <v>72</v>
      </c>
      <c r="F17" s="48" t="s">
        <v>73</v>
      </c>
      <c r="H17" s="48"/>
      <c r="P17" s="64"/>
    </row>
    <row r="18" spans="1:16">
      <c r="A18" s="63"/>
      <c r="B18" s="588" t="s">
        <v>74</v>
      </c>
      <c r="C18" s="29"/>
      <c r="D18" s="291"/>
      <c r="E18" s="291"/>
      <c r="F18" s="291">
        <f>D18-E18</f>
        <v>0</v>
      </c>
      <c r="G18" s="31" t="s">
        <v>75</v>
      </c>
      <c r="P18" s="64"/>
    </row>
    <row r="19" spans="1:16">
      <c r="A19" s="63"/>
      <c r="B19" s="588"/>
      <c r="C19" s="29"/>
      <c r="D19" s="29"/>
      <c r="G19" s="29"/>
      <c r="P19" s="64"/>
    </row>
    <row r="20" spans="1:16">
      <c r="A20" s="63"/>
      <c r="B20" s="588"/>
      <c r="C20" s="29"/>
      <c r="D20" s="29"/>
      <c r="E20" s="29"/>
      <c r="G20" s="29"/>
      <c r="P20" s="64"/>
    </row>
    <row r="21" spans="1:16">
      <c r="A21" s="63"/>
      <c r="B21" s="575" t="s">
        <v>76</v>
      </c>
      <c r="C21" s="29"/>
      <c r="D21" s="48" t="s">
        <v>71</v>
      </c>
      <c r="E21" s="48" t="s">
        <v>72</v>
      </c>
      <c r="F21" s="48" t="s">
        <v>73</v>
      </c>
      <c r="G21" s="48"/>
      <c r="I21" s="48"/>
      <c r="P21" s="64"/>
    </row>
    <row r="22" spans="1:16">
      <c r="A22" s="63"/>
      <c r="B22" s="588" t="s">
        <v>74</v>
      </c>
      <c r="C22" s="29"/>
      <c r="D22" s="291"/>
      <c r="E22" s="291"/>
      <c r="F22" s="291"/>
      <c r="G22" s="291"/>
      <c r="H22" s="291"/>
      <c r="I22" s="291"/>
      <c r="P22" s="64"/>
    </row>
    <row r="23" spans="1:16">
      <c r="A23" s="63"/>
      <c r="B23" s="588" t="s">
        <v>77</v>
      </c>
      <c r="C23" s="29"/>
      <c r="D23" s="777"/>
      <c r="E23" s="777"/>
      <c r="F23" s="291"/>
      <c r="G23" s="291"/>
      <c r="H23" s="777"/>
      <c r="I23" s="777"/>
      <c r="P23" s="64"/>
    </row>
    <row r="24" spans="1:16">
      <c r="A24" s="63"/>
      <c r="B24" s="588" t="s">
        <v>78</v>
      </c>
      <c r="C24" s="29"/>
      <c r="D24" s="291">
        <f>+SUM(D22:D23)</f>
        <v>0</v>
      </c>
      <c r="E24" s="291">
        <f>+SUM(E22:E23)</f>
        <v>0</v>
      </c>
      <c r="F24" s="291">
        <f>D24-E24</f>
        <v>0</v>
      </c>
      <c r="G24" s="31" t="s">
        <v>245</v>
      </c>
      <c r="I24" s="291"/>
      <c r="P24" s="64"/>
    </row>
    <row r="25" spans="1:16">
      <c r="A25" s="63"/>
      <c r="B25" s="40"/>
      <c r="C25" s="40"/>
      <c r="D25" s="40"/>
      <c r="E25" s="40"/>
      <c r="F25" s="40"/>
      <c r="P25" s="64"/>
    </row>
    <row r="26" spans="1:16">
      <c r="A26" s="63"/>
      <c r="B26" s="25" t="s">
        <v>79</v>
      </c>
      <c r="D26" s="292">
        <f>D18-D24</f>
        <v>0</v>
      </c>
      <c r="E26" s="292">
        <f>E18-E24</f>
        <v>0</v>
      </c>
      <c r="F26" s="292">
        <f>F18-F24</f>
        <v>0</v>
      </c>
      <c r="G26" s="433"/>
      <c r="I26" s="433"/>
      <c r="P26" s="64"/>
    </row>
    <row r="27" spans="1:16" ht="15.75" thickBot="1">
      <c r="A27" s="65"/>
      <c r="B27" s="66"/>
      <c r="C27" s="66"/>
      <c r="D27" s="66"/>
      <c r="E27" s="66"/>
      <c r="F27" s="66"/>
      <c r="G27" s="66"/>
      <c r="H27" s="66"/>
      <c r="I27" s="66"/>
      <c r="J27" s="66"/>
      <c r="K27" s="66"/>
      <c r="L27" s="66"/>
      <c r="M27" s="66"/>
      <c r="N27" s="66"/>
      <c r="O27" s="66"/>
      <c r="P27" s="67"/>
    </row>
    <row r="28" spans="1:16">
      <c r="H28" s="432"/>
    </row>
  </sheetData>
  <sheetProtection formatCells="0" formatColumns="0" formatRows="0" insertColumns="0" insertRows="0" insertHyperlinks="0" deleteColumns="0" deleteRows="0" sort="0" autoFilter="0" pivotTables="0"/>
  <mergeCells count="19">
    <mergeCell ref="D23:E23"/>
    <mergeCell ref="H23:I23"/>
    <mergeCell ref="A11:P11"/>
    <mergeCell ref="A13:P13"/>
    <mergeCell ref="A14:P14"/>
    <mergeCell ref="O9:P9"/>
    <mergeCell ref="D1:M2"/>
    <mergeCell ref="A3:P5"/>
    <mergeCell ref="E6:L7"/>
    <mergeCell ref="M6:N6"/>
    <mergeCell ref="O6:P6"/>
    <mergeCell ref="M7:N7"/>
    <mergeCell ref="O7:P7"/>
    <mergeCell ref="A9:C9"/>
    <mergeCell ref="D9:E9"/>
    <mergeCell ref="F9:I9"/>
    <mergeCell ref="J9:K9"/>
    <mergeCell ref="L9:N9"/>
    <mergeCell ref="O8:P8"/>
  </mergeCells>
  <dataValidations count="2">
    <dataValidation type="list" showInputMessage="1" showErrorMessage="1" sqref="D9:E9" xr:uid="{00000000-0002-0000-0200-000000000000}">
      <formula1>RAS</formula1>
    </dataValidation>
    <dataValidation type="list" allowBlank="1" showInputMessage="1" showErrorMessage="1" sqref="O9:P9" xr:uid="{00000000-0002-0000-0200-000001000000}">
      <formula1>Diligences</formula1>
    </dataValidation>
  </dataValidations>
  <hyperlinks>
    <hyperlink ref="O8:P8" location="'A Synthèse'!Zone_d_impression" display="A Synthèse" xr:uid="{00000000-0004-0000-0200-000000000000}"/>
  </hyperlinks>
  <printOptions horizontalCentered="1"/>
  <pageMargins left="0.27559055118110237" right="0.27559055118110237" top="0.39370078740157483" bottom="0.39370078740157483" header="0.51181102362204722" footer="0.51181102362204722"/>
  <pageSetup paperSize="9" scale="42"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U34"/>
  <sheetViews>
    <sheetView showGridLines="0" zoomScale="80" zoomScaleNormal="80" workbookViewId="0">
      <selection activeCell="O10" sqref="O10"/>
    </sheetView>
  </sheetViews>
  <sheetFormatPr baseColWidth="10" defaultColWidth="11.42578125" defaultRowHeight="15"/>
  <cols>
    <col min="1" max="16" width="14.7109375" style="25" customWidth="1"/>
    <col min="17" max="16384" width="11.42578125" style="25"/>
  </cols>
  <sheetData>
    <row r="1" spans="1:21" s="35" customFormat="1" ht="15" customHeight="1">
      <c r="A1" s="10"/>
      <c r="B1" s="11"/>
      <c r="C1" s="11"/>
      <c r="D1" s="745" t="str">
        <f>'A Synthèse'!D1:M2</f>
        <v>#NomClient</v>
      </c>
      <c r="E1" s="765"/>
      <c r="F1" s="765"/>
      <c r="G1" s="765"/>
      <c r="H1" s="765"/>
      <c r="I1" s="765"/>
      <c r="J1" s="765"/>
      <c r="K1" s="765"/>
      <c r="L1" s="765"/>
      <c r="M1" s="766"/>
      <c r="N1" s="11"/>
      <c r="O1" s="11"/>
      <c r="P1" s="12"/>
    </row>
    <row r="2" spans="1:21" s="35" customFormat="1" ht="15" customHeight="1" thickBot="1">
      <c r="A2" s="13"/>
      <c r="B2" s="14"/>
      <c r="C2" s="14"/>
      <c r="D2" s="767"/>
      <c r="E2" s="768"/>
      <c r="F2" s="768"/>
      <c r="G2" s="768"/>
      <c r="H2" s="768"/>
      <c r="I2" s="768"/>
      <c r="J2" s="768"/>
      <c r="K2" s="768"/>
      <c r="L2" s="768"/>
      <c r="M2" s="769"/>
      <c r="N2" s="14"/>
      <c r="O2" s="14"/>
      <c r="P2" s="15"/>
    </row>
    <row r="3" spans="1:21" ht="15" customHeight="1">
      <c r="A3" s="709" t="s">
        <v>3</v>
      </c>
      <c r="B3" s="710"/>
      <c r="C3" s="710"/>
      <c r="D3" s="710"/>
      <c r="E3" s="710"/>
      <c r="F3" s="710"/>
      <c r="G3" s="710"/>
      <c r="H3" s="710"/>
      <c r="I3" s="710"/>
      <c r="J3" s="710"/>
      <c r="K3" s="710"/>
      <c r="L3" s="710"/>
      <c r="M3" s="710"/>
      <c r="N3" s="710"/>
      <c r="O3" s="710"/>
      <c r="P3" s="711"/>
      <c r="R3" s="3"/>
      <c r="T3" s="5"/>
      <c r="U3" s="5"/>
    </row>
    <row r="4" spans="1:21" ht="15" customHeight="1">
      <c r="A4" s="709"/>
      <c r="B4" s="710"/>
      <c r="C4" s="710"/>
      <c r="D4" s="710"/>
      <c r="E4" s="710"/>
      <c r="F4" s="710"/>
      <c r="G4" s="710"/>
      <c r="H4" s="710"/>
      <c r="I4" s="710"/>
      <c r="J4" s="710"/>
      <c r="K4" s="710"/>
      <c r="L4" s="710"/>
      <c r="M4" s="710"/>
      <c r="N4" s="710"/>
      <c r="O4" s="710"/>
      <c r="P4" s="711"/>
      <c r="R4" s="3"/>
      <c r="T4" s="5"/>
      <c r="U4" s="5"/>
    </row>
    <row r="5" spans="1:21" ht="15" customHeight="1" thickBot="1">
      <c r="A5" s="712"/>
      <c r="B5" s="713"/>
      <c r="C5" s="713"/>
      <c r="D5" s="713"/>
      <c r="E5" s="713"/>
      <c r="F5" s="713"/>
      <c r="G5" s="713"/>
      <c r="H5" s="713"/>
      <c r="I5" s="713"/>
      <c r="J5" s="713"/>
      <c r="K5" s="713"/>
      <c r="L5" s="713"/>
      <c r="M5" s="713"/>
      <c r="N5" s="713"/>
      <c r="O5" s="713"/>
      <c r="P5" s="714"/>
      <c r="Q5" s="3"/>
      <c r="R5" s="36"/>
      <c r="S5" s="37"/>
      <c r="T5" s="37"/>
      <c r="U5" s="37"/>
    </row>
    <row r="6" spans="1:21" ht="15" customHeight="1">
      <c r="A6" s="17" t="s">
        <v>6</v>
      </c>
      <c r="B6" s="271" t="str">
        <f>'A Synthèse'!B6</f>
        <v>BRA</v>
      </c>
      <c r="C6" s="17" t="s">
        <v>7</v>
      </c>
      <c r="D6" s="271">
        <f>'A Synthèse'!D6</f>
        <v>0</v>
      </c>
      <c r="E6" s="715" t="s">
        <v>80</v>
      </c>
      <c r="F6" s="716"/>
      <c r="G6" s="716"/>
      <c r="H6" s="716"/>
      <c r="I6" s="716"/>
      <c r="J6" s="716"/>
      <c r="K6" s="716"/>
      <c r="L6" s="717"/>
      <c r="M6" s="770" t="s">
        <v>9</v>
      </c>
      <c r="N6" s="771"/>
      <c r="O6" s="721" t="s">
        <v>10</v>
      </c>
      <c r="P6" s="722"/>
      <c r="R6" s="35"/>
      <c r="S6" s="35"/>
    </row>
    <row r="7" spans="1:21" ht="15" customHeight="1" thickBot="1">
      <c r="A7" s="18" t="s">
        <v>12</v>
      </c>
      <c r="B7" s="272">
        <f>'A Synthèse'!B7</f>
        <v>0</v>
      </c>
      <c r="C7" s="18" t="s">
        <v>12</v>
      </c>
      <c r="D7" s="272">
        <f>'A Synthèse'!D7</f>
        <v>0</v>
      </c>
      <c r="E7" s="718"/>
      <c r="F7" s="719"/>
      <c r="G7" s="719"/>
      <c r="H7" s="719"/>
      <c r="I7" s="719"/>
      <c r="J7" s="719"/>
      <c r="K7" s="719"/>
      <c r="L7" s="720"/>
      <c r="M7" s="772" t="str">
        <f>'A Synthèse'!M7:M7</f>
        <v>#DateClôture</v>
      </c>
      <c r="N7" s="773"/>
      <c r="O7" s="723" t="s">
        <v>28</v>
      </c>
      <c r="P7" s="724"/>
    </row>
    <row r="8" spans="1:21" ht="21" customHeight="1" thickBot="1">
      <c r="A8" s="19"/>
      <c r="B8" s="38"/>
      <c r="C8" s="20"/>
      <c r="D8" s="20"/>
      <c r="E8" s="39"/>
      <c r="F8" s="39"/>
      <c r="G8" s="39"/>
      <c r="H8" s="39"/>
      <c r="I8" s="39"/>
      <c r="J8" s="39"/>
      <c r="K8" s="39"/>
      <c r="L8" s="39"/>
      <c r="M8" s="22"/>
      <c r="N8" s="20"/>
      <c r="O8" s="776" t="s">
        <v>66</v>
      </c>
      <c r="P8" s="776"/>
    </row>
    <row r="9" spans="1:21" s="20" customFormat="1" ht="31.5" customHeight="1" thickBot="1">
      <c r="A9" s="733" t="s">
        <v>17</v>
      </c>
      <c r="B9" s="734"/>
      <c r="C9" s="734"/>
      <c r="D9" s="763" t="str">
        <f>'A Synthèse'!D9:E9</f>
        <v>Modéré</v>
      </c>
      <c r="E9" s="764"/>
      <c r="F9" s="735" t="s">
        <v>18</v>
      </c>
      <c r="G9" s="736"/>
      <c r="H9" s="736"/>
      <c r="I9" s="736"/>
      <c r="J9" s="774">
        <f>'A Synthèse'!J9:K9</f>
        <v>0</v>
      </c>
      <c r="K9" s="775"/>
      <c r="L9" s="735" t="s">
        <v>19</v>
      </c>
      <c r="M9" s="736"/>
      <c r="N9" s="736"/>
      <c r="O9" s="763" t="str">
        <f>'A Synthèse'!N9</f>
        <v>PE</v>
      </c>
      <c r="P9" s="764"/>
    </row>
    <row r="10" spans="1:21" s="20" customFormat="1" ht="21" customHeight="1" thickBot="1">
      <c r="A10" s="24"/>
      <c r="B10" s="24"/>
      <c r="C10" s="24"/>
      <c r="D10" s="24"/>
      <c r="E10" s="24"/>
      <c r="F10" s="24"/>
      <c r="G10" s="24"/>
      <c r="H10" s="24"/>
      <c r="I10" s="24"/>
      <c r="J10" s="24"/>
      <c r="K10" s="24"/>
      <c r="L10" s="24"/>
      <c r="M10" s="24"/>
      <c r="N10" s="24"/>
      <c r="O10" s="24"/>
      <c r="P10" s="24"/>
    </row>
    <row r="11" spans="1:21" ht="108" customHeight="1" thickBot="1">
      <c r="A11" s="778" t="s">
        <v>81</v>
      </c>
      <c r="B11" s="779"/>
      <c r="C11" s="779"/>
      <c r="D11" s="779"/>
      <c r="E11" s="779"/>
      <c r="F11" s="779"/>
      <c r="G11" s="779"/>
      <c r="H11" s="779"/>
      <c r="I11" s="779"/>
      <c r="J11" s="779"/>
      <c r="K11" s="779"/>
      <c r="L11" s="779"/>
      <c r="M11" s="779"/>
      <c r="N11" s="779"/>
      <c r="O11" s="779"/>
      <c r="P11" s="780"/>
    </row>
    <row r="12" spans="1:21" ht="9" customHeight="1" thickBot="1"/>
    <row r="13" spans="1:21">
      <c r="A13" s="781" t="s">
        <v>69</v>
      </c>
      <c r="B13" s="782"/>
      <c r="C13" s="782"/>
      <c r="D13" s="782"/>
      <c r="E13" s="782"/>
      <c r="F13" s="782"/>
      <c r="G13" s="782"/>
      <c r="H13" s="782"/>
      <c r="I13" s="782"/>
      <c r="J13" s="782"/>
      <c r="K13" s="782"/>
      <c r="L13" s="782"/>
      <c r="M13" s="782"/>
      <c r="N13" s="782"/>
      <c r="O13" s="782"/>
      <c r="P13" s="783"/>
    </row>
    <row r="14" spans="1:21" ht="60" customHeight="1" thickBot="1">
      <c r="A14" s="784"/>
      <c r="B14" s="785"/>
      <c r="C14" s="785"/>
      <c r="D14" s="785"/>
      <c r="E14" s="785"/>
      <c r="F14" s="785"/>
      <c r="G14" s="785"/>
      <c r="H14" s="785"/>
      <c r="I14" s="785"/>
      <c r="J14" s="785"/>
      <c r="K14" s="785"/>
      <c r="L14" s="785"/>
      <c r="M14" s="785"/>
      <c r="N14" s="785"/>
      <c r="O14" s="785"/>
      <c r="P14" s="786"/>
    </row>
    <row r="15" spans="1:21" ht="15.75" thickBot="1"/>
    <row r="16" spans="1:21">
      <c r="A16" s="60"/>
      <c r="B16" s="61"/>
      <c r="C16" s="61"/>
      <c r="D16" s="61"/>
      <c r="E16" s="61"/>
      <c r="F16" s="61"/>
      <c r="G16" s="61"/>
      <c r="H16" s="61"/>
      <c r="I16" s="61"/>
      <c r="J16" s="61"/>
      <c r="K16" s="61"/>
      <c r="L16" s="61"/>
      <c r="M16" s="61"/>
      <c r="N16" s="61"/>
      <c r="O16" s="61"/>
      <c r="P16" s="62"/>
    </row>
    <row r="17" spans="1:16">
      <c r="A17" s="63"/>
      <c r="B17" s="29"/>
      <c r="C17" s="29"/>
      <c r="E17" s="283" t="s">
        <v>82</v>
      </c>
      <c r="F17" s="282" t="s">
        <v>83</v>
      </c>
      <c r="H17" s="242"/>
      <c r="P17" s="64"/>
    </row>
    <row r="18" spans="1:16" s="35" customFormat="1" ht="30">
      <c r="A18" s="434"/>
      <c r="C18" s="242"/>
      <c r="D18" s="294" t="s">
        <v>84</v>
      </c>
      <c r="E18" s="435">
        <f>'A100 Rappro BA-BG'!D18:D18</f>
        <v>0</v>
      </c>
      <c r="F18" s="435">
        <f>'A100 Rappro BA-BG'!E18:F18</f>
        <v>0</v>
      </c>
      <c r="H18" s="436"/>
      <c r="P18" s="437"/>
    </row>
    <row r="19" spans="1:16">
      <c r="A19" s="63"/>
      <c r="B19" s="48"/>
      <c r="C19" s="29"/>
      <c r="D19" s="43"/>
      <c r="E19" s="43"/>
      <c r="F19" s="42"/>
      <c r="G19" s="293"/>
      <c r="H19" s="29"/>
      <c r="P19" s="64"/>
    </row>
    <row r="20" spans="1:16">
      <c r="A20" s="63"/>
      <c r="B20" s="48"/>
      <c r="C20" s="29"/>
      <c r="D20" s="43"/>
      <c r="E20" s="43"/>
      <c r="F20" s="42"/>
      <c r="G20" s="293"/>
      <c r="H20" s="29"/>
      <c r="P20" s="64"/>
    </row>
    <row r="21" spans="1:16">
      <c r="A21" s="63"/>
      <c r="B21" s="29"/>
      <c r="C21" s="29"/>
      <c r="D21" s="29"/>
      <c r="E21" s="29"/>
      <c r="F21" s="42"/>
      <c r="G21" s="44"/>
      <c r="H21" s="29"/>
      <c r="P21" s="64"/>
    </row>
    <row r="22" spans="1:16" s="68" customFormat="1" ht="42.75" customHeight="1">
      <c r="A22" s="70"/>
      <c r="C22" s="295"/>
      <c r="D22" s="787" t="s">
        <v>85</v>
      </c>
      <c r="E22" s="788"/>
      <c r="F22" s="572" t="s">
        <v>86</v>
      </c>
      <c r="G22" s="572" t="s">
        <v>87</v>
      </c>
      <c r="H22" s="787" t="s">
        <v>88</v>
      </c>
      <c r="I22" s="789"/>
      <c r="J22" s="789"/>
      <c r="K22" s="789"/>
      <c r="L22" s="789"/>
      <c r="M22" s="788"/>
      <c r="N22" s="69" t="s">
        <v>75</v>
      </c>
      <c r="P22" s="71"/>
    </row>
    <row r="23" spans="1:16">
      <c r="A23" s="63"/>
      <c r="B23" s="29"/>
      <c r="C23" s="29"/>
      <c r="D23" s="452"/>
      <c r="E23" s="440"/>
      <c r="F23" s="441"/>
      <c r="G23" s="442" t="e">
        <f>+F23/$E$18</f>
        <v>#DIV/0!</v>
      </c>
      <c r="H23" s="790"/>
      <c r="I23" s="791"/>
      <c r="J23" s="791"/>
      <c r="K23" s="791"/>
      <c r="L23" s="791"/>
      <c r="M23" s="792"/>
      <c r="N23" s="443"/>
      <c r="P23" s="64"/>
    </row>
    <row r="24" spans="1:16">
      <c r="A24" s="63"/>
      <c r="B24" s="29"/>
      <c r="C24" s="29"/>
      <c r="D24" s="452"/>
      <c r="E24" s="444"/>
      <c r="F24" s="445"/>
      <c r="G24" s="446" t="e">
        <f t="shared" ref="G24:G32" si="0">+F24/$E$18</f>
        <v>#DIV/0!</v>
      </c>
      <c r="H24" s="793"/>
      <c r="I24" s="794"/>
      <c r="J24" s="794"/>
      <c r="K24" s="794"/>
      <c r="L24" s="794"/>
      <c r="M24" s="795"/>
      <c r="N24" s="447"/>
      <c r="P24" s="64"/>
    </row>
    <row r="25" spans="1:16">
      <c r="A25" s="63"/>
      <c r="B25" s="29"/>
      <c r="C25" s="29"/>
      <c r="D25" s="452"/>
      <c r="E25" s="444"/>
      <c r="F25" s="445"/>
      <c r="G25" s="446" t="e">
        <f t="shared" si="0"/>
        <v>#DIV/0!</v>
      </c>
      <c r="H25" s="793"/>
      <c r="I25" s="794"/>
      <c r="J25" s="794"/>
      <c r="K25" s="794"/>
      <c r="L25" s="794"/>
      <c r="M25" s="795"/>
      <c r="N25" s="447"/>
      <c r="P25" s="64"/>
    </row>
    <row r="26" spans="1:16">
      <c r="A26" s="63"/>
      <c r="B26" s="29"/>
      <c r="C26" s="29"/>
      <c r="D26" s="452"/>
      <c r="E26" s="444"/>
      <c r="F26" s="445"/>
      <c r="G26" s="446" t="e">
        <f t="shared" si="0"/>
        <v>#DIV/0!</v>
      </c>
      <c r="H26" s="793"/>
      <c r="I26" s="794"/>
      <c r="J26" s="794"/>
      <c r="K26" s="794"/>
      <c r="L26" s="794"/>
      <c r="M26" s="795"/>
      <c r="N26" s="447"/>
      <c r="P26" s="64"/>
    </row>
    <row r="27" spans="1:16">
      <c r="A27" s="63"/>
      <c r="B27" s="29"/>
      <c r="C27" s="29"/>
      <c r="D27" s="452"/>
      <c r="E27" s="444"/>
      <c r="F27" s="445"/>
      <c r="G27" s="446" t="e">
        <f t="shared" si="0"/>
        <v>#DIV/0!</v>
      </c>
      <c r="H27" s="793"/>
      <c r="I27" s="794"/>
      <c r="J27" s="794"/>
      <c r="K27" s="794"/>
      <c r="L27" s="794"/>
      <c r="M27" s="795"/>
      <c r="N27" s="447"/>
      <c r="P27" s="64"/>
    </row>
    <row r="28" spans="1:16">
      <c r="A28" s="63"/>
      <c r="B28" s="29"/>
      <c r="C28" s="29"/>
      <c r="D28" s="452"/>
      <c r="E28" s="444"/>
      <c r="F28" s="445"/>
      <c r="G28" s="446" t="e">
        <f t="shared" si="0"/>
        <v>#DIV/0!</v>
      </c>
      <c r="H28" s="793"/>
      <c r="I28" s="794"/>
      <c r="J28" s="794"/>
      <c r="K28" s="794"/>
      <c r="L28" s="794"/>
      <c r="M28" s="795"/>
      <c r="N28" s="447"/>
      <c r="P28" s="64"/>
    </row>
    <row r="29" spans="1:16">
      <c r="A29" s="63"/>
      <c r="B29" s="29"/>
      <c r="C29" s="29"/>
      <c r="D29" s="452"/>
      <c r="E29" s="444"/>
      <c r="F29" s="445"/>
      <c r="G29" s="446" t="e">
        <f>+F29/$E$18</f>
        <v>#DIV/0!</v>
      </c>
      <c r="H29" s="793"/>
      <c r="I29" s="794"/>
      <c r="J29" s="794"/>
      <c r="K29" s="794"/>
      <c r="L29" s="794"/>
      <c r="M29" s="795"/>
      <c r="N29" s="447"/>
      <c r="P29" s="64"/>
    </row>
    <row r="30" spans="1:16">
      <c r="A30" s="63"/>
      <c r="B30" s="29"/>
      <c r="C30" s="29"/>
      <c r="D30" s="452"/>
      <c r="E30" s="444"/>
      <c r="F30" s="445"/>
      <c r="G30" s="446" t="e">
        <f t="shared" si="0"/>
        <v>#DIV/0!</v>
      </c>
      <c r="H30" s="793"/>
      <c r="I30" s="794"/>
      <c r="J30" s="794"/>
      <c r="K30" s="794"/>
      <c r="L30" s="794"/>
      <c r="M30" s="795"/>
      <c r="N30" s="447"/>
      <c r="P30" s="64"/>
    </row>
    <row r="31" spans="1:16">
      <c r="A31" s="63"/>
      <c r="B31" s="29"/>
      <c r="C31" s="29"/>
      <c r="D31" s="589"/>
      <c r="E31" s="444"/>
      <c r="F31" s="445"/>
      <c r="G31" s="446" t="e">
        <f t="shared" si="0"/>
        <v>#DIV/0!</v>
      </c>
      <c r="H31" s="793"/>
      <c r="I31" s="794"/>
      <c r="J31" s="794"/>
      <c r="K31" s="794"/>
      <c r="L31" s="794"/>
      <c r="M31" s="795"/>
      <c r="N31" s="447"/>
      <c r="P31" s="64"/>
    </row>
    <row r="32" spans="1:16">
      <c r="A32" s="63"/>
      <c r="B32" s="29"/>
      <c r="C32" s="29"/>
      <c r="D32" s="590"/>
      <c r="E32" s="448"/>
      <c r="F32" s="449"/>
      <c r="G32" s="450" t="e">
        <f t="shared" si="0"/>
        <v>#DIV/0!</v>
      </c>
      <c r="H32" s="796"/>
      <c r="I32" s="797"/>
      <c r="J32" s="797"/>
      <c r="K32" s="797"/>
      <c r="L32" s="797"/>
      <c r="M32" s="798"/>
      <c r="N32" s="451"/>
      <c r="P32" s="64"/>
    </row>
    <row r="33" spans="1:16" ht="15" customHeight="1">
      <c r="A33" s="63"/>
      <c r="C33" s="296"/>
      <c r="D33" s="438"/>
      <c r="E33" s="439" t="s">
        <v>89</v>
      </c>
      <c r="F33" s="297">
        <f>SUM(F23:F32)</f>
        <v>0</v>
      </c>
      <c r="G33" s="298" t="e">
        <f>+F33/$E$18</f>
        <v>#DIV/0!</v>
      </c>
      <c r="H33" s="45"/>
      <c r="L33" s="45"/>
      <c r="N33" s="45"/>
      <c r="P33" s="64"/>
    </row>
    <row r="34" spans="1:16" ht="15.75" thickBot="1">
      <c r="A34" s="65"/>
      <c r="B34" s="66"/>
      <c r="C34" s="66"/>
      <c r="D34" s="66"/>
      <c r="E34" s="66"/>
      <c r="F34" s="66"/>
      <c r="G34" s="66"/>
      <c r="H34" s="66"/>
      <c r="I34" s="66"/>
      <c r="J34" s="66"/>
      <c r="K34" s="66"/>
      <c r="L34" s="66"/>
      <c r="M34" s="66"/>
      <c r="N34" s="66"/>
      <c r="O34" s="66"/>
      <c r="P34" s="67"/>
    </row>
  </sheetData>
  <sheetProtection formatCells="0" formatColumns="0" formatRows="0" insertColumns="0" insertRows="0" insertHyperlinks="0" deleteColumns="0" deleteRows="0" sort="0" autoFilter="0" pivotTables="0"/>
  <mergeCells count="29">
    <mergeCell ref="H28:M28"/>
    <mergeCell ref="H29:M29"/>
    <mergeCell ref="H30:M30"/>
    <mergeCell ref="H31:M31"/>
    <mergeCell ref="H32:M32"/>
    <mergeCell ref="H23:M23"/>
    <mergeCell ref="H24:M24"/>
    <mergeCell ref="H25:M25"/>
    <mergeCell ref="H26:M26"/>
    <mergeCell ref="H27:M27"/>
    <mergeCell ref="A11:P11"/>
    <mergeCell ref="A13:P13"/>
    <mergeCell ref="A14:P14"/>
    <mergeCell ref="D22:E22"/>
    <mergeCell ref="H22:M22"/>
    <mergeCell ref="O9:P9"/>
    <mergeCell ref="O8:P8"/>
    <mergeCell ref="D1:M2"/>
    <mergeCell ref="A3:P5"/>
    <mergeCell ref="E6:L7"/>
    <mergeCell ref="M6:N6"/>
    <mergeCell ref="O6:P6"/>
    <mergeCell ref="M7:N7"/>
    <mergeCell ref="O7:P7"/>
    <mergeCell ref="A9:C9"/>
    <mergeCell ref="D9:E9"/>
    <mergeCell ref="F9:I9"/>
    <mergeCell ref="J9:K9"/>
    <mergeCell ref="L9:N9"/>
  </mergeCells>
  <dataValidations count="2">
    <dataValidation type="list" showInputMessage="1" showErrorMessage="1" sqref="D9:E9" xr:uid="{00000000-0002-0000-0300-000000000000}">
      <formula1>RAS</formula1>
    </dataValidation>
    <dataValidation type="list" allowBlank="1" showInputMessage="1" showErrorMessage="1" sqref="O9:P9" xr:uid="{00000000-0002-0000-0300-000001000000}">
      <formula1>Diligences</formula1>
    </dataValidation>
  </dataValidations>
  <hyperlinks>
    <hyperlink ref="O8:P8" location="'A Synthèse'!Zone_d_impression" display="A Synthèse" xr:uid="{00000000-0004-0000-03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dimension ref="A1:U53"/>
  <sheetViews>
    <sheetView showGridLines="0" zoomScale="80" zoomScaleNormal="80" workbookViewId="0">
      <selection activeCell="O10" sqref="O10"/>
    </sheetView>
  </sheetViews>
  <sheetFormatPr baseColWidth="10" defaultColWidth="11.42578125" defaultRowHeight="15.75"/>
  <cols>
    <col min="1" max="2" width="14.7109375" style="7" customWidth="1"/>
    <col min="3" max="3" width="12.5703125" style="7" customWidth="1"/>
    <col min="4" max="4" width="16.7109375" style="7" customWidth="1"/>
    <col min="5" max="16" width="14.7109375" style="7" customWidth="1"/>
    <col min="17" max="16384" width="11.42578125" style="7"/>
  </cols>
  <sheetData>
    <row r="1" spans="1:21" s="1" customFormat="1" ht="15" customHeight="1">
      <c r="A1" s="10"/>
      <c r="B1" s="11"/>
      <c r="C1" s="11"/>
      <c r="D1" s="745" t="str">
        <f>'A Synthèse'!D1:M2</f>
        <v>#NomClient</v>
      </c>
      <c r="E1" s="765"/>
      <c r="F1" s="765"/>
      <c r="G1" s="765"/>
      <c r="H1" s="765"/>
      <c r="I1" s="765"/>
      <c r="J1" s="765"/>
      <c r="K1" s="765"/>
      <c r="L1" s="765"/>
      <c r="M1" s="766"/>
      <c r="N1" s="11"/>
      <c r="O1" s="11"/>
      <c r="P1" s="12"/>
    </row>
    <row r="2" spans="1:21" s="1" customFormat="1" ht="15" customHeight="1" thickBot="1">
      <c r="A2" s="13"/>
      <c r="B2" s="14"/>
      <c r="C2" s="14"/>
      <c r="D2" s="767"/>
      <c r="E2" s="768"/>
      <c r="F2" s="768"/>
      <c r="G2" s="768"/>
      <c r="H2" s="768"/>
      <c r="I2" s="768"/>
      <c r="J2" s="768"/>
      <c r="K2" s="768"/>
      <c r="L2" s="768"/>
      <c r="M2" s="769"/>
      <c r="N2" s="14"/>
      <c r="O2" s="14"/>
      <c r="P2" s="15"/>
    </row>
    <row r="3" spans="1:21" ht="15" customHeight="1">
      <c r="A3" s="709" t="s">
        <v>3</v>
      </c>
      <c r="B3" s="710"/>
      <c r="C3" s="710"/>
      <c r="D3" s="710"/>
      <c r="E3" s="710"/>
      <c r="F3" s="710"/>
      <c r="G3" s="710"/>
      <c r="H3" s="710"/>
      <c r="I3" s="710"/>
      <c r="J3" s="710"/>
      <c r="K3" s="710"/>
      <c r="L3" s="710"/>
      <c r="M3" s="710"/>
      <c r="N3" s="710"/>
      <c r="O3" s="710"/>
      <c r="P3" s="711"/>
      <c r="R3" s="3"/>
      <c r="T3" s="5"/>
      <c r="U3" s="6"/>
    </row>
    <row r="4" spans="1:21" ht="15" customHeight="1">
      <c r="A4" s="709"/>
      <c r="B4" s="710"/>
      <c r="C4" s="710"/>
      <c r="D4" s="710"/>
      <c r="E4" s="710"/>
      <c r="F4" s="710"/>
      <c r="G4" s="710"/>
      <c r="H4" s="710"/>
      <c r="I4" s="710"/>
      <c r="J4" s="710"/>
      <c r="K4" s="710"/>
      <c r="L4" s="710"/>
      <c r="M4" s="710"/>
      <c r="N4" s="710"/>
      <c r="O4" s="710"/>
      <c r="P4" s="711"/>
      <c r="R4" s="3"/>
      <c r="T4" s="5"/>
      <c r="U4" s="6"/>
    </row>
    <row r="5" spans="1:21" ht="15" customHeight="1" thickBot="1">
      <c r="A5" s="712"/>
      <c r="B5" s="713"/>
      <c r="C5" s="713"/>
      <c r="D5" s="713"/>
      <c r="E5" s="713"/>
      <c r="F5" s="713"/>
      <c r="G5" s="713"/>
      <c r="H5" s="713"/>
      <c r="I5" s="713"/>
      <c r="J5" s="713"/>
      <c r="K5" s="713"/>
      <c r="L5" s="713"/>
      <c r="M5" s="713"/>
      <c r="N5" s="713"/>
      <c r="O5" s="713"/>
      <c r="P5" s="714"/>
      <c r="Q5" s="8"/>
      <c r="R5" s="4"/>
      <c r="S5" s="23"/>
      <c r="T5" s="23"/>
      <c r="U5" s="23"/>
    </row>
    <row r="6" spans="1:21" ht="15" customHeight="1">
      <c r="A6" s="17" t="s">
        <v>6</v>
      </c>
      <c r="B6" s="271" t="str">
        <f>'A Synthèse'!B6</f>
        <v>BRA</v>
      </c>
      <c r="C6" s="17" t="s">
        <v>7</v>
      </c>
      <c r="D6" s="271">
        <f>'A Synthèse'!D6</f>
        <v>0</v>
      </c>
      <c r="E6" s="715" t="s">
        <v>90</v>
      </c>
      <c r="F6" s="716"/>
      <c r="G6" s="716"/>
      <c r="H6" s="716"/>
      <c r="I6" s="716"/>
      <c r="J6" s="716"/>
      <c r="K6" s="716"/>
      <c r="L6" s="717"/>
      <c r="M6" s="770" t="s">
        <v>9</v>
      </c>
      <c r="N6" s="771"/>
      <c r="O6" s="721" t="s">
        <v>10</v>
      </c>
      <c r="P6" s="722"/>
      <c r="R6" s="1"/>
      <c r="S6" s="1"/>
    </row>
    <row r="7" spans="1:21" ht="15" customHeight="1" thickBot="1">
      <c r="A7" s="18" t="s">
        <v>12</v>
      </c>
      <c r="B7" s="272">
        <f>'A Synthèse'!B7</f>
        <v>0</v>
      </c>
      <c r="C7" s="18" t="s">
        <v>12</v>
      </c>
      <c r="D7" s="272">
        <f>'A Synthèse'!D7</f>
        <v>0</v>
      </c>
      <c r="E7" s="718"/>
      <c r="F7" s="719"/>
      <c r="G7" s="719"/>
      <c r="H7" s="719"/>
      <c r="I7" s="719"/>
      <c r="J7" s="719"/>
      <c r="K7" s="719"/>
      <c r="L7" s="720"/>
      <c r="M7" s="772" t="str">
        <f>'A Synthèse'!M7:M7</f>
        <v>#DateClôture</v>
      </c>
      <c r="N7" s="773"/>
      <c r="O7" s="723" t="s">
        <v>31</v>
      </c>
      <c r="P7" s="724"/>
    </row>
    <row r="8" spans="1:21" ht="21" customHeight="1" thickBot="1">
      <c r="A8" s="19"/>
      <c r="B8" s="16"/>
      <c r="C8" s="20"/>
      <c r="D8" s="20"/>
      <c r="E8" s="21"/>
      <c r="F8" s="21"/>
      <c r="G8" s="21"/>
      <c r="H8" s="21"/>
      <c r="I8" s="21"/>
      <c r="J8" s="21"/>
      <c r="K8" s="21"/>
      <c r="L8" s="21"/>
      <c r="M8" s="22"/>
      <c r="N8" s="20"/>
      <c r="O8" s="776" t="s">
        <v>66</v>
      </c>
      <c r="P8" s="776"/>
    </row>
    <row r="9" spans="1:21" s="20" customFormat="1" ht="31.5" customHeight="1" thickBot="1">
      <c r="A9" s="733" t="s">
        <v>17</v>
      </c>
      <c r="B9" s="734"/>
      <c r="C9" s="734"/>
      <c r="D9" s="763" t="str">
        <f>'A Synthèse'!D9:E9</f>
        <v>Modéré</v>
      </c>
      <c r="E9" s="764"/>
      <c r="F9" s="735" t="s">
        <v>18</v>
      </c>
      <c r="G9" s="736"/>
      <c r="H9" s="736"/>
      <c r="I9" s="736"/>
      <c r="J9" s="774">
        <f>'A Synthèse'!J9:K9</f>
        <v>0</v>
      </c>
      <c r="K9" s="775"/>
      <c r="L9" s="735" t="s">
        <v>19</v>
      </c>
      <c r="M9" s="736"/>
      <c r="N9" s="736"/>
      <c r="O9" s="763" t="str">
        <f>'A Synthèse'!N9</f>
        <v>PE</v>
      </c>
      <c r="P9" s="764"/>
    </row>
    <row r="10" spans="1:21" s="20" customFormat="1" ht="21" customHeight="1" thickBot="1">
      <c r="A10" s="24"/>
      <c r="B10" s="24"/>
      <c r="C10" s="24"/>
      <c r="D10" s="24"/>
      <c r="E10" s="24"/>
      <c r="F10" s="24"/>
      <c r="G10" s="24"/>
      <c r="H10" s="24"/>
      <c r="I10" s="24"/>
      <c r="J10" s="24"/>
      <c r="K10" s="24"/>
      <c r="L10" s="24"/>
      <c r="M10" s="24"/>
      <c r="N10" s="24"/>
      <c r="O10" s="24"/>
      <c r="P10" s="24"/>
    </row>
    <row r="11" spans="1:21" s="25" customFormat="1" ht="155.25" customHeight="1" thickBot="1">
      <c r="A11" s="778" t="s">
        <v>91</v>
      </c>
      <c r="B11" s="779"/>
      <c r="C11" s="779"/>
      <c r="D11" s="779"/>
      <c r="E11" s="779"/>
      <c r="F11" s="779"/>
      <c r="G11" s="779"/>
      <c r="H11" s="779"/>
      <c r="I11" s="779"/>
      <c r="J11" s="779"/>
      <c r="K11" s="779"/>
      <c r="L11" s="779"/>
      <c r="M11" s="779"/>
      <c r="N11" s="779"/>
      <c r="O11" s="779"/>
      <c r="P11" s="780"/>
    </row>
    <row r="12" spans="1:21" s="25" customFormat="1" ht="9" customHeight="1" thickBot="1"/>
    <row r="13" spans="1:21" s="25" customFormat="1" ht="15">
      <c r="A13" s="781" t="s">
        <v>69</v>
      </c>
      <c r="B13" s="782"/>
      <c r="C13" s="782"/>
      <c r="D13" s="782"/>
      <c r="E13" s="782"/>
      <c r="F13" s="782"/>
      <c r="G13" s="782"/>
      <c r="H13" s="782"/>
      <c r="I13" s="782"/>
      <c r="J13" s="782"/>
      <c r="K13" s="782"/>
      <c r="L13" s="782"/>
      <c r="M13" s="782"/>
      <c r="N13" s="782"/>
      <c r="O13" s="782"/>
      <c r="P13" s="783"/>
    </row>
    <row r="14" spans="1:21" s="25" customFormat="1" ht="60" customHeight="1" thickBot="1">
      <c r="A14" s="784"/>
      <c r="B14" s="785"/>
      <c r="C14" s="785"/>
      <c r="D14" s="785"/>
      <c r="E14" s="785"/>
      <c r="F14" s="785"/>
      <c r="G14" s="785"/>
      <c r="H14" s="785"/>
      <c r="I14" s="785"/>
      <c r="J14" s="785"/>
      <c r="K14" s="785"/>
      <c r="L14" s="785"/>
      <c r="M14" s="785"/>
      <c r="N14" s="785"/>
      <c r="O14" s="785"/>
      <c r="P14" s="786"/>
    </row>
    <row r="15" spans="1:21" s="25" customFormat="1" thickBot="1"/>
    <row r="16" spans="1:21" s="25" customFormat="1" thickBot="1">
      <c r="A16" s="60"/>
      <c r="B16" s="61"/>
      <c r="C16" s="61"/>
      <c r="D16" s="61"/>
      <c r="E16" s="61"/>
      <c r="F16" s="61"/>
      <c r="G16" s="61"/>
      <c r="H16" s="61"/>
      <c r="I16" s="61"/>
      <c r="J16" s="61"/>
      <c r="K16" s="61"/>
      <c r="L16" s="61"/>
      <c r="M16" s="61"/>
      <c r="N16" s="61"/>
      <c r="O16" s="61"/>
      <c r="P16" s="62"/>
    </row>
    <row r="17" spans="1:16" s="25" customFormat="1" thickBot="1">
      <c r="A17" s="63"/>
      <c r="C17" s="48"/>
      <c r="D17" s="311" t="s">
        <v>92</v>
      </c>
      <c r="E17" s="204" t="s">
        <v>93</v>
      </c>
      <c r="F17" s="122" t="s">
        <v>94</v>
      </c>
      <c r="G17" s="74"/>
      <c r="H17" s="75"/>
      <c r="I17" s="74"/>
      <c r="J17" s="74"/>
      <c r="P17" s="64"/>
    </row>
    <row r="18" spans="1:16" s="25" customFormat="1" thickBot="1">
      <c r="A18" s="63"/>
      <c r="D18" s="304"/>
      <c r="E18" s="76"/>
      <c r="F18" s="124"/>
      <c r="G18" s="76"/>
      <c r="H18" s="76"/>
      <c r="I18" s="76"/>
      <c r="J18" s="76"/>
      <c r="P18" s="64"/>
    </row>
    <row r="19" spans="1:16" s="25" customFormat="1" ht="15">
      <c r="A19" s="63"/>
      <c r="C19" s="48"/>
      <c r="D19" s="453" t="s">
        <v>95</v>
      </c>
      <c r="E19" s="299"/>
      <c r="F19" s="125"/>
      <c r="G19" s="106"/>
      <c r="H19" s="76"/>
      <c r="I19" s="76"/>
      <c r="J19" s="76"/>
      <c r="P19" s="64"/>
    </row>
    <row r="20" spans="1:16" s="25" customFormat="1" ht="30">
      <c r="A20" s="63"/>
      <c r="C20" s="48"/>
      <c r="D20" s="454" t="s">
        <v>96</v>
      </c>
      <c r="E20" s="300"/>
      <c r="F20" s="126"/>
      <c r="G20" s="76"/>
      <c r="H20" s="76"/>
      <c r="I20" s="76"/>
      <c r="J20" s="76"/>
      <c r="P20" s="64"/>
    </row>
    <row r="21" spans="1:16" s="25" customFormat="1" thickBot="1">
      <c r="A21" s="63"/>
      <c r="C21" s="48"/>
      <c r="D21" s="305"/>
      <c r="E21" s="301"/>
      <c r="F21" s="127"/>
      <c r="G21" s="78"/>
      <c r="H21" s="76"/>
      <c r="I21" s="76"/>
      <c r="J21" s="76"/>
      <c r="P21" s="64"/>
    </row>
    <row r="22" spans="1:16" s="25" customFormat="1" thickBot="1">
      <c r="A22" s="63"/>
      <c r="D22" s="304"/>
      <c r="E22" s="76"/>
      <c r="F22" s="124"/>
      <c r="G22" s="76"/>
      <c r="H22" s="76"/>
      <c r="I22" s="76"/>
      <c r="J22" s="76"/>
      <c r="P22" s="64"/>
    </row>
    <row r="23" spans="1:16" s="25" customFormat="1" thickBot="1">
      <c r="A23" s="63"/>
      <c r="C23" s="48"/>
      <c r="D23" s="306" t="s">
        <v>97</v>
      </c>
      <c r="E23" s="302">
        <f>SUM(E19:E21)</f>
        <v>0</v>
      </c>
      <c r="F23" s="129">
        <f>SUM(F19:F21)</f>
        <v>0</v>
      </c>
      <c r="G23" s="33"/>
      <c r="H23" s="29"/>
      <c r="I23" s="76"/>
      <c r="J23" s="76"/>
      <c r="P23" s="64"/>
    </row>
    <row r="24" spans="1:16" s="25" customFormat="1" ht="15">
      <c r="A24" s="63"/>
      <c r="B24" s="76"/>
      <c r="E24" s="76"/>
      <c r="F24" s="76"/>
      <c r="G24" s="29"/>
      <c r="H24" s="29"/>
      <c r="I24" s="76"/>
      <c r="J24" s="76"/>
      <c r="P24" s="64"/>
    </row>
    <row r="25" spans="1:16" s="25" customFormat="1" thickBot="1">
      <c r="A25" s="63"/>
      <c r="C25" s="76"/>
      <c r="D25" s="76" t="s">
        <v>98</v>
      </c>
      <c r="E25" s="140">
        <f>E23-F23</f>
        <v>0</v>
      </c>
      <c r="F25" s="79"/>
      <c r="G25" s="29"/>
      <c r="H25" s="29"/>
      <c r="I25" s="76"/>
      <c r="J25" s="76"/>
      <c r="P25" s="64"/>
    </row>
    <row r="26" spans="1:16" s="25" customFormat="1" ht="15">
      <c r="A26" s="63"/>
      <c r="B26" s="76"/>
      <c r="E26" s="76"/>
      <c r="F26" s="76"/>
      <c r="G26" s="29"/>
      <c r="H26" s="29"/>
      <c r="I26" s="120" t="s">
        <v>99</v>
      </c>
      <c r="J26" s="120" t="s">
        <v>99</v>
      </c>
      <c r="P26" s="64"/>
    </row>
    <row r="27" spans="1:16" s="25" customFormat="1" thickBot="1">
      <c r="A27" s="63"/>
      <c r="B27" s="76"/>
      <c r="E27" s="80"/>
      <c r="F27" s="80"/>
      <c r="G27" s="29"/>
      <c r="H27" s="29"/>
      <c r="I27" s="121" t="s">
        <v>100</v>
      </c>
      <c r="J27" s="121" t="s">
        <v>100</v>
      </c>
      <c r="P27" s="64"/>
    </row>
    <row r="28" spans="1:16" s="25" customFormat="1" ht="45.75" thickBot="1">
      <c r="A28" s="63"/>
      <c r="C28" s="48"/>
      <c r="D28" s="310" t="s">
        <v>101</v>
      </c>
      <c r="E28" s="204" t="str">
        <f>E17</f>
        <v>N</v>
      </c>
      <c r="F28" s="122" t="str">
        <f>F17</f>
        <v>N-1</v>
      </c>
      <c r="G28" s="29"/>
      <c r="H28" s="29"/>
      <c r="I28" s="202" t="s">
        <v>93</v>
      </c>
      <c r="J28" s="203" t="s">
        <v>94</v>
      </c>
      <c r="P28" s="64"/>
    </row>
    <row r="29" spans="1:16" s="25" customFormat="1" thickBot="1">
      <c r="A29" s="63"/>
      <c r="D29" s="123"/>
      <c r="E29" s="309"/>
      <c r="F29" s="128"/>
      <c r="G29" s="33"/>
      <c r="H29" s="81"/>
      <c r="P29" s="64"/>
    </row>
    <row r="30" spans="1:16" s="25" customFormat="1" ht="15">
      <c r="A30" s="63"/>
      <c r="C30" s="75"/>
      <c r="D30" s="83" t="s">
        <v>102</v>
      </c>
      <c r="E30" s="134"/>
      <c r="F30" s="135"/>
      <c r="G30" s="82"/>
      <c r="H30" s="34"/>
      <c r="I30" s="84">
        <v>31</v>
      </c>
      <c r="J30" s="84">
        <v>31</v>
      </c>
      <c r="P30" s="64"/>
    </row>
    <row r="31" spans="1:16" s="25" customFormat="1" ht="15">
      <c r="A31" s="63"/>
      <c r="C31" s="75"/>
      <c r="D31" s="83" t="s">
        <v>103</v>
      </c>
      <c r="E31" s="136"/>
      <c r="F31" s="137"/>
      <c r="G31" s="82"/>
      <c r="H31" s="34"/>
      <c r="I31" s="85">
        <v>30</v>
      </c>
      <c r="J31" s="85">
        <v>30</v>
      </c>
      <c r="P31" s="64"/>
    </row>
    <row r="32" spans="1:16" s="25" customFormat="1" ht="15">
      <c r="A32" s="63"/>
      <c r="C32" s="75"/>
      <c r="D32" s="83" t="s">
        <v>104</v>
      </c>
      <c r="E32" s="136"/>
      <c r="F32" s="137"/>
      <c r="G32" s="82"/>
      <c r="H32" s="34"/>
      <c r="I32" s="85">
        <v>31</v>
      </c>
      <c r="J32" s="85">
        <v>31</v>
      </c>
      <c r="P32" s="64"/>
    </row>
    <row r="33" spans="1:16" s="25" customFormat="1" thickBot="1">
      <c r="A33" s="63"/>
      <c r="C33" s="75"/>
      <c r="D33" s="83"/>
      <c r="E33" s="77"/>
      <c r="F33" s="126"/>
      <c r="G33" s="82"/>
      <c r="H33" s="32"/>
      <c r="I33" s="85"/>
      <c r="J33" s="85"/>
      <c r="P33" s="64"/>
    </row>
    <row r="34" spans="1:16" s="25" customFormat="1" thickBot="1">
      <c r="A34" s="63"/>
      <c r="C34" s="75"/>
      <c r="D34" s="308"/>
      <c r="E34" s="301"/>
      <c r="F34" s="127"/>
      <c r="G34" s="82"/>
      <c r="H34" s="32"/>
      <c r="I34" s="88"/>
      <c r="J34" s="88"/>
      <c r="P34" s="64"/>
    </row>
    <row r="35" spans="1:16" s="25" customFormat="1" thickBot="1">
      <c r="A35" s="63"/>
      <c r="B35" s="75"/>
      <c r="E35" s="86"/>
      <c r="F35" s="86"/>
      <c r="G35" s="29"/>
      <c r="H35" s="87"/>
      <c r="P35" s="64"/>
    </row>
    <row r="36" spans="1:16" s="25" customFormat="1" thickBot="1">
      <c r="A36" s="63"/>
      <c r="C36" s="48"/>
      <c r="D36" s="307" t="s">
        <v>97</v>
      </c>
      <c r="E36" s="302">
        <f>SUM(E30:E34)</f>
        <v>0</v>
      </c>
      <c r="F36" s="129">
        <f>SUM(F30:F34)</f>
        <v>0</v>
      </c>
      <c r="G36" s="90"/>
      <c r="H36" s="91"/>
      <c r="I36" s="78"/>
      <c r="J36" s="78"/>
      <c r="P36" s="64"/>
    </row>
    <row r="37" spans="1:16" s="25" customFormat="1" ht="15">
      <c r="A37" s="63"/>
      <c r="B37" s="75"/>
      <c r="E37" s="89"/>
      <c r="F37" s="89"/>
      <c r="G37" s="82"/>
      <c r="H37" s="93"/>
      <c r="I37" s="92"/>
      <c r="J37" s="76"/>
      <c r="P37" s="64"/>
    </row>
    <row r="38" spans="1:16" s="25" customFormat="1" thickBot="1">
      <c r="A38" s="63"/>
      <c r="B38" s="75"/>
      <c r="E38" s="89"/>
      <c r="F38" s="89"/>
      <c r="G38" s="82"/>
      <c r="H38" s="93"/>
      <c r="P38" s="64"/>
    </row>
    <row r="39" spans="1:16" s="25" customFormat="1" thickBot="1">
      <c r="A39" s="63"/>
      <c r="C39" s="48"/>
      <c r="D39" s="303" t="s">
        <v>105</v>
      </c>
      <c r="E39" s="204" t="str">
        <f>E17</f>
        <v>N</v>
      </c>
      <c r="F39" s="122" t="str">
        <f>F17</f>
        <v>N-1</v>
      </c>
      <c r="G39" s="30"/>
      <c r="H39" s="29"/>
      <c r="I39" s="115" t="s">
        <v>106</v>
      </c>
      <c r="J39" s="116" t="s">
        <v>94</v>
      </c>
      <c r="P39" s="64"/>
    </row>
    <row r="40" spans="1:16" s="25" customFormat="1" thickBot="1">
      <c r="A40" s="63"/>
      <c r="D40" s="304"/>
      <c r="E40" s="76"/>
      <c r="F40" s="313"/>
      <c r="G40" s="29"/>
      <c r="H40" s="29"/>
      <c r="I40" s="76"/>
      <c r="J40" s="76"/>
      <c r="P40" s="64"/>
    </row>
    <row r="41" spans="1:16" s="25" customFormat="1" ht="15">
      <c r="A41" s="63"/>
      <c r="C41" s="75"/>
      <c r="D41" s="305" t="str">
        <f>D30</f>
        <v>M</v>
      </c>
      <c r="E41" s="246" t="str">
        <f>IF(E30="","",IF(E23&gt;E30,I30,E23*I30/E30))</f>
        <v/>
      </c>
      <c r="F41" s="246" t="str">
        <f>IF(F30="","",IF(F23&gt;F30,J30,F23*J30/F30))</f>
        <v/>
      </c>
      <c r="G41" s="29"/>
      <c r="H41" s="29"/>
      <c r="I41" s="113">
        <f>IF($E$23-$E$30&gt;0,$E$23-$E$30,0)</f>
        <v>0</v>
      </c>
      <c r="J41" s="117">
        <f>IF(F23-F30&gt;0,F23-F30,0)</f>
        <v>0</v>
      </c>
      <c r="P41" s="64"/>
    </row>
    <row r="42" spans="1:16" s="25" customFormat="1" ht="15">
      <c r="A42" s="63"/>
      <c r="C42" s="75"/>
      <c r="D42" s="305" t="str">
        <f>D31</f>
        <v>M-1</v>
      </c>
      <c r="E42" s="247" t="str">
        <f t="shared" ref="E42:F45" si="0">IF(E31="","",IF(I41&gt;E31,I31,I41*I31/E31))</f>
        <v/>
      </c>
      <c r="F42" s="247" t="str">
        <f t="shared" si="0"/>
        <v/>
      </c>
      <c r="G42" s="94"/>
      <c r="H42" s="29"/>
      <c r="I42" s="114">
        <f>IF($I$41-$E$31&gt;0,$I$41-$E$31,0)</f>
        <v>0</v>
      </c>
      <c r="J42" s="118">
        <f>IF(J41-$F$31&gt;0,J41-$F$31,0)</f>
        <v>0</v>
      </c>
      <c r="P42" s="64"/>
    </row>
    <row r="43" spans="1:16" s="25" customFormat="1" ht="15">
      <c r="A43" s="63"/>
      <c r="C43" s="75"/>
      <c r="D43" s="305" t="str">
        <f>D32</f>
        <v>M-2</v>
      </c>
      <c r="E43" s="247" t="str">
        <f t="shared" si="0"/>
        <v/>
      </c>
      <c r="F43" s="247" t="str">
        <f t="shared" si="0"/>
        <v/>
      </c>
      <c r="G43" s="94"/>
      <c r="H43" s="29"/>
      <c r="I43" s="114">
        <f>IF($I$42-$E$32&gt;0,$I$42-$E$32,0)</f>
        <v>0</v>
      </c>
      <c r="J43" s="119">
        <f>IF(J42-$F$32&gt;0,J42-$F$32,0)</f>
        <v>0</v>
      </c>
      <c r="P43" s="64"/>
    </row>
    <row r="44" spans="1:16" s="25" customFormat="1" ht="15">
      <c r="A44" s="63"/>
      <c r="C44" s="75"/>
      <c r="D44" s="305"/>
      <c r="E44" s="300"/>
      <c r="F44" s="138" t="str">
        <f t="shared" si="0"/>
        <v/>
      </c>
      <c r="G44" s="94"/>
      <c r="H44" s="29"/>
      <c r="I44" s="95"/>
      <c r="J44" s="96"/>
      <c r="P44" s="64"/>
    </row>
    <row r="45" spans="1:16" s="25" customFormat="1" thickBot="1">
      <c r="A45" s="63"/>
      <c r="C45" s="75"/>
      <c r="D45" s="312"/>
      <c r="E45" s="301"/>
      <c r="F45" s="139" t="str">
        <f t="shared" si="0"/>
        <v/>
      </c>
      <c r="G45" s="94"/>
      <c r="H45" s="29"/>
      <c r="I45" s="97"/>
      <c r="J45" s="98"/>
      <c r="P45" s="64"/>
    </row>
    <row r="46" spans="1:16" s="25" customFormat="1" thickBot="1">
      <c r="A46" s="63"/>
      <c r="B46" s="574"/>
      <c r="C46" s="574"/>
      <c r="D46" s="574"/>
      <c r="E46" s="130"/>
      <c r="F46" s="130"/>
      <c r="G46" s="94"/>
      <c r="H46" s="29"/>
      <c r="I46" s="130"/>
      <c r="J46" s="130"/>
      <c r="P46" s="64"/>
    </row>
    <row r="47" spans="1:16" s="25" customFormat="1" thickBot="1">
      <c r="A47" s="63"/>
      <c r="B47" s="76"/>
      <c r="E47" s="76"/>
      <c r="F47" s="76"/>
      <c r="G47" s="112" t="s">
        <v>107</v>
      </c>
      <c r="H47" s="99"/>
      <c r="I47" s="76"/>
      <c r="J47" s="76"/>
      <c r="P47" s="64"/>
    </row>
    <row r="48" spans="1:16" s="25" customFormat="1" thickBot="1">
      <c r="A48" s="63"/>
      <c r="B48" s="803" t="s">
        <v>108</v>
      </c>
      <c r="C48" s="803"/>
      <c r="D48" s="804"/>
      <c r="E48" s="132">
        <f>SUM(E41:E45)</f>
        <v>0</v>
      </c>
      <c r="F48" s="132">
        <f>SUM(F41:F45)</f>
        <v>0</v>
      </c>
      <c r="G48" s="133">
        <f>E48-F48</f>
        <v>0</v>
      </c>
      <c r="H48" s="100"/>
      <c r="I48" s="107" t="s">
        <v>109</v>
      </c>
      <c r="J48" s="109" t="e">
        <f>(G49*E48)</f>
        <v>#DIV/0!</v>
      </c>
      <c r="P48" s="64"/>
    </row>
    <row r="49" spans="1:16" s="25" customFormat="1" ht="15">
      <c r="A49" s="63"/>
      <c r="B49" s="802" t="s">
        <v>110</v>
      </c>
      <c r="C49" s="802"/>
      <c r="D49" s="802"/>
      <c r="E49" s="101" t="e">
        <f>+E23/E48</f>
        <v>#DIV/0!</v>
      </c>
      <c r="F49" s="101" t="e">
        <f>+F23/F48</f>
        <v>#DIV/0!</v>
      </c>
      <c r="G49" s="131" t="e">
        <f>+E49-F49</f>
        <v>#DIV/0!</v>
      </c>
      <c r="H49" s="87"/>
      <c r="I49" s="108" t="s">
        <v>111</v>
      </c>
      <c r="J49" s="110" t="e">
        <f>G48*F49</f>
        <v>#DIV/0!</v>
      </c>
      <c r="P49" s="64"/>
    </row>
    <row r="50" spans="1:16" s="25" customFormat="1" ht="15">
      <c r="A50" s="83"/>
      <c r="B50" s="102"/>
      <c r="C50" s="102"/>
      <c r="E50" s="103"/>
      <c r="F50" s="34"/>
      <c r="I50" s="574" t="s">
        <v>112</v>
      </c>
      <c r="J50" s="111" t="e">
        <f>SUM(J48:J49)</f>
        <v>#DIV/0!</v>
      </c>
      <c r="P50" s="64"/>
    </row>
    <row r="51" spans="1:16" s="25" customFormat="1" ht="15">
      <c r="A51" s="104"/>
      <c r="B51" s="105"/>
      <c r="C51" s="105"/>
      <c r="D51" s="105"/>
      <c r="E51" s="105"/>
      <c r="F51" s="105"/>
      <c r="G51" s="105"/>
      <c r="H51" s="105"/>
      <c r="I51" s="105"/>
      <c r="J51" s="105"/>
      <c r="P51" s="64"/>
    </row>
    <row r="52" spans="1:16" s="25" customFormat="1" ht="124.5" customHeight="1">
      <c r="A52" s="799" t="s">
        <v>113</v>
      </c>
      <c r="B52" s="800"/>
      <c r="C52" s="800"/>
      <c r="D52" s="800"/>
      <c r="E52" s="800"/>
      <c r="F52" s="800"/>
      <c r="G52" s="800"/>
      <c r="H52" s="800"/>
      <c r="I52" s="800"/>
      <c r="J52" s="800"/>
      <c r="K52" s="800"/>
      <c r="L52" s="800"/>
      <c r="M52" s="800"/>
      <c r="N52" s="800"/>
      <c r="O52" s="800"/>
      <c r="P52" s="801"/>
    </row>
    <row r="53" spans="1:16" s="25" customFormat="1" thickBot="1">
      <c r="A53" s="65"/>
      <c r="B53" s="66"/>
      <c r="C53" s="66"/>
      <c r="D53" s="66"/>
      <c r="E53" s="66"/>
      <c r="F53" s="66"/>
      <c r="G53" s="66"/>
      <c r="H53" s="66"/>
      <c r="I53" s="66"/>
      <c r="J53" s="66"/>
      <c r="K53" s="66"/>
      <c r="L53" s="66"/>
      <c r="M53" s="66"/>
      <c r="N53" s="66"/>
      <c r="O53" s="66"/>
      <c r="P53" s="67"/>
    </row>
  </sheetData>
  <sheetProtection formatCells="0" formatColumns="0" formatRows="0" insertColumns="0" insertRows="0" insertHyperlinks="0" deleteColumns="0" deleteRows="0" sort="0" autoFilter="0" pivotTables="0"/>
  <mergeCells count="20">
    <mergeCell ref="A14:P14"/>
    <mergeCell ref="A9:C9"/>
    <mergeCell ref="D9:E9"/>
    <mergeCell ref="F9:I9"/>
    <mergeCell ref="A52:P52"/>
    <mergeCell ref="B49:D49"/>
    <mergeCell ref="B48:D48"/>
    <mergeCell ref="J9:K9"/>
    <mergeCell ref="L9:N9"/>
    <mergeCell ref="O9:P9"/>
    <mergeCell ref="A11:P11"/>
    <mergeCell ref="A13:P13"/>
    <mergeCell ref="O8:P8"/>
    <mergeCell ref="D1:M2"/>
    <mergeCell ref="A3:P5"/>
    <mergeCell ref="E6:L7"/>
    <mergeCell ref="M6:N6"/>
    <mergeCell ref="O6:P6"/>
    <mergeCell ref="M7:N7"/>
    <mergeCell ref="O7:P7"/>
  </mergeCells>
  <dataValidations count="2">
    <dataValidation type="list" showInputMessage="1" showErrorMessage="1" sqref="D9:E9" xr:uid="{00000000-0002-0000-0400-000000000000}">
      <formula1>RAS</formula1>
    </dataValidation>
    <dataValidation type="list" allowBlank="1" showInputMessage="1" showErrorMessage="1" sqref="O9:P9" xr:uid="{00000000-0002-0000-0400-000001000000}">
      <formula1>Diligences</formula1>
    </dataValidation>
  </dataValidations>
  <hyperlinks>
    <hyperlink ref="O8:P8" location="'A Synthèse'!Zone_d_impression" display="A Synthèse" xr:uid="{00000000-0004-0000-04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U25"/>
  <sheetViews>
    <sheetView showGridLines="0" zoomScale="80" zoomScaleNormal="80" workbookViewId="0">
      <selection activeCell="O10" sqref="O10"/>
    </sheetView>
  </sheetViews>
  <sheetFormatPr baseColWidth="10" defaultColWidth="11.42578125" defaultRowHeight="15.75"/>
  <cols>
    <col min="1" max="16" width="14.7109375" style="7" customWidth="1"/>
    <col min="17" max="16384" width="11.42578125" style="7"/>
  </cols>
  <sheetData>
    <row r="1" spans="1:21" s="1" customFormat="1" ht="15" customHeight="1">
      <c r="A1" s="10"/>
      <c r="B1" s="11"/>
      <c r="C1" s="11"/>
      <c r="D1" s="745" t="str">
        <f>'A Synthèse'!D1:M2</f>
        <v>#NomClient</v>
      </c>
      <c r="E1" s="765"/>
      <c r="F1" s="765"/>
      <c r="G1" s="765"/>
      <c r="H1" s="765"/>
      <c r="I1" s="765"/>
      <c r="J1" s="765"/>
      <c r="K1" s="765"/>
      <c r="L1" s="765"/>
      <c r="M1" s="766"/>
      <c r="N1" s="11"/>
      <c r="O1" s="11"/>
      <c r="P1" s="12"/>
    </row>
    <row r="2" spans="1:21" s="1" customFormat="1" ht="15" customHeight="1" thickBot="1">
      <c r="A2" s="13"/>
      <c r="B2" s="14"/>
      <c r="C2" s="14"/>
      <c r="D2" s="767"/>
      <c r="E2" s="768"/>
      <c r="F2" s="768"/>
      <c r="G2" s="768"/>
      <c r="H2" s="768"/>
      <c r="I2" s="768"/>
      <c r="J2" s="768"/>
      <c r="K2" s="768"/>
      <c r="L2" s="768"/>
      <c r="M2" s="769"/>
      <c r="N2" s="14"/>
      <c r="O2" s="14"/>
      <c r="P2" s="15"/>
    </row>
    <row r="3" spans="1:21" ht="15" customHeight="1">
      <c r="A3" s="709" t="s">
        <v>3</v>
      </c>
      <c r="B3" s="710"/>
      <c r="C3" s="710"/>
      <c r="D3" s="710"/>
      <c r="E3" s="710"/>
      <c r="F3" s="710"/>
      <c r="G3" s="710"/>
      <c r="H3" s="710"/>
      <c r="I3" s="710"/>
      <c r="J3" s="710"/>
      <c r="K3" s="710"/>
      <c r="L3" s="710"/>
      <c r="M3" s="710"/>
      <c r="N3" s="710"/>
      <c r="O3" s="710"/>
      <c r="P3" s="711"/>
      <c r="R3" s="3"/>
      <c r="T3" s="5"/>
      <c r="U3" s="6"/>
    </row>
    <row r="4" spans="1:21" ht="15" customHeight="1">
      <c r="A4" s="709"/>
      <c r="B4" s="710"/>
      <c r="C4" s="710"/>
      <c r="D4" s="710"/>
      <c r="E4" s="710"/>
      <c r="F4" s="710"/>
      <c r="G4" s="710"/>
      <c r="H4" s="710"/>
      <c r="I4" s="710"/>
      <c r="J4" s="710"/>
      <c r="K4" s="710"/>
      <c r="L4" s="710"/>
      <c r="M4" s="710"/>
      <c r="N4" s="710"/>
      <c r="O4" s="710"/>
      <c r="P4" s="711"/>
      <c r="R4" s="3"/>
      <c r="T4" s="5"/>
      <c r="U4" s="6"/>
    </row>
    <row r="5" spans="1:21" ht="15" customHeight="1" thickBot="1">
      <c r="A5" s="712"/>
      <c r="B5" s="713"/>
      <c r="C5" s="713"/>
      <c r="D5" s="713"/>
      <c r="E5" s="713"/>
      <c r="F5" s="713"/>
      <c r="G5" s="713"/>
      <c r="H5" s="713"/>
      <c r="I5" s="713"/>
      <c r="J5" s="713"/>
      <c r="K5" s="713"/>
      <c r="L5" s="713"/>
      <c r="M5" s="713"/>
      <c r="N5" s="713"/>
      <c r="O5" s="713"/>
      <c r="P5" s="714"/>
      <c r="Q5" s="8"/>
      <c r="R5" s="4"/>
      <c r="S5" s="23"/>
      <c r="T5" s="23"/>
      <c r="U5" s="23"/>
    </row>
    <row r="6" spans="1:21" ht="15" customHeight="1">
      <c r="A6" s="17" t="s">
        <v>6</v>
      </c>
      <c r="B6" s="271" t="str">
        <f>'A Synthèse'!B6</f>
        <v>BRA</v>
      </c>
      <c r="C6" s="17" t="s">
        <v>7</v>
      </c>
      <c r="D6" s="271">
        <f>'A Synthèse'!D6</f>
        <v>0</v>
      </c>
      <c r="E6" s="715" t="s">
        <v>35</v>
      </c>
      <c r="F6" s="716"/>
      <c r="G6" s="716"/>
      <c r="H6" s="716"/>
      <c r="I6" s="716"/>
      <c r="J6" s="716"/>
      <c r="K6" s="716"/>
      <c r="L6" s="717"/>
      <c r="M6" s="770" t="s">
        <v>9</v>
      </c>
      <c r="N6" s="771"/>
      <c r="O6" s="721" t="s">
        <v>10</v>
      </c>
      <c r="P6" s="722"/>
      <c r="R6" s="1"/>
      <c r="S6" s="1"/>
    </row>
    <row r="7" spans="1:21" ht="15" customHeight="1" thickBot="1">
      <c r="A7" s="18" t="s">
        <v>12</v>
      </c>
      <c r="B7" s="272">
        <f>'A Synthèse'!B7</f>
        <v>0</v>
      </c>
      <c r="C7" s="18" t="s">
        <v>12</v>
      </c>
      <c r="D7" s="272">
        <f>'A Synthèse'!D7</f>
        <v>0</v>
      </c>
      <c r="E7" s="718"/>
      <c r="F7" s="719"/>
      <c r="G7" s="719"/>
      <c r="H7" s="719"/>
      <c r="I7" s="719"/>
      <c r="J7" s="719"/>
      <c r="K7" s="719"/>
      <c r="L7" s="720"/>
      <c r="M7" s="772" t="str">
        <f>'A Synthèse'!M7:M7</f>
        <v>#DateClôture</v>
      </c>
      <c r="N7" s="773"/>
      <c r="O7" s="723" t="s">
        <v>34</v>
      </c>
      <c r="P7" s="724"/>
    </row>
    <row r="8" spans="1:21" ht="21" customHeight="1" thickBot="1">
      <c r="A8" s="19"/>
      <c r="B8" s="16"/>
      <c r="C8" s="20"/>
      <c r="D8" s="20"/>
      <c r="E8" s="21"/>
      <c r="F8" s="21"/>
      <c r="G8" s="21"/>
      <c r="H8" s="21"/>
      <c r="I8" s="21"/>
      <c r="J8" s="21"/>
      <c r="K8" s="21"/>
      <c r="L8" s="21"/>
      <c r="M8" s="22"/>
      <c r="N8" s="20"/>
      <c r="O8" s="776" t="s">
        <v>66</v>
      </c>
      <c r="P8" s="776"/>
    </row>
    <row r="9" spans="1:21" s="20" customFormat="1" ht="31.5" customHeight="1" thickBot="1">
      <c r="A9" s="733" t="s">
        <v>17</v>
      </c>
      <c r="B9" s="734"/>
      <c r="C9" s="734"/>
      <c r="D9" s="763" t="str">
        <f>'A Synthèse'!D9:E9</f>
        <v>Modéré</v>
      </c>
      <c r="E9" s="764"/>
      <c r="F9" s="735" t="s">
        <v>18</v>
      </c>
      <c r="G9" s="736"/>
      <c r="H9" s="736"/>
      <c r="I9" s="736"/>
      <c r="J9" s="774">
        <f>'A Synthèse'!J9:K9</f>
        <v>0</v>
      </c>
      <c r="K9" s="775"/>
      <c r="L9" s="735" t="s">
        <v>19</v>
      </c>
      <c r="M9" s="736"/>
      <c r="N9" s="736"/>
      <c r="O9" s="763" t="str">
        <f>'A Synthèse'!N9</f>
        <v>PE</v>
      </c>
      <c r="P9" s="764"/>
    </row>
    <row r="10" spans="1:21" s="20" customFormat="1" ht="21" customHeight="1" thickBot="1">
      <c r="A10" s="24"/>
      <c r="B10" s="24"/>
      <c r="C10" s="24"/>
      <c r="D10" s="24"/>
      <c r="E10" s="24"/>
      <c r="F10" s="24"/>
      <c r="G10" s="24"/>
      <c r="H10" s="24"/>
      <c r="I10" s="24"/>
      <c r="J10" s="24"/>
      <c r="K10" s="24"/>
      <c r="L10" s="24"/>
      <c r="M10" s="24"/>
      <c r="N10" s="24"/>
      <c r="O10" s="24"/>
      <c r="P10" s="24"/>
    </row>
    <row r="11" spans="1:21" s="25" customFormat="1" ht="79.5" customHeight="1" thickBot="1">
      <c r="A11" s="778" t="s">
        <v>114</v>
      </c>
      <c r="B11" s="779"/>
      <c r="C11" s="779"/>
      <c r="D11" s="779"/>
      <c r="E11" s="779"/>
      <c r="F11" s="779"/>
      <c r="G11" s="779"/>
      <c r="H11" s="779"/>
      <c r="I11" s="779"/>
      <c r="J11" s="779"/>
      <c r="K11" s="779"/>
      <c r="L11" s="779"/>
      <c r="M11" s="779"/>
      <c r="N11" s="779"/>
      <c r="O11" s="779"/>
      <c r="P11" s="780"/>
    </row>
    <row r="12" spans="1:21" s="25" customFormat="1" ht="9" customHeight="1" thickBot="1"/>
    <row r="13" spans="1:21" s="25" customFormat="1" ht="15">
      <c r="A13" s="781" t="s">
        <v>69</v>
      </c>
      <c r="B13" s="782"/>
      <c r="C13" s="782"/>
      <c r="D13" s="782"/>
      <c r="E13" s="782"/>
      <c r="F13" s="782"/>
      <c r="G13" s="782"/>
      <c r="H13" s="782"/>
      <c r="I13" s="782"/>
      <c r="J13" s="782"/>
      <c r="K13" s="782"/>
      <c r="L13" s="782"/>
      <c r="M13" s="782"/>
      <c r="N13" s="782"/>
      <c r="O13" s="782"/>
      <c r="P13" s="783"/>
    </row>
    <row r="14" spans="1:21" s="25" customFormat="1" ht="60" customHeight="1" thickBot="1">
      <c r="A14" s="784"/>
      <c r="B14" s="785"/>
      <c r="C14" s="785"/>
      <c r="D14" s="785"/>
      <c r="E14" s="785"/>
      <c r="F14" s="785"/>
      <c r="G14" s="785"/>
      <c r="H14" s="785"/>
      <c r="I14" s="785"/>
      <c r="J14" s="785"/>
      <c r="K14" s="785"/>
      <c r="L14" s="785"/>
      <c r="M14" s="785"/>
      <c r="N14" s="785"/>
      <c r="O14" s="785"/>
      <c r="P14" s="786"/>
    </row>
    <row r="15" spans="1:21" ht="16.5" thickBot="1"/>
    <row r="16" spans="1:21" s="25" customFormat="1" ht="15">
      <c r="A16" s="58"/>
      <c r="B16" s="141"/>
      <c r="C16" s="141"/>
      <c r="D16" s="141"/>
      <c r="E16" s="141"/>
      <c r="F16" s="72"/>
      <c r="G16" s="141"/>
      <c r="H16" s="141"/>
      <c r="I16" s="61"/>
      <c r="J16" s="61"/>
      <c r="K16" s="61"/>
      <c r="L16" s="61"/>
      <c r="M16" s="61"/>
      <c r="N16" s="61"/>
      <c r="O16" s="61"/>
      <c r="P16" s="62"/>
    </row>
    <row r="17" spans="1:16" s="35" customFormat="1" ht="32.25" customHeight="1">
      <c r="A17" s="434"/>
      <c r="C17" s="270"/>
      <c r="F17" s="805" t="s">
        <v>115</v>
      </c>
      <c r="G17" s="805"/>
      <c r="H17" s="805"/>
      <c r="I17" s="805" t="s">
        <v>116</v>
      </c>
      <c r="J17" s="805"/>
      <c r="K17" s="805"/>
      <c r="L17" s="285" t="s">
        <v>117</v>
      </c>
      <c r="P17" s="437"/>
    </row>
    <row r="18" spans="1:16" s="35" customFormat="1" ht="32.25" customHeight="1">
      <c r="A18" s="434"/>
      <c r="C18" s="270"/>
      <c r="F18" s="576" t="s">
        <v>118</v>
      </c>
      <c r="G18" s="241" t="s">
        <v>119</v>
      </c>
      <c r="H18" s="576" t="s">
        <v>120</v>
      </c>
      <c r="I18" s="576" t="s">
        <v>121</v>
      </c>
      <c r="J18" s="576" t="s">
        <v>120</v>
      </c>
      <c r="K18" s="241" t="s">
        <v>119</v>
      </c>
      <c r="L18" s="457"/>
      <c r="P18" s="437"/>
    </row>
    <row r="19" spans="1:16" s="35" customFormat="1" ht="32.25" customHeight="1">
      <c r="A19" s="434"/>
      <c r="D19" s="455" t="s">
        <v>14</v>
      </c>
      <c r="E19" s="456"/>
      <c r="F19" s="591"/>
      <c r="G19" s="592"/>
      <c r="H19" s="458"/>
      <c r="I19" s="458"/>
      <c r="J19" s="458"/>
      <c r="K19" s="459"/>
      <c r="L19" s="593">
        <f>F19-J19</f>
        <v>0</v>
      </c>
      <c r="P19" s="437"/>
    </row>
    <row r="20" spans="1:16" s="35" customFormat="1" ht="32.25" customHeight="1">
      <c r="A20" s="434"/>
      <c r="D20" s="455" t="s">
        <v>122</v>
      </c>
      <c r="E20" s="456"/>
      <c r="F20" s="591"/>
      <c r="G20" s="592"/>
      <c r="H20" s="458"/>
      <c r="I20" s="458"/>
      <c r="J20" s="458"/>
      <c r="K20" s="459"/>
      <c r="L20" s="593">
        <f>F20-J20</f>
        <v>0</v>
      </c>
      <c r="P20" s="437"/>
    </row>
    <row r="21" spans="1:16" s="35" customFormat="1" ht="32.25" customHeight="1">
      <c r="A21" s="434"/>
      <c r="D21" s="455" t="s">
        <v>123</v>
      </c>
      <c r="E21" s="456"/>
      <c r="F21" s="591"/>
      <c r="G21" s="592"/>
      <c r="H21" s="458"/>
      <c r="I21" s="458"/>
      <c r="J21" s="458"/>
      <c r="K21" s="459"/>
      <c r="L21" s="593">
        <f>F21-J21</f>
        <v>0</v>
      </c>
      <c r="P21" s="437"/>
    </row>
    <row r="22" spans="1:16" s="35" customFormat="1" ht="32.25" customHeight="1">
      <c r="A22" s="434"/>
      <c r="D22" s="455" t="s">
        <v>124</v>
      </c>
      <c r="E22" s="456"/>
      <c r="F22" s="591"/>
      <c r="G22" s="592"/>
      <c r="H22" s="458"/>
      <c r="I22" s="458"/>
      <c r="J22" s="458"/>
      <c r="K22" s="459"/>
      <c r="L22" s="593">
        <f>F22-J22</f>
        <v>0</v>
      </c>
      <c r="P22" s="437"/>
    </row>
    <row r="23" spans="1:16" s="25" customFormat="1" thickBot="1">
      <c r="A23" s="65"/>
      <c r="B23" s="66"/>
      <c r="C23" s="66"/>
      <c r="D23" s="66"/>
      <c r="E23" s="66"/>
      <c r="F23" s="66"/>
      <c r="G23" s="66"/>
      <c r="H23" s="66"/>
      <c r="I23" s="66"/>
      <c r="J23" s="66"/>
      <c r="K23" s="66"/>
      <c r="L23" s="66"/>
      <c r="M23" s="66"/>
      <c r="N23" s="66"/>
      <c r="O23" s="66"/>
      <c r="P23" s="67"/>
    </row>
    <row r="24" spans="1:16" s="25" customFormat="1" ht="15"/>
    <row r="25" spans="1:16" s="25" customFormat="1" ht="15"/>
  </sheetData>
  <sheetProtection formatCells="0" formatColumns="0" formatRows="0" insertColumns="0" insertRows="0" insertHyperlinks="0" deleteColumns="0" deleteRows="0" sort="0" autoFilter="0" pivotTables="0"/>
  <mergeCells count="19">
    <mergeCell ref="O9:P9"/>
    <mergeCell ref="A11:P11"/>
    <mergeCell ref="F17:H17"/>
    <mergeCell ref="I17:K17"/>
    <mergeCell ref="A13:P13"/>
    <mergeCell ref="A14:P14"/>
    <mergeCell ref="A9:C9"/>
    <mergeCell ref="D9:E9"/>
    <mergeCell ref="F9:I9"/>
    <mergeCell ref="J9:K9"/>
    <mergeCell ref="L9:N9"/>
    <mergeCell ref="O8:P8"/>
    <mergeCell ref="D1:M2"/>
    <mergeCell ref="A3:P5"/>
    <mergeCell ref="E6:L7"/>
    <mergeCell ref="M6:N6"/>
    <mergeCell ref="O6:P6"/>
    <mergeCell ref="M7:N7"/>
    <mergeCell ref="O7:P7"/>
  </mergeCells>
  <dataValidations count="2">
    <dataValidation type="list" allowBlank="1" showInputMessage="1" showErrorMessage="1" sqref="O9:P9" xr:uid="{00000000-0002-0000-0500-000000000000}">
      <formula1>Diligences</formula1>
    </dataValidation>
    <dataValidation type="list" showInputMessage="1" showErrorMessage="1" sqref="D9:E9" xr:uid="{00000000-0002-0000-0500-000001000000}">
      <formula1>RAS</formula1>
    </dataValidation>
  </dataValidations>
  <hyperlinks>
    <hyperlink ref="O8:P8" location="'A Synthèse'!Zone_d_impression" display="A Synthèse" xr:uid="{00000000-0004-0000-05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A1:U40"/>
  <sheetViews>
    <sheetView showGridLines="0" zoomScale="80" zoomScaleNormal="80" workbookViewId="0">
      <selection activeCell="O10" sqref="O10"/>
    </sheetView>
  </sheetViews>
  <sheetFormatPr baseColWidth="10" defaultColWidth="11.42578125" defaultRowHeight="15.75"/>
  <cols>
    <col min="1" max="1" width="14.7109375" style="7" customWidth="1"/>
    <col min="2" max="2" width="9.140625" style="7" customWidth="1"/>
    <col min="3" max="3" width="22" style="7" customWidth="1"/>
    <col min="4" max="16" width="14.7109375" style="7" customWidth="1"/>
    <col min="17" max="16384" width="11.42578125" style="7"/>
  </cols>
  <sheetData>
    <row r="1" spans="1:21" s="1" customFormat="1" ht="15" customHeight="1">
      <c r="A1" s="10"/>
      <c r="B1" s="11"/>
      <c r="C1" s="11"/>
      <c r="D1" s="745" t="str">
        <f>'A Synthèse'!D1:M2</f>
        <v>#NomClient</v>
      </c>
      <c r="E1" s="765"/>
      <c r="F1" s="765"/>
      <c r="G1" s="765"/>
      <c r="H1" s="765"/>
      <c r="I1" s="765"/>
      <c r="J1" s="765"/>
      <c r="K1" s="765"/>
      <c r="L1" s="765"/>
      <c r="M1" s="766"/>
      <c r="N1" s="11"/>
      <c r="O1" s="11"/>
      <c r="P1" s="12"/>
    </row>
    <row r="2" spans="1:21" s="1" customFormat="1" ht="15" customHeight="1" thickBot="1">
      <c r="A2" s="13"/>
      <c r="B2" s="14"/>
      <c r="C2" s="14"/>
      <c r="D2" s="767"/>
      <c r="E2" s="768"/>
      <c r="F2" s="768"/>
      <c r="G2" s="768"/>
      <c r="H2" s="768"/>
      <c r="I2" s="768"/>
      <c r="J2" s="768"/>
      <c r="K2" s="768"/>
      <c r="L2" s="768"/>
      <c r="M2" s="769"/>
      <c r="N2" s="14"/>
      <c r="O2" s="14"/>
      <c r="P2" s="15"/>
    </row>
    <row r="3" spans="1:21" ht="15" customHeight="1">
      <c r="A3" s="709" t="s">
        <v>3</v>
      </c>
      <c r="B3" s="710"/>
      <c r="C3" s="710"/>
      <c r="D3" s="710"/>
      <c r="E3" s="710"/>
      <c r="F3" s="710"/>
      <c r="G3" s="710"/>
      <c r="H3" s="710"/>
      <c r="I3" s="710"/>
      <c r="J3" s="710"/>
      <c r="K3" s="710"/>
      <c r="L3" s="710"/>
      <c r="M3" s="710"/>
      <c r="N3" s="710"/>
      <c r="O3" s="710"/>
      <c r="P3" s="711"/>
      <c r="R3" s="3"/>
      <c r="T3" s="5"/>
      <c r="U3" s="6"/>
    </row>
    <row r="4" spans="1:21" ht="15" customHeight="1">
      <c r="A4" s="709"/>
      <c r="B4" s="710"/>
      <c r="C4" s="710"/>
      <c r="D4" s="710"/>
      <c r="E4" s="710"/>
      <c r="F4" s="710"/>
      <c r="G4" s="710"/>
      <c r="H4" s="710"/>
      <c r="I4" s="710"/>
      <c r="J4" s="710"/>
      <c r="K4" s="710"/>
      <c r="L4" s="710"/>
      <c r="M4" s="710"/>
      <c r="N4" s="710"/>
      <c r="O4" s="710"/>
      <c r="P4" s="711"/>
      <c r="R4" s="3"/>
      <c r="T4" s="5"/>
      <c r="U4" s="6"/>
    </row>
    <row r="5" spans="1:21" ht="15" customHeight="1" thickBot="1">
      <c r="A5" s="712"/>
      <c r="B5" s="713"/>
      <c r="C5" s="713"/>
      <c r="D5" s="713"/>
      <c r="E5" s="713"/>
      <c r="F5" s="713"/>
      <c r="G5" s="713"/>
      <c r="H5" s="713"/>
      <c r="I5" s="713"/>
      <c r="J5" s="713"/>
      <c r="K5" s="713"/>
      <c r="L5" s="713"/>
      <c r="M5" s="713"/>
      <c r="N5" s="713"/>
      <c r="O5" s="713"/>
      <c r="P5" s="714"/>
      <c r="Q5" s="8"/>
      <c r="R5" s="4"/>
      <c r="S5" s="23"/>
      <c r="T5" s="23"/>
      <c r="U5" s="23"/>
    </row>
    <row r="6" spans="1:21" ht="15" customHeight="1">
      <c r="A6" s="17" t="s">
        <v>6</v>
      </c>
      <c r="B6" s="271" t="str">
        <f>'A Synthèse'!B6</f>
        <v>BRA</v>
      </c>
      <c r="C6" s="17" t="s">
        <v>7</v>
      </c>
      <c r="D6" s="271">
        <f>'A Synthèse'!D6</f>
        <v>0</v>
      </c>
      <c r="E6" s="715" t="s">
        <v>125</v>
      </c>
      <c r="F6" s="716"/>
      <c r="G6" s="716"/>
      <c r="H6" s="716"/>
      <c r="I6" s="716"/>
      <c r="J6" s="716"/>
      <c r="K6" s="716"/>
      <c r="L6" s="717"/>
      <c r="M6" s="770" t="s">
        <v>9</v>
      </c>
      <c r="N6" s="771"/>
      <c r="O6" s="721" t="s">
        <v>10</v>
      </c>
      <c r="P6" s="722"/>
      <c r="R6" s="1"/>
      <c r="S6" s="1"/>
    </row>
    <row r="7" spans="1:21" ht="15" customHeight="1" thickBot="1">
      <c r="A7" s="18" t="s">
        <v>12</v>
      </c>
      <c r="B7" s="272">
        <f>'A Synthèse'!B7</f>
        <v>0</v>
      </c>
      <c r="C7" s="18" t="s">
        <v>12</v>
      </c>
      <c r="D7" s="272">
        <f>'A Synthèse'!D7</f>
        <v>0</v>
      </c>
      <c r="E7" s="718"/>
      <c r="F7" s="719"/>
      <c r="G7" s="719"/>
      <c r="H7" s="719"/>
      <c r="I7" s="719"/>
      <c r="J7" s="719"/>
      <c r="K7" s="719"/>
      <c r="L7" s="720"/>
      <c r="M7" s="772" t="str">
        <f>'A Synthèse'!M7:M7</f>
        <v>#DateClôture</v>
      </c>
      <c r="N7" s="773"/>
      <c r="O7" s="723" t="s">
        <v>37</v>
      </c>
      <c r="P7" s="724"/>
    </row>
    <row r="8" spans="1:21" ht="21" customHeight="1" thickBot="1">
      <c r="A8" s="19"/>
      <c r="B8" s="16"/>
      <c r="C8" s="20"/>
      <c r="D8" s="20"/>
      <c r="E8" s="21"/>
      <c r="F8" s="21"/>
      <c r="G8" s="21"/>
      <c r="H8" s="21"/>
      <c r="I8" s="21"/>
      <c r="J8" s="21"/>
      <c r="K8" s="21"/>
      <c r="L8" s="21"/>
      <c r="M8" s="22"/>
      <c r="N8" s="20"/>
      <c r="O8" s="776" t="s">
        <v>66</v>
      </c>
      <c r="P8" s="776"/>
    </row>
    <row r="9" spans="1:21" s="20" customFormat="1" ht="31.5" customHeight="1" thickBot="1">
      <c r="A9" s="733" t="s">
        <v>17</v>
      </c>
      <c r="B9" s="734"/>
      <c r="C9" s="734"/>
      <c r="D9" s="763" t="str">
        <f>'A Synthèse'!D9:E9</f>
        <v>Modéré</v>
      </c>
      <c r="E9" s="764"/>
      <c r="F9" s="735" t="s">
        <v>18</v>
      </c>
      <c r="G9" s="736"/>
      <c r="H9" s="736"/>
      <c r="I9" s="736"/>
      <c r="J9" s="774">
        <f>'A Synthèse'!J9:K9</f>
        <v>0</v>
      </c>
      <c r="K9" s="775"/>
      <c r="L9" s="735" t="s">
        <v>19</v>
      </c>
      <c r="M9" s="736"/>
      <c r="N9" s="736"/>
      <c r="O9" s="763" t="str">
        <f>'A Synthèse'!N9</f>
        <v>PE</v>
      </c>
      <c r="P9" s="764"/>
    </row>
    <row r="10" spans="1:21" s="20" customFormat="1" ht="21" customHeight="1" thickBot="1">
      <c r="A10" s="24"/>
      <c r="B10" s="24"/>
      <c r="C10" s="24"/>
      <c r="D10" s="24"/>
      <c r="E10" s="24"/>
      <c r="F10" s="24"/>
      <c r="G10" s="24"/>
      <c r="H10" s="24"/>
      <c r="I10" s="24"/>
      <c r="J10" s="24"/>
      <c r="K10" s="24"/>
      <c r="L10" s="24"/>
      <c r="M10" s="24"/>
      <c r="N10" s="24"/>
      <c r="O10" s="24"/>
      <c r="P10" s="24"/>
    </row>
    <row r="11" spans="1:21" s="25" customFormat="1" ht="159" customHeight="1" thickBot="1">
      <c r="A11" s="778" t="s">
        <v>126</v>
      </c>
      <c r="B11" s="779"/>
      <c r="C11" s="779"/>
      <c r="D11" s="779"/>
      <c r="E11" s="779"/>
      <c r="F11" s="779"/>
      <c r="G11" s="779"/>
      <c r="H11" s="779"/>
      <c r="I11" s="779"/>
      <c r="J11" s="779"/>
      <c r="K11" s="779"/>
      <c r="L11" s="779"/>
      <c r="M11" s="779"/>
      <c r="N11" s="779"/>
      <c r="O11" s="779"/>
      <c r="P11" s="780"/>
    </row>
    <row r="12" spans="1:21" s="25" customFormat="1" ht="9" customHeight="1" thickBot="1"/>
    <row r="13" spans="1:21" s="25" customFormat="1" ht="15">
      <c r="A13" s="781" t="s">
        <v>69</v>
      </c>
      <c r="B13" s="782"/>
      <c r="C13" s="782"/>
      <c r="D13" s="782"/>
      <c r="E13" s="782"/>
      <c r="F13" s="782"/>
      <c r="G13" s="782"/>
      <c r="H13" s="782"/>
      <c r="I13" s="782"/>
      <c r="J13" s="782"/>
      <c r="K13" s="782"/>
      <c r="L13" s="782"/>
      <c r="M13" s="782"/>
      <c r="N13" s="782"/>
      <c r="O13" s="782"/>
      <c r="P13" s="783"/>
    </row>
    <row r="14" spans="1:21" s="25" customFormat="1" ht="60" customHeight="1" thickBot="1">
      <c r="A14" s="784"/>
      <c r="B14" s="785"/>
      <c r="C14" s="785"/>
      <c r="D14" s="785"/>
      <c r="E14" s="785"/>
      <c r="F14" s="785"/>
      <c r="G14" s="785"/>
      <c r="H14" s="785"/>
      <c r="I14" s="785"/>
      <c r="J14" s="785"/>
      <c r="K14" s="785"/>
      <c r="L14" s="785"/>
      <c r="M14" s="785"/>
      <c r="N14" s="785"/>
      <c r="O14" s="785"/>
      <c r="P14" s="786"/>
    </row>
    <row r="15" spans="1:21" ht="16.5" thickBot="1"/>
    <row r="16" spans="1:21">
      <c r="A16" s="142"/>
      <c r="B16" s="162"/>
      <c r="C16" s="163"/>
      <c r="D16" s="164"/>
      <c r="E16" s="163"/>
      <c r="F16" s="163"/>
      <c r="G16" s="163"/>
      <c r="H16" s="163"/>
      <c r="I16" s="163"/>
      <c r="J16" s="143"/>
      <c r="K16" s="143"/>
      <c r="L16" s="143"/>
      <c r="M16" s="143"/>
      <c r="N16" s="143"/>
      <c r="O16" s="143"/>
      <c r="P16" s="144"/>
    </row>
    <row r="17" spans="1:20" s="25" customFormat="1" ht="15">
      <c r="A17" s="205" t="s">
        <v>127</v>
      </c>
      <c r="C17" s="46"/>
      <c r="D17" s="206"/>
      <c r="E17" s="46"/>
      <c r="F17" s="46"/>
      <c r="G17" s="237"/>
      <c r="H17" s="237"/>
      <c r="I17" s="46"/>
      <c r="P17" s="64"/>
    </row>
    <row r="18" spans="1:20" s="25" customFormat="1" ht="15">
      <c r="A18" s="205"/>
      <c r="C18" s="46"/>
      <c r="D18" s="206"/>
      <c r="E18" s="46"/>
      <c r="F18" s="46"/>
      <c r="G18" s="46"/>
      <c r="H18" s="46"/>
      <c r="I18" s="46"/>
      <c r="P18" s="64"/>
    </row>
    <row r="19" spans="1:20" s="25" customFormat="1" ht="45.75" customHeight="1">
      <c r="A19" s="820" t="s">
        <v>128</v>
      </c>
      <c r="B19" s="821"/>
      <c r="C19" s="822"/>
      <c r="D19" s="579" t="s">
        <v>129</v>
      </c>
      <c r="E19" s="579" t="s">
        <v>130</v>
      </c>
      <c r="F19" s="579" t="s">
        <v>107</v>
      </c>
      <c r="G19" s="579" t="s">
        <v>131</v>
      </c>
      <c r="H19" s="579" t="s">
        <v>132</v>
      </c>
      <c r="I19" s="470" t="s">
        <v>133</v>
      </c>
      <c r="J19" s="812" t="s">
        <v>88</v>
      </c>
      <c r="K19" s="812"/>
      <c r="L19" s="812"/>
      <c r="M19" s="812"/>
      <c r="N19" s="812"/>
      <c r="O19" s="812"/>
      <c r="P19" s="813"/>
      <c r="R19" s="831"/>
      <c r="S19" s="831"/>
      <c r="T19" s="831"/>
    </row>
    <row r="20" spans="1:20" s="25" customFormat="1" ht="16.5">
      <c r="A20" s="468"/>
      <c r="B20" s="580"/>
      <c r="C20" s="582"/>
      <c r="D20" s="287"/>
      <c r="E20" s="287"/>
      <c r="F20" s="573">
        <f>D20-E20</f>
        <v>0</v>
      </c>
      <c r="G20" s="232" t="e">
        <f>F20/E20</f>
        <v>#DIV/0!</v>
      </c>
      <c r="H20" s="208"/>
      <c r="I20" s="208"/>
      <c r="J20" s="814"/>
      <c r="K20" s="815"/>
      <c r="L20" s="815"/>
      <c r="M20" s="815"/>
      <c r="N20" s="815"/>
      <c r="O20" s="815"/>
      <c r="P20" s="816"/>
      <c r="R20" s="831"/>
      <c r="S20" s="831"/>
      <c r="T20" s="831"/>
    </row>
    <row r="21" spans="1:20" s="25" customFormat="1" ht="16.5">
      <c r="A21" s="460"/>
      <c r="B21" s="461"/>
      <c r="C21" s="462"/>
      <c r="D21" s="284"/>
      <c r="E21" s="284"/>
      <c r="F21" s="571">
        <f t="shared" ref="F21:F26" si="0">D21-E21</f>
        <v>0</v>
      </c>
      <c r="G21" s="230" t="e">
        <f t="shared" ref="G21:G26" si="1">F21/E21</f>
        <v>#DIV/0!</v>
      </c>
      <c r="H21" s="252"/>
      <c r="I21" s="252"/>
      <c r="J21" s="817"/>
      <c r="K21" s="818"/>
      <c r="L21" s="818"/>
      <c r="M21" s="818"/>
      <c r="N21" s="818"/>
      <c r="O21" s="818"/>
      <c r="P21" s="819"/>
      <c r="R21" s="831"/>
      <c r="S21" s="831"/>
      <c r="T21" s="831"/>
    </row>
    <row r="22" spans="1:20" s="25" customFormat="1" ht="16.5">
      <c r="A22" s="460"/>
      <c r="B22" s="461"/>
      <c r="C22" s="462"/>
      <c r="D22" s="284"/>
      <c r="E22" s="284"/>
      <c r="F22" s="571">
        <f t="shared" si="0"/>
        <v>0</v>
      </c>
      <c r="G22" s="230" t="e">
        <f t="shared" si="1"/>
        <v>#DIV/0!</v>
      </c>
      <c r="H22" s="252"/>
      <c r="I22" s="252"/>
      <c r="J22" s="817"/>
      <c r="K22" s="818"/>
      <c r="L22" s="818"/>
      <c r="M22" s="818"/>
      <c r="N22" s="818"/>
      <c r="O22" s="818"/>
      <c r="P22" s="819"/>
      <c r="R22" s="831"/>
      <c r="S22" s="831"/>
      <c r="T22" s="831"/>
    </row>
    <row r="23" spans="1:20" s="25" customFormat="1" ht="16.5">
      <c r="A23" s="460"/>
      <c r="B23" s="461"/>
      <c r="C23" s="462"/>
      <c r="D23" s="284"/>
      <c r="E23" s="284"/>
      <c r="F23" s="571">
        <f t="shared" si="0"/>
        <v>0</v>
      </c>
      <c r="G23" s="230" t="e">
        <f t="shared" si="1"/>
        <v>#DIV/0!</v>
      </c>
      <c r="H23" s="252"/>
      <c r="I23" s="252"/>
      <c r="J23" s="817"/>
      <c r="K23" s="818"/>
      <c r="L23" s="818"/>
      <c r="M23" s="818"/>
      <c r="N23" s="818"/>
      <c r="O23" s="818"/>
      <c r="P23" s="819"/>
      <c r="R23" s="831"/>
      <c r="S23" s="831"/>
      <c r="T23" s="831"/>
    </row>
    <row r="24" spans="1:20" s="25" customFormat="1" ht="16.5">
      <c r="A24" s="460"/>
      <c r="B24" s="461"/>
      <c r="C24" s="462"/>
      <c r="D24" s="284"/>
      <c r="E24" s="284"/>
      <c r="F24" s="571">
        <f t="shared" si="0"/>
        <v>0</v>
      </c>
      <c r="G24" s="230" t="e">
        <f t="shared" si="1"/>
        <v>#DIV/0!</v>
      </c>
      <c r="H24" s="252"/>
      <c r="I24" s="252"/>
      <c r="J24" s="817"/>
      <c r="K24" s="818"/>
      <c r="L24" s="818"/>
      <c r="M24" s="818"/>
      <c r="N24" s="818"/>
      <c r="O24" s="818"/>
      <c r="P24" s="819"/>
      <c r="R24" s="831"/>
      <c r="S24" s="831"/>
      <c r="T24" s="831"/>
    </row>
    <row r="25" spans="1:20" s="25" customFormat="1" ht="16.5">
      <c r="A25" s="460"/>
      <c r="B25" s="461"/>
      <c r="C25" s="462"/>
      <c r="D25" s="284"/>
      <c r="E25" s="284"/>
      <c r="F25" s="571">
        <f t="shared" si="0"/>
        <v>0</v>
      </c>
      <c r="G25" s="230" t="e">
        <f t="shared" si="1"/>
        <v>#DIV/0!</v>
      </c>
      <c r="H25" s="252"/>
      <c r="I25" s="252"/>
      <c r="J25" s="817"/>
      <c r="K25" s="818"/>
      <c r="L25" s="818"/>
      <c r="M25" s="818"/>
      <c r="N25" s="818"/>
      <c r="O25" s="818"/>
      <c r="P25" s="819"/>
      <c r="R25" s="831"/>
      <c r="S25" s="831"/>
      <c r="T25" s="831"/>
    </row>
    <row r="26" spans="1:20" s="25" customFormat="1" ht="16.5">
      <c r="A26" s="469"/>
      <c r="B26" s="466"/>
      <c r="C26" s="467"/>
      <c r="D26" s="417"/>
      <c r="E26" s="417"/>
      <c r="F26" s="570">
        <f t="shared" si="0"/>
        <v>0</v>
      </c>
      <c r="G26" s="411" t="e">
        <f t="shared" si="1"/>
        <v>#DIV/0!</v>
      </c>
      <c r="H26" s="412"/>
      <c r="I26" s="412"/>
      <c r="J26" s="832"/>
      <c r="K26" s="833"/>
      <c r="L26" s="833"/>
      <c r="M26" s="833"/>
      <c r="N26" s="833"/>
      <c r="O26" s="833"/>
      <c r="P26" s="834"/>
      <c r="R26" s="831"/>
      <c r="S26" s="831"/>
      <c r="T26" s="831"/>
    </row>
    <row r="27" spans="1:20" s="25" customFormat="1" ht="16.5">
      <c r="A27" s="233"/>
      <c r="B27" s="234"/>
      <c r="C27" s="583" t="s">
        <v>97</v>
      </c>
      <c r="D27" s="463">
        <f>SUM(D20:D26)</f>
        <v>0</v>
      </c>
      <c r="E27" s="463">
        <f>SUM(E20:E26)</f>
        <v>0</v>
      </c>
      <c r="F27" s="464">
        <f>SUM(F20:F26)</f>
        <v>0</v>
      </c>
      <c r="G27" s="465" t="e">
        <f>+F27/E27</f>
        <v>#DIV/0!</v>
      </c>
      <c r="H27" s="234"/>
      <c r="I27" s="234"/>
      <c r="J27" s="235"/>
      <c r="K27" s="235"/>
      <c r="L27" s="235"/>
      <c r="M27" s="235"/>
      <c r="N27" s="235"/>
      <c r="O27" s="235"/>
      <c r="P27" s="236"/>
      <c r="R27" s="831"/>
      <c r="S27" s="831"/>
      <c r="T27" s="831"/>
    </row>
    <row r="28" spans="1:20" s="25" customFormat="1" ht="15">
      <c r="A28" s="63"/>
      <c r="B28" s="46"/>
      <c r="C28" s="46"/>
      <c r="D28" s="206"/>
      <c r="E28" s="46"/>
      <c r="F28" s="46"/>
      <c r="G28" s="46"/>
      <c r="H28" s="46"/>
      <c r="I28" s="46"/>
      <c r="P28" s="64"/>
    </row>
    <row r="29" spans="1:20" s="25" customFormat="1" ht="15">
      <c r="A29" s="205" t="s">
        <v>134</v>
      </c>
      <c r="C29" s="46"/>
      <c r="D29" s="29"/>
      <c r="E29" s="46"/>
      <c r="F29" s="29"/>
      <c r="G29" s="46"/>
      <c r="H29" s="46"/>
      <c r="I29" s="46"/>
      <c r="P29" s="64"/>
    </row>
    <row r="30" spans="1:20" s="25" customFormat="1" ht="15">
      <c r="A30" s="205"/>
      <c r="C30" s="46"/>
      <c r="D30" s="29"/>
      <c r="E30" s="46"/>
      <c r="F30" s="29"/>
      <c r="G30" s="46"/>
      <c r="H30" s="46"/>
      <c r="I30" s="46"/>
      <c r="P30" s="64"/>
    </row>
    <row r="31" spans="1:20" s="25" customFormat="1" ht="45.75" customHeight="1">
      <c r="A31" s="823" t="s">
        <v>135</v>
      </c>
      <c r="B31" s="824"/>
      <c r="C31" s="209" t="s">
        <v>136</v>
      </c>
      <c r="D31" s="188" t="s">
        <v>136</v>
      </c>
      <c r="E31" s="188" t="s">
        <v>137</v>
      </c>
      <c r="F31" s="188" t="s">
        <v>138</v>
      </c>
      <c r="G31" s="188" t="s">
        <v>139</v>
      </c>
      <c r="H31" s="188" t="s">
        <v>140</v>
      </c>
      <c r="I31" s="188" t="s">
        <v>133</v>
      </c>
      <c r="J31" s="825" t="s">
        <v>141</v>
      </c>
      <c r="K31" s="826"/>
      <c r="L31" s="826"/>
      <c r="M31" s="826"/>
      <c r="N31" s="826"/>
      <c r="O31" s="826"/>
      <c r="P31" s="827"/>
    </row>
    <row r="32" spans="1:20" s="25" customFormat="1" ht="15">
      <c r="A32" s="472"/>
      <c r="B32" s="475"/>
      <c r="C32" s="211"/>
      <c r="D32" s="160"/>
      <c r="E32" s="160"/>
      <c r="F32" s="160"/>
      <c r="G32" s="160"/>
      <c r="H32" s="160"/>
      <c r="I32" s="160"/>
      <c r="J32" s="828"/>
      <c r="K32" s="829"/>
      <c r="L32" s="829"/>
      <c r="M32" s="829"/>
      <c r="N32" s="829"/>
      <c r="O32" s="829"/>
      <c r="P32" s="830"/>
    </row>
    <row r="33" spans="1:16" s="25" customFormat="1" ht="15">
      <c r="A33" s="473"/>
      <c r="B33" s="471"/>
      <c r="C33" s="213"/>
      <c r="D33" s="161"/>
      <c r="E33" s="161"/>
      <c r="F33" s="161"/>
      <c r="G33" s="161"/>
      <c r="H33" s="161"/>
      <c r="I33" s="161"/>
      <c r="J33" s="806"/>
      <c r="K33" s="807"/>
      <c r="L33" s="807"/>
      <c r="M33" s="807"/>
      <c r="N33" s="807"/>
      <c r="O33" s="807"/>
      <c r="P33" s="808"/>
    </row>
    <row r="34" spans="1:16" s="25" customFormat="1" ht="15">
      <c r="A34" s="473"/>
      <c r="B34" s="471"/>
      <c r="C34" s="213"/>
      <c r="D34" s="161"/>
      <c r="E34" s="161"/>
      <c r="F34" s="161"/>
      <c r="G34" s="161"/>
      <c r="H34" s="161"/>
      <c r="I34" s="161"/>
      <c r="J34" s="806"/>
      <c r="K34" s="807"/>
      <c r="L34" s="807"/>
      <c r="M34" s="807"/>
      <c r="N34" s="807"/>
      <c r="O34" s="807"/>
      <c r="P34" s="808"/>
    </row>
    <row r="35" spans="1:16" s="25" customFormat="1" ht="15">
      <c r="A35" s="474"/>
      <c r="B35" s="476"/>
      <c r="C35" s="408"/>
      <c r="D35" s="420"/>
      <c r="E35" s="421"/>
      <c r="F35" s="422"/>
      <c r="G35" s="421"/>
      <c r="H35" s="420"/>
      <c r="I35" s="422"/>
      <c r="J35" s="809"/>
      <c r="K35" s="810"/>
      <c r="L35" s="810"/>
      <c r="M35" s="810"/>
      <c r="N35" s="810"/>
      <c r="O35" s="810"/>
      <c r="P35" s="811"/>
    </row>
    <row r="36" spans="1:16" s="25" customFormat="1">
      <c r="A36" s="146"/>
      <c r="B36" s="166"/>
      <c r="C36" s="7"/>
      <c r="D36" s="265" t="s">
        <v>142</v>
      </c>
      <c r="E36" s="265"/>
      <c r="F36" s="332">
        <f>SUM(F32:F35)</f>
        <v>0</v>
      </c>
      <c r="G36" s="166"/>
      <c r="H36" s="166"/>
      <c r="I36" s="166"/>
      <c r="J36" s="166"/>
      <c r="K36" s="7"/>
      <c r="L36" s="7"/>
      <c r="M36" s="7"/>
      <c r="N36" s="7"/>
      <c r="O36" s="7"/>
      <c r="P36" s="145"/>
    </row>
    <row r="37" spans="1:16" s="25" customFormat="1">
      <c r="A37" s="146"/>
      <c r="B37" s="166"/>
      <c r="C37" s="7"/>
      <c r="D37" s="264" t="s">
        <v>143</v>
      </c>
      <c r="E37" s="264"/>
      <c r="F37" s="333"/>
      <c r="G37" s="166"/>
      <c r="H37" s="166"/>
      <c r="I37" s="166"/>
      <c r="J37" s="166"/>
      <c r="K37" s="7"/>
      <c r="L37" s="7"/>
      <c r="M37" s="7"/>
      <c r="N37" s="7"/>
      <c r="O37" s="7"/>
      <c r="P37" s="145"/>
    </row>
    <row r="38" spans="1:16" s="25" customFormat="1">
      <c r="A38" s="146"/>
      <c r="B38" s="166"/>
      <c r="C38" s="7"/>
      <c r="D38" s="264" t="s">
        <v>144</v>
      </c>
      <c r="E38" s="264"/>
      <c r="F38" s="333" t="e">
        <f>F36/F37</f>
        <v>#DIV/0!</v>
      </c>
      <c r="G38" s="166"/>
      <c r="H38" s="166"/>
      <c r="I38" s="166"/>
      <c r="J38" s="166"/>
      <c r="K38" s="7"/>
      <c r="L38" s="7"/>
      <c r="M38" s="7"/>
      <c r="N38" s="7"/>
      <c r="O38" s="7"/>
      <c r="P38" s="145"/>
    </row>
    <row r="39" spans="1:16" s="25" customFormat="1" thickBot="1">
      <c r="A39" s="65"/>
      <c r="B39" s="66"/>
      <c r="C39" s="66"/>
      <c r="D39" s="66"/>
      <c r="E39" s="66"/>
      <c r="F39" s="66"/>
      <c r="G39" s="66"/>
      <c r="H39" s="66"/>
      <c r="I39" s="66"/>
      <c r="J39" s="66"/>
      <c r="K39" s="66"/>
      <c r="L39" s="66"/>
      <c r="M39" s="66"/>
      <c r="N39" s="66"/>
      <c r="O39" s="66"/>
      <c r="P39" s="67"/>
    </row>
    <row r="40" spans="1:16" s="25" customFormat="1" ht="15"/>
  </sheetData>
  <sheetProtection formatCells="0" formatColumns="0" formatRows="0" insertColumns="0" insertRows="0" insertHyperlinks="0" deleteColumns="0" deleteRows="0" sort="0" autoFilter="0" pivotTables="0"/>
  <mergeCells count="41">
    <mergeCell ref="A19:C19"/>
    <mergeCell ref="A31:B31"/>
    <mergeCell ref="J31:P31"/>
    <mergeCell ref="J32:P32"/>
    <mergeCell ref="R27:T27"/>
    <mergeCell ref="R24:T24"/>
    <mergeCell ref="J24:P24"/>
    <mergeCell ref="J25:P25"/>
    <mergeCell ref="R25:T25"/>
    <mergeCell ref="J26:P26"/>
    <mergeCell ref="R26:T26"/>
    <mergeCell ref="R19:T19"/>
    <mergeCell ref="R20:T20"/>
    <mergeCell ref="R21:T21"/>
    <mergeCell ref="R22:T22"/>
    <mergeCell ref="R23:T23"/>
    <mergeCell ref="J33:P33"/>
    <mergeCell ref="J34:P34"/>
    <mergeCell ref="J35:P35"/>
    <mergeCell ref="J19:P19"/>
    <mergeCell ref="J20:P20"/>
    <mergeCell ref="J21:P21"/>
    <mergeCell ref="J22:P22"/>
    <mergeCell ref="J23:P23"/>
    <mergeCell ref="A11:P11"/>
    <mergeCell ref="A13:P13"/>
    <mergeCell ref="A14:P14"/>
    <mergeCell ref="A9:C9"/>
    <mergeCell ref="D9:E9"/>
    <mergeCell ref="F9:I9"/>
    <mergeCell ref="J9:K9"/>
    <mergeCell ref="L9:N9"/>
    <mergeCell ref="O9:P9"/>
    <mergeCell ref="O8:P8"/>
    <mergeCell ref="D1:M2"/>
    <mergeCell ref="A3:P5"/>
    <mergeCell ref="E6:L7"/>
    <mergeCell ref="M6:N6"/>
    <mergeCell ref="O6:P6"/>
    <mergeCell ref="M7:N7"/>
    <mergeCell ref="O7:P7"/>
  </mergeCells>
  <dataValidations count="2">
    <dataValidation type="list" showInputMessage="1" showErrorMessage="1" sqref="D9:E9" xr:uid="{00000000-0002-0000-0600-000000000000}">
      <formula1>RAS</formula1>
    </dataValidation>
    <dataValidation type="list" allowBlank="1" showInputMessage="1" showErrorMessage="1" sqref="O9:P9" xr:uid="{00000000-0002-0000-0600-000001000000}">
      <formula1>Diligences</formula1>
    </dataValidation>
  </dataValidations>
  <hyperlinks>
    <hyperlink ref="O8:P8" location="'A Synthèse'!Zone_d_impression" display="A Synthèse" xr:uid="{00000000-0004-0000-0600-000000000000}"/>
  </hyperlinks>
  <printOptions horizontalCentered="1"/>
  <pageMargins left="0.27559055118110237" right="0.27559055118110237" top="0.39370078740157483" bottom="0.39370078740157483" header="0.51181102362204722" footer="0.51181102362204722"/>
  <pageSetup paperSize="9" scale="35"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dimension ref="A1:U50"/>
  <sheetViews>
    <sheetView showGridLines="0" zoomScale="80" zoomScaleNormal="80" workbookViewId="0">
      <selection activeCell="O10" sqref="O10"/>
    </sheetView>
  </sheetViews>
  <sheetFormatPr baseColWidth="10" defaultColWidth="11.42578125" defaultRowHeight="15.75"/>
  <cols>
    <col min="1" max="16" width="15.7109375" style="7" customWidth="1"/>
    <col min="17" max="17" width="11.42578125" style="7"/>
    <col min="18" max="18" width="0" style="7" hidden="1" customWidth="1"/>
    <col min="19" max="16384" width="11.42578125" style="7"/>
  </cols>
  <sheetData>
    <row r="1" spans="1:21" s="1" customFormat="1" ht="15" customHeight="1">
      <c r="A1" s="10"/>
      <c r="B1" s="11"/>
      <c r="C1" s="11"/>
      <c r="D1" s="745" t="str">
        <f>'A Synthèse'!D1:M2</f>
        <v>#NomClient</v>
      </c>
      <c r="E1" s="765"/>
      <c r="F1" s="765"/>
      <c r="G1" s="765"/>
      <c r="H1" s="765"/>
      <c r="I1" s="765"/>
      <c r="J1" s="765"/>
      <c r="K1" s="765"/>
      <c r="L1" s="765"/>
      <c r="M1" s="766"/>
      <c r="N1" s="11"/>
      <c r="O1" s="11"/>
      <c r="P1" s="12"/>
    </row>
    <row r="2" spans="1:21" s="1" customFormat="1" ht="15" customHeight="1" thickBot="1">
      <c r="A2" s="13"/>
      <c r="B2" s="14"/>
      <c r="C2" s="14"/>
      <c r="D2" s="767"/>
      <c r="E2" s="768"/>
      <c r="F2" s="768"/>
      <c r="G2" s="768"/>
      <c r="H2" s="768"/>
      <c r="I2" s="768"/>
      <c r="J2" s="768"/>
      <c r="K2" s="768"/>
      <c r="L2" s="768"/>
      <c r="M2" s="769"/>
      <c r="N2" s="14"/>
      <c r="O2" s="14"/>
      <c r="P2" s="15"/>
    </row>
    <row r="3" spans="1:21" ht="15" customHeight="1">
      <c r="A3" s="709" t="s">
        <v>3</v>
      </c>
      <c r="B3" s="710"/>
      <c r="C3" s="710"/>
      <c r="D3" s="710"/>
      <c r="E3" s="710"/>
      <c r="F3" s="710"/>
      <c r="G3" s="710"/>
      <c r="H3" s="710"/>
      <c r="I3" s="710"/>
      <c r="J3" s="710"/>
      <c r="K3" s="710"/>
      <c r="L3" s="710"/>
      <c r="M3" s="710"/>
      <c r="N3" s="710"/>
      <c r="O3" s="710"/>
      <c r="P3" s="711"/>
      <c r="R3" s="3"/>
      <c r="T3" s="5"/>
      <c r="U3" s="6"/>
    </row>
    <row r="4" spans="1:21" ht="15" customHeight="1">
      <c r="A4" s="709"/>
      <c r="B4" s="710"/>
      <c r="C4" s="710"/>
      <c r="D4" s="710"/>
      <c r="E4" s="710"/>
      <c r="F4" s="710"/>
      <c r="G4" s="710"/>
      <c r="H4" s="710"/>
      <c r="I4" s="710"/>
      <c r="J4" s="710"/>
      <c r="K4" s="710"/>
      <c r="L4" s="710"/>
      <c r="M4" s="710"/>
      <c r="N4" s="710"/>
      <c r="O4" s="710"/>
      <c r="P4" s="711"/>
      <c r="R4" s="3"/>
      <c r="T4" s="5"/>
      <c r="U4" s="6"/>
    </row>
    <row r="5" spans="1:21" ht="15" customHeight="1" thickBot="1">
      <c r="A5" s="712"/>
      <c r="B5" s="713"/>
      <c r="C5" s="713"/>
      <c r="D5" s="713"/>
      <c r="E5" s="713"/>
      <c r="F5" s="713"/>
      <c r="G5" s="713"/>
      <c r="H5" s="713"/>
      <c r="I5" s="713"/>
      <c r="J5" s="713"/>
      <c r="K5" s="713"/>
      <c r="L5" s="713"/>
      <c r="M5" s="713"/>
      <c r="N5" s="713"/>
      <c r="O5" s="713"/>
      <c r="P5" s="714"/>
      <c r="Q5" s="8"/>
      <c r="R5" s="4"/>
      <c r="S5" s="23"/>
      <c r="T5" s="23"/>
      <c r="U5" s="23"/>
    </row>
    <row r="6" spans="1:21" ht="15" customHeight="1">
      <c r="A6" s="17" t="s">
        <v>6</v>
      </c>
      <c r="B6" s="271" t="str">
        <f>'A Synthèse'!B6</f>
        <v>BRA</v>
      </c>
      <c r="C6" s="17" t="s">
        <v>7</v>
      </c>
      <c r="D6" s="271">
        <f>'A Synthèse'!D6</f>
        <v>0</v>
      </c>
      <c r="E6" s="715" t="s">
        <v>145</v>
      </c>
      <c r="F6" s="716"/>
      <c r="G6" s="716"/>
      <c r="H6" s="716"/>
      <c r="I6" s="716"/>
      <c r="J6" s="716"/>
      <c r="K6" s="716"/>
      <c r="L6" s="717"/>
      <c r="M6" s="770" t="s">
        <v>9</v>
      </c>
      <c r="N6" s="771"/>
      <c r="O6" s="721" t="s">
        <v>10</v>
      </c>
      <c r="P6" s="722"/>
      <c r="R6" s="1"/>
      <c r="S6" s="1"/>
    </row>
    <row r="7" spans="1:21" ht="15" customHeight="1" thickBot="1">
      <c r="A7" s="18" t="s">
        <v>12</v>
      </c>
      <c r="B7" s="272">
        <f>'A Synthèse'!B7</f>
        <v>0</v>
      </c>
      <c r="C7" s="18" t="s">
        <v>12</v>
      </c>
      <c r="D7" s="272">
        <f>'A Synthèse'!D7</f>
        <v>0</v>
      </c>
      <c r="E7" s="718"/>
      <c r="F7" s="719"/>
      <c r="G7" s="719"/>
      <c r="H7" s="719"/>
      <c r="I7" s="719"/>
      <c r="J7" s="719"/>
      <c r="K7" s="719"/>
      <c r="L7" s="720"/>
      <c r="M7" s="772" t="str">
        <f>'A Synthèse'!M7:M7</f>
        <v>#DateClôture</v>
      </c>
      <c r="N7" s="773"/>
      <c r="O7" s="723" t="s">
        <v>40</v>
      </c>
      <c r="P7" s="724"/>
    </row>
    <row r="8" spans="1:21" ht="21" customHeight="1" thickBot="1">
      <c r="A8" s="19"/>
      <c r="B8" s="16"/>
      <c r="C8" s="20"/>
      <c r="D8" s="20"/>
      <c r="E8" s="21"/>
      <c r="F8" s="21"/>
      <c r="G8" s="21"/>
      <c r="H8" s="21"/>
      <c r="I8" s="21"/>
      <c r="J8" s="21"/>
      <c r="K8" s="21"/>
      <c r="L8" s="21"/>
      <c r="M8" s="22"/>
      <c r="N8" s="20"/>
      <c r="O8" s="776" t="s">
        <v>66</v>
      </c>
      <c r="P8" s="776"/>
    </row>
    <row r="9" spans="1:21" s="20" customFormat="1" ht="31.5" customHeight="1" thickBot="1">
      <c r="A9" s="733" t="s">
        <v>17</v>
      </c>
      <c r="B9" s="734"/>
      <c r="C9" s="734"/>
      <c r="D9" s="763" t="str">
        <f>'A Synthèse'!D9:E9</f>
        <v>Modéré</v>
      </c>
      <c r="E9" s="764"/>
      <c r="F9" s="735" t="s">
        <v>18</v>
      </c>
      <c r="G9" s="736"/>
      <c r="H9" s="736"/>
      <c r="I9" s="736"/>
      <c r="J9" s="774">
        <f>'A Synthèse'!J9:K9</f>
        <v>0</v>
      </c>
      <c r="K9" s="775"/>
      <c r="L9" s="735" t="s">
        <v>19</v>
      </c>
      <c r="M9" s="736"/>
      <c r="N9" s="736"/>
      <c r="O9" s="763" t="str">
        <f>'A Synthèse'!N9</f>
        <v>PE</v>
      </c>
      <c r="P9" s="764"/>
    </row>
    <row r="10" spans="1:21" s="20" customFormat="1" ht="21" customHeight="1" thickBot="1">
      <c r="A10" s="24"/>
      <c r="B10" s="24"/>
      <c r="C10" s="24"/>
      <c r="D10" s="24"/>
      <c r="E10" s="24"/>
      <c r="F10" s="24"/>
      <c r="G10" s="24"/>
      <c r="H10" s="24"/>
      <c r="I10" s="24"/>
      <c r="J10" s="24"/>
      <c r="K10" s="24"/>
      <c r="L10" s="24"/>
      <c r="M10" s="24"/>
      <c r="N10" s="24"/>
      <c r="O10" s="24"/>
      <c r="P10" s="24"/>
    </row>
    <row r="11" spans="1:21" s="25" customFormat="1" ht="154.9" customHeight="1" thickBot="1">
      <c r="A11" s="778" t="s">
        <v>146</v>
      </c>
      <c r="B11" s="779"/>
      <c r="C11" s="779"/>
      <c r="D11" s="779"/>
      <c r="E11" s="779"/>
      <c r="F11" s="779"/>
      <c r="G11" s="779"/>
      <c r="H11" s="779"/>
      <c r="I11" s="779"/>
      <c r="J11" s="779"/>
      <c r="K11" s="779"/>
      <c r="L11" s="779"/>
      <c r="M11" s="779"/>
      <c r="N11" s="779"/>
      <c r="O11" s="779"/>
      <c r="P11" s="780"/>
    </row>
    <row r="12" spans="1:21" s="25" customFormat="1" ht="9" customHeight="1" thickBot="1"/>
    <row r="13" spans="1:21" s="25" customFormat="1" ht="15">
      <c r="A13" s="781" t="s">
        <v>69</v>
      </c>
      <c r="B13" s="782"/>
      <c r="C13" s="782"/>
      <c r="D13" s="782"/>
      <c r="E13" s="782"/>
      <c r="F13" s="782"/>
      <c r="G13" s="782"/>
      <c r="H13" s="782"/>
      <c r="I13" s="782"/>
      <c r="J13" s="782"/>
      <c r="K13" s="782"/>
      <c r="L13" s="782"/>
      <c r="M13" s="782"/>
      <c r="N13" s="782"/>
      <c r="O13" s="782"/>
      <c r="P13" s="783"/>
    </row>
    <row r="14" spans="1:21" s="25" customFormat="1" ht="60" customHeight="1" thickBot="1">
      <c r="A14" s="852"/>
      <c r="B14" s="853"/>
      <c r="C14" s="853"/>
      <c r="D14" s="853"/>
      <c r="E14" s="853"/>
      <c r="F14" s="853"/>
      <c r="G14" s="853"/>
      <c r="H14" s="853"/>
      <c r="I14" s="853"/>
      <c r="J14" s="853"/>
      <c r="K14" s="853"/>
      <c r="L14" s="853"/>
      <c r="M14" s="853"/>
      <c r="N14" s="853"/>
      <c r="O14" s="853"/>
      <c r="P14" s="854"/>
    </row>
    <row r="15" spans="1:21" s="25" customFormat="1" thickBot="1"/>
    <row r="16" spans="1:21" s="25" customFormat="1" ht="15">
      <c r="A16" s="60"/>
      <c r="B16" s="227"/>
      <c r="C16" s="228"/>
      <c r="D16" s="229"/>
      <c r="E16" s="228"/>
      <c r="F16" s="228"/>
      <c r="G16" s="228"/>
      <c r="H16" s="228"/>
      <c r="I16" s="228"/>
      <c r="J16" s="61"/>
      <c r="K16" s="61"/>
      <c r="L16" s="61"/>
      <c r="M16" s="61"/>
      <c r="N16" s="61"/>
      <c r="O16" s="61"/>
      <c r="P16" s="62"/>
    </row>
    <row r="17" spans="1:20" s="25" customFormat="1" ht="15">
      <c r="A17" s="205" t="s">
        <v>147</v>
      </c>
      <c r="C17" s="46"/>
      <c r="D17" s="206"/>
      <c r="E17" s="46"/>
      <c r="F17" s="46"/>
      <c r="G17" s="237"/>
      <c r="H17" s="237"/>
      <c r="I17" s="46"/>
      <c r="P17" s="64"/>
    </row>
    <row r="18" spans="1:20" s="25" customFormat="1" ht="15">
      <c r="A18" s="205"/>
      <c r="C18" s="46"/>
      <c r="D18" s="206"/>
      <c r="E18" s="46"/>
      <c r="F18" s="46"/>
      <c r="G18" s="46"/>
      <c r="H18" s="46"/>
      <c r="I18" s="46"/>
      <c r="P18" s="64"/>
    </row>
    <row r="19" spans="1:20" s="25" customFormat="1" ht="45.75" customHeight="1">
      <c r="A19" s="859" t="s">
        <v>148</v>
      </c>
      <c r="B19" s="821"/>
      <c r="C19" s="822"/>
      <c r="D19" s="577" t="s">
        <v>129</v>
      </c>
      <c r="E19" s="581" t="s">
        <v>130</v>
      </c>
      <c r="F19" s="581" t="s">
        <v>107</v>
      </c>
      <c r="G19" s="581" t="s">
        <v>131</v>
      </c>
      <c r="H19" s="581" t="s">
        <v>132</v>
      </c>
      <c r="I19" s="348" t="s">
        <v>133</v>
      </c>
      <c r="J19" s="865" t="s">
        <v>88</v>
      </c>
      <c r="K19" s="865"/>
      <c r="L19" s="865"/>
      <c r="M19" s="865"/>
      <c r="N19" s="865"/>
      <c r="O19" s="865"/>
      <c r="P19" s="865"/>
      <c r="R19" s="831"/>
      <c r="S19" s="831"/>
      <c r="T19" s="831"/>
    </row>
    <row r="20" spans="1:20" s="25" customFormat="1" ht="16.5">
      <c r="A20" s="480"/>
      <c r="B20" s="481"/>
      <c r="C20" s="207"/>
      <c r="D20" s="207"/>
      <c r="E20" s="231"/>
      <c r="F20" s="231">
        <f>D20-E20</f>
        <v>0</v>
      </c>
      <c r="G20" s="232" t="e">
        <f>F20/E20</f>
        <v>#DIV/0!</v>
      </c>
      <c r="H20" s="208"/>
      <c r="I20" s="208"/>
      <c r="J20" s="814"/>
      <c r="K20" s="815"/>
      <c r="L20" s="815"/>
      <c r="M20" s="815"/>
      <c r="N20" s="815"/>
      <c r="O20" s="815"/>
      <c r="P20" s="855"/>
      <c r="R20" s="831"/>
      <c r="S20" s="831"/>
      <c r="T20" s="831"/>
    </row>
    <row r="21" spans="1:20" s="25" customFormat="1" ht="16.5">
      <c r="A21" s="460"/>
      <c r="B21" s="461"/>
      <c r="C21" s="250"/>
      <c r="D21" s="250"/>
      <c r="E21" s="251"/>
      <c r="F21" s="251">
        <f t="shared" ref="F21:F23" si="0">D21-E21</f>
        <v>0</v>
      </c>
      <c r="G21" s="230" t="e">
        <f t="shared" ref="G21:G23" si="1">F21/E21</f>
        <v>#DIV/0!</v>
      </c>
      <c r="H21" s="252"/>
      <c r="I21" s="252"/>
      <c r="J21" s="817"/>
      <c r="K21" s="818"/>
      <c r="L21" s="818"/>
      <c r="M21" s="818"/>
      <c r="N21" s="818"/>
      <c r="O21" s="818"/>
      <c r="P21" s="849"/>
      <c r="R21" s="831"/>
      <c r="S21" s="831"/>
      <c r="T21" s="831"/>
    </row>
    <row r="22" spans="1:20" s="25" customFormat="1" ht="16.5">
      <c r="A22" s="460"/>
      <c r="B22" s="461"/>
      <c r="C22" s="250"/>
      <c r="D22" s="250"/>
      <c r="E22" s="251"/>
      <c r="F22" s="251">
        <f t="shared" si="0"/>
        <v>0</v>
      </c>
      <c r="G22" s="230" t="e">
        <f t="shared" si="1"/>
        <v>#DIV/0!</v>
      </c>
      <c r="H22" s="252"/>
      <c r="I22" s="252"/>
      <c r="J22" s="817"/>
      <c r="K22" s="818"/>
      <c r="L22" s="818"/>
      <c r="M22" s="818"/>
      <c r="N22" s="818"/>
      <c r="O22" s="818"/>
      <c r="P22" s="849"/>
      <c r="R22" s="831"/>
      <c r="S22" s="831"/>
      <c r="T22" s="831"/>
    </row>
    <row r="23" spans="1:20" s="25" customFormat="1" ht="16.5">
      <c r="A23" s="469"/>
      <c r="B23" s="466"/>
      <c r="C23" s="253"/>
      <c r="D23" s="253"/>
      <c r="E23" s="410"/>
      <c r="F23" s="410">
        <f t="shared" si="0"/>
        <v>0</v>
      </c>
      <c r="G23" s="411" t="e">
        <f t="shared" si="1"/>
        <v>#DIV/0!</v>
      </c>
      <c r="H23" s="412"/>
      <c r="I23" s="412"/>
      <c r="J23" s="832"/>
      <c r="K23" s="833"/>
      <c r="L23" s="833"/>
      <c r="M23" s="833"/>
      <c r="N23" s="833"/>
      <c r="O23" s="833"/>
      <c r="P23" s="864"/>
      <c r="R23" s="831"/>
      <c r="S23" s="831"/>
      <c r="T23" s="831"/>
    </row>
    <row r="24" spans="1:20" s="25" customFormat="1" ht="16.5">
      <c r="A24" s="235"/>
      <c r="B24" s="234"/>
      <c r="C24" s="234" t="s">
        <v>97</v>
      </c>
      <c r="D24" s="248">
        <f>SUM(D20:D23)</f>
        <v>0</v>
      </c>
      <c r="E24" s="248">
        <f>SUM(E20:E23)</f>
        <v>0</v>
      </c>
      <c r="F24" s="248">
        <f>SUM(F20:F23)</f>
        <v>0</v>
      </c>
      <c r="G24" s="249" t="e">
        <f>+F24/E24</f>
        <v>#DIV/0!</v>
      </c>
      <c r="H24" s="234"/>
      <c r="I24" s="234"/>
      <c r="J24" s="235"/>
      <c r="K24" s="235"/>
      <c r="L24" s="235"/>
      <c r="M24" s="235"/>
      <c r="N24" s="235"/>
      <c r="O24" s="235"/>
      <c r="P24" s="236"/>
      <c r="R24" s="831"/>
      <c r="S24" s="831"/>
      <c r="T24" s="831"/>
    </row>
    <row r="25" spans="1:20" s="25" customFormat="1" ht="15">
      <c r="A25" s="63"/>
      <c r="B25" s="46"/>
      <c r="C25" s="46"/>
      <c r="D25" s="206"/>
      <c r="E25" s="46"/>
      <c r="F25" s="46"/>
      <c r="G25" s="46"/>
      <c r="H25" s="46"/>
      <c r="I25" s="46"/>
      <c r="P25" s="64"/>
    </row>
    <row r="26" spans="1:20" s="25" customFormat="1" ht="15">
      <c r="A26" s="205" t="s">
        <v>149</v>
      </c>
      <c r="C26" s="46"/>
      <c r="D26" s="29"/>
      <c r="E26" s="46"/>
      <c r="F26" s="29"/>
      <c r="G26" s="46"/>
      <c r="H26" s="46"/>
      <c r="I26" s="46"/>
      <c r="P26" s="64"/>
    </row>
    <row r="27" spans="1:20" s="25" customFormat="1" ht="15">
      <c r="A27" s="205"/>
      <c r="C27" s="46"/>
      <c r="D27" s="29"/>
      <c r="E27" s="46"/>
      <c r="F27" s="29"/>
      <c r="G27" s="46"/>
      <c r="H27" s="46"/>
      <c r="I27" s="46"/>
      <c r="P27" s="64"/>
    </row>
    <row r="28" spans="1:20" s="25" customFormat="1" ht="45.75" customHeight="1">
      <c r="A28" s="823" t="s">
        <v>95</v>
      </c>
      <c r="B28" s="824"/>
      <c r="C28" s="348" t="s">
        <v>136</v>
      </c>
      <c r="D28" s="348" t="s">
        <v>137</v>
      </c>
      <c r="E28" s="348" t="s">
        <v>138</v>
      </c>
      <c r="F28" s="348" t="s">
        <v>139</v>
      </c>
      <c r="G28" s="348" t="s">
        <v>140</v>
      </c>
      <c r="H28" s="348" t="s">
        <v>133</v>
      </c>
      <c r="I28" s="823" t="s">
        <v>141</v>
      </c>
      <c r="J28" s="847"/>
      <c r="K28" s="847"/>
      <c r="L28" s="847"/>
      <c r="M28" s="847"/>
      <c r="N28" s="847"/>
      <c r="O28" s="847"/>
      <c r="P28" s="848"/>
    </row>
    <row r="29" spans="1:20" s="25" customFormat="1" ht="15">
      <c r="A29" s="477"/>
      <c r="B29" s="475"/>
      <c r="C29" s="211"/>
      <c r="D29" s="210"/>
      <c r="E29" s="210"/>
      <c r="F29" s="210"/>
      <c r="G29" s="211"/>
      <c r="H29" s="210"/>
      <c r="I29" s="856"/>
      <c r="J29" s="857"/>
      <c r="K29" s="857"/>
      <c r="L29" s="857"/>
      <c r="M29" s="857"/>
      <c r="N29" s="857"/>
      <c r="O29" s="857"/>
      <c r="P29" s="858"/>
    </row>
    <row r="30" spans="1:20" s="25" customFormat="1" ht="15">
      <c r="A30" s="478"/>
      <c r="B30" s="471"/>
      <c r="C30" s="213"/>
      <c r="D30" s="212"/>
      <c r="E30" s="212"/>
      <c r="F30" s="212"/>
      <c r="G30" s="213"/>
      <c r="H30" s="212"/>
      <c r="I30" s="844"/>
      <c r="J30" s="845"/>
      <c r="K30" s="845"/>
      <c r="L30" s="845"/>
      <c r="M30" s="845"/>
      <c r="N30" s="845"/>
      <c r="O30" s="845"/>
      <c r="P30" s="846"/>
    </row>
    <row r="31" spans="1:20" s="25" customFormat="1" ht="15">
      <c r="A31" s="478"/>
      <c r="B31" s="471"/>
      <c r="C31" s="213"/>
      <c r="D31" s="212"/>
      <c r="E31" s="212"/>
      <c r="F31" s="212"/>
      <c r="G31" s="213"/>
      <c r="H31" s="212"/>
      <c r="I31" s="844"/>
      <c r="J31" s="845"/>
      <c r="K31" s="845"/>
      <c r="L31" s="845"/>
      <c r="M31" s="845"/>
      <c r="N31" s="845"/>
      <c r="O31" s="845"/>
      <c r="P31" s="846"/>
    </row>
    <row r="32" spans="1:20" s="25" customFormat="1" ht="15">
      <c r="A32" s="479"/>
      <c r="B32" s="476"/>
      <c r="C32" s="408"/>
      <c r="D32" s="409"/>
      <c r="E32" s="407"/>
      <c r="F32" s="409"/>
      <c r="G32" s="408"/>
      <c r="H32" s="407"/>
      <c r="I32" s="841"/>
      <c r="J32" s="842"/>
      <c r="K32" s="842"/>
      <c r="L32" s="842"/>
      <c r="M32" s="842"/>
      <c r="N32" s="842"/>
      <c r="O32" s="842"/>
      <c r="P32" s="843"/>
    </row>
    <row r="33" spans="1:17" s="25" customFormat="1" ht="15">
      <c r="A33" s="63"/>
      <c r="B33" s="46"/>
      <c r="C33" s="840" t="s">
        <v>142</v>
      </c>
      <c r="D33" s="840"/>
      <c r="E33" s="314">
        <f>SUM(E29:E32)</f>
        <v>0</v>
      </c>
      <c r="F33" s="46"/>
      <c r="G33" s="46"/>
      <c r="H33" s="46"/>
      <c r="I33" s="46"/>
      <c r="P33" s="64"/>
    </row>
    <row r="34" spans="1:17" s="25" customFormat="1" ht="15">
      <c r="A34" s="63"/>
      <c r="B34" s="46"/>
      <c r="C34" s="839" t="s">
        <v>143</v>
      </c>
      <c r="D34" s="839"/>
      <c r="E34" s="315"/>
      <c r="F34" s="46"/>
      <c r="G34" s="46"/>
      <c r="H34" s="46"/>
      <c r="I34" s="46"/>
      <c r="P34" s="64"/>
    </row>
    <row r="35" spans="1:17" s="25" customFormat="1" ht="15">
      <c r="A35" s="63"/>
      <c r="B35" s="46"/>
      <c r="C35" s="839" t="s">
        <v>144</v>
      </c>
      <c r="D35" s="839"/>
      <c r="E35" s="315" t="e">
        <f>E33/E34</f>
        <v>#DIV/0!</v>
      </c>
      <c r="F35" s="46"/>
      <c r="G35" s="46"/>
      <c r="H35" s="46"/>
      <c r="I35" s="46"/>
      <c r="P35" s="64"/>
    </row>
    <row r="36" spans="1:17" s="25" customFormat="1" thickBot="1">
      <c r="A36" s="65"/>
      <c r="B36" s="66"/>
      <c r="C36" s="66"/>
      <c r="D36" s="66"/>
      <c r="E36" s="66"/>
      <c r="F36" s="66"/>
      <c r="G36" s="66"/>
      <c r="H36" s="66"/>
      <c r="I36" s="66"/>
      <c r="J36" s="66"/>
      <c r="K36" s="66"/>
      <c r="L36" s="66"/>
      <c r="M36" s="66"/>
      <c r="N36" s="66"/>
      <c r="O36" s="66"/>
      <c r="P36" s="67"/>
    </row>
    <row r="37" spans="1:17" s="25" customFormat="1" thickBot="1"/>
    <row r="38" spans="1:17" s="25" customFormat="1" ht="15">
      <c r="A38" s="214"/>
      <c r="B38" s="215"/>
      <c r="C38" s="216"/>
      <c r="D38" s="217"/>
      <c r="E38" s="217"/>
      <c r="F38" s="217"/>
      <c r="G38" s="218"/>
      <c r="H38" s="219"/>
      <c r="I38" s="141"/>
      <c r="J38" s="141"/>
      <c r="K38" s="141"/>
      <c r="L38" s="61"/>
      <c r="M38" s="61"/>
      <c r="N38" s="61"/>
      <c r="O38" s="61"/>
      <c r="P38" s="62"/>
    </row>
    <row r="39" spans="1:17" s="25" customFormat="1" ht="15">
      <c r="A39" s="205" t="s">
        <v>150</v>
      </c>
      <c r="B39" s="221"/>
      <c r="C39" s="222"/>
      <c r="D39" s="223"/>
      <c r="E39" s="223"/>
      <c r="F39" s="223"/>
      <c r="G39" s="224"/>
      <c r="H39" s="225"/>
      <c r="I39" s="29"/>
      <c r="J39" s="29"/>
      <c r="K39" s="29"/>
      <c r="P39" s="64"/>
    </row>
    <row r="40" spans="1:17" s="25" customFormat="1" ht="15">
      <c r="A40" s="220"/>
      <c r="B40" s="221"/>
      <c r="C40" s="222"/>
      <c r="D40" s="223"/>
      <c r="E40" s="223"/>
      <c r="F40" s="223"/>
      <c r="G40" s="224"/>
      <c r="H40" s="225"/>
      <c r="I40" s="29"/>
      <c r="J40" s="29"/>
      <c r="K40" s="29"/>
      <c r="P40" s="64"/>
    </row>
    <row r="41" spans="1:17" s="25" customFormat="1" ht="30">
      <c r="A41" s="576" t="s">
        <v>151</v>
      </c>
      <c r="B41" s="860" t="s">
        <v>152</v>
      </c>
      <c r="C41" s="861"/>
      <c r="D41" s="862"/>
      <c r="E41" s="576" t="s">
        <v>153</v>
      </c>
      <c r="F41" s="576" t="s">
        <v>154</v>
      </c>
      <c r="G41" s="576" t="s">
        <v>155</v>
      </c>
      <c r="H41" s="576" t="s">
        <v>156</v>
      </c>
      <c r="I41" s="572" t="s">
        <v>157</v>
      </c>
      <c r="J41" s="860" t="s">
        <v>158</v>
      </c>
      <c r="K41" s="861"/>
      <c r="L41" s="861"/>
      <c r="M41" s="861"/>
      <c r="N41" s="861"/>
      <c r="O41" s="861"/>
      <c r="P41" s="863"/>
      <c r="Q41" s="25" t="s">
        <v>1</v>
      </c>
    </row>
    <row r="42" spans="1:17" s="25" customFormat="1" ht="15">
      <c r="A42" s="254"/>
      <c r="B42" s="486"/>
      <c r="C42" s="487"/>
      <c r="D42" s="488"/>
      <c r="E42" s="254"/>
      <c r="F42" s="316"/>
      <c r="G42" s="255"/>
      <c r="H42" s="256">
        <f>F42*(1+G42)</f>
        <v>0</v>
      </c>
      <c r="I42" s="257"/>
      <c r="J42" s="850"/>
      <c r="K42" s="851"/>
      <c r="L42" s="851"/>
      <c r="M42" s="493"/>
      <c r="N42" s="493"/>
      <c r="O42" s="493"/>
      <c r="P42" s="494"/>
      <c r="Q42" s="25" t="s">
        <v>2</v>
      </c>
    </row>
    <row r="43" spans="1:17" s="25" customFormat="1" ht="15">
      <c r="A43" s="258"/>
      <c r="B43" s="594"/>
      <c r="C43" s="489"/>
      <c r="D43" s="490"/>
      <c r="E43" s="258"/>
      <c r="F43" s="595"/>
      <c r="G43" s="596"/>
      <c r="H43" s="259">
        <f>F43*(1+G43)</f>
        <v>0</v>
      </c>
      <c r="I43" s="260"/>
      <c r="J43" s="835"/>
      <c r="K43" s="836"/>
      <c r="L43" s="836"/>
      <c r="M43" s="495"/>
      <c r="N43" s="495"/>
      <c r="O43" s="495"/>
      <c r="P43" s="496"/>
    </row>
    <row r="44" spans="1:17" s="25" customFormat="1" ht="15">
      <c r="A44" s="258"/>
      <c r="B44" s="594"/>
      <c r="C44" s="489"/>
      <c r="D44" s="490"/>
      <c r="E44" s="258"/>
      <c r="F44" s="595"/>
      <c r="G44" s="596"/>
      <c r="H44" s="259">
        <f>F44*(1+G44)</f>
        <v>0</v>
      </c>
      <c r="I44" s="260"/>
      <c r="J44" s="835"/>
      <c r="K44" s="836"/>
      <c r="L44" s="836"/>
      <c r="M44" s="495"/>
      <c r="N44" s="495"/>
      <c r="O44" s="495"/>
      <c r="P44" s="496"/>
    </row>
    <row r="45" spans="1:17" s="25" customFormat="1" ht="15">
      <c r="A45" s="413"/>
      <c r="B45" s="597"/>
      <c r="C45" s="491"/>
      <c r="D45" s="492"/>
      <c r="E45" s="413"/>
      <c r="F45" s="598"/>
      <c r="G45" s="414"/>
      <c r="H45" s="483">
        <f>F45*(1+G45)</f>
        <v>0</v>
      </c>
      <c r="I45" s="415"/>
      <c r="J45" s="837"/>
      <c r="K45" s="838"/>
      <c r="L45" s="838"/>
      <c r="M45" s="497"/>
      <c r="N45" s="497"/>
      <c r="O45" s="497"/>
      <c r="P45" s="498"/>
    </row>
    <row r="46" spans="1:17" s="25" customFormat="1" ht="15">
      <c r="A46" s="226"/>
      <c r="B46" s="221"/>
      <c r="C46" s="222"/>
      <c r="D46" s="222"/>
      <c r="E46" s="222"/>
      <c r="F46" s="222"/>
      <c r="G46" s="224"/>
      <c r="H46" s="261" t="s">
        <v>159</v>
      </c>
      <c r="I46" s="482">
        <f>SUM(H42:H45)</f>
        <v>0</v>
      </c>
      <c r="J46" s="29"/>
      <c r="K46" s="29"/>
      <c r="P46" s="64"/>
    </row>
    <row r="47" spans="1:17" s="25" customFormat="1" ht="15">
      <c r="A47" s="226"/>
      <c r="B47" s="221"/>
      <c r="C47" s="222"/>
      <c r="D47" s="222"/>
      <c r="E47" s="222"/>
      <c r="F47" s="222"/>
      <c r="G47" s="224"/>
      <c r="H47" s="261" t="s">
        <v>160</v>
      </c>
      <c r="I47" s="317"/>
      <c r="J47" s="29"/>
      <c r="K47" s="29"/>
      <c r="P47" s="64"/>
    </row>
    <row r="48" spans="1:17" s="25" customFormat="1" ht="15">
      <c r="A48" s="226"/>
      <c r="B48" s="221"/>
      <c r="C48" s="222"/>
      <c r="D48" s="222"/>
      <c r="E48" s="222"/>
      <c r="F48" s="222"/>
      <c r="G48" s="224"/>
      <c r="H48" s="261" t="s">
        <v>161</v>
      </c>
      <c r="I48" s="318" t="e">
        <f>I46/I47</f>
        <v>#DIV/0!</v>
      </c>
      <c r="J48" s="29"/>
      <c r="K48" s="29"/>
      <c r="P48" s="64"/>
    </row>
    <row r="49" spans="1:16" s="25" customFormat="1" ht="15">
      <c r="A49" s="63"/>
      <c r="P49" s="64"/>
    </row>
    <row r="50" spans="1:16" ht="16.5" thickBot="1">
      <c r="A50" s="148"/>
      <c r="B50" s="149"/>
      <c r="C50" s="149"/>
      <c r="D50" s="149"/>
      <c r="E50" s="149"/>
      <c r="F50" s="149"/>
      <c r="G50" s="149"/>
      <c r="H50" s="149"/>
      <c r="I50" s="149"/>
      <c r="J50" s="149"/>
      <c r="K50" s="149"/>
      <c r="L50" s="149"/>
      <c r="M50" s="149"/>
      <c r="N50" s="149"/>
      <c r="O50" s="149"/>
      <c r="P50" s="150"/>
    </row>
  </sheetData>
  <sheetProtection formatCells="0" formatColumns="0" formatRows="0" insertColumns="0" insertRows="0" insertHyperlinks="0" deleteColumns="0" deleteRows="0" sort="0" autoFilter="0" pivotTables="0"/>
  <mergeCells count="44">
    <mergeCell ref="A28:B28"/>
    <mergeCell ref="A19:C19"/>
    <mergeCell ref="B41:D41"/>
    <mergeCell ref="J41:P41"/>
    <mergeCell ref="J23:P23"/>
    <mergeCell ref="J19:P19"/>
    <mergeCell ref="R23:T23"/>
    <mergeCell ref="R24:T24"/>
    <mergeCell ref="R22:T22"/>
    <mergeCell ref="I30:P30"/>
    <mergeCell ref="I29:P29"/>
    <mergeCell ref="R19:T19"/>
    <mergeCell ref="J20:P20"/>
    <mergeCell ref="R20:T20"/>
    <mergeCell ref="J21:P21"/>
    <mergeCell ref="R21:T21"/>
    <mergeCell ref="D9:E9"/>
    <mergeCell ref="F9:I9"/>
    <mergeCell ref="J9:K9"/>
    <mergeCell ref="L9:N9"/>
    <mergeCell ref="O9:P9"/>
    <mergeCell ref="D1:M2"/>
    <mergeCell ref="A3:P5"/>
    <mergeCell ref="E6:L7"/>
    <mergeCell ref="M6:N6"/>
    <mergeCell ref="O6:P6"/>
    <mergeCell ref="M7:N7"/>
    <mergeCell ref="O7:P7"/>
    <mergeCell ref="J44:L44"/>
    <mergeCell ref="J45:L45"/>
    <mergeCell ref="O8:P8"/>
    <mergeCell ref="C34:D34"/>
    <mergeCell ref="C35:D35"/>
    <mergeCell ref="C33:D33"/>
    <mergeCell ref="I32:P32"/>
    <mergeCell ref="I31:P31"/>
    <mergeCell ref="I28:P28"/>
    <mergeCell ref="J22:P22"/>
    <mergeCell ref="J42:L42"/>
    <mergeCell ref="J43:L43"/>
    <mergeCell ref="A11:P11"/>
    <mergeCell ref="A13:P13"/>
    <mergeCell ref="A14:P14"/>
    <mergeCell ref="A9:C9"/>
  </mergeCells>
  <dataValidations count="4">
    <dataValidation type="list" allowBlank="1" showInputMessage="1" showErrorMessage="1" sqref="O9:P9" xr:uid="{00000000-0002-0000-0700-000000000000}">
      <formula1>Diligences</formula1>
    </dataValidation>
    <dataValidation type="list" showInputMessage="1" showErrorMessage="1" sqref="D9:E9" xr:uid="{00000000-0002-0000-0700-000001000000}">
      <formula1>RAS</formula1>
    </dataValidation>
    <dataValidation type="list" allowBlank="1" showInputMessage="1" showErrorMessage="1" sqref="G42:G45" xr:uid="{00000000-0002-0000-0700-000002000000}">
      <mc:AlternateContent xmlns:x12ac="http://schemas.microsoft.com/office/spreadsheetml/2011/1/ac" xmlns:mc="http://schemas.openxmlformats.org/markup-compatibility/2006">
        <mc:Choice Requires="x12ac">
          <x12ac:list>20%,"19,6%",10%,7%,"5,5%",5%,2%,1%,0%</x12ac:list>
        </mc:Choice>
        <mc:Fallback>
          <formula1>"20%,19,6%,10%,7%,5,5%,5%,2%,1%,0%"</formula1>
        </mc:Fallback>
      </mc:AlternateContent>
    </dataValidation>
    <dataValidation type="list" allowBlank="1" showInputMessage="1" showErrorMessage="1" sqref="I42:I45" xr:uid="{00000000-0002-0000-0700-000003000000}">
      <formula1>$Q$41:$Q$42</formula1>
    </dataValidation>
  </dataValidations>
  <hyperlinks>
    <hyperlink ref="O8:P8" location="'A Synthèse'!Zone_d_impression" display="A Synthèse" xr:uid="{00000000-0004-0000-07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8"/>
  <dimension ref="A1:U63"/>
  <sheetViews>
    <sheetView showGridLines="0" zoomScale="80" zoomScaleNormal="80" workbookViewId="0">
      <selection activeCell="A11" sqref="A11:P11"/>
    </sheetView>
  </sheetViews>
  <sheetFormatPr baseColWidth="10" defaultColWidth="11.42578125" defaultRowHeight="15"/>
  <cols>
    <col min="1" max="1" width="14.7109375" style="169" customWidth="1"/>
    <col min="2" max="2" width="13" style="169" customWidth="1"/>
    <col min="3" max="3" width="19.85546875" style="169" customWidth="1"/>
    <col min="4" max="4" width="20" style="169" customWidth="1"/>
    <col min="5" max="5" width="18.28515625" style="169" customWidth="1"/>
    <col min="6" max="6" width="15.7109375" style="169" customWidth="1"/>
    <col min="7" max="8" width="15.85546875" style="169" customWidth="1"/>
    <col min="9" max="16" width="14.7109375" style="169" customWidth="1"/>
    <col min="17" max="16384" width="11.42578125" style="169"/>
  </cols>
  <sheetData>
    <row r="1" spans="1:21" s="168" customFormat="1" ht="15" customHeight="1">
      <c r="A1" s="10"/>
      <c r="B1" s="11"/>
      <c r="C1" s="11"/>
      <c r="D1" s="745" t="str">
        <f>'A Synthèse'!D1:M2</f>
        <v>#NomClient</v>
      </c>
      <c r="E1" s="765"/>
      <c r="F1" s="765"/>
      <c r="G1" s="765"/>
      <c r="H1" s="765"/>
      <c r="I1" s="765"/>
      <c r="J1" s="765"/>
      <c r="K1" s="765"/>
      <c r="L1" s="765"/>
      <c r="M1" s="766"/>
      <c r="N1" s="11"/>
      <c r="O1" s="11"/>
      <c r="P1" s="12"/>
      <c r="Q1" s="35"/>
      <c r="R1" s="35"/>
      <c r="S1" s="35"/>
      <c r="T1" s="35"/>
      <c r="U1" s="35"/>
    </row>
    <row r="2" spans="1:21" s="168" customFormat="1" ht="15" customHeight="1" thickBot="1">
      <c r="A2" s="13"/>
      <c r="B2" s="14"/>
      <c r="C2" s="14"/>
      <c r="D2" s="767"/>
      <c r="E2" s="768"/>
      <c r="F2" s="768"/>
      <c r="G2" s="768"/>
      <c r="H2" s="768"/>
      <c r="I2" s="768"/>
      <c r="J2" s="768"/>
      <c r="K2" s="768"/>
      <c r="L2" s="768"/>
      <c r="M2" s="769"/>
      <c r="N2" s="14"/>
      <c r="O2" s="14"/>
      <c r="P2" s="15"/>
      <c r="Q2" s="35"/>
      <c r="R2" s="35"/>
      <c r="S2" s="35"/>
      <c r="T2" s="35"/>
      <c r="U2" s="35"/>
    </row>
    <row r="3" spans="1:21" ht="15" customHeight="1">
      <c r="A3" s="709" t="s">
        <v>3</v>
      </c>
      <c r="B3" s="710"/>
      <c r="C3" s="710"/>
      <c r="D3" s="710"/>
      <c r="E3" s="710"/>
      <c r="F3" s="710"/>
      <c r="G3" s="710"/>
      <c r="H3" s="710"/>
      <c r="I3" s="710"/>
      <c r="J3" s="710"/>
      <c r="K3" s="710"/>
      <c r="L3" s="710"/>
      <c r="M3" s="710"/>
      <c r="N3" s="710"/>
      <c r="O3" s="710"/>
      <c r="P3" s="711"/>
      <c r="Q3" s="25"/>
      <c r="R3" s="3"/>
      <c r="S3" s="25"/>
      <c r="T3" s="5"/>
      <c r="U3" s="5"/>
    </row>
    <row r="4" spans="1:21" ht="15" customHeight="1">
      <c r="A4" s="709"/>
      <c r="B4" s="710"/>
      <c r="C4" s="710"/>
      <c r="D4" s="710"/>
      <c r="E4" s="710"/>
      <c r="F4" s="710"/>
      <c r="G4" s="710"/>
      <c r="H4" s="710"/>
      <c r="I4" s="710"/>
      <c r="J4" s="710"/>
      <c r="K4" s="710"/>
      <c r="L4" s="710"/>
      <c r="M4" s="710"/>
      <c r="N4" s="710"/>
      <c r="O4" s="710"/>
      <c r="P4" s="711"/>
      <c r="Q4" s="25"/>
      <c r="R4" s="3"/>
      <c r="S4" s="25"/>
      <c r="T4" s="5"/>
      <c r="U4" s="5"/>
    </row>
    <row r="5" spans="1:21" ht="15" customHeight="1" thickBot="1">
      <c r="A5" s="712"/>
      <c r="B5" s="713"/>
      <c r="C5" s="713"/>
      <c r="D5" s="713"/>
      <c r="E5" s="713"/>
      <c r="F5" s="713"/>
      <c r="G5" s="713"/>
      <c r="H5" s="713"/>
      <c r="I5" s="713"/>
      <c r="J5" s="713"/>
      <c r="K5" s="713"/>
      <c r="L5" s="713"/>
      <c r="M5" s="713"/>
      <c r="N5" s="713"/>
      <c r="O5" s="713"/>
      <c r="P5" s="714"/>
      <c r="Q5" s="3"/>
      <c r="R5" s="36"/>
      <c r="S5" s="37"/>
      <c r="T5" s="37"/>
      <c r="U5" s="37"/>
    </row>
    <row r="6" spans="1:21" ht="15" customHeight="1">
      <c r="A6" s="17" t="s">
        <v>6</v>
      </c>
      <c r="B6" s="271" t="str">
        <f>'A Synthèse'!B6</f>
        <v>BRA</v>
      </c>
      <c r="C6" s="17" t="s">
        <v>7</v>
      </c>
      <c r="D6" s="271">
        <f>'A Synthèse'!D6</f>
        <v>0</v>
      </c>
      <c r="E6" s="715" t="s">
        <v>162</v>
      </c>
      <c r="F6" s="716"/>
      <c r="G6" s="716"/>
      <c r="H6" s="716"/>
      <c r="I6" s="716"/>
      <c r="J6" s="716"/>
      <c r="K6" s="716"/>
      <c r="L6" s="717"/>
      <c r="M6" s="770" t="s">
        <v>9</v>
      </c>
      <c r="N6" s="771"/>
      <c r="O6" s="721" t="s">
        <v>10</v>
      </c>
      <c r="P6" s="722"/>
      <c r="Q6" s="25"/>
      <c r="R6" s="35"/>
      <c r="S6" s="35"/>
      <c r="T6" s="25"/>
      <c r="U6" s="25"/>
    </row>
    <row r="7" spans="1:21" ht="15" customHeight="1" thickBot="1">
      <c r="A7" s="18" t="s">
        <v>12</v>
      </c>
      <c r="B7" s="272">
        <f>'A Synthèse'!B7</f>
        <v>0</v>
      </c>
      <c r="C7" s="18" t="s">
        <v>12</v>
      </c>
      <c r="D7" s="272">
        <f>'A Synthèse'!D7</f>
        <v>0</v>
      </c>
      <c r="E7" s="718"/>
      <c r="F7" s="719"/>
      <c r="G7" s="719"/>
      <c r="H7" s="719"/>
      <c r="I7" s="719"/>
      <c r="J7" s="719"/>
      <c r="K7" s="719"/>
      <c r="L7" s="720"/>
      <c r="M7" s="772" t="str">
        <f>'A Synthèse'!M7:M7</f>
        <v>#DateClôture</v>
      </c>
      <c r="N7" s="773"/>
      <c r="O7" s="723" t="s">
        <v>43</v>
      </c>
      <c r="P7" s="724"/>
      <c r="Q7" s="25"/>
      <c r="R7" s="25"/>
      <c r="S7" s="25"/>
      <c r="T7" s="25"/>
      <c r="U7" s="25"/>
    </row>
    <row r="8" spans="1:21" ht="21" customHeight="1" thickBot="1">
      <c r="A8" s="19"/>
      <c r="B8" s="38"/>
      <c r="C8" s="20"/>
      <c r="D8" s="20"/>
      <c r="E8" s="39"/>
      <c r="F8" s="39"/>
      <c r="G8" s="39"/>
      <c r="H8" s="39"/>
      <c r="I8" s="39"/>
      <c r="J8" s="39"/>
      <c r="K8" s="39"/>
      <c r="L8" s="39"/>
      <c r="M8" s="22"/>
      <c r="N8" s="20"/>
      <c r="O8" s="776" t="s">
        <v>66</v>
      </c>
      <c r="P8" s="776"/>
      <c r="Q8" s="25"/>
      <c r="R8" s="25"/>
      <c r="S8" s="25"/>
      <c r="T8" s="25"/>
      <c r="U8" s="25"/>
    </row>
    <row r="9" spans="1:21" s="170" customFormat="1" ht="31.5" customHeight="1" thickBot="1">
      <c r="A9" s="733" t="s">
        <v>17</v>
      </c>
      <c r="B9" s="734"/>
      <c r="C9" s="734"/>
      <c r="D9" s="763" t="str">
        <f>'A Synthèse'!D9:E9</f>
        <v>Modéré</v>
      </c>
      <c r="E9" s="764"/>
      <c r="F9" s="735" t="s">
        <v>18</v>
      </c>
      <c r="G9" s="736"/>
      <c r="H9" s="736"/>
      <c r="I9" s="736"/>
      <c r="J9" s="774">
        <f>'A Synthèse'!J9:K9</f>
        <v>0</v>
      </c>
      <c r="K9" s="775"/>
      <c r="L9" s="735" t="s">
        <v>19</v>
      </c>
      <c r="M9" s="736"/>
      <c r="N9" s="736"/>
      <c r="O9" s="763" t="str">
        <f>'A Synthèse'!N9</f>
        <v>PE</v>
      </c>
      <c r="P9" s="764"/>
      <c r="Q9" s="20"/>
      <c r="R9" s="20"/>
      <c r="S9" s="20"/>
      <c r="T9" s="20"/>
      <c r="U9" s="20"/>
    </row>
    <row r="10" spans="1:21" s="170" customFormat="1" ht="21" customHeight="1" thickBot="1">
      <c r="A10" s="24"/>
      <c r="B10" s="24"/>
      <c r="C10" s="24"/>
      <c r="D10" s="24"/>
      <c r="E10" s="24"/>
      <c r="F10" s="24"/>
      <c r="G10" s="24"/>
      <c r="H10" s="24"/>
      <c r="I10" s="24"/>
      <c r="J10" s="24"/>
      <c r="K10" s="24"/>
      <c r="L10" s="24"/>
      <c r="M10" s="24"/>
      <c r="N10" s="24"/>
      <c r="O10" s="24"/>
      <c r="P10" s="24"/>
      <c r="Q10" s="20"/>
      <c r="R10" s="20"/>
      <c r="S10" s="20"/>
      <c r="T10" s="20"/>
      <c r="U10" s="20"/>
    </row>
    <row r="11" spans="1:21" ht="188.25" customHeight="1" thickBot="1">
      <c r="A11" s="778" t="s">
        <v>163</v>
      </c>
      <c r="B11" s="779"/>
      <c r="C11" s="779"/>
      <c r="D11" s="779"/>
      <c r="E11" s="779"/>
      <c r="F11" s="779"/>
      <c r="G11" s="779"/>
      <c r="H11" s="779"/>
      <c r="I11" s="779"/>
      <c r="J11" s="779"/>
      <c r="K11" s="779"/>
      <c r="L11" s="779"/>
      <c r="M11" s="779"/>
      <c r="N11" s="779"/>
      <c r="O11" s="779"/>
      <c r="P11" s="780"/>
      <c r="Q11" s="25"/>
      <c r="R11" s="25"/>
      <c r="S11" s="25"/>
      <c r="T11" s="25"/>
      <c r="U11" s="25"/>
    </row>
    <row r="12" spans="1:21" ht="9" customHeight="1" thickBot="1">
      <c r="A12" s="25"/>
      <c r="B12" s="25"/>
      <c r="C12" s="25"/>
      <c r="D12" s="25"/>
      <c r="E12" s="25"/>
      <c r="F12" s="25"/>
      <c r="G12" s="25"/>
      <c r="H12" s="25"/>
      <c r="I12" s="25"/>
      <c r="J12" s="25"/>
      <c r="K12" s="25"/>
      <c r="L12" s="25"/>
      <c r="M12" s="25"/>
      <c r="N12" s="25"/>
      <c r="O12" s="25"/>
      <c r="P12" s="25"/>
      <c r="Q12" s="25"/>
      <c r="R12" s="25"/>
      <c r="S12" s="25"/>
      <c r="T12" s="25"/>
      <c r="U12" s="25"/>
    </row>
    <row r="13" spans="1:21">
      <c r="A13" s="781" t="s">
        <v>69</v>
      </c>
      <c r="B13" s="782"/>
      <c r="C13" s="782"/>
      <c r="D13" s="782"/>
      <c r="E13" s="782"/>
      <c r="F13" s="782"/>
      <c r="G13" s="782"/>
      <c r="H13" s="782"/>
      <c r="I13" s="782"/>
      <c r="J13" s="782"/>
      <c r="K13" s="782"/>
      <c r="L13" s="782"/>
      <c r="M13" s="782"/>
      <c r="N13" s="782"/>
      <c r="O13" s="782"/>
      <c r="P13" s="783"/>
      <c r="Q13" s="25"/>
      <c r="R13" s="25"/>
      <c r="S13" s="25"/>
      <c r="T13" s="25"/>
      <c r="U13" s="25"/>
    </row>
    <row r="14" spans="1:21" ht="60" customHeight="1" thickBot="1">
      <c r="A14" s="852"/>
      <c r="B14" s="853"/>
      <c r="C14" s="853"/>
      <c r="D14" s="853"/>
      <c r="E14" s="853"/>
      <c r="F14" s="853"/>
      <c r="G14" s="853"/>
      <c r="H14" s="853"/>
      <c r="I14" s="853"/>
      <c r="J14" s="853"/>
      <c r="K14" s="853"/>
      <c r="L14" s="853"/>
      <c r="M14" s="853"/>
      <c r="N14" s="853"/>
      <c r="O14" s="853"/>
      <c r="P14" s="854"/>
      <c r="Q14" s="25"/>
      <c r="R14" s="25"/>
      <c r="S14" s="25"/>
      <c r="T14" s="25"/>
      <c r="U14" s="25"/>
    </row>
    <row r="15" spans="1:21" ht="15.75" thickBot="1">
      <c r="A15" s="25"/>
      <c r="B15" s="25"/>
      <c r="C15" s="25"/>
      <c r="D15" s="25"/>
      <c r="E15" s="25"/>
      <c r="F15" s="25"/>
      <c r="G15" s="25"/>
      <c r="H15" s="25"/>
      <c r="I15" s="25"/>
      <c r="J15" s="25"/>
      <c r="K15" s="25"/>
      <c r="L15" s="25"/>
      <c r="M15" s="25"/>
      <c r="N15" s="25"/>
      <c r="O15" s="25"/>
      <c r="P15" s="25"/>
      <c r="Q15" s="25"/>
      <c r="R15" s="25"/>
      <c r="S15" s="25"/>
      <c r="T15" s="25"/>
      <c r="U15" s="25"/>
    </row>
    <row r="16" spans="1:21">
      <c r="A16" s="60"/>
      <c r="B16" s="61"/>
      <c r="C16" s="61"/>
      <c r="D16" s="61"/>
      <c r="E16" s="61"/>
      <c r="F16" s="61"/>
      <c r="G16" s="61"/>
      <c r="H16" s="61"/>
      <c r="I16" s="61"/>
      <c r="J16" s="61"/>
      <c r="K16" s="61"/>
      <c r="L16" s="61"/>
      <c r="M16" s="61"/>
      <c r="N16" s="61"/>
      <c r="O16" s="61"/>
      <c r="P16" s="62"/>
      <c r="Q16" s="25"/>
      <c r="R16" s="25"/>
      <c r="S16" s="25"/>
      <c r="T16" s="25"/>
      <c r="U16" s="25"/>
    </row>
    <row r="17" spans="1:16">
      <c r="A17" s="53" t="s">
        <v>164</v>
      </c>
      <c r="B17" s="47"/>
      <c r="C17" s="47"/>
      <c r="D17" s="47"/>
      <c r="E17" s="47"/>
      <c r="F17" s="47"/>
      <c r="G17" s="47"/>
      <c r="H17" s="29"/>
      <c r="I17" s="25"/>
      <c r="J17" s="25"/>
      <c r="K17" s="25"/>
      <c r="L17" s="25"/>
      <c r="M17" s="25"/>
      <c r="N17" s="25"/>
      <c r="O17" s="25"/>
      <c r="P17" s="64"/>
    </row>
    <row r="18" spans="1:16">
      <c r="A18" s="349"/>
      <c r="B18" s="47"/>
      <c r="C18" s="47"/>
      <c r="D18" s="47"/>
      <c r="E18" s="47"/>
      <c r="F18" s="47"/>
      <c r="G18" s="47"/>
      <c r="H18" s="29"/>
      <c r="I18" s="25"/>
      <c r="J18" s="25"/>
      <c r="K18" s="25"/>
      <c r="L18" s="25"/>
      <c r="M18" s="25"/>
      <c r="N18" s="25"/>
      <c r="O18" s="25"/>
      <c r="P18" s="64"/>
    </row>
    <row r="19" spans="1:16" ht="28.5" customHeight="1">
      <c r="A19" s="63"/>
      <c r="B19" s="25"/>
      <c r="C19" s="285" t="s">
        <v>152</v>
      </c>
      <c r="D19" s="285" t="s">
        <v>165</v>
      </c>
      <c r="E19" s="350" t="s">
        <v>75</v>
      </c>
      <c r="F19" s="25"/>
      <c r="G19" s="25"/>
      <c r="H19" s="25"/>
      <c r="I19" s="25"/>
      <c r="J19" s="25"/>
      <c r="K19" s="25"/>
      <c r="L19" s="25"/>
      <c r="M19" s="25"/>
      <c r="N19" s="25"/>
      <c r="O19" s="25"/>
      <c r="P19" s="64"/>
    </row>
    <row r="20" spans="1:16">
      <c r="A20" s="63"/>
      <c r="B20" s="25"/>
      <c r="C20" s="351"/>
      <c r="D20" s="352"/>
      <c r="E20" s="171"/>
      <c r="F20" s="25"/>
      <c r="G20" s="25"/>
      <c r="H20" s="25"/>
      <c r="I20" s="25"/>
      <c r="J20" s="25"/>
      <c r="K20" s="25"/>
      <c r="L20" s="25"/>
      <c r="M20" s="25"/>
      <c r="N20" s="25"/>
      <c r="O20" s="25"/>
      <c r="P20" s="64"/>
    </row>
    <row r="21" spans="1:16">
      <c r="A21" s="63"/>
      <c r="B21" s="25"/>
      <c r="C21" s="599"/>
      <c r="D21" s="353"/>
      <c r="E21" s="172"/>
      <c r="F21" s="25"/>
      <c r="G21" s="25"/>
      <c r="H21" s="25"/>
      <c r="I21" s="25"/>
      <c r="J21" s="25"/>
      <c r="K21" s="25"/>
      <c r="L21" s="25"/>
      <c r="M21" s="25"/>
      <c r="N21" s="25"/>
      <c r="O21" s="25"/>
      <c r="P21" s="64"/>
    </row>
    <row r="22" spans="1:16">
      <c r="A22" s="63"/>
      <c r="B22" s="25"/>
      <c r="C22" s="599"/>
      <c r="D22" s="353"/>
      <c r="E22" s="172"/>
      <c r="F22" s="25"/>
      <c r="G22" s="25"/>
      <c r="H22" s="25"/>
      <c r="I22" s="25"/>
      <c r="J22" s="25"/>
      <c r="K22" s="25"/>
      <c r="L22" s="25"/>
      <c r="M22" s="25"/>
      <c r="N22" s="25"/>
      <c r="O22" s="25"/>
      <c r="P22" s="64"/>
    </row>
    <row r="23" spans="1:16">
      <c r="A23" s="63"/>
      <c r="B23" s="25"/>
      <c r="C23" s="600"/>
      <c r="D23" s="354"/>
      <c r="E23" s="173"/>
      <c r="F23" s="25"/>
      <c r="G23" s="25"/>
      <c r="H23" s="25"/>
      <c r="I23" s="25"/>
      <c r="J23" s="25"/>
      <c r="K23" s="25"/>
      <c r="L23" s="25"/>
      <c r="M23" s="25"/>
      <c r="N23" s="25"/>
      <c r="O23" s="25"/>
      <c r="P23" s="64"/>
    </row>
    <row r="24" spans="1:16" ht="15.75" thickBot="1">
      <c r="A24" s="65"/>
      <c r="B24" s="355"/>
      <c r="C24" s="355"/>
      <c r="D24" s="355"/>
      <c r="E24" s="355"/>
      <c r="F24" s="355"/>
      <c r="G24" s="355"/>
      <c r="H24" s="355"/>
      <c r="I24" s="355"/>
      <c r="J24" s="355"/>
      <c r="K24" s="355"/>
      <c r="L24" s="355"/>
      <c r="M24" s="355"/>
      <c r="N24" s="355"/>
      <c r="O24" s="174"/>
      <c r="P24" s="67"/>
    </row>
    <row r="25" spans="1:16" ht="15.75" thickBot="1">
      <c r="A25" s="349"/>
      <c r="B25" s="47"/>
      <c r="C25" s="47"/>
      <c r="D25" s="356"/>
      <c r="E25" s="356"/>
      <c r="F25" s="47"/>
      <c r="G25" s="47"/>
      <c r="H25" s="29"/>
      <c r="I25" s="25"/>
      <c r="J25" s="25"/>
      <c r="K25" s="25"/>
      <c r="L25" s="25"/>
      <c r="M25" s="25"/>
      <c r="N25" s="25"/>
      <c r="O25" s="25"/>
      <c r="P25" s="25"/>
    </row>
    <row r="26" spans="1:16">
      <c r="A26" s="357"/>
      <c r="B26" s="72"/>
      <c r="C26" s="72"/>
      <c r="D26" s="72"/>
      <c r="E26" s="72"/>
      <c r="F26" s="72"/>
      <c r="G26" s="72"/>
      <c r="H26" s="141"/>
      <c r="I26" s="61"/>
      <c r="J26" s="61"/>
      <c r="K26" s="61"/>
      <c r="L26" s="61"/>
      <c r="M26" s="61"/>
      <c r="N26" s="61"/>
      <c r="O26" s="61"/>
      <c r="P26" s="62"/>
    </row>
    <row r="27" spans="1:16">
      <c r="A27" s="53" t="s">
        <v>166</v>
      </c>
      <c r="B27" s="47"/>
      <c r="C27" s="47"/>
      <c r="D27" s="47"/>
      <c r="E27" s="47"/>
      <c r="F27" s="47"/>
      <c r="G27" s="47"/>
      <c r="H27" s="29"/>
      <c r="I27" s="25"/>
      <c r="J27" s="25"/>
      <c r="K27" s="25"/>
      <c r="L27" s="25"/>
      <c r="M27" s="25"/>
      <c r="N27" s="25"/>
      <c r="O27" s="25"/>
      <c r="P27" s="64"/>
    </row>
    <row r="28" spans="1:16">
      <c r="A28" s="349"/>
      <c r="B28" s="47"/>
      <c r="C28" s="47"/>
      <c r="D28" s="47"/>
      <c r="E28" s="47"/>
      <c r="F28" s="47"/>
      <c r="G28" s="47"/>
      <c r="H28" s="29"/>
      <c r="I28" s="25"/>
      <c r="J28" s="25"/>
      <c r="K28" s="25"/>
      <c r="L28" s="25"/>
      <c r="M28" s="25"/>
      <c r="N28" s="25"/>
      <c r="O28" s="25"/>
      <c r="P28" s="64"/>
    </row>
    <row r="29" spans="1:16" ht="28.5" customHeight="1">
      <c r="A29" s="63"/>
      <c r="B29" s="25"/>
      <c r="C29" s="870" t="s">
        <v>152</v>
      </c>
      <c r="D29" s="871"/>
      <c r="E29" s="286" t="s">
        <v>129</v>
      </c>
      <c r="F29" s="286" t="s">
        <v>130</v>
      </c>
      <c r="G29" s="286" t="s">
        <v>167</v>
      </c>
      <c r="H29" s="286" t="s">
        <v>131</v>
      </c>
      <c r="I29" s="25"/>
      <c r="J29" s="25"/>
      <c r="K29" s="25"/>
      <c r="L29" s="25"/>
      <c r="M29" s="25"/>
      <c r="N29" s="25"/>
      <c r="O29" s="25"/>
      <c r="P29" s="64"/>
    </row>
    <row r="30" spans="1:16">
      <c r="A30" s="63"/>
      <c r="B30" s="25"/>
      <c r="C30" s="499"/>
      <c r="D30" s="475"/>
      <c r="E30" s="321"/>
      <c r="F30" s="321"/>
      <c r="G30" s="322">
        <f>E30-F30</f>
        <v>0</v>
      </c>
      <c r="H30" s="326" t="e">
        <f t="shared" ref="H30:H35" si="0">G30/F30</f>
        <v>#DIV/0!</v>
      </c>
      <c r="I30" s="25"/>
      <c r="J30" s="25"/>
      <c r="K30" s="25"/>
      <c r="L30" s="25"/>
      <c r="M30" s="25"/>
      <c r="N30" s="25"/>
      <c r="O30" s="25"/>
      <c r="P30" s="64"/>
    </row>
    <row r="31" spans="1:16">
      <c r="A31" s="63"/>
      <c r="B31" s="25"/>
      <c r="C31" s="601"/>
      <c r="D31" s="471"/>
      <c r="E31" s="320"/>
      <c r="F31" s="320"/>
      <c r="G31" s="602">
        <f>E31-F31</f>
        <v>0</v>
      </c>
      <c r="H31" s="324" t="e">
        <f t="shared" si="0"/>
        <v>#DIV/0!</v>
      </c>
      <c r="I31" s="25"/>
      <c r="J31" s="25"/>
      <c r="K31" s="25"/>
      <c r="L31" s="25"/>
      <c r="M31" s="25"/>
      <c r="N31" s="25"/>
      <c r="O31" s="25"/>
      <c r="P31" s="64"/>
    </row>
    <row r="32" spans="1:16">
      <c r="A32" s="63"/>
      <c r="B32" s="25"/>
      <c r="C32" s="601"/>
      <c r="D32" s="471"/>
      <c r="E32" s="320"/>
      <c r="F32" s="320"/>
      <c r="G32" s="602">
        <f>E32-F32</f>
        <v>0</v>
      </c>
      <c r="H32" s="324" t="e">
        <f t="shared" si="0"/>
        <v>#DIV/0!</v>
      </c>
      <c r="I32" s="25"/>
      <c r="J32" s="25"/>
      <c r="K32" s="25"/>
      <c r="L32" s="25"/>
      <c r="M32" s="25"/>
      <c r="N32" s="25"/>
      <c r="O32" s="25"/>
      <c r="P32" s="64"/>
    </row>
    <row r="33" spans="1:16">
      <c r="A33" s="63"/>
      <c r="B33" s="25"/>
      <c r="C33" s="601"/>
      <c r="D33" s="471"/>
      <c r="E33" s="320"/>
      <c r="F33" s="320"/>
      <c r="G33" s="284">
        <f>E33-F33</f>
        <v>0</v>
      </c>
      <c r="H33" s="324" t="e">
        <f t="shared" si="0"/>
        <v>#DIV/0!</v>
      </c>
      <c r="I33" s="25"/>
      <c r="J33" s="25"/>
      <c r="K33" s="25"/>
      <c r="L33" s="25"/>
      <c r="M33" s="25"/>
      <c r="N33" s="25"/>
      <c r="O33" s="25"/>
      <c r="P33" s="64"/>
    </row>
    <row r="34" spans="1:16">
      <c r="A34" s="63"/>
      <c r="B34" s="25"/>
      <c r="C34" s="603"/>
      <c r="D34" s="476"/>
      <c r="E34" s="416"/>
      <c r="F34" s="416"/>
      <c r="G34" s="417">
        <f>E34-F34</f>
        <v>0</v>
      </c>
      <c r="H34" s="418" t="e">
        <f t="shared" si="0"/>
        <v>#DIV/0!</v>
      </c>
      <c r="I34" s="25"/>
      <c r="J34" s="25"/>
      <c r="K34" s="25"/>
      <c r="L34" s="25"/>
      <c r="M34" s="25"/>
      <c r="N34" s="25"/>
      <c r="O34" s="25"/>
      <c r="P34" s="64"/>
    </row>
    <row r="35" spans="1:16">
      <c r="A35" s="63"/>
      <c r="B35" s="25"/>
      <c r="C35" s="358" t="s">
        <v>168</v>
      </c>
      <c r="D35" s="604"/>
      <c r="E35" s="319">
        <f>SUM(E30:E34)</f>
        <v>0</v>
      </c>
      <c r="F35" s="319">
        <f>SUM(F30:F34)</f>
        <v>0</v>
      </c>
      <c r="G35" s="323">
        <f>+E35-F35</f>
        <v>0</v>
      </c>
      <c r="H35" s="325" t="e">
        <f t="shared" si="0"/>
        <v>#DIV/0!</v>
      </c>
      <c r="I35" s="25"/>
      <c r="J35" s="25"/>
      <c r="K35" s="25"/>
      <c r="L35" s="25"/>
      <c r="M35" s="25"/>
      <c r="N35" s="25"/>
      <c r="O35" s="25"/>
      <c r="P35" s="64"/>
    </row>
    <row r="36" spans="1:16">
      <c r="A36" s="349"/>
      <c r="B36" s="47"/>
      <c r="C36" s="47"/>
      <c r="D36" s="25"/>
      <c r="E36" s="47"/>
      <c r="F36" s="262"/>
      <c r="G36" s="262"/>
      <c r="H36" s="262"/>
      <c r="I36" s="263"/>
      <c r="J36" s="263"/>
      <c r="K36" s="25"/>
      <c r="L36" s="25"/>
      <c r="M36" s="25"/>
      <c r="N36" s="25"/>
      <c r="O36" s="25"/>
      <c r="P36" s="64"/>
    </row>
    <row r="37" spans="1:16">
      <c r="A37" s="63"/>
      <c r="B37" s="47" t="s">
        <v>169</v>
      </c>
      <c r="C37" s="47"/>
      <c r="D37" s="25"/>
      <c r="E37" s="327"/>
      <c r="F37" s="327"/>
      <c r="G37" s="327">
        <f>E37-F37</f>
        <v>0</v>
      </c>
      <c r="H37" s="327" t="e">
        <f>G37/F37</f>
        <v>#DIV/0!</v>
      </c>
      <c r="I37" s="25"/>
      <c r="J37" s="25"/>
      <c r="K37" s="868"/>
      <c r="L37" s="868"/>
      <c r="M37" s="25"/>
      <c r="N37" s="25"/>
      <c r="O37" s="25"/>
      <c r="P37" s="64"/>
    </row>
    <row r="38" spans="1:16">
      <c r="A38" s="63"/>
      <c r="B38" s="47"/>
      <c r="C38" s="25"/>
      <c r="D38" s="25"/>
      <c r="E38" s="25"/>
      <c r="F38" s="29"/>
      <c r="G38" s="25"/>
      <c r="H38" s="25"/>
      <c r="I38" s="25"/>
      <c r="J38" s="25"/>
      <c r="K38" s="25"/>
      <c r="L38" s="25"/>
      <c r="M38" s="25"/>
      <c r="N38" s="25"/>
      <c r="O38" s="25"/>
      <c r="P38" s="64"/>
    </row>
    <row r="39" spans="1:16">
      <c r="A39" s="63"/>
      <c r="B39" s="359" t="s">
        <v>170</v>
      </c>
      <c r="C39" s="25"/>
      <c r="D39" s="25"/>
      <c r="E39" s="328" t="e">
        <f>E35/E37</f>
        <v>#DIV/0!</v>
      </c>
      <c r="F39" s="328" t="e">
        <f>F35/F37</f>
        <v>#DIV/0!</v>
      </c>
      <c r="G39" s="331" t="e">
        <f>E39-F39</f>
        <v>#DIV/0!</v>
      </c>
      <c r="H39" s="25"/>
      <c r="I39" s="25"/>
      <c r="J39" s="330"/>
      <c r="K39" s="869"/>
      <c r="L39" s="869"/>
      <c r="M39" s="25"/>
      <c r="N39" s="25"/>
      <c r="O39" s="25"/>
      <c r="P39" s="64"/>
    </row>
    <row r="40" spans="1:16">
      <c r="A40" s="53"/>
      <c r="B40" s="359"/>
      <c r="C40" s="359"/>
      <c r="D40" s="47"/>
      <c r="E40" s="47"/>
      <c r="F40" s="47"/>
      <c r="G40" s="47"/>
      <c r="H40" s="29"/>
      <c r="I40" s="25"/>
      <c r="J40" s="25"/>
      <c r="K40" s="25"/>
      <c r="L40" s="25"/>
      <c r="M40" s="25"/>
      <c r="N40" s="25"/>
      <c r="O40" s="25"/>
      <c r="P40" s="64"/>
    </row>
    <row r="41" spans="1:16">
      <c r="A41" s="349"/>
      <c r="B41" s="47"/>
      <c r="C41" s="47"/>
      <c r="D41" s="47"/>
      <c r="E41" s="47"/>
      <c r="F41" s="47"/>
      <c r="G41" s="47"/>
      <c r="H41" s="29"/>
      <c r="I41" s="25"/>
      <c r="J41" s="25"/>
      <c r="K41" s="25"/>
      <c r="L41" s="25"/>
      <c r="M41" s="25"/>
      <c r="N41" s="25"/>
      <c r="O41" s="25"/>
      <c r="P41" s="64"/>
    </row>
    <row r="42" spans="1:16" ht="45.75" customHeight="1">
      <c r="A42" s="872" t="s">
        <v>171</v>
      </c>
      <c r="B42" s="873"/>
      <c r="C42" s="873"/>
      <c r="D42" s="873"/>
      <c r="E42" s="873"/>
      <c r="F42" s="873"/>
      <c r="G42" s="873"/>
      <c r="H42" s="873"/>
      <c r="I42" s="873"/>
      <c r="J42" s="873"/>
      <c r="K42" s="873"/>
      <c r="L42" s="873"/>
      <c r="M42" s="873"/>
      <c r="N42" s="873"/>
      <c r="O42" s="873"/>
      <c r="P42" s="874"/>
    </row>
    <row r="43" spans="1:16" ht="15.75" thickBot="1">
      <c r="A43" s="360"/>
      <c r="B43" s="361"/>
      <c r="C43" s="361"/>
      <c r="D43" s="361"/>
      <c r="E43" s="361"/>
      <c r="F43" s="361"/>
      <c r="G43" s="361"/>
      <c r="H43" s="73"/>
      <c r="I43" s="66"/>
      <c r="J43" s="66"/>
      <c r="K43" s="66"/>
      <c r="L43" s="66"/>
      <c r="M43" s="66"/>
      <c r="N43" s="66"/>
      <c r="O43" s="66"/>
      <c r="P43" s="67"/>
    </row>
    <row r="44" spans="1:16" ht="15.75" thickBot="1">
      <c r="A44" s="349"/>
      <c r="B44" s="47"/>
      <c r="C44" s="47"/>
      <c r="D44" s="47"/>
      <c r="E44" s="47"/>
      <c r="F44" s="47"/>
      <c r="G44" s="47"/>
      <c r="H44" s="29"/>
      <c r="I44" s="25"/>
      <c r="J44" s="25"/>
      <c r="K44" s="25"/>
      <c r="L44" s="25"/>
      <c r="M44" s="25"/>
      <c r="N44" s="25"/>
      <c r="O44" s="25"/>
      <c r="P44" s="25"/>
    </row>
    <row r="45" spans="1:16">
      <c r="A45" s="357"/>
      <c r="B45" s="72"/>
      <c r="C45" s="72"/>
      <c r="D45" s="72"/>
      <c r="E45" s="72"/>
      <c r="F45" s="72"/>
      <c r="G45" s="72"/>
      <c r="H45" s="141"/>
      <c r="I45" s="61"/>
      <c r="J45" s="61"/>
      <c r="K45" s="61"/>
      <c r="L45" s="61"/>
      <c r="M45" s="61"/>
      <c r="N45" s="61"/>
      <c r="O45" s="61"/>
      <c r="P45" s="62"/>
    </row>
    <row r="46" spans="1:16">
      <c r="A46" s="53" t="s">
        <v>172</v>
      </c>
      <c r="B46" s="47"/>
      <c r="C46" s="47"/>
      <c r="D46" s="47"/>
      <c r="E46" s="47"/>
      <c r="F46" s="47"/>
      <c r="G46" s="47"/>
      <c r="H46" s="29"/>
      <c r="I46" s="25"/>
      <c r="J46" s="25"/>
      <c r="K46" s="25"/>
      <c r="L46" s="25"/>
      <c r="M46" s="25"/>
      <c r="N46" s="25"/>
      <c r="O46" s="25"/>
      <c r="P46" s="64"/>
    </row>
    <row r="47" spans="1:16">
      <c r="A47" s="349"/>
      <c r="B47" s="47"/>
      <c r="C47" s="47"/>
      <c r="D47" s="47"/>
      <c r="E47" s="47"/>
      <c r="F47" s="47"/>
      <c r="G47" s="47"/>
      <c r="H47" s="29"/>
      <c r="I47" s="25"/>
      <c r="J47" s="25"/>
      <c r="K47" s="25"/>
      <c r="L47" s="25"/>
      <c r="M47" s="25"/>
      <c r="N47" s="25"/>
      <c r="O47" s="25"/>
      <c r="P47" s="64"/>
    </row>
    <row r="48" spans="1:16" ht="31.5" customHeight="1">
      <c r="A48" s="866" t="s">
        <v>152</v>
      </c>
      <c r="B48" s="867"/>
      <c r="C48" s="362" t="s">
        <v>173</v>
      </c>
      <c r="D48" s="363" t="s">
        <v>174</v>
      </c>
      <c r="E48" s="362" t="s">
        <v>175</v>
      </c>
      <c r="F48" s="362" t="s">
        <v>176</v>
      </c>
      <c r="G48" s="364" t="s">
        <v>117</v>
      </c>
      <c r="H48" s="875" t="s">
        <v>67</v>
      </c>
      <c r="I48" s="875"/>
      <c r="J48" s="875"/>
      <c r="K48" s="875"/>
      <c r="L48" s="25"/>
      <c r="M48" s="25"/>
      <c r="N48" s="25"/>
      <c r="O48" s="25"/>
      <c r="P48" s="64"/>
    </row>
    <row r="49" spans="1:16">
      <c r="A49" s="500"/>
      <c r="B49" s="501"/>
      <c r="C49" s="365"/>
      <c r="D49" s="366"/>
      <c r="E49" s="367">
        <f>C49*D49</f>
        <v>0</v>
      </c>
      <c r="F49" s="368"/>
      <c r="G49" s="367">
        <f>F49-E49</f>
        <v>0</v>
      </c>
      <c r="H49" s="506"/>
      <c r="I49" s="507"/>
      <c r="J49" s="507"/>
      <c r="K49" s="488"/>
      <c r="L49" s="25"/>
      <c r="M49" s="25"/>
      <c r="N49" s="25"/>
      <c r="O49" s="25"/>
      <c r="P49" s="64"/>
    </row>
    <row r="50" spans="1:16">
      <c r="A50" s="502"/>
      <c r="B50" s="503"/>
      <c r="C50" s="369"/>
      <c r="D50" s="370"/>
      <c r="E50" s="371">
        <f>C50*D50</f>
        <v>0</v>
      </c>
      <c r="F50" s="372"/>
      <c r="G50" s="371">
        <f>F50-E50</f>
        <v>0</v>
      </c>
      <c r="H50" s="508"/>
      <c r="I50" s="509"/>
      <c r="J50" s="509"/>
      <c r="K50" s="490"/>
      <c r="L50" s="25"/>
      <c r="M50" s="25"/>
      <c r="N50" s="25"/>
      <c r="O50" s="25"/>
      <c r="P50" s="64"/>
    </row>
    <row r="51" spans="1:16">
      <c r="A51" s="502"/>
      <c r="B51" s="503"/>
      <c r="C51" s="369"/>
      <c r="D51" s="370"/>
      <c r="E51" s="371">
        <f>C51*D51</f>
        <v>0</v>
      </c>
      <c r="F51" s="372"/>
      <c r="G51" s="371">
        <f>F51-E51</f>
        <v>0</v>
      </c>
      <c r="H51" s="508"/>
      <c r="I51" s="509"/>
      <c r="J51" s="509"/>
      <c r="K51" s="490"/>
      <c r="L51" s="25"/>
      <c r="M51" s="25"/>
      <c r="N51" s="25"/>
      <c r="O51" s="25"/>
      <c r="P51" s="64"/>
    </row>
    <row r="52" spans="1:16">
      <c r="A52" s="504"/>
      <c r="B52" s="505"/>
      <c r="C52" s="373"/>
      <c r="D52" s="374"/>
      <c r="E52" s="375">
        <f>C52*D52</f>
        <v>0</v>
      </c>
      <c r="F52" s="376"/>
      <c r="G52" s="375">
        <f>F52-E52</f>
        <v>0</v>
      </c>
      <c r="H52" s="510"/>
      <c r="I52" s="511"/>
      <c r="J52" s="511"/>
      <c r="K52" s="492"/>
      <c r="L52" s="25"/>
      <c r="M52" s="25"/>
      <c r="N52" s="25"/>
      <c r="O52" s="25"/>
      <c r="P52" s="64"/>
    </row>
    <row r="53" spans="1:16" ht="15.75" thickBot="1">
      <c r="A53" s="360"/>
      <c r="B53" s="361"/>
      <c r="C53" s="361"/>
      <c r="D53" s="361"/>
      <c r="E53" s="361"/>
      <c r="F53" s="361"/>
      <c r="G53" s="361"/>
      <c r="H53" s="73"/>
      <c r="I53" s="66"/>
      <c r="J53" s="66"/>
      <c r="K53" s="66"/>
      <c r="L53" s="66"/>
      <c r="M53" s="66"/>
      <c r="N53" s="66"/>
      <c r="O53" s="66"/>
      <c r="P53" s="67"/>
    </row>
    <row r="54" spans="1:16" ht="15.75" thickBot="1">
      <c r="A54" s="349"/>
      <c r="B54" s="47"/>
      <c r="C54" s="47"/>
      <c r="D54" s="47"/>
      <c r="E54" s="47"/>
      <c r="F54" s="47"/>
      <c r="G54" s="47"/>
      <c r="H54" s="29"/>
      <c r="I54" s="25"/>
      <c r="J54" s="25"/>
      <c r="K54" s="25"/>
      <c r="L54" s="25"/>
      <c r="M54" s="25"/>
      <c r="N54" s="25"/>
      <c r="O54" s="25"/>
      <c r="P54" s="25"/>
    </row>
    <row r="55" spans="1:16">
      <c r="A55" s="357"/>
      <c r="B55" s="72"/>
      <c r="C55" s="72"/>
      <c r="D55" s="72"/>
      <c r="E55" s="72"/>
      <c r="F55" s="72"/>
      <c r="G55" s="72"/>
      <c r="H55" s="141"/>
      <c r="I55" s="61"/>
      <c r="J55" s="61"/>
      <c r="K55" s="61"/>
      <c r="L55" s="61"/>
      <c r="M55" s="61"/>
      <c r="N55" s="61"/>
      <c r="O55" s="61"/>
      <c r="P55" s="62"/>
    </row>
    <row r="56" spans="1:16">
      <c r="A56" s="53" t="s">
        <v>177</v>
      </c>
      <c r="B56" s="47"/>
      <c r="C56" s="47"/>
      <c r="D56" s="47"/>
      <c r="E56" s="47"/>
      <c r="F56" s="47"/>
      <c r="G56" s="47"/>
      <c r="H56" s="29"/>
      <c r="I56" s="25"/>
      <c r="J56" s="25"/>
      <c r="K56" s="25"/>
      <c r="L56" s="25"/>
      <c r="M56" s="25"/>
      <c r="N56" s="25"/>
      <c r="O56" s="25"/>
      <c r="P56" s="64"/>
    </row>
    <row r="57" spans="1:16">
      <c r="A57" s="349"/>
      <c r="B57" s="47"/>
      <c r="C57" s="47"/>
      <c r="D57" s="47"/>
      <c r="E57" s="47"/>
      <c r="F57" s="47"/>
      <c r="G57" s="47"/>
      <c r="H57" s="29"/>
      <c r="I57" s="25"/>
      <c r="J57" s="25"/>
      <c r="K57" s="25"/>
      <c r="L57" s="25"/>
      <c r="M57" s="25"/>
      <c r="N57" s="25"/>
      <c r="O57" s="25"/>
      <c r="P57" s="64"/>
    </row>
    <row r="58" spans="1:16" ht="45.75" customHeight="1">
      <c r="A58" s="866" t="s">
        <v>152</v>
      </c>
      <c r="B58" s="867"/>
      <c r="C58" s="587" t="s">
        <v>178</v>
      </c>
      <c r="D58" s="587" t="s">
        <v>179</v>
      </c>
      <c r="E58" s="587" t="s">
        <v>117</v>
      </c>
      <c r="F58" s="860" t="s">
        <v>67</v>
      </c>
      <c r="G58" s="861"/>
      <c r="H58" s="861"/>
      <c r="I58" s="861"/>
      <c r="J58" s="861"/>
      <c r="K58" s="862"/>
      <c r="L58" s="25"/>
      <c r="M58" s="25"/>
      <c r="N58" s="25"/>
      <c r="O58" s="25"/>
      <c r="P58" s="64"/>
    </row>
    <row r="59" spans="1:16">
      <c r="A59" s="500"/>
      <c r="B59" s="501"/>
      <c r="C59" s="519"/>
      <c r="D59" s="520"/>
      <c r="E59" s="377">
        <f>C59-D59</f>
        <v>0</v>
      </c>
      <c r="F59" s="512"/>
      <c r="G59" s="513"/>
      <c r="H59" s="513"/>
      <c r="I59" s="513"/>
      <c r="J59" s="513"/>
      <c r="K59" s="514"/>
      <c r="L59" s="25"/>
      <c r="M59" s="25"/>
      <c r="N59" s="25"/>
      <c r="O59" s="25"/>
      <c r="P59" s="64"/>
    </row>
    <row r="60" spans="1:16">
      <c r="A60" s="502"/>
      <c r="B60" s="503"/>
      <c r="C60" s="521"/>
      <c r="D60" s="522"/>
      <c r="E60" s="378">
        <f>C60-D60</f>
        <v>0</v>
      </c>
      <c r="F60" s="605"/>
      <c r="G60" s="515"/>
      <c r="H60" s="515"/>
      <c r="I60" s="515"/>
      <c r="J60" s="515"/>
      <c r="K60" s="516"/>
      <c r="L60" s="25"/>
      <c r="M60" s="25"/>
      <c r="N60" s="25"/>
      <c r="O60" s="25"/>
      <c r="P60" s="64"/>
    </row>
    <row r="61" spans="1:16">
      <c r="A61" s="502"/>
      <c r="B61" s="503"/>
      <c r="C61" s="521"/>
      <c r="D61" s="522"/>
      <c r="E61" s="378">
        <f>C61-D61</f>
        <v>0</v>
      </c>
      <c r="F61" s="605"/>
      <c r="G61" s="515"/>
      <c r="H61" s="515"/>
      <c r="I61" s="515"/>
      <c r="J61" s="515"/>
      <c r="K61" s="516"/>
      <c r="L61" s="25"/>
      <c r="M61" s="25"/>
      <c r="N61" s="25"/>
      <c r="O61" s="25"/>
      <c r="P61" s="64"/>
    </row>
    <row r="62" spans="1:16">
      <c r="A62" s="504"/>
      <c r="B62" s="505"/>
      <c r="C62" s="523"/>
      <c r="D62" s="524"/>
      <c r="E62" s="419">
        <f>C62-D62</f>
        <v>0</v>
      </c>
      <c r="F62" s="606"/>
      <c r="G62" s="517"/>
      <c r="H62" s="517"/>
      <c r="I62" s="517"/>
      <c r="J62" s="517"/>
      <c r="K62" s="518"/>
      <c r="L62" s="25"/>
      <c r="M62" s="25"/>
      <c r="N62" s="25"/>
      <c r="O62" s="25"/>
      <c r="P62" s="64"/>
    </row>
    <row r="63" spans="1:16" ht="15.75" thickBot="1">
      <c r="A63" s="65"/>
      <c r="B63" s="66"/>
      <c r="C63" s="66"/>
      <c r="D63" s="66"/>
      <c r="E63" s="66"/>
      <c r="F63" s="66"/>
      <c r="G63" s="66"/>
      <c r="H63" s="66"/>
      <c r="I63" s="66"/>
      <c r="J63" s="66"/>
      <c r="K63" s="66"/>
      <c r="L63" s="66"/>
      <c r="M63" s="66"/>
      <c r="N63" s="66"/>
      <c r="O63" s="66"/>
      <c r="P63" s="67"/>
    </row>
  </sheetData>
  <sheetProtection formatCells="0" formatColumns="0" formatRows="0" insertColumns="0" insertRows="0" insertHyperlinks="0" deleteColumns="0" deleteRows="0" sort="0" autoFilter="0" pivotTables="0"/>
  <mergeCells count="25">
    <mergeCell ref="A42:P42"/>
    <mergeCell ref="H48:K48"/>
    <mergeCell ref="O9:P9"/>
    <mergeCell ref="A9:C9"/>
    <mergeCell ref="D9:E9"/>
    <mergeCell ref="F9:I9"/>
    <mergeCell ref="J9:K9"/>
    <mergeCell ref="L9:N9"/>
    <mergeCell ref="A48:B48"/>
    <mergeCell ref="F58:K58"/>
    <mergeCell ref="D1:M2"/>
    <mergeCell ref="A3:P5"/>
    <mergeCell ref="E6:L7"/>
    <mergeCell ref="M6:N6"/>
    <mergeCell ref="O6:P6"/>
    <mergeCell ref="M7:N7"/>
    <mergeCell ref="O7:P7"/>
    <mergeCell ref="A58:B58"/>
    <mergeCell ref="O8:P8"/>
    <mergeCell ref="K37:L37"/>
    <mergeCell ref="K39:L39"/>
    <mergeCell ref="A11:P11"/>
    <mergeCell ref="A13:P13"/>
    <mergeCell ref="A14:P14"/>
    <mergeCell ref="C29:D29"/>
  </mergeCells>
  <dataValidations count="2">
    <dataValidation type="list" showInputMessage="1" showErrorMessage="1" sqref="D9:E9" xr:uid="{00000000-0002-0000-0800-000000000000}">
      <formula1>RAS</formula1>
    </dataValidation>
    <dataValidation type="list" allowBlank="1" showInputMessage="1" showErrorMessage="1" sqref="O9:P9" xr:uid="{00000000-0002-0000-0800-000001000000}">
      <formula1>Diligences</formula1>
    </dataValidation>
  </dataValidations>
  <hyperlinks>
    <hyperlink ref="O8:P8" location="'A Synthèse'!Zone_d_impression" display="A Synthèse" xr:uid="{00000000-0004-0000-08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9"/>
  <dimension ref="A1:U39"/>
  <sheetViews>
    <sheetView showGridLines="0" zoomScale="80" zoomScaleNormal="80" workbookViewId="0">
      <selection activeCell="O10" sqref="O10"/>
    </sheetView>
  </sheetViews>
  <sheetFormatPr baseColWidth="10" defaultColWidth="11.42578125" defaultRowHeight="15.75"/>
  <cols>
    <col min="1" max="1" width="14.7109375" style="7" customWidth="1"/>
    <col min="2" max="2" width="12.28515625" style="7" customWidth="1"/>
    <col min="3" max="3" width="21.28515625" style="7" customWidth="1"/>
    <col min="4" max="16" width="14.7109375" style="7" customWidth="1"/>
    <col min="17" max="16384" width="11.42578125" style="7"/>
  </cols>
  <sheetData>
    <row r="1" spans="1:21" s="1" customFormat="1" ht="15" customHeight="1">
      <c r="A1" s="10"/>
      <c r="B1" s="11"/>
      <c r="C1" s="11"/>
      <c r="D1" s="745" t="str">
        <f>'A Synthèse'!D1:M2</f>
        <v>#NomClient</v>
      </c>
      <c r="E1" s="765"/>
      <c r="F1" s="765"/>
      <c r="G1" s="765"/>
      <c r="H1" s="765"/>
      <c r="I1" s="765"/>
      <c r="J1" s="765"/>
      <c r="K1" s="765"/>
      <c r="L1" s="765"/>
      <c r="M1" s="766"/>
      <c r="N1" s="11"/>
      <c r="O1" s="11"/>
      <c r="P1" s="12"/>
    </row>
    <row r="2" spans="1:21" s="1" customFormat="1" ht="15" customHeight="1" thickBot="1">
      <c r="A2" s="13"/>
      <c r="B2" s="14"/>
      <c r="C2" s="14"/>
      <c r="D2" s="767"/>
      <c r="E2" s="768"/>
      <c r="F2" s="768"/>
      <c r="G2" s="768"/>
      <c r="H2" s="768"/>
      <c r="I2" s="768"/>
      <c r="J2" s="768"/>
      <c r="K2" s="768"/>
      <c r="L2" s="768"/>
      <c r="M2" s="769"/>
      <c r="N2" s="14"/>
      <c r="O2" s="14"/>
      <c r="P2" s="15"/>
    </row>
    <row r="3" spans="1:21" ht="15" customHeight="1">
      <c r="A3" s="709" t="s">
        <v>3</v>
      </c>
      <c r="B3" s="710"/>
      <c r="C3" s="710"/>
      <c r="D3" s="710"/>
      <c r="E3" s="710"/>
      <c r="F3" s="710"/>
      <c r="G3" s="710"/>
      <c r="H3" s="710"/>
      <c r="I3" s="710"/>
      <c r="J3" s="710"/>
      <c r="K3" s="710"/>
      <c r="L3" s="710"/>
      <c r="M3" s="710"/>
      <c r="N3" s="710"/>
      <c r="O3" s="710"/>
      <c r="P3" s="711"/>
      <c r="R3" s="3"/>
      <c r="T3" s="5"/>
      <c r="U3" s="6"/>
    </row>
    <row r="4" spans="1:21" ht="15" customHeight="1">
      <c r="A4" s="709"/>
      <c r="B4" s="710"/>
      <c r="C4" s="710"/>
      <c r="D4" s="710"/>
      <c r="E4" s="710"/>
      <c r="F4" s="710"/>
      <c r="G4" s="710"/>
      <c r="H4" s="710"/>
      <c r="I4" s="710"/>
      <c r="J4" s="710"/>
      <c r="K4" s="710"/>
      <c r="L4" s="710"/>
      <c r="M4" s="710"/>
      <c r="N4" s="710"/>
      <c r="O4" s="710"/>
      <c r="P4" s="711"/>
      <c r="R4" s="3"/>
      <c r="T4" s="5"/>
      <c r="U4" s="6"/>
    </row>
    <row r="5" spans="1:21" ht="15" customHeight="1" thickBot="1">
      <c r="A5" s="712"/>
      <c r="B5" s="713"/>
      <c r="C5" s="713"/>
      <c r="D5" s="713"/>
      <c r="E5" s="713"/>
      <c r="F5" s="713"/>
      <c r="G5" s="713"/>
      <c r="H5" s="713"/>
      <c r="I5" s="713"/>
      <c r="J5" s="713"/>
      <c r="K5" s="713"/>
      <c r="L5" s="713"/>
      <c r="M5" s="713"/>
      <c r="N5" s="713"/>
      <c r="O5" s="713"/>
      <c r="P5" s="714"/>
      <c r="Q5" s="8"/>
      <c r="R5" s="4"/>
      <c r="S5" s="23"/>
      <c r="T5" s="23"/>
      <c r="U5" s="23"/>
    </row>
    <row r="6" spans="1:21" ht="15" customHeight="1">
      <c r="A6" s="17" t="s">
        <v>6</v>
      </c>
      <c r="B6" s="271" t="str">
        <f>'A Synthèse'!B6</f>
        <v>BRA</v>
      </c>
      <c r="C6" s="17" t="s">
        <v>7</v>
      </c>
      <c r="D6" s="271">
        <f>'A Synthèse'!D6</f>
        <v>0</v>
      </c>
      <c r="E6" s="715" t="s">
        <v>180</v>
      </c>
      <c r="F6" s="716"/>
      <c r="G6" s="716"/>
      <c r="H6" s="716"/>
      <c r="I6" s="716"/>
      <c r="J6" s="716"/>
      <c r="K6" s="716"/>
      <c r="L6" s="717"/>
      <c r="M6" s="770" t="s">
        <v>9</v>
      </c>
      <c r="N6" s="771"/>
      <c r="O6" s="721" t="s">
        <v>10</v>
      </c>
      <c r="P6" s="722"/>
      <c r="R6" s="1"/>
      <c r="S6" s="1"/>
    </row>
    <row r="7" spans="1:21" ht="15" customHeight="1" thickBot="1">
      <c r="A7" s="18" t="s">
        <v>12</v>
      </c>
      <c r="B7" s="272">
        <f>'A Synthèse'!B7</f>
        <v>0</v>
      </c>
      <c r="C7" s="18" t="s">
        <v>12</v>
      </c>
      <c r="D7" s="272">
        <f>'A Synthèse'!D7</f>
        <v>0</v>
      </c>
      <c r="E7" s="718"/>
      <c r="F7" s="719"/>
      <c r="G7" s="719"/>
      <c r="H7" s="719"/>
      <c r="I7" s="719"/>
      <c r="J7" s="719"/>
      <c r="K7" s="719"/>
      <c r="L7" s="720"/>
      <c r="M7" s="772" t="str">
        <f>'A Synthèse'!M7:M7</f>
        <v>#DateClôture</v>
      </c>
      <c r="N7" s="773"/>
      <c r="O7" s="723" t="s">
        <v>46</v>
      </c>
      <c r="P7" s="724"/>
    </row>
    <row r="8" spans="1:21" ht="21" customHeight="1" thickBot="1">
      <c r="A8" s="19"/>
      <c r="B8" s="16"/>
      <c r="C8" s="20"/>
      <c r="D8" s="20"/>
      <c r="E8" s="21"/>
      <c r="F8" s="21"/>
      <c r="G8" s="21"/>
      <c r="H8" s="21"/>
      <c r="I8" s="21"/>
      <c r="J8" s="21"/>
      <c r="K8" s="21"/>
      <c r="L8" s="21"/>
      <c r="M8" s="22"/>
      <c r="N8" s="20"/>
      <c r="O8" s="776" t="s">
        <v>66</v>
      </c>
      <c r="P8" s="776"/>
    </row>
    <row r="9" spans="1:21" s="20" customFormat="1" ht="31.5" customHeight="1" thickBot="1">
      <c r="A9" s="733" t="s">
        <v>17</v>
      </c>
      <c r="B9" s="734"/>
      <c r="C9" s="734"/>
      <c r="D9" s="763" t="str">
        <f>'A Synthèse'!D9:E9</f>
        <v>Modéré</v>
      </c>
      <c r="E9" s="764"/>
      <c r="F9" s="735" t="s">
        <v>18</v>
      </c>
      <c r="G9" s="736"/>
      <c r="H9" s="736"/>
      <c r="I9" s="736"/>
      <c r="J9" s="774">
        <f>'A Synthèse'!J9:K9</f>
        <v>0</v>
      </c>
      <c r="K9" s="775"/>
      <c r="L9" s="735" t="s">
        <v>19</v>
      </c>
      <c r="M9" s="736"/>
      <c r="N9" s="736"/>
      <c r="O9" s="763" t="str">
        <f>'A Synthèse'!N9</f>
        <v>PE</v>
      </c>
      <c r="P9" s="764"/>
    </row>
    <row r="10" spans="1:21" s="20" customFormat="1" ht="21" customHeight="1" thickBot="1">
      <c r="A10" s="24"/>
      <c r="B10" s="24"/>
      <c r="C10" s="24"/>
      <c r="D10" s="24"/>
      <c r="E10" s="24"/>
      <c r="F10" s="24"/>
      <c r="G10" s="24"/>
      <c r="H10" s="24"/>
      <c r="I10" s="24"/>
      <c r="J10" s="24"/>
      <c r="K10" s="24"/>
      <c r="L10" s="24"/>
      <c r="M10" s="24"/>
      <c r="N10" s="24"/>
      <c r="O10" s="24"/>
      <c r="P10" s="24"/>
    </row>
    <row r="11" spans="1:21" s="25" customFormat="1" ht="111.6" customHeight="1" thickBot="1">
      <c r="A11" s="778" t="s">
        <v>181</v>
      </c>
      <c r="B11" s="779"/>
      <c r="C11" s="779"/>
      <c r="D11" s="779"/>
      <c r="E11" s="779"/>
      <c r="F11" s="779"/>
      <c r="G11" s="779"/>
      <c r="H11" s="779"/>
      <c r="I11" s="779"/>
      <c r="J11" s="779"/>
      <c r="K11" s="779"/>
      <c r="L11" s="779"/>
      <c r="M11" s="779"/>
      <c r="N11" s="779"/>
      <c r="O11" s="779"/>
      <c r="P11" s="780"/>
    </row>
    <row r="12" spans="1:21" s="25" customFormat="1" ht="9" customHeight="1" thickBot="1"/>
    <row r="13" spans="1:21" s="25" customFormat="1" ht="15">
      <c r="A13" s="781" t="s">
        <v>69</v>
      </c>
      <c r="B13" s="782"/>
      <c r="C13" s="782"/>
      <c r="D13" s="782"/>
      <c r="E13" s="782"/>
      <c r="F13" s="782"/>
      <c r="G13" s="782"/>
      <c r="H13" s="782"/>
      <c r="I13" s="782"/>
      <c r="J13" s="782"/>
      <c r="K13" s="782"/>
      <c r="L13" s="782"/>
      <c r="M13" s="782"/>
      <c r="N13" s="782"/>
      <c r="O13" s="782"/>
      <c r="P13" s="783"/>
    </row>
    <row r="14" spans="1:21" s="25" customFormat="1" ht="60" customHeight="1" thickBot="1">
      <c r="A14" s="784"/>
      <c r="B14" s="785"/>
      <c r="C14" s="785"/>
      <c r="D14" s="785"/>
      <c r="E14" s="785"/>
      <c r="F14" s="785"/>
      <c r="G14" s="785"/>
      <c r="H14" s="785"/>
      <c r="I14" s="785"/>
      <c r="J14" s="785"/>
      <c r="K14" s="785"/>
      <c r="L14" s="785"/>
      <c r="M14" s="785"/>
      <c r="N14" s="785"/>
      <c r="O14" s="785"/>
      <c r="P14" s="786"/>
    </row>
    <row r="15" spans="1:21" ht="16.5" thickBot="1"/>
    <row r="16" spans="1:21">
      <c r="A16" s="142"/>
      <c r="B16" s="162"/>
      <c r="C16" s="163"/>
      <c r="D16" s="164"/>
      <c r="E16" s="163"/>
      <c r="F16" s="163"/>
      <c r="G16" s="163"/>
      <c r="H16" s="163"/>
      <c r="I16" s="163"/>
      <c r="J16" s="143"/>
      <c r="K16" s="143"/>
      <c r="L16" s="143"/>
      <c r="M16" s="143"/>
      <c r="N16" s="143"/>
      <c r="O16" s="143"/>
      <c r="P16" s="144"/>
    </row>
    <row r="17" spans="1:16">
      <c r="A17" s="165" t="s">
        <v>182</v>
      </c>
      <c r="C17" s="166"/>
      <c r="D17" s="167"/>
      <c r="E17" s="166"/>
      <c r="F17" s="166"/>
      <c r="G17" s="237"/>
      <c r="H17" s="237"/>
      <c r="I17" s="166"/>
      <c r="P17" s="145"/>
    </row>
    <row r="18" spans="1:16">
      <c r="A18" s="165"/>
      <c r="C18" s="166"/>
      <c r="D18" s="167"/>
      <c r="E18" s="166"/>
      <c r="F18" s="166"/>
      <c r="G18" s="166"/>
      <c r="H18" s="166"/>
      <c r="I18" s="166"/>
      <c r="P18" s="145"/>
    </row>
    <row r="19" spans="1:16" ht="45.75" customHeight="1">
      <c r="A19" s="877" t="s">
        <v>183</v>
      </c>
      <c r="B19" s="878"/>
      <c r="C19" s="878"/>
      <c r="D19" s="584" t="s">
        <v>129</v>
      </c>
      <c r="E19" s="584" t="s">
        <v>130</v>
      </c>
      <c r="F19" s="584" t="s">
        <v>107</v>
      </c>
      <c r="G19" s="584" t="s">
        <v>131</v>
      </c>
      <c r="H19" s="584" t="s">
        <v>132</v>
      </c>
      <c r="I19" s="525" t="s">
        <v>133</v>
      </c>
      <c r="J19" s="876" t="s">
        <v>88</v>
      </c>
      <c r="K19" s="876"/>
      <c r="L19" s="876"/>
      <c r="M19" s="876"/>
      <c r="N19" s="876"/>
      <c r="O19" s="876"/>
      <c r="P19" s="876"/>
    </row>
    <row r="20" spans="1:16">
      <c r="A20" s="607"/>
      <c r="B20" s="578"/>
      <c r="C20" s="578"/>
      <c r="D20" s="252"/>
      <c r="E20" s="251"/>
      <c r="F20" s="251">
        <f>D20-E20</f>
        <v>0</v>
      </c>
      <c r="G20" s="230" t="e">
        <f>F20/E20</f>
        <v>#DIV/0!</v>
      </c>
      <c r="H20" s="252"/>
      <c r="I20" s="252"/>
      <c r="J20" s="817"/>
      <c r="K20" s="818"/>
      <c r="L20" s="818"/>
      <c r="M20" s="818"/>
      <c r="N20" s="818"/>
      <c r="O20" s="818"/>
      <c r="P20" s="849"/>
    </row>
    <row r="21" spans="1:16">
      <c r="A21" s="608"/>
      <c r="B21" s="461"/>
      <c r="C21" s="462"/>
      <c r="D21" s="252"/>
      <c r="E21" s="251"/>
      <c r="F21" s="251">
        <f t="shared" ref="F21:F26" si="0">D21-E21</f>
        <v>0</v>
      </c>
      <c r="G21" s="230" t="e">
        <f t="shared" ref="G21:G26" si="1">F21/E21</f>
        <v>#DIV/0!</v>
      </c>
      <c r="H21" s="252"/>
      <c r="I21" s="252"/>
      <c r="J21" s="817"/>
      <c r="K21" s="818"/>
      <c r="L21" s="818"/>
      <c r="M21" s="818"/>
      <c r="N21" s="818"/>
      <c r="O21" s="818"/>
      <c r="P21" s="849"/>
    </row>
    <row r="22" spans="1:16">
      <c r="A22" s="608"/>
      <c r="B22" s="461"/>
      <c r="C22" s="462"/>
      <c r="D22" s="252"/>
      <c r="E22" s="251"/>
      <c r="F22" s="251">
        <f t="shared" si="0"/>
        <v>0</v>
      </c>
      <c r="G22" s="230" t="e">
        <f t="shared" si="1"/>
        <v>#DIV/0!</v>
      </c>
      <c r="H22" s="252"/>
      <c r="I22" s="252"/>
      <c r="J22" s="817"/>
      <c r="K22" s="818"/>
      <c r="L22" s="818"/>
      <c r="M22" s="818"/>
      <c r="N22" s="818"/>
      <c r="O22" s="818"/>
      <c r="P22" s="849"/>
    </row>
    <row r="23" spans="1:16">
      <c r="A23" s="608"/>
      <c r="B23" s="461"/>
      <c r="C23" s="462"/>
      <c r="D23" s="252"/>
      <c r="E23" s="251"/>
      <c r="F23" s="251">
        <f t="shared" si="0"/>
        <v>0</v>
      </c>
      <c r="G23" s="230" t="e">
        <f t="shared" si="1"/>
        <v>#DIV/0!</v>
      </c>
      <c r="H23" s="252"/>
      <c r="I23" s="252"/>
      <c r="J23" s="817"/>
      <c r="K23" s="818"/>
      <c r="L23" s="818"/>
      <c r="M23" s="818"/>
      <c r="N23" s="818"/>
      <c r="O23" s="818"/>
      <c r="P23" s="849"/>
    </row>
    <row r="24" spans="1:16">
      <c r="A24" s="608"/>
      <c r="B24" s="461"/>
      <c r="C24" s="462"/>
      <c r="D24" s="252"/>
      <c r="E24" s="251"/>
      <c r="F24" s="251">
        <f t="shared" si="0"/>
        <v>0</v>
      </c>
      <c r="G24" s="230" t="e">
        <f t="shared" si="1"/>
        <v>#DIV/0!</v>
      </c>
      <c r="H24" s="252"/>
      <c r="I24" s="252"/>
      <c r="J24" s="817"/>
      <c r="K24" s="818"/>
      <c r="L24" s="818"/>
      <c r="M24" s="818"/>
      <c r="N24" s="818"/>
      <c r="O24" s="818"/>
      <c r="P24" s="849"/>
    </row>
    <row r="25" spans="1:16">
      <c r="A25" s="608"/>
      <c r="B25" s="461"/>
      <c r="C25" s="462"/>
      <c r="D25" s="252"/>
      <c r="E25" s="251"/>
      <c r="F25" s="251">
        <f t="shared" si="0"/>
        <v>0</v>
      </c>
      <c r="G25" s="230" t="e">
        <f t="shared" si="1"/>
        <v>#DIV/0!</v>
      </c>
      <c r="H25" s="252"/>
      <c r="I25" s="252"/>
      <c r="J25" s="817"/>
      <c r="K25" s="818"/>
      <c r="L25" s="818"/>
      <c r="M25" s="818"/>
      <c r="N25" s="818"/>
      <c r="O25" s="818"/>
      <c r="P25" s="849"/>
    </row>
    <row r="26" spans="1:16">
      <c r="A26" s="609"/>
      <c r="B26" s="466"/>
      <c r="C26" s="467"/>
      <c r="D26" s="412"/>
      <c r="E26" s="410"/>
      <c r="F26" s="410">
        <f t="shared" si="0"/>
        <v>0</v>
      </c>
      <c r="G26" s="411" t="e">
        <f t="shared" si="1"/>
        <v>#DIV/0!</v>
      </c>
      <c r="H26" s="412"/>
      <c r="I26" s="412"/>
      <c r="J26" s="832"/>
      <c r="K26" s="833"/>
      <c r="L26" s="833"/>
      <c r="M26" s="833"/>
      <c r="N26" s="833"/>
      <c r="O26" s="833"/>
      <c r="P26" s="864"/>
    </row>
    <row r="27" spans="1:16">
      <c r="A27" s="233"/>
      <c r="B27" s="234"/>
      <c r="C27" s="583" t="s">
        <v>97</v>
      </c>
      <c r="D27" s="248">
        <f>SUM(D20:D26)</f>
        <v>0</v>
      </c>
      <c r="E27" s="248">
        <f>SUM(E20:E26)</f>
        <v>0</v>
      </c>
      <c r="F27" s="248">
        <f>SUM(F20:F26)</f>
        <v>0</v>
      </c>
      <c r="G27" s="249" t="e">
        <f>+F27/E27</f>
        <v>#DIV/0!</v>
      </c>
      <c r="H27" s="234"/>
      <c r="I27" s="234"/>
      <c r="J27" s="235"/>
      <c r="K27" s="235"/>
      <c r="L27" s="235"/>
      <c r="M27" s="235"/>
      <c r="N27" s="235"/>
      <c r="O27" s="235"/>
      <c r="P27" s="236"/>
    </row>
    <row r="28" spans="1:16">
      <c r="A28" s="146"/>
      <c r="B28" s="166"/>
      <c r="C28" s="166"/>
      <c r="D28" s="167"/>
      <c r="E28" s="166"/>
      <c r="F28" s="166"/>
      <c r="G28" s="166"/>
      <c r="H28" s="166"/>
      <c r="I28" s="166"/>
      <c r="P28" s="145"/>
    </row>
    <row r="29" spans="1:16">
      <c r="A29" s="165" t="s">
        <v>184</v>
      </c>
      <c r="C29" s="166"/>
      <c r="D29" s="147"/>
      <c r="E29" s="166"/>
      <c r="F29" s="147"/>
      <c r="G29" s="166"/>
      <c r="H29" s="166"/>
      <c r="I29" s="166"/>
      <c r="P29" s="145"/>
    </row>
    <row r="30" spans="1:16">
      <c r="A30" s="165"/>
      <c r="C30" s="166"/>
      <c r="D30" s="147"/>
      <c r="E30" s="166"/>
      <c r="F30" s="147"/>
      <c r="G30" s="166"/>
      <c r="H30" s="166"/>
      <c r="I30" s="166"/>
      <c r="P30" s="145"/>
    </row>
    <row r="31" spans="1:16" ht="45.75" customHeight="1">
      <c r="A31" s="823" t="s">
        <v>135</v>
      </c>
      <c r="B31" s="824"/>
      <c r="C31" s="209" t="s">
        <v>136</v>
      </c>
      <c r="D31" s="188" t="s">
        <v>136</v>
      </c>
      <c r="E31" s="188" t="s">
        <v>137</v>
      </c>
      <c r="F31" s="188" t="s">
        <v>138</v>
      </c>
      <c r="G31" s="188" t="s">
        <v>139</v>
      </c>
      <c r="H31" s="188" t="s">
        <v>140</v>
      </c>
      <c r="I31" s="188" t="s">
        <v>133</v>
      </c>
      <c r="J31" s="825" t="s">
        <v>141</v>
      </c>
      <c r="K31" s="826"/>
      <c r="L31" s="826"/>
      <c r="M31" s="826"/>
      <c r="N31" s="826"/>
      <c r="O31" s="826"/>
      <c r="P31" s="827"/>
    </row>
    <row r="32" spans="1:16">
      <c r="A32" s="472"/>
      <c r="B32" s="475"/>
      <c r="C32" s="211"/>
      <c r="D32" s="160"/>
      <c r="E32" s="160"/>
      <c r="F32" s="160"/>
      <c r="G32" s="160"/>
      <c r="H32" s="160"/>
      <c r="I32" s="160"/>
      <c r="J32" s="828"/>
      <c r="K32" s="829"/>
      <c r="L32" s="829"/>
      <c r="M32" s="829"/>
      <c r="N32" s="829"/>
      <c r="O32" s="829"/>
      <c r="P32" s="830"/>
    </row>
    <row r="33" spans="1:16">
      <c r="A33" s="473"/>
      <c r="B33" s="471"/>
      <c r="C33" s="213"/>
      <c r="D33" s="161"/>
      <c r="E33" s="161"/>
      <c r="F33" s="161"/>
      <c r="G33" s="161"/>
      <c r="H33" s="161"/>
      <c r="I33" s="161"/>
      <c r="J33" s="806"/>
      <c r="K33" s="807"/>
      <c r="L33" s="807"/>
      <c r="M33" s="807"/>
      <c r="N33" s="807"/>
      <c r="O33" s="807"/>
      <c r="P33" s="808"/>
    </row>
    <row r="34" spans="1:16">
      <c r="A34" s="473"/>
      <c r="B34" s="471"/>
      <c r="C34" s="213"/>
      <c r="D34" s="161"/>
      <c r="E34" s="161"/>
      <c r="F34" s="161"/>
      <c r="G34" s="161"/>
      <c r="H34" s="161"/>
      <c r="I34" s="161"/>
      <c r="J34" s="806"/>
      <c r="K34" s="807"/>
      <c r="L34" s="807"/>
      <c r="M34" s="807"/>
      <c r="N34" s="807"/>
      <c r="O34" s="807"/>
      <c r="P34" s="808"/>
    </row>
    <row r="35" spans="1:16">
      <c r="A35" s="474"/>
      <c r="B35" s="476"/>
      <c r="C35" s="408"/>
      <c r="D35" s="420"/>
      <c r="E35" s="421"/>
      <c r="F35" s="422"/>
      <c r="G35" s="421"/>
      <c r="H35" s="420"/>
      <c r="I35" s="422"/>
      <c r="J35" s="809"/>
      <c r="K35" s="810"/>
      <c r="L35" s="810"/>
      <c r="M35" s="810"/>
      <c r="N35" s="810"/>
      <c r="O35" s="810"/>
      <c r="P35" s="811"/>
    </row>
    <row r="36" spans="1:16">
      <c r="A36" s="146"/>
      <c r="B36" s="166"/>
      <c r="D36" s="265" t="s">
        <v>142</v>
      </c>
      <c r="E36" s="265"/>
      <c r="F36" s="332">
        <f>SUM(F32:F35)</f>
        <v>0</v>
      </c>
      <c r="G36" s="166"/>
      <c r="H36" s="166"/>
      <c r="I36" s="166"/>
      <c r="J36" s="166"/>
      <c r="P36" s="145"/>
    </row>
    <row r="37" spans="1:16">
      <c r="A37" s="146"/>
      <c r="B37" s="166"/>
      <c r="D37" s="264" t="s">
        <v>143</v>
      </c>
      <c r="E37" s="264"/>
      <c r="F37" s="333"/>
      <c r="G37" s="166"/>
      <c r="H37" s="166"/>
      <c r="I37" s="166"/>
      <c r="J37" s="166"/>
      <c r="P37" s="145"/>
    </row>
    <row r="38" spans="1:16">
      <c r="A38" s="146"/>
      <c r="B38" s="166"/>
      <c r="D38" s="264" t="s">
        <v>144</v>
      </c>
      <c r="E38" s="264"/>
      <c r="F38" s="333" t="e">
        <f>F36/F37</f>
        <v>#DIV/0!</v>
      </c>
      <c r="G38" s="166"/>
      <c r="H38" s="166"/>
      <c r="I38" s="166"/>
      <c r="J38" s="166"/>
      <c r="P38" s="145"/>
    </row>
    <row r="39" spans="1:16" ht="16.5" thickBot="1">
      <c r="A39" s="148"/>
      <c r="B39" s="149"/>
      <c r="C39" s="149"/>
      <c r="D39" s="149"/>
      <c r="E39" s="149"/>
      <c r="F39" s="149"/>
      <c r="G39" s="149"/>
      <c r="H39" s="149"/>
      <c r="I39" s="149"/>
      <c r="J39" s="149"/>
      <c r="K39" s="149"/>
      <c r="L39" s="149"/>
      <c r="M39" s="149"/>
      <c r="N39" s="149"/>
      <c r="O39" s="149"/>
      <c r="P39" s="150"/>
    </row>
  </sheetData>
  <sheetProtection formatCells="0" formatColumns="0" formatRows="0" insertColumns="0" insertRows="0" insertHyperlinks="0" deleteColumns="0" deleteRows="0" sort="0" autoFilter="0" pivotTables="0"/>
  <mergeCells count="32">
    <mergeCell ref="A31:B31"/>
    <mergeCell ref="J25:P25"/>
    <mergeCell ref="J23:P23"/>
    <mergeCell ref="J24:P24"/>
    <mergeCell ref="J26:P26"/>
    <mergeCell ref="J35:P35"/>
    <mergeCell ref="J34:P34"/>
    <mergeCell ref="J33:P33"/>
    <mergeCell ref="J32:P32"/>
    <mergeCell ref="J31:P31"/>
    <mergeCell ref="D1:M2"/>
    <mergeCell ref="A3:P5"/>
    <mergeCell ref="E6:L7"/>
    <mergeCell ref="M6:N6"/>
    <mergeCell ref="O6:P6"/>
    <mergeCell ref="M7:N7"/>
    <mergeCell ref="O7:P7"/>
    <mergeCell ref="A11:P11"/>
    <mergeCell ref="A13:P13"/>
    <mergeCell ref="A14:P14"/>
    <mergeCell ref="A9:C9"/>
    <mergeCell ref="J22:P22"/>
    <mergeCell ref="J19:P19"/>
    <mergeCell ref="J20:P20"/>
    <mergeCell ref="J21:P21"/>
    <mergeCell ref="A19:C19"/>
    <mergeCell ref="O8:P8"/>
    <mergeCell ref="D9:E9"/>
    <mergeCell ref="F9:I9"/>
    <mergeCell ref="J9:K9"/>
    <mergeCell ref="L9:N9"/>
    <mergeCell ref="O9:P9"/>
  </mergeCells>
  <dataValidations count="2">
    <dataValidation type="list" showInputMessage="1" showErrorMessage="1" sqref="D9:E9" xr:uid="{00000000-0002-0000-0900-000000000000}">
      <formula1>RAS</formula1>
    </dataValidation>
    <dataValidation type="list" allowBlank="1" showInputMessage="1" showErrorMessage="1" sqref="O9:P9" xr:uid="{00000000-0002-0000-0900-000001000000}">
      <formula1>Diligences</formula1>
    </dataValidation>
  </dataValidations>
  <hyperlinks>
    <hyperlink ref="O8:P8" location="'A Synthèse'!Zone_d_impression" display="A Synthèse" xr:uid="{00000000-0004-0000-09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0"/>
  <dimension ref="A1:U54"/>
  <sheetViews>
    <sheetView showGridLines="0" zoomScale="80" zoomScaleNormal="80" workbookViewId="0">
      <selection activeCell="O10" sqref="O10"/>
    </sheetView>
  </sheetViews>
  <sheetFormatPr baseColWidth="10" defaultColWidth="11.42578125" defaultRowHeight="15"/>
  <cols>
    <col min="1" max="1" width="17" style="25" customWidth="1"/>
    <col min="2" max="3" width="14.7109375" style="25" customWidth="1"/>
    <col min="4" max="4" width="18.140625" style="25" customWidth="1"/>
    <col min="5" max="6" width="17.7109375" style="25" customWidth="1"/>
    <col min="7" max="16" width="14.7109375" style="25" customWidth="1"/>
    <col min="17" max="16384" width="11.42578125" style="25"/>
  </cols>
  <sheetData>
    <row r="1" spans="1:21" s="35" customFormat="1" ht="15" customHeight="1">
      <c r="A1" s="10"/>
      <c r="B1" s="11"/>
      <c r="C1" s="11"/>
      <c r="D1" s="745" t="str">
        <f>'A Synthèse'!D1:M2</f>
        <v>#NomClient</v>
      </c>
      <c r="E1" s="765"/>
      <c r="F1" s="765"/>
      <c r="G1" s="765"/>
      <c r="H1" s="765"/>
      <c r="I1" s="765"/>
      <c r="J1" s="765"/>
      <c r="K1" s="765"/>
      <c r="L1" s="765"/>
      <c r="M1" s="766"/>
      <c r="N1" s="11"/>
      <c r="O1" s="11"/>
      <c r="P1" s="12"/>
    </row>
    <row r="2" spans="1:21" s="35" customFormat="1" ht="15" customHeight="1" thickBot="1">
      <c r="A2" s="13"/>
      <c r="B2" s="14"/>
      <c r="C2" s="14"/>
      <c r="D2" s="767"/>
      <c r="E2" s="768"/>
      <c r="F2" s="768"/>
      <c r="G2" s="768"/>
      <c r="H2" s="768"/>
      <c r="I2" s="768"/>
      <c r="J2" s="768"/>
      <c r="K2" s="768"/>
      <c r="L2" s="768"/>
      <c r="M2" s="769"/>
      <c r="N2" s="14"/>
      <c r="O2" s="14"/>
      <c r="P2" s="15"/>
    </row>
    <row r="3" spans="1:21" ht="15" customHeight="1">
      <c r="A3" s="709" t="s">
        <v>3</v>
      </c>
      <c r="B3" s="710"/>
      <c r="C3" s="710"/>
      <c r="D3" s="710"/>
      <c r="E3" s="710"/>
      <c r="F3" s="710"/>
      <c r="G3" s="710"/>
      <c r="H3" s="710"/>
      <c r="I3" s="710"/>
      <c r="J3" s="710"/>
      <c r="K3" s="710"/>
      <c r="L3" s="710"/>
      <c r="M3" s="710"/>
      <c r="N3" s="710"/>
      <c r="O3" s="710"/>
      <c r="P3" s="711"/>
      <c r="R3" s="3"/>
      <c r="T3" s="5"/>
      <c r="U3" s="5"/>
    </row>
    <row r="4" spans="1:21" ht="15" customHeight="1">
      <c r="A4" s="709"/>
      <c r="B4" s="710"/>
      <c r="C4" s="710"/>
      <c r="D4" s="710"/>
      <c r="E4" s="710"/>
      <c r="F4" s="710"/>
      <c r="G4" s="710"/>
      <c r="H4" s="710"/>
      <c r="I4" s="710"/>
      <c r="J4" s="710"/>
      <c r="K4" s="710"/>
      <c r="L4" s="710"/>
      <c r="M4" s="710"/>
      <c r="N4" s="710"/>
      <c r="O4" s="710"/>
      <c r="P4" s="711"/>
      <c r="R4" s="3"/>
      <c r="T4" s="5"/>
      <c r="U4" s="5"/>
    </row>
    <row r="5" spans="1:21" ht="15" customHeight="1" thickBot="1">
      <c r="A5" s="712"/>
      <c r="B5" s="713"/>
      <c r="C5" s="713"/>
      <c r="D5" s="713"/>
      <c r="E5" s="713"/>
      <c r="F5" s="713"/>
      <c r="G5" s="713"/>
      <c r="H5" s="713"/>
      <c r="I5" s="713"/>
      <c r="J5" s="713"/>
      <c r="K5" s="713"/>
      <c r="L5" s="713"/>
      <c r="M5" s="713"/>
      <c r="N5" s="713"/>
      <c r="O5" s="713"/>
      <c r="P5" s="714"/>
      <c r="Q5" s="3"/>
      <c r="R5" s="36"/>
      <c r="S5" s="37"/>
      <c r="T5" s="37"/>
      <c r="U5" s="37"/>
    </row>
    <row r="6" spans="1:21" ht="15" customHeight="1">
      <c r="A6" s="17" t="s">
        <v>6</v>
      </c>
      <c r="B6" s="271" t="str">
        <f>'A Synthèse'!B6</f>
        <v>BRA</v>
      </c>
      <c r="C6" s="17" t="s">
        <v>7</v>
      </c>
      <c r="D6" s="271">
        <f>'A Synthèse'!D6</f>
        <v>0</v>
      </c>
      <c r="E6" s="715" t="s">
        <v>185</v>
      </c>
      <c r="F6" s="716"/>
      <c r="G6" s="716"/>
      <c r="H6" s="716"/>
      <c r="I6" s="716"/>
      <c r="J6" s="716"/>
      <c r="K6" s="716"/>
      <c r="L6" s="717"/>
      <c r="M6" s="770" t="s">
        <v>9</v>
      </c>
      <c r="N6" s="771"/>
      <c r="O6" s="721" t="s">
        <v>10</v>
      </c>
      <c r="P6" s="722"/>
      <c r="R6" s="35"/>
      <c r="S6" s="35"/>
    </row>
    <row r="7" spans="1:21" ht="15" customHeight="1" thickBot="1">
      <c r="A7" s="18" t="s">
        <v>12</v>
      </c>
      <c r="B7" s="272">
        <f>'A Synthèse'!B7</f>
        <v>0</v>
      </c>
      <c r="C7" s="18" t="s">
        <v>12</v>
      </c>
      <c r="D7" s="272">
        <f>'A Synthèse'!D7</f>
        <v>0</v>
      </c>
      <c r="E7" s="718"/>
      <c r="F7" s="719"/>
      <c r="G7" s="719"/>
      <c r="H7" s="719"/>
      <c r="I7" s="719"/>
      <c r="J7" s="719"/>
      <c r="K7" s="719"/>
      <c r="L7" s="720"/>
      <c r="M7" s="772" t="str">
        <f>'A Synthèse'!M7:M7</f>
        <v>#DateClôture</v>
      </c>
      <c r="N7" s="773"/>
      <c r="O7" s="723" t="s">
        <v>49</v>
      </c>
      <c r="P7" s="724"/>
    </row>
    <row r="8" spans="1:21" ht="21" customHeight="1" thickBot="1">
      <c r="A8" s="19"/>
      <c r="B8" s="38"/>
      <c r="C8" s="20"/>
      <c r="D8" s="20"/>
      <c r="E8" s="39"/>
      <c r="F8" s="39"/>
      <c r="G8" s="39"/>
      <c r="H8" s="39"/>
      <c r="I8" s="39"/>
      <c r="J8" s="39"/>
      <c r="K8" s="39"/>
      <c r="L8" s="39"/>
      <c r="M8" s="22"/>
      <c r="N8" s="20"/>
      <c r="O8" s="776" t="s">
        <v>66</v>
      </c>
      <c r="P8" s="776"/>
    </row>
    <row r="9" spans="1:21" s="20" customFormat="1" ht="31.5" customHeight="1" thickBot="1">
      <c r="A9" s="733" t="s">
        <v>17</v>
      </c>
      <c r="B9" s="734"/>
      <c r="C9" s="734"/>
      <c r="D9" s="763" t="str">
        <f>'A Synthèse'!D9:E9</f>
        <v>Modéré</v>
      </c>
      <c r="E9" s="764"/>
      <c r="F9" s="735" t="s">
        <v>18</v>
      </c>
      <c r="G9" s="736"/>
      <c r="H9" s="736"/>
      <c r="I9" s="736"/>
      <c r="J9" s="774">
        <f>'A Synthèse'!J9:K9</f>
        <v>0</v>
      </c>
      <c r="K9" s="775"/>
      <c r="L9" s="735" t="s">
        <v>19</v>
      </c>
      <c r="M9" s="736"/>
      <c r="N9" s="736"/>
      <c r="O9" s="763" t="str">
        <f>'A Synthèse'!N9</f>
        <v>PE</v>
      </c>
      <c r="P9" s="764"/>
    </row>
    <row r="10" spans="1:21" s="20" customFormat="1" ht="21" customHeight="1" thickBot="1">
      <c r="A10" s="24"/>
      <c r="B10" s="24"/>
      <c r="C10" s="24"/>
      <c r="D10" s="24"/>
      <c r="E10" s="24"/>
      <c r="F10" s="24"/>
      <c r="G10" s="24"/>
      <c r="H10" s="24"/>
      <c r="I10" s="24"/>
      <c r="J10" s="24"/>
      <c r="K10" s="24"/>
      <c r="L10" s="24"/>
      <c r="M10" s="24"/>
      <c r="N10" s="24"/>
      <c r="O10" s="24"/>
      <c r="P10" s="24"/>
    </row>
    <row r="11" spans="1:21" ht="166.9" customHeight="1" thickBot="1">
      <c r="A11" s="778" t="s">
        <v>186</v>
      </c>
      <c r="B11" s="779"/>
      <c r="C11" s="779"/>
      <c r="D11" s="779"/>
      <c r="E11" s="779"/>
      <c r="F11" s="779"/>
      <c r="G11" s="779"/>
      <c r="H11" s="779"/>
      <c r="I11" s="779"/>
      <c r="J11" s="779"/>
      <c r="K11" s="779"/>
      <c r="L11" s="779"/>
      <c r="M11" s="779"/>
      <c r="N11" s="779"/>
      <c r="O11" s="779"/>
      <c r="P11" s="780"/>
    </row>
    <row r="12" spans="1:21" ht="9" customHeight="1" thickBot="1"/>
    <row r="13" spans="1:21">
      <c r="A13" s="781" t="s">
        <v>69</v>
      </c>
      <c r="B13" s="782"/>
      <c r="C13" s="782"/>
      <c r="D13" s="782"/>
      <c r="E13" s="782"/>
      <c r="F13" s="782"/>
      <c r="G13" s="782"/>
      <c r="H13" s="782"/>
      <c r="I13" s="782"/>
      <c r="J13" s="782"/>
      <c r="K13" s="782"/>
      <c r="L13" s="782"/>
      <c r="M13" s="782"/>
      <c r="N13" s="782"/>
      <c r="O13" s="782"/>
      <c r="P13" s="783"/>
    </row>
    <row r="14" spans="1:21" ht="60" customHeight="1" thickBot="1">
      <c r="A14" s="784"/>
      <c r="B14" s="785"/>
      <c r="C14" s="785"/>
      <c r="D14" s="785"/>
      <c r="E14" s="785"/>
      <c r="F14" s="785"/>
      <c r="G14" s="785"/>
      <c r="H14" s="785"/>
      <c r="I14" s="785"/>
      <c r="J14" s="785"/>
      <c r="K14" s="785"/>
      <c r="L14" s="785"/>
      <c r="M14" s="785"/>
      <c r="N14" s="785"/>
      <c r="O14" s="785"/>
      <c r="P14" s="786"/>
    </row>
    <row r="15" spans="1:21" ht="15.75" thickBot="1"/>
    <row r="16" spans="1:21">
      <c r="A16" s="60"/>
      <c r="B16" s="61"/>
      <c r="C16" s="61"/>
      <c r="D16" s="61"/>
      <c r="E16" s="61"/>
      <c r="F16" s="61"/>
      <c r="G16" s="61"/>
      <c r="H16" s="61"/>
      <c r="I16" s="61"/>
      <c r="J16" s="61"/>
      <c r="K16" s="61"/>
      <c r="L16" s="61"/>
      <c r="M16" s="61"/>
      <c r="N16" s="61"/>
      <c r="O16" s="61"/>
      <c r="P16" s="62"/>
    </row>
    <row r="17" spans="1:16">
      <c r="A17" s="154" t="s">
        <v>187</v>
      </c>
      <c r="B17" s="29"/>
      <c r="C17" s="29"/>
      <c r="D17" s="29"/>
      <c r="E17" s="29"/>
      <c r="F17" s="29"/>
      <c r="G17" s="29"/>
      <c r="P17" s="64"/>
    </row>
    <row r="18" spans="1:16">
      <c r="A18" s="55"/>
      <c r="B18" s="47"/>
      <c r="C18" s="47"/>
      <c r="D18" s="47"/>
      <c r="E18" s="47"/>
      <c r="F18" s="47"/>
      <c r="G18" s="47"/>
      <c r="P18" s="64"/>
    </row>
    <row r="19" spans="1:16" ht="39" customHeight="1">
      <c r="A19" s="290" t="s">
        <v>188</v>
      </c>
      <c r="B19" s="883" t="s">
        <v>152</v>
      </c>
      <c r="C19" s="883"/>
      <c r="D19" s="289" t="s">
        <v>189</v>
      </c>
      <c r="E19" s="585" t="s">
        <v>243</v>
      </c>
      <c r="F19" s="288" t="s">
        <v>190</v>
      </c>
      <c r="G19" s="884" t="s">
        <v>191</v>
      </c>
      <c r="H19" s="884"/>
      <c r="I19" s="884"/>
      <c r="J19" s="884"/>
      <c r="K19" s="884"/>
      <c r="L19" s="884"/>
      <c r="M19" s="884"/>
      <c r="N19" s="884"/>
      <c r="O19" s="884"/>
      <c r="P19" s="542" t="s">
        <v>192</v>
      </c>
    </row>
    <row r="20" spans="1:16">
      <c r="A20" s="527"/>
      <c r="B20" s="484"/>
      <c r="C20" s="539"/>
      <c r="D20" s="528"/>
      <c r="E20" s="529"/>
      <c r="F20" s="530"/>
      <c r="G20" s="885"/>
      <c r="H20" s="886"/>
      <c r="I20" s="886"/>
      <c r="J20" s="886"/>
      <c r="K20" s="886"/>
      <c r="L20" s="485"/>
      <c r="M20" s="485"/>
      <c r="N20" s="485"/>
      <c r="O20" s="475"/>
      <c r="P20" s="543"/>
    </row>
    <row r="21" spans="1:16">
      <c r="A21" s="531"/>
      <c r="B21" s="610"/>
      <c r="C21" s="540"/>
      <c r="D21" s="532"/>
      <c r="E21" s="533"/>
      <c r="F21" s="534"/>
      <c r="G21" s="881"/>
      <c r="H21" s="882"/>
      <c r="I21" s="882"/>
      <c r="J21" s="882"/>
      <c r="K21" s="882"/>
      <c r="L21" s="462"/>
      <c r="M21" s="462"/>
      <c r="N21" s="462"/>
      <c r="O21" s="471"/>
      <c r="P21" s="544"/>
    </row>
    <row r="22" spans="1:16">
      <c r="A22" s="531"/>
      <c r="B22" s="610"/>
      <c r="C22" s="540"/>
      <c r="D22" s="532"/>
      <c r="E22" s="533"/>
      <c r="F22" s="534"/>
      <c r="G22" s="881"/>
      <c r="H22" s="882"/>
      <c r="I22" s="882"/>
      <c r="J22" s="882"/>
      <c r="K22" s="882"/>
      <c r="L22" s="462"/>
      <c r="M22" s="462"/>
      <c r="N22" s="462"/>
      <c r="O22" s="471"/>
      <c r="P22" s="544"/>
    </row>
    <row r="23" spans="1:16">
      <c r="A23" s="531"/>
      <c r="B23" s="610"/>
      <c r="C23" s="540"/>
      <c r="D23" s="532"/>
      <c r="E23" s="533"/>
      <c r="F23" s="534"/>
      <c r="G23" s="881"/>
      <c r="H23" s="882"/>
      <c r="I23" s="882"/>
      <c r="J23" s="882"/>
      <c r="K23" s="882"/>
      <c r="L23" s="462"/>
      <c r="M23" s="462"/>
      <c r="N23" s="462"/>
      <c r="O23" s="471"/>
      <c r="P23" s="544"/>
    </row>
    <row r="24" spans="1:16">
      <c r="A24" s="531"/>
      <c r="B24" s="610"/>
      <c r="C24" s="540"/>
      <c r="D24" s="532"/>
      <c r="E24" s="533"/>
      <c r="F24" s="534"/>
      <c r="G24" s="881"/>
      <c r="H24" s="882"/>
      <c r="I24" s="882"/>
      <c r="J24" s="882"/>
      <c r="K24" s="882"/>
      <c r="L24" s="462"/>
      <c r="M24" s="462"/>
      <c r="N24" s="462"/>
      <c r="O24" s="471"/>
      <c r="P24" s="544"/>
    </row>
    <row r="25" spans="1:16">
      <c r="A25" s="531"/>
      <c r="B25" s="610"/>
      <c r="C25" s="540"/>
      <c r="D25" s="532"/>
      <c r="E25" s="533"/>
      <c r="F25" s="534"/>
      <c r="G25" s="881"/>
      <c r="H25" s="882"/>
      <c r="I25" s="882"/>
      <c r="J25" s="882"/>
      <c r="K25" s="882"/>
      <c r="L25" s="462"/>
      <c r="M25" s="462"/>
      <c r="N25" s="462"/>
      <c r="O25" s="471"/>
      <c r="P25" s="544"/>
    </row>
    <row r="26" spans="1:16">
      <c r="A26" s="531"/>
      <c r="B26" s="610"/>
      <c r="C26" s="540"/>
      <c r="D26" s="532"/>
      <c r="E26" s="533"/>
      <c r="F26" s="534"/>
      <c r="G26" s="881"/>
      <c r="H26" s="882"/>
      <c r="I26" s="882"/>
      <c r="J26" s="882"/>
      <c r="K26" s="882"/>
      <c r="L26" s="462"/>
      <c r="M26" s="462"/>
      <c r="N26" s="462"/>
      <c r="O26" s="471"/>
      <c r="P26" s="544"/>
    </row>
    <row r="27" spans="1:16">
      <c r="A27" s="531"/>
      <c r="B27" s="610"/>
      <c r="C27" s="540"/>
      <c r="D27" s="532"/>
      <c r="E27" s="533"/>
      <c r="F27" s="534"/>
      <c r="G27" s="881"/>
      <c r="H27" s="882"/>
      <c r="I27" s="882"/>
      <c r="J27" s="882"/>
      <c r="K27" s="882"/>
      <c r="L27" s="462"/>
      <c r="M27" s="462"/>
      <c r="N27" s="462"/>
      <c r="O27" s="471"/>
      <c r="P27" s="544"/>
    </row>
    <row r="28" spans="1:16">
      <c r="A28" s="531"/>
      <c r="B28" s="610"/>
      <c r="C28" s="540"/>
      <c r="D28" s="532"/>
      <c r="E28" s="533"/>
      <c r="F28" s="534"/>
      <c r="G28" s="881"/>
      <c r="H28" s="882"/>
      <c r="I28" s="882"/>
      <c r="J28" s="882"/>
      <c r="K28" s="882"/>
      <c r="L28" s="462"/>
      <c r="M28" s="462"/>
      <c r="N28" s="462"/>
      <c r="O28" s="471"/>
      <c r="P28" s="544"/>
    </row>
    <row r="29" spans="1:16">
      <c r="A29" s="531"/>
      <c r="B29" s="610"/>
      <c r="C29" s="540"/>
      <c r="D29" s="532"/>
      <c r="E29" s="533"/>
      <c r="F29" s="534"/>
      <c r="G29" s="881"/>
      <c r="H29" s="882"/>
      <c r="I29" s="882"/>
      <c r="J29" s="882"/>
      <c r="K29" s="882"/>
      <c r="L29" s="462"/>
      <c r="M29" s="462"/>
      <c r="N29" s="462"/>
      <c r="O29" s="471"/>
      <c r="P29" s="544"/>
    </row>
    <row r="30" spans="1:16">
      <c r="A30" s="535"/>
      <c r="B30" s="611"/>
      <c r="C30" s="541"/>
      <c r="D30" s="536"/>
      <c r="E30" s="537"/>
      <c r="F30" s="538"/>
      <c r="G30" s="879"/>
      <c r="H30" s="880"/>
      <c r="I30" s="880"/>
      <c r="J30" s="880"/>
      <c r="K30" s="880"/>
      <c r="L30" s="467"/>
      <c r="M30" s="467"/>
      <c r="N30" s="467"/>
      <c r="O30" s="476"/>
      <c r="P30" s="545"/>
    </row>
    <row r="31" spans="1:16">
      <c r="A31" s="41"/>
      <c r="B31" s="54"/>
      <c r="D31" s="586" t="s">
        <v>159</v>
      </c>
      <c r="E31" s="526">
        <f>SUM(E20:E30)</f>
        <v>0</v>
      </c>
      <c r="P31" s="64"/>
    </row>
    <row r="32" spans="1:16">
      <c r="A32" s="41"/>
      <c r="B32" s="29"/>
      <c r="D32" s="175" t="s">
        <v>193</v>
      </c>
      <c r="E32" s="329"/>
      <c r="P32" s="64"/>
    </row>
    <row r="33" spans="1:16">
      <c r="A33" s="41"/>
      <c r="B33" s="29"/>
      <c r="D33" s="175" t="s">
        <v>161</v>
      </c>
      <c r="E33" s="334" t="e">
        <f>E31/E32</f>
        <v>#DIV/0!</v>
      </c>
      <c r="P33" s="64"/>
    </row>
    <row r="34" spans="1:16" ht="15.75" thickBot="1">
      <c r="A34" s="59"/>
      <c r="B34" s="176"/>
      <c r="C34" s="177"/>
      <c r="D34" s="178"/>
      <c r="E34" s="178"/>
      <c r="F34" s="176"/>
      <c r="G34" s="73"/>
      <c r="H34" s="66"/>
      <c r="I34" s="66"/>
      <c r="J34" s="66"/>
      <c r="K34" s="66"/>
      <c r="L34" s="66"/>
      <c r="M34" s="66"/>
      <c r="N34" s="66"/>
      <c r="O34" s="66"/>
      <c r="P34" s="67"/>
    </row>
    <row r="35" spans="1:16" ht="15.75" thickBot="1">
      <c r="A35" s="41"/>
      <c r="B35" s="54"/>
      <c r="C35" s="56"/>
      <c r="D35" s="57"/>
      <c r="E35" s="57"/>
      <c r="F35" s="54"/>
      <c r="G35" s="29"/>
    </row>
    <row r="36" spans="1:16">
      <c r="A36" s="58"/>
      <c r="B36" s="180"/>
      <c r="C36" s="181"/>
      <c r="D36" s="182"/>
      <c r="E36" s="182"/>
      <c r="F36" s="180"/>
      <c r="G36" s="141"/>
      <c r="H36" s="61"/>
      <c r="I36" s="61"/>
      <c r="J36" s="61"/>
      <c r="K36" s="61"/>
      <c r="L36" s="61"/>
      <c r="M36" s="61"/>
      <c r="N36" s="61"/>
      <c r="O36" s="61"/>
      <c r="P36" s="62"/>
    </row>
    <row r="37" spans="1:16">
      <c r="A37" s="154" t="s">
        <v>194</v>
      </c>
      <c r="B37" s="29"/>
      <c r="C37" s="29"/>
      <c r="D37" s="29"/>
      <c r="E37" s="29"/>
      <c r="F37" s="29"/>
      <c r="G37" s="29"/>
      <c r="P37" s="64"/>
    </row>
    <row r="38" spans="1:16">
      <c r="A38" s="55"/>
      <c r="B38" s="29"/>
      <c r="C38" s="29"/>
      <c r="D38" s="29"/>
      <c r="E38" s="29"/>
      <c r="F38" s="29"/>
      <c r="G38" s="29"/>
      <c r="P38" s="64"/>
    </row>
    <row r="39" spans="1:16" ht="39" customHeight="1">
      <c r="A39" s="290" t="s">
        <v>188</v>
      </c>
      <c r="B39" s="883" t="s">
        <v>152</v>
      </c>
      <c r="C39" s="883"/>
      <c r="D39" s="289" t="s">
        <v>189</v>
      </c>
      <c r="E39" s="585" t="s">
        <v>243</v>
      </c>
      <c r="F39" s="288" t="s">
        <v>190</v>
      </c>
      <c r="G39" s="884" t="s">
        <v>191</v>
      </c>
      <c r="H39" s="884"/>
      <c r="I39" s="884"/>
      <c r="J39" s="884"/>
      <c r="K39" s="884"/>
      <c r="L39" s="884"/>
      <c r="M39" s="884"/>
      <c r="N39" s="884"/>
      <c r="O39" s="884"/>
      <c r="P39" s="542" t="s">
        <v>192</v>
      </c>
    </row>
    <row r="40" spans="1:16">
      <c r="A40" s="527"/>
      <c r="B40" s="484"/>
      <c r="C40" s="539"/>
      <c r="D40" s="528"/>
      <c r="E40" s="529"/>
      <c r="F40" s="530"/>
      <c r="G40" s="885"/>
      <c r="H40" s="886"/>
      <c r="I40" s="886"/>
      <c r="J40" s="886"/>
      <c r="K40" s="886"/>
      <c r="L40" s="485"/>
      <c r="M40" s="485"/>
      <c r="N40" s="485"/>
      <c r="O40" s="475"/>
      <c r="P40" s="543"/>
    </row>
    <row r="41" spans="1:16">
      <c r="A41" s="531"/>
      <c r="B41" s="610"/>
      <c r="C41" s="540"/>
      <c r="D41" s="532"/>
      <c r="E41" s="533"/>
      <c r="F41" s="534"/>
      <c r="G41" s="881"/>
      <c r="H41" s="882"/>
      <c r="I41" s="882"/>
      <c r="J41" s="882"/>
      <c r="K41" s="882"/>
      <c r="L41" s="462"/>
      <c r="M41" s="462"/>
      <c r="N41" s="462"/>
      <c r="O41" s="471"/>
      <c r="P41" s="544"/>
    </row>
    <row r="42" spans="1:16">
      <c r="A42" s="531"/>
      <c r="B42" s="610"/>
      <c r="C42" s="540"/>
      <c r="D42" s="532"/>
      <c r="E42" s="533"/>
      <c r="F42" s="534"/>
      <c r="G42" s="881"/>
      <c r="H42" s="882"/>
      <c r="I42" s="882"/>
      <c r="J42" s="882"/>
      <c r="K42" s="882"/>
      <c r="L42" s="462"/>
      <c r="M42" s="462"/>
      <c r="N42" s="462"/>
      <c r="O42" s="471"/>
      <c r="P42" s="544"/>
    </row>
    <row r="43" spans="1:16">
      <c r="A43" s="531"/>
      <c r="B43" s="610"/>
      <c r="C43" s="540"/>
      <c r="D43" s="532"/>
      <c r="E43" s="533"/>
      <c r="F43" s="534"/>
      <c r="G43" s="881"/>
      <c r="H43" s="882"/>
      <c r="I43" s="882"/>
      <c r="J43" s="882"/>
      <c r="K43" s="882"/>
      <c r="L43" s="462"/>
      <c r="M43" s="462"/>
      <c r="N43" s="462"/>
      <c r="O43" s="471"/>
      <c r="P43" s="544"/>
    </row>
    <row r="44" spans="1:16">
      <c r="A44" s="531"/>
      <c r="B44" s="610"/>
      <c r="C44" s="540"/>
      <c r="D44" s="532"/>
      <c r="E44" s="533"/>
      <c r="F44" s="534"/>
      <c r="G44" s="881"/>
      <c r="H44" s="882"/>
      <c r="I44" s="882"/>
      <c r="J44" s="882"/>
      <c r="K44" s="882"/>
      <c r="L44" s="462"/>
      <c r="M44" s="462"/>
      <c r="N44" s="462"/>
      <c r="O44" s="471"/>
      <c r="P44" s="544"/>
    </row>
    <row r="45" spans="1:16">
      <c r="A45" s="531"/>
      <c r="B45" s="610"/>
      <c r="C45" s="540"/>
      <c r="D45" s="532"/>
      <c r="E45" s="533"/>
      <c r="F45" s="534"/>
      <c r="G45" s="881"/>
      <c r="H45" s="882"/>
      <c r="I45" s="882"/>
      <c r="J45" s="882"/>
      <c r="K45" s="882"/>
      <c r="L45" s="462"/>
      <c r="M45" s="462"/>
      <c r="N45" s="462"/>
      <c r="O45" s="471"/>
      <c r="P45" s="544"/>
    </row>
    <row r="46" spans="1:16">
      <c r="A46" s="531"/>
      <c r="B46" s="610"/>
      <c r="C46" s="540"/>
      <c r="D46" s="532"/>
      <c r="E46" s="533"/>
      <c r="F46" s="534"/>
      <c r="G46" s="881"/>
      <c r="H46" s="882"/>
      <c r="I46" s="882"/>
      <c r="J46" s="882"/>
      <c r="K46" s="882"/>
      <c r="L46" s="462"/>
      <c r="M46" s="462"/>
      <c r="N46" s="462"/>
      <c r="O46" s="471"/>
      <c r="P46" s="544"/>
    </row>
    <row r="47" spans="1:16">
      <c r="A47" s="531"/>
      <c r="B47" s="610"/>
      <c r="C47" s="540"/>
      <c r="D47" s="532"/>
      <c r="E47" s="533"/>
      <c r="F47" s="534"/>
      <c r="G47" s="881"/>
      <c r="H47" s="882"/>
      <c r="I47" s="882"/>
      <c r="J47" s="882"/>
      <c r="K47" s="882"/>
      <c r="L47" s="462"/>
      <c r="M47" s="462"/>
      <c r="N47" s="462"/>
      <c r="O47" s="471"/>
      <c r="P47" s="544"/>
    </row>
    <row r="48" spans="1:16">
      <c r="A48" s="531"/>
      <c r="B48" s="610"/>
      <c r="C48" s="540"/>
      <c r="D48" s="532"/>
      <c r="E48" s="533"/>
      <c r="F48" s="534"/>
      <c r="G48" s="881"/>
      <c r="H48" s="882"/>
      <c r="I48" s="882"/>
      <c r="J48" s="882"/>
      <c r="K48" s="882"/>
      <c r="L48" s="462"/>
      <c r="M48" s="462"/>
      <c r="N48" s="462"/>
      <c r="O48" s="471"/>
      <c r="P48" s="544"/>
    </row>
    <row r="49" spans="1:16">
      <c r="A49" s="531"/>
      <c r="B49" s="610"/>
      <c r="C49" s="540"/>
      <c r="D49" s="532"/>
      <c r="E49" s="533"/>
      <c r="F49" s="534"/>
      <c r="G49" s="881"/>
      <c r="H49" s="882"/>
      <c r="I49" s="882"/>
      <c r="J49" s="882"/>
      <c r="K49" s="882"/>
      <c r="L49" s="462"/>
      <c r="M49" s="462"/>
      <c r="N49" s="462"/>
      <c r="O49" s="471"/>
      <c r="P49" s="544"/>
    </row>
    <row r="50" spans="1:16">
      <c r="A50" s="535"/>
      <c r="B50" s="611"/>
      <c r="C50" s="541"/>
      <c r="D50" s="536"/>
      <c r="E50" s="537"/>
      <c r="F50" s="538"/>
      <c r="G50" s="879"/>
      <c r="H50" s="880"/>
      <c r="I50" s="880"/>
      <c r="J50" s="880"/>
      <c r="K50" s="880"/>
      <c r="L50" s="467"/>
      <c r="M50" s="467"/>
      <c r="N50" s="467"/>
      <c r="O50" s="476"/>
      <c r="P50" s="545"/>
    </row>
    <row r="51" spans="1:16">
      <c r="A51" s="41"/>
      <c r="B51" s="54"/>
      <c r="D51" s="586" t="s">
        <v>159</v>
      </c>
      <c r="E51" s="526">
        <f>SUM(E40:E50)</f>
        <v>0</v>
      </c>
      <c r="P51" s="64"/>
    </row>
    <row r="52" spans="1:16">
      <c r="A52" s="41"/>
      <c r="B52" s="29"/>
      <c r="D52" s="175" t="s">
        <v>193</v>
      </c>
      <c r="E52" s="329"/>
      <c r="P52" s="64"/>
    </row>
    <row r="53" spans="1:16">
      <c r="A53" s="41"/>
      <c r="B53" s="29"/>
      <c r="D53" s="175" t="s">
        <v>161</v>
      </c>
      <c r="E53" s="334" t="e">
        <f>E51/E52</f>
        <v>#DIV/0!</v>
      </c>
      <c r="P53" s="64"/>
    </row>
    <row r="54" spans="1:16" ht="15.75" thickBot="1">
      <c r="A54" s="59"/>
      <c r="B54" s="176"/>
      <c r="C54" s="177"/>
      <c r="D54" s="178"/>
      <c r="E54" s="178"/>
      <c r="F54" s="176"/>
      <c r="G54" s="73"/>
      <c r="H54" s="66"/>
      <c r="I54" s="66"/>
      <c r="J54" s="66"/>
      <c r="K54" s="66"/>
      <c r="L54" s="66"/>
      <c r="M54" s="66"/>
      <c r="N54" s="66"/>
      <c r="O54" s="66"/>
      <c r="P54" s="67"/>
    </row>
  </sheetData>
  <sheetProtection formatCells="0" formatColumns="0" formatRows="0" insertColumns="0" insertRows="0" insertHyperlinks="0" deleteColumns="0" deleteRows="0" sort="0" autoFilter="0" pivotTables="0"/>
  <mergeCells count="43">
    <mergeCell ref="A11:P11"/>
    <mergeCell ref="A13:P13"/>
    <mergeCell ref="G29:K29"/>
    <mergeCell ref="G30:K30"/>
    <mergeCell ref="G27:K27"/>
    <mergeCell ref="G28:K28"/>
    <mergeCell ref="A14:P14"/>
    <mergeCell ref="G20:K20"/>
    <mergeCell ref="B19:C19"/>
    <mergeCell ref="G25:K25"/>
    <mergeCell ref="G26:K26"/>
    <mergeCell ref="G23:K23"/>
    <mergeCell ref="G24:K24"/>
    <mergeCell ref="G21:K21"/>
    <mergeCell ref="G22:K22"/>
    <mergeCell ref="G19:O19"/>
    <mergeCell ref="O8:P8"/>
    <mergeCell ref="A9:C9"/>
    <mergeCell ref="D9:E9"/>
    <mergeCell ref="F9:I9"/>
    <mergeCell ref="J9:K9"/>
    <mergeCell ref="L9:N9"/>
    <mergeCell ref="O9:P9"/>
    <mergeCell ref="D1:M2"/>
    <mergeCell ref="A3:P5"/>
    <mergeCell ref="E6:L7"/>
    <mergeCell ref="M6:N6"/>
    <mergeCell ref="O6:P6"/>
    <mergeCell ref="M7:N7"/>
    <mergeCell ref="O7:P7"/>
    <mergeCell ref="G50:K50"/>
    <mergeCell ref="G45:K45"/>
    <mergeCell ref="G46:K46"/>
    <mergeCell ref="B39:C39"/>
    <mergeCell ref="G39:O39"/>
    <mergeCell ref="G48:K48"/>
    <mergeCell ref="G47:K47"/>
    <mergeCell ref="G49:K49"/>
    <mergeCell ref="G43:K43"/>
    <mergeCell ref="G44:K44"/>
    <mergeCell ref="G41:K41"/>
    <mergeCell ref="G42:K42"/>
    <mergeCell ref="G40:K40"/>
  </mergeCells>
  <dataValidations count="2">
    <dataValidation type="list" allowBlank="1" showInputMessage="1" showErrorMessage="1" sqref="O9:P9" xr:uid="{00000000-0002-0000-0A00-000000000000}">
      <formula1>Diligences</formula1>
    </dataValidation>
    <dataValidation type="list" showInputMessage="1" showErrorMessage="1" sqref="D9:E9" xr:uid="{00000000-0002-0000-0A00-000001000000}">
      <formula1>RAS</formula1>
    </dataValidation>
  </dataValidations>
  <hyperlinks>
    <hyperlink ref="O8:P8" location="'A Synthèse'!Zone_d_impression" display="A Synthèse" xr:uid="{00000000-0004-0000-0A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1"/>
  <dimension ref="A1:U58"/>
  <sheetViews>
    <sheetView showGridLines="0" zoomScale="80" zoomScaleNormal="80" workbookViewId="0">
      <selection activeCell="C28" sqref="C28"/>
    </sheetView>
  </sheetViews>
  <sheetFormatPr baseColWidth="10" defaultColWidth="11.42578125" defaultRowHeight="15"/>
  <cols>
    <col min="1" max="15" width="14.7109375" style="184" customWidth="1"/>
    <col min="16" max="16" width="36.7109375" style="184" customWidth="1"/>
    <col min="17" max="16384" width="11.42578125" style="184"/>
  </cols>
  <sheetData>
    <row r="1" spans="1:21" s="183" customFormat="1" ht="15" customHeight="1">
      <c r="A1" s="10"/>
      <c r="B1" s="11"/>
      <c r="C1" s="11"/>
      <c r="D1" s="745" t="str">
        <f>'A Synthèse'!D1:M2</f>
        <v>#NomClient</v>
      </c>
      <c r="E1" s="765"/>
      <c r="F1" s="765"/>
      <c r="G1" s="765"/>
      <c r="H1" s="765"/>
      <c r="I1" s="765"/>
      <c r="J1" s="765"/>
      <c r="K1" s="765"/>
      <c r="L1" s="765"/>
      <c r="M1" s="766"/>
      <c r="N1" s="11"/>
      <c r="O1" s="11"/>
      <c r="P1" s="12"/>
      <c r="Q1" s="35"/>
      <c r="R1" s="35"/>
      <c r="S1" s="35"/>
      <c r="T1" s="35"/>
      <c r="U1" s="35"/>
    </row>
    <row r="2" spans="1:21" s="183" customFormat="1" ht="15" customHeight="1" thickBot="1">
      <c r="A2" s="13"/>
      <c r="B2" s="14"/>
      <c r="C2" s="14"/>
      <c r="D2" s="767"/>
      <c r="E2" s="768"/>
      <c r="F2" s="768"/>
      <c r="G2" s="768"/>
      <c r="H2" s="768"/>
      <c r="I2" s="768"/>
      <c r="J2" s="768"/>
      <c r="K2" s="768"/>
      <c r="L2" s="768"/>
      <c r="M2" s="769"/>
      <c r="N2" s="14"/>
      <c r="O2" s="14"/>
      <c r="P2" s="15"/>
      <c r="Q2" s="35"/>
      <c r="R2" s="35"/>
      <c r="S2" s="35"/>
      <c r="T2" s="35"/>
      <c r="U2" s="35"/>
    </row>
    <row r="3" spans="1:21" ht="15" customHeight="1">
      <c r="A3" s="709" t="s">
        <v>3</v>
      </c>
      <c r="B3" s="710"/>
      <c r="C3" s="710"/>
      <c r="D3" s="710"/>
      <c r="E3" s="710"/>
      <c r="F3" s="710"/>
      <c r="G3" s="710"/>
      <c r="H3" s="710"/>
      <c r="I3" s="710"/>
      <c r="J3" s="710"/>
      <c r="K3" s="710"/>
      <c r="L3" s="710"/>
      <c r="M3" s="710"/>
      <c r="N3" s="710"/>
      <c r="O3" s="710"/>
      <c r="P3" s="711"/>
      <c r="Q3" s="25"/>
      <c r="R3" s="3"/>
      <c r="S3" s="25"/>
      <c r="T3" s="5"/>
      <c r="U3" s="5"/>
    </row>
    <row r="4" spans="1:21" ht="15" customHeight="1">
      <c r="A4" s="709"/>
      <c r="B4" s="710"/>
      <c r="C4" s="710"/>
      <c r="D4" s="710"/>
      <c r="E4" s="710"/>
      <c r="F4" s="710"/>
      <c r="G4" s="710"/>
      <c r="H4" s="710"/>
      <c r="I4" s="710"/>
      <c r="J4" s="710"/>
      <c r="K4" s="710"/>
      <c r="L4" s="710"/>
      <c r="M4" s="710"/>
      <c r="N4" s="710"/>
      <c r="O4" s="710"/>
      <c r="P4" s="711"/>
      <c r="Q4" s="25"/>
      <c r="R4" s="3"/>
      <c r="S4" s="25"/>
      <c r="T4" s="5"/>
      <c r="U4" s="5"/>
    </row>
    <row r="5" spans="1:21" ht="15" customHeight="1" thickBot="1">
      <c r="A5" s="712"/>
      <c r="B5" s="713"/>
      <c r="C5" s="713"/>
      <c r="D5" s="713"/>
      <c r="E5" s="713"/>
      <c r="F5" s="713"/>
      <c r="G5" s="713"/>
      <c r="H5" s="713"/>
      <c r="I5" s="713"/>
      <c r="J5" s="713"/>
      <c r="K5" s="713"/>
      <c r="L5" s="713"/>
      <c r="M5" s="713"/>
      <c r="N5" s="713"/>
      <c r="O5" s="713"/>
      <c r="P5" s="714"/>
      <c r="Q5" s="3"/>
      <c r="R5" s="36"/>
      <c r="S5" s="37"/>
      <c r="T5" s="37"/>
      <c r="U5" s="37"/>
    </row>
    <row r="6" spans="1:21" ht="15" customHeight="1">
      <c r="A6" s="17" t="s">
        <v>6</v>
      </c>
      <c r="B6" s="271" t="str">
        <f>'A Synthèse'!B6</f>
        <v>BRA</v>
      </c>
      <c r="C6" s="17" t="s">
        <v>7</v>
      </c>
      <c r="D6" s="271">
        <f>'A Synthèse'!D6</f>
        <v>0</v>
      </c>
      <c r="E6" s="715" t="s">
        <v>53</v>
      </c>
      <c r="F6" s="716"/>
      <c r="G6" s="716"/>
      <c r="H6" s="716"/>
      <c r="I6" s="716"/>
      <c r="J6" s="716"/>
      <c r="K6" s="716"/>
      <c r="L6" s="717"/>
      <c r="M6" s="770" t="s">
        <v>9</v>
      </c>
      <c r="N6" s="771"/>
      <c r="O6" s="721" t="s">
        <v>10</v>
      </c>
      <c r="P6" s="722"/>
      <c r="Q6" s="25"/>
      <c r="R6" s="35"/>
      <c r="S6" s="35"/>
      <c r="T6" s="25"/>
      <c r="U6" s="25"/>
    </row>
    <row r="7" spans="1:21" ht="15" customHeight="1" thickBot="1">
      <c r="A7" s="18" t="s">
        <v>12</v>
      </c>
      <c r="B7" s="272">
        <f>'A Synthèse'!B7</f>
        <v>0</v>
      </c>
      <c r="C7" s="18" t="s">
        <v>12</v>
      </c>
      <c r="D7" s="272">
        <f>'A Synthèse'!D7</f>
        <v>0</v>
      </c>
      <c r="E7" s="718"/>
      <c r="F7" s="719"/>
      <c r="G7" s="719"/>
      <c r="H7" s="719"/>
      <c r="I7" s="719"/>
      <c r="J7" s="719"/>
      <c r="K7" s="719"/>
      <c r="L7" s="720"/>
      <c r="M7" s="772" t="str">
        <f>'A Synthèse'!M7:M7</f>
        <v>#DateClôture</v>
      </c>
      <c r="N7" s="773"/>
      <c r="O7" s="723" t="s">
        <v>52</v>
      </c>
      <c r="P7" s="724"/>
      <c r="Q7" s="25"/>
      <c r="R7" s="25"/>
      <c r="S7" s="25"/>
      <c r="T7" s="25"/>
      <c r="U7" s="25"/>
    </row>
    <row r="8" spans="1:21" ht="21" customHeight="1" thickBot="1">
      <c r="A8" s="19"/>
      <c r="B8" s="38"/>
      <c r="C8" s="20"/>
      <c r="D8" s="20"/>
      <c r="E8" s="39"/>
      <c r="F8" s="39"/>
      <c r="G8" s="39"/>
      <c r="H8" s="39"/>
      <c r="I8" s="39"/>
      <c r="J8" s="39"/>
      <c r="K8" s="39"/>
      <c r="L8" s="39"/>
      <c r="M8" s="22"/>
      <c r="N8" s="20"/>
      <c r="O8" s="776" t="s">
        <v>66</v>
      </c>
      <c r="P8" s="776"/>
      <c r="Q8" s="25"/>
      <c r="R8" s="25"/>
      <c r="S8" s="25"/>
      <c r="T8" s="25"/>
      <c r="U8" s="25"/>
    </row>
    <row r="9" spans="1:21" s="185" customFormat="1" ht="31.5" customHeight="1" thickBot="1">
      <c r="A9" s="733" t="s">
        <v>17</v>
      </c>
      <c r="B9" s="734"/>
      <c r="C9" s="734"/>
      <c r="D9" s="763" t="str">
        <f>'A Synthèse'!D9:E9</f>
        <v>Modéré</v>
      </c>
      <c r="E9" s="764"/>
      <c r="F9" s="735" t="s">
        <v>18</v>
      </c>
      <c r="G9" s="736"/>
      <c r="H9" s="736"/>
      <c r="I9" s="736"/>
      <c r="J9" s="774">
        <f>'A Synthèse'!J9:K9</f>
        <v>0</v>
      </c>
      <c r="K9" s="775"/>
      <c r="L9" s="735" t="s">
        <v>19</v>
      </c>
      <c r="M9" s="736"/>
      <c r="N9" s="736"/>
      <c r="O9" s="763" t="str">
        <f>'A Synthèse'!N9</f>
        <v>PE</v>
      </c>
      <c r="P9" s="764"/>
      <c r="Q9" s="20"/>
      <c r="R9" s="20"/>
      <c r="S9" s="20"/>
      <c r="T9" s="20"/>
      <c r="U9" s="20"/>
    </row>
    <row r="10" spans="1:21" s="185" customFormat="1" ht="21" customHeight="1" thickBot="1">
      <c r="A10" s="24"/>
      <c r="B10" s="24"/>
      <c r="C10" s="24"/>
      <c r="D10" s="24"/>
      <c r="E10" s="24"/>
      <c r="F10" s="24"/>
      <c r="G10" s="24"/>
      <c r="H10" s="24"/>
      <c r="I10" s="24"/>
      <c r="J10" s="24"/>
      <c r="K10" s="24"/>
      <c r="L10" s="24"/>
      <c r="M10" s="24"/>
      <c r="N10" s="24"/>
      <c r="O10" s="24"/>
      <c r="P10" s="24"/>
      <c r="Q10" s="20"/>
      <c r="R10" s="20"/>
      <c r="S10" s="20"/>
      <c r="T10" s="20"/>
      <c r="U10" s="20"/>
    </row>
    <row r="11" spans="1:21" ht="126.75" customHeight="1" thickBot="1">
      <c r="A11" s="778" t="s">
        <v>254</v>
      </c>
      <c r="B11" s="779"/>
      <c r="C11" s="779"/>
      <c r="D11" s="779"/>
      <c r="E11" s="779"/>
      <c r="F11" s="779"/>
      <c r="G11" s="779"/>
      <c r="H11" s="779"/>
      <c r="I11" s="779"/>
      <c r="J11" s="779"/>
      <c r="K11" s="779"/>
      <c r="L11" s="779"/>
      <c r="M11" s="779"/>
      <c r="N11" s="779"/>
      <c r="O11" s="779"/>
      <c r="P11" s="780"/>
      <c r="Q11" s="25"/>
      <c r="R11" s="25"/>
      <c r="S11" s="25"/>
      <c r="T11" s="25"/>
      <c r="U11" s="25"/>
    </row>
    <row r="12" spans="1:21" ht="9" customHeight="1" thickBot="1">
      <c r="A12" s="25"/>
      <c r="B12" s="25"/>
      <c r="C12" s="25"/>
      <c r="D12" s="25"/>
      <c r="E12" s="25"/>
      <c r="F12" s="25"/>
      <c r="G12" s="25"/>
      <c r="H12" s="25"/>
      <c r="I12" s="25"/>
      <c r="J12" s="25"/>
      <c r="K12" s="25"/>
      <c r="L12" s="25"/>
      <c r="M12" s="25"/>
      <c r="N12" s="25"/>
      <c r="O12" s="25"/>
      <c r="P12" s="25"/>
      <c r="Q12" s="25"/>
      <c r="R12" s="25"/>
      <c r="S12" s="25"/>
      <c r="T12" s="25"/>
      <c r="U12" s="25"/>
    </row>
    <row r="13" spans="1:21">
      <c r="A13" s="781" t="s">
        <v>69</v>
      </c>
      <c r="B13" s="782"/>
      <c r="C13" s="782"/>
      <c r="D13" s="782"/>
      <c r="E13" s="782"/>
      <c r="F13" s="782"/>
      <c r="G13" s="782"/>
      <c r="H13" s="782"/>
      <c r="I13" s="782"/>
      <c r="J13" s="782"/>
      <c r="K13" s="782"/>
      <c r="L13" s="782"/>
      <c r="M13" s="782"/>
      <c r="N13" s="782"/>
      <c r="O13" s="782"/>
      <c r="P13" s="783"/>
      <c r="Q13" s="25"/>
      <c r="R13" s="25"/>
      <c r="S13" s="25"/>
      <c r="T13" s="25"/>
      <c r="U13" s="25"/>
    </row>
    <row r="14" spans="1:21" ht="42" customHeight="1" thickBot="1">
      <c r="A14" s="784"/>
      <c r="B14" s="785"/>
      <c r="C14" s="785"/>
      <c r="D14" s="785"/>
      <c r="E14" s="785"/>
      <c r="F14" s="785"/>
      <c r="G14" s="785"/>
      <c r="H14" s="785"/>
      <c r="I14" s="785"/>
      <c r="J14" s="785"/>
      <c r="K14" s="785"/>
      <c r="L14" s="785"/>
      <c r="M14" s="785"/>
      <c r="N14" s="785"/>
      <c r="O14" s="785"/>
      <c r="P14" s="786"/>
      <c r="Q14" s="25"/>
      <c r="R14" s="25"/>
      <c r="S14" s="25"/>
      <c r="T14" s="25"/>
      <c r="U14" s="25"/>
    </row>
    <row r="15" spans="1:21" ht="15.75" thickBot="1">
      <c r="A15" s="25"/>
      <c r="B15" s="25"/>
      <c r="C15" s="25"/>
      <c r="D15" s="25"/>
      <c r="E15" s="25"/>
      <c r="F15" s="25"/>
      <c r="G15" s="25"/>
      <c r="H15" s="25"/>
      <c r="I15" s="25"/>
      <c r="J15" s="25"/>
      <c r="K15" s="25"/>
      <c r="L15" s="25"/>
      <c r="M15" s="25"/>
      <c r="N15" s="25"/>
      <c r="O15" s="25"/>
      <c r="P15" s="25"/>
      <c r="Q15" s="25"/>
      <c r="R15" s="25"/>
      <c r="S15" s="25"/>
      <c r="T15" s="25"/>
      <c r="U15" s="25"/>
    </row>
    <row r="16" spans="1:21">
      <c r="A16" s="60"/>
      <c r="B16" s="61"/>
      <c r="C16" s="61"/>
      <c r="D16" s="61"/>
      <c r="E16" s="61"/>
      <c r="F16" s="61"/>
      <c r="G16" s="61"/>
      <c r="H16" s="61"/>
      <c r="I16" s="61"/>
      <c r="J16" s="61"/>
      <c r="K16" s="61"/>
      <c r="L16" s="61"/>
      <c r="M16" s="61"/>
      <c r="N16" s="61"/>
      <c r="O16" s="61"/>
      <c r="P16" s="62"/>
      <c r="Q16" s="25"/>
      <c r="R16" s="25"/>
      <c r="S16" s="25"/>
      <c r="T16" s="25"/>
      <c r="U16" s="25"/>
    </row>
    <row r="17" spans="1:16">
      <c r="A17" s="266" t="s">
        <v>195</v>
      </c>
      <c r="B17" s="25"/>
      <c r="C17" s="25"/>
      <c r="D17" s="25"/>
      <c r="E17" s="25"/>
      <c r="F17" s="25"/>
      <c r="G17" s="25"/>
      <c r="H17" s="25"/>
      <c r="I17" s="25"/>
      <c r="J17" s="25"/>
      <c r="K17" s="25"/>
      <c r="L17" s="25"/>
      <c r="M17" s="25"/>
      <c r="N17" s="25"/>
      <c r="O17" s="25"/>
      <c r="P17" s="64"/>
    </row>
    <row r="18" spans="1:16">
      <c r="A18" s="186"/>
      <c r="B18" s="25"/>
      <c r="C18" s="25"/>
      <c r="D18" s="25"/>
      <c r="E18" s="25"/>
      <c r="F18" s="25"/>
      <c r="G18" s="25"/>
      <c r="H18" s="25"/>
      <c r="I18" s="25"/>
      <c r="J18" s="25"/>
      <c r="K18" s="25"/>
      <c r="L18" s="25"/>
      <c r="M18" s="25"/>
      <c r="N18" s="25"/>
      <c r="O18" s="25"/>
      <c r="P18" s="64"/>
    </row>
    <row r="19" spans="1:16">
      <c r="A19" s="63" t="s">
        <v>196</v>
      </c>
      <c r="B19" s="25"/>
      <c r="C19" s="25"/>
      <c r="D19" s="25"/>
      <c r="E19" s="25"/>
      <c r="F19" s="25"/>
      <c r="G19" s="25"/>
      <c r="H19" s="25"/>
      <c r="I19" s="25"/>
      <c r="J19" s="25"/>
      <c r="K19" s="25"/>
      <c r="L19" s="25"/>
      <c r="M19" s="25"/>
      <c r="N19" s="25"/>
      <c r="O19" s="25"/>
      <c r="P19" s="64"/>
    </row>
    <row r="20" spans="1:16" ht="15.75" thickBot="1">
      <c r="A20" s="65"/>
      <c r="B20" s="66"/>
      <c r="C20" s="66"/>
      <c r="D20" s="66"/>
      <c r="E20" s="66"/>
      <c r="F20" s="66"/>
      <c r="G20" s="66"/>
      <c r="H20" s="66"/>
      <c r="I20" s="66"/>
      <c r="J20" s="66"/>
      <c r="K20" s="66"/>
      <c r="L20" s="66"/>
      <c r="M20" s="66"/>
      <c r="N20" s="66"/>
      <c r="O20" s="66"/>
      <c r="P20" s="67"/>
    </row>
    <row r="21" spans="1:16" ht="15.75" thickBot="1">
      <c r="A21" s="25"/>
      <c r="B21" s="25"/>
      <c r="C21" s="25"/>
      <c r="D21" s="25"/>
      <c r="E21" s="25"/>
      <c r="F21" s="25"/>
      <c r="G21" s="25"/>
      <c r="H21" s="25"/>
      <c r="I21" s="25"/>
      <c r="J21" s="25"/>
      <c r="K21" s="25"/>
      <c r="L21" s="25"/>
      <c r="M21" s="25"/>
      <c r="N21" s="25"/>
      <c r="O21" s="25"/>
      <c r="P21" s="25"/>
    </row>
    <row r="22" spans="1:16">
      <c r="A22" s="60"/>
      <c r="B22" s="61"/>
      <c r="C22" s="61"/>
      <c r="D22" s="61"/>
      <c r="E22" s="61"/>
      <c r="F22" s="61"/>
      <c r="G22" s="61"/>
      <c r="H22" s="61"/>
      <c r="I22" s="61"/>
      <c r="J22" s="61"/>
      <c r="K22" s="61"/>
      <c r="L22" s="61"/>
      <c r="M22" s="61"/>
      <c r="N22" s="61"/>
      <c r="O22" s="61"/>
      <c r="P22" s="62"/>
    </row>
    <row r="23" spans="1:16">
      <c r="A23" s="266" t="s">
        <v>197</v>
      </c>
      <c r="B23" s="379"/>
      <c r="C23" s="29"/>
      <c r="D23" s="30"/>
      <c r="E23" s="30"/>
      <c r="F23" s="30"/>
      <c r="G23" s="187"/>
      <c r="H23" s="47"/>
      <c r="I23" s="29"/>
      <c r="J23" s="29"/>
      <c r="K23" s="29"/>
      <c r="L23" s="29"/>
      <c r="M23" s="29"/>
      <c r="N23" s="29"/>
      <c r="O23" s="25"/>
      <c r="P23" s="64"/>
    </row>
    <row r="24" spans="1:16">
      <c r="A24" s="266"/>
      <c r="B24" s="379"/>
      <c r="C24" s="29"/>
      <c r="D24" s="30"/>
      <c r="E24" s="30"/>
      <c r="F24" s="30"/>
      <c r="G24" s="187"/>
      <c r="H24" s="47"/>
      <c r="I24" s="29"/>
      <c r="J24" s="29"/>
      <c r="K24" s="29"/>
      <c r="L24" s="29"/>
      <c r="M24" s="29"/>
      <c r="N24" s="29"/>
      <c r="O24" s="25"/>
      <c r="P24" s="64"/>
    </row>
    <row r="25" spans="1:16" ht="23.25" customHeight="1">
      <c r="A25" s="41"/>
      <c r="B25" s="29"/>
      <c r="C25" s="29"/>
      <c r="D25" s="576" t="s">
        <v>198</v>
      </c>
      <c r="E25" s="860" t="s">
        <v>199</v>
      </c>
      <c r="F25" s="861"/>
      <c r="G25" s="861"/>
      <c r="H25" s="862"/>
      <c r="I25" s="860" t="s">
        <v>200</v>
      </c>
      <c r="J25" s="861"/>
      <c r="K25" s="861"/>
      <c r="L25" s="861"/>
      <c r="M25" s="862"/>
      <c r="P25" s="64"/>
    </row>
    <row r="26" spans="1:16" s="267" customFormat="1" ht="57" customHeight="1">
      <c r="A26" s="688" t="s">
        <v>201</v>
      </c>
      <c r="B26" s="892" t="s">
        <v>244</v>
      </c>
      <c r="C26" s="893"/>
      <c r="D26" s="238" t="s">
        <v>202</v>
      </c>
      <c r="E26" s="269" t="s">
        <v>203</v>
      </c>
      <c r="F26" s="268" t="s">
        <v>79</v>
      </c>
      <c r="G26" s="268" t="s">
        <v>204</v>
      </c>
      <c r="H26" s="380" t="s">
        <v>205</v>
      </c>
      <c r="I26" s="269" t="s">
        <v>206</v>
      </c>
      <c r="J26" s="268" t="s">
        <v>207</v>
      </c>
      <c r="K26" s="268" t="s">
        <v>79</v>
      </c>
      <c r="L26" s="268" t="s">
        <v>204</v>
      </c>
      <c r="M26" s="380" t="s">
        <v>205</v>
      </c>
      <c r="N26" s="901" t="s">
        <v>88</v>
      </c>
      <c r="O26" s="902"/>
      <c r="P26" s="903"/>
    </row>
    <row r="27" spans="1:16">
      <c r="A27" s="427"/>
      <c r="B27" s="650"/>
      <c r="C27" s="656"/>
      <c r="D27" s="651"/>
      <c r="E27" s="381"/>
      <c r="F27" s="382">
        <f>D27-E27</f>
        <v>0</v>
      </c>
      <c r="G27" s="383"/>
      <c r="H27" s="384">
        <f>F27-G27</f>
        <v>0</v>
      </c>
      <c r="I27" s="381"/>
      <c r="J27" s="385"/>
      <c r="K27" s="382">
        <f>I27-J27</f>
        <v>0</v>
      </c>
      <c r="L27" s="386"/>
      <c r="M27" s="384">
        <f>K27-L27</f>
        <v>0</v>
      </c>
      <c r="N27" s="659"/>
      <c r="O27" s="660"/>
      <c r="P27" s="661"/>
    </row>
    <row r="28" spans="1:16">
      <c r="A28" s="698"/>
      <c r="B28" s="654"/>
      <c r="C28" s="655"/>
      <c r="D28" s="652"/>
      <c r="E28" s="387"/>
      <c r="F28" s="388">
        <f t="shared" ref="F28:H35" si="0">D28-E28</f>
        <v>0</v>
      </c>
      <c r="G28" s="389"/>
      <c r="H28" s="390">
        <f t="shared" si="0"/>
        <v>0</v>
      </c>
      <c r="I28" s="387"/>
      <c r="J28" s="391"/>
      <c r="K28" s="388">
        <f t="shared" ref="K28:M35" si="1">I28-J28</f>
        <v>0</v>
      </c>
      <c r="L28" s="392"/>
      <c r="M28" s="390">
        <f t="shared" si="1"/>
        <v>0</v>
      </c>
      <c r="N28" s="662"/>
      <c r="O28" s="663"/>
      <c r="P28" s="664"/>
    </row>
    <row r="29" spans="1:16">
      <c r="A29" s="429"/>
      <c r="B29" s="654"/>
      <c r="C29" s="655"/>
      <c r="D29" s="652"/>
      <c r="E29" s="387"/>
      <c r="F29" s="388">
        <f t="shared" si="0"/>
        <v>0</v>
      </c>
      <c r="G29" s="389"/>
      <c r="H29" s="390">
        <f t="shared" si="0"/>
        <v>0</v>
      </c>
      <c r="I29" s="387"/>
      <c r="J29" s="391"/>
      <c r="K29" s="388">
        <f t="shared" si="1"/>
        <v>0</v>
      </c>
      <c r="L29" s="392"/>
      <c r="M29" s="390">
        <f t="shared" si="1"/>
        <v>0</v>
      </c>
      <c r="N29" s="662"/>
      <c r="O29" s="663"/>
      <c r="P29" s="664"/>
    </row>
    <row r="30" spans="1:16">
      <c r="A30" s="429"/>
      <c r="B30" s="654"/>
      <c r="C30" s="655"/>
      <c r="D30" s="652"/>
      <c r="E30" s="387"/>
      <c r="F30" s="388">
        <f t="shared" si="0"/>
        <v>0</v>
      </c>
      <c r="G30" s="389"/>
      <c r="H30" s="390">
        <f t="shared" si="0"/>
        <v>0</v>
      </c>
      <c r="I30" s="387"/>
      <c r="J30" s="391"/>
      <c r="K30" s="388">
        <f t="shared" si="1"/>
        <v>0</v>
      </c>
      <c r="L30" s="392"/>
      <c r="M30" s="390">
        <f t="shared" si="1"/>
        <v>0</v>
      </c>
      <c r="N30" s="662"/>
      <c r="O30" s="663"/>
      <c r="P30" s="664"/>
    </row>
    <row r="31" spans="1:16" ht="15.75">
      <c r="A31" s="699"/>
      <c r="B31" s="654"/>
      <c r="C31" s="655"/>
      <c r="D31" s="652"/>
      <c r="E31" s="387"/>
      <c r="F31" s="388">
        <f t="shared" si="0"/>
        <v>0</v>
      </c>
      <c r="G31" s="389"/>
      <c r="H31" s="390">
        <f t="shared" si="0"/>
        <v>0</v>
      </c>
      <c r="I31" s="387"/>
      <c r="J31" s="391"/>
      <c r="K31" s="388">
        <f t="shared" si="1"/>
        <v>0</v>
      </c>
      <c r="L31" s="392"/>
      <c r="M31" s="390">
        <f t="shared" si="1"/>
        <v>0</v>
      </c>
      <c r="N31" s="662"/>
      <c r="O31" s="663"/>
      <c r="P31" s="664"/>
    </row>
    <row r="32" spans="1:16">
      <c r="A32" s="429"/>
      <c r="B32" s="654"/>
      <c r="C32" s="655"/>
      <c r="D32" s="652"/>
      <c r="E32" s="387"/>
      <c r="F32" s="388">
        <f t="shared" si="0"/>
        <v>0</v>
      </c>
      <c r="G32" s="389"/>
      <c r="H32" s="390">
        <f t="shared" si="0"/>
        <v>0</v>
      </c>
      <c r="I32" s="387"/>
      <c r="J32" s="391"/>
      <c r="K32" s="388">
        <f t="shared" si="1"/>
        <v>0</v>
      </c>
      <c r="L32" s="392"/>
      <c r="M32" s="390">
        <f t="shared" si="1"/>
        <v>0</v>
      </c>
      <c r="N32" s="662"/>
      <c r="O32" s="663"/>
      <c r="P32" s="664"/>
    </row>
    <row r="33" spans="1:16">
      <c r="A33" s="429"/>
      <c r="B33" s="654"/>
      <c r="C33" s="655"/>
      <c r="D33" s="652"/>
      <c r="E33" s="387"/>
      <c r="F33" s="388">
        <f t="shared" si="0"/>
        <v>0</v>
      </c>
      <c r="G33" s="389"/>
      <c r="H33" s="390">
        <f t="shared" si="0"/>
        <v>0</v>
      </c>
      <c r="I33" s="387"/>
      <c r="J33" s="391"/>
      <c r="K33" s="388">
        <f t="shared" si="1"/>
        <v>0</v>
      </c>
      <c r="L33" s="392"/>
      <c r="M33" s="390">
        <f t="shared" si="1"/>
        <v>0</v>
      </c>
      <c r="N33" s="662"/>
      <c r="O33" s="663"/>
      <c r="P33" s="664"/>
    </row>
    <row r="34" spans="1:16">
      <c r="A34" s="429"/>
      <c r="B34" s="654"/>
      <c r="C34" s="655"/>
      <c r="D34" s="652"/>
      <c r="E34" s="387"/>
      <c r="F34" s="388">
        <f t="shared" si="0"/>
        <v>0</v>
      </c>
      <c r="G34" s="389"/>
      <c r="H34" s="390">
        <f t="shared" si="0"/>
        <v>0</v>
      </c>
      <c r="I34" s="387"/>
      <c r="J34" s="391"/>
      <c r="K34" s="388">
        <f t="shared" si="1"/>
        <v>0</v>
      </c>
      <c r="L34" s="392"/>
      <c r="M34" s="390">
        <f t="shared" si="1"/>
        <v>0</v>
      </c>
      <c r="N34" s="662"/>
      <c r="O34" s="663"/>
      <c r="P34" s="664"/>
    </row>
    <row r="35" spans="1:16">
      <c r="A35" s="431"/>
      <c r="B35" s="657"/>
      <c r="C35" s="658"/>
      <c r="D35" s="653"/>
      <c r="E35" s="393"/>
      <c r="F35" s="394">
        <f t="shared" si="0"/>
        <v>0</v>
      </c>
      <c r="G35" s="395"/>
      <c r="H35" s="396">
        <f t="shared" si="0"/>
        <v>0</v>
      </c>
      <c r="I35" s="393"/>
      <c r="J35" s="397"/>
      <c r="K35" s="394">
        <f t="shared" si="1"/>
        <v>0</v>
      </c>
      <c r="L35" s="398"/>
      <c r="M35" s="396">
        <f t="shared" si="1"/>
        <v>0</v>
      </c>
      <c r="N35" s="665"/>
      <c r="O35" s="666"/>
      <c r="P35" s="667"/>
    </row>
    <row r="36" spans="1:16" ht="15.75" thickBot="1">
      <c r="A36" s="55"/>
      <c r="B36" s="29"/>
      <c r="C36" s="29"/>
      <c r="D36" s="29"/>
      <c r="E36" s="29"/>
      <c r="F36" s="399"/>
      <c r="G36" s="47"/>
      <c r="H36" s="47"/>
      <c r="I36" s="47"/>
      <c r="J36" s="29"/>
      <c r="K36" s="399"/>
      <c r="L36" s="29"/>
      <c r="M36" s="29"/>
      <c r="N36" s="25"/>
      <c r="O36" s="25"/>
      <c r="P36" s="64"/>
    </row>
    <row r="37" spans="1:16">
      <c r="A37" s="899" t="s">
        <v>208</v>
      </c>
      <c r="B37" s="900"/>
      <c r="C37" s="900"/>
      <c r="D37" s="400">
        <f>SUM(D27:D35)</f>
        <v>0</v>
      </c>
      <c r="E37" s="25"/>
      <c r="F37" s="899" t="s">
        <v>209</v>
      </c>
      <c r="G37" s="900"/>
      <c r="H37" s="900"/>
      <c r="I37" s="400">
        <f>SUM(I27:I35)</f>
        <v>0</v>
      </c>
      <c r="J37" s="401"/>
      <c r="K37" s="401"/>
      <c r="L37" s="401"/>
      <c r="M37" s="25"/>
      <c r="P37" s="64"/>
    </row>
    <row r="38" spans="1:16" ht="5.25" customHeight="1">
      <c r="A38" s="41"/>
      <c r="B38" s="586"/>
      <c r="C38" s="25"/>
      <c r="D38" s="402"/>
      <c r="E38" s="25"/>
      <c r="F38" s="41"/>
      <c r="G38" s="586"/>
      <c r="H38" s="25"/>
      <c r="I38" s="402"/>
      <c r="J38" s="401"/>
      <c r="K38" s="401"/>
      <c r="L38" s="401"/>
      <c r="M38" s="25"/>
      <c r="P38" s="64"/>
    </row>
    <row r="39" spans="1:16">
      <c r="A39" s="897" t="s">
        <v>210</v>
      </c>
      <c r="B39" s="898"/>
      <c r="C39" s="898"/>
      <c r="D39" s="402">
        <f>'A100 Rappro BA-BG'!E18</f>
        <v>0</v>
      </c>
      <c r="E39" s="25"/>
      <c r="F39" s="897" t="s">
        <v>211</v>
      </c>
      <c r="G39" s="898"/>
      <c r="H39" s="898"/>
      <c r="I39" s="402"/>
      <c r="J39" s="401"/>
      <c r="K39" s="401"/>
      <c r="L39" s="401"/>
      <c r="M39" s="25"/>
      <c r="P39" s="64"/>
    </row>
    <row r="40" spans="1:16" ht="5.25" customHeight="1">
      <c r="A40" s="41"/>
      <c r="B40" s="586"/>
      <c r="C40" s="25"/>
      <c r="D40" s="403"/>
      <c r="E40" s="25"/>
      <c r="F40" s="41"/>
      <c r="G40" s="586"/>
      <c r="H40" s="25"/>
      <c r="I40" s="403"/>
      <c r="J40" s="404"/>
      <c r="K40" s="404"/>
      <c r="L40" s="404"/>
      <c r="M40" s="25"/>
      <c r="P40" s="64"/>
    </row>
    <row r="41" spans="1:16" ht="15.75" thickBot="1">
      <c r="A41" s="895" t="s">
        <v>212</v>
      </c>
      <c r="B41" s="896"/>
      <c r="C41" s="896"/>
      <c r="D41" s="405" t="e">
        <f>D37/D39</f>
        <v>#DIV/0!</v>
      </c>
      <c r="E41" s="25"/>
      <c r="F41" s="895" t="s">
        <v>213</v>
      </c>
      <c r="G41" s="896"/>
      <c r="H41" s="896"/>
      <c r="I41" s="405" t="e">
        <f>I37/I39</f>
        <v>#DIV/0!</v>
      </c>
      <c r="J41" s="29"/>
      <c r="K41" s="29"/>
      <c r="L41" s="29"/>
      <c r="M41" s="25"/>
      <c r="P41" s="64"/>
    </row>
    <row r="42" spans="1:16" ht="15.75" thickBot="1">
      <c r="A42" s="639"/>
      <c r="B42" s="640"/>
      <c r="C42" s="640"/>
      <c r="D42" s="640"/>
      <c r="E42" s="66"/>
      <c r="F42" s="640"/>
      <c r="G42" s="640"/>
      <c r="H42" s="640"/>
      <c r="I42" s="640"/>
      <c r="J42" s="73"/>
      <c r="K42" s="73"/>
      <c r="L42" s="73"/>
      <c r="M42" s="66"/>
      <c r="N42" s="690"/>
      <c r="O42" s="690"/>
      <c r="P42" s="67"/>
    </row>
    <row r="43" spans="1:16" ht="15.75" thickBot="1">
      <c r="A43" s="641"/>
      <c r="B43" s="586"/>
      <c r="C43" s="586"/>
      <c r="D43" s="586"/>
      <c r="E43" s="25"/>
      <c r="F43" s="586"/>
      <c r="G43" s="586"/>
      <c r="H43" s="586"/>
      <c r="I43" s="586"/>
      <c r="J43" s="29"/>
      <c r="K43" s="29"/>
      <c r="L43" s="29"/>
      <c r="M43" s="25"/>
      <c r="P43" s="25"/>
    </row>
    <row r="44" spans="1:16">
      <c r="A44" s="60"/>
      <c r="B44" s="61"/>
      <c r="C44" s="61"/>
      <c r="D44" s="61"/>
      <c r="E44" s="61"/>
      <c r="F44" s="61"/>
      <c r="G44" s="61"/>
      <c r="H44" s="61"/>
      <c r="I44" s="61"/>
      <c r="J44" s="61"/>
      <c r="K44" s="61"/>
      <c r="L44" s="61"/>
      <c r="M44" s="61"/>
      <c r="N44" s="61"/>
      <c r="O44" s="61"/>
      <c r="P44" s="62"/>
    </row>
    <row r="45" spans="1:16">
      <c r="A45" s="266" t="s">
        <v>246</v>
      </c>
      <c r="P45" s="686"/>
    </row>
    <row r="46" spans="1:16">
      <c r="A46" s="687"/>
      <c r="P46" s="686"/>
    </row>
    <row r="47" spans="1:16">
      <c r="A47" s="41"/>
      <c r="B47" s="29"/>
      <c r="C47" s="29"/>
      <c r="D47" s="805" t="s">
        <v>198</v>
      </c>
      <c r="E47" s="805"/>
      <c r="F47" s="894" t="s">
        <v>248</v>
      </c>
      <c r="G47" s="894"/>
      <c r="H47" s="889" t="s">
        <v>250</v>
      </c>
      <c r="I47" s="890"/>
      <c r="J47" s="890"/>
      <c r="K47" s="890"/>
      <c r="L47" s="890"/>
      <c r="M47" s="890"/>
      <c r="N47" s="890"/>
      <c r="O47" s="890"/>
      <c r="P47" s="891"/>
    </row>
    <row r="48" spans="1:16" ht="45">
      <c r="A48" s="688" t="s">
        <v>251</v>
      </c>
      <c r="B48" s="892" t="s">
        <v>244</v>
      </c>
      <c r="C48" s="893"/>
      <c r="D48" s="238" t="s">
        <v>202</v>
      </c>
      <c r="E48" s="238" t="s">
        <v>206</v>
      </c>
      <c r="F48" s="238" t="s">
        <v>247</v>
      </c>
      <c r="G48" s="238" t="s">
        <v>252</v>
      </c>
      <c r="H48" s="238" t="s">
        <v>249</v>
      </c>
      <c r="I48" s="238" t="s">
        <v>253</v>
      </c>
      <c r="J48" s="887" t="s">
        <v>88</v>
      </c>
      <c r="K48" s="887"/>
      <c r="L48" s="887"/>
      <c r="M48" s="887"/>
      <c r="N48" s="887"/>
      <c r="O48" s="887"/>
      <c r="P48" s="888"/>
    </row>
    <row r="49" spans="1:16">
      <c r="A49" s="427"/>
      <c r="B49" s="650"/>
      <c r="C49" s="656"/>
      <c r="D49" s="668"/>
      <c r="E49" s="669"/>
      <c r="F49" s="670"/>
      <c r="G49" s="673"/>
      <c r="H49" s="674"/>
      <c r="I49" s="674" t="e">
        <f>H49/E49</f>
        <v>#DIV/0!</v>
      </c>
      <c r="J49" s="677"/>
      <c r="K49" s="678"/>
      <c r="L49" s="678"/>
      <c r="M49" s="678"/>
      <c r="N49" s="678"/>
      <c r="O49" s="678"/>
      <c r="P49" s="679"/>
    </row>
    <row r="50" spans="1:16">
      <c r="A50" s="428"/>
      <c r="B50" s="654"/>
      <c r="C50" s="655"/>
      <c r="D50" s="652"/>
      <c r="E50" s="387"/>
      <c r="F50" s="671"/>
      <c r="G50" s="675"/>
      <c r="H50" s="675"/>
      <c r="I50" s="675" t="e">
        <f t="shared" ref="I50:I57" si="2">H50/E50</f>
        <v>#DIV/0!</v>
      </c>
      <c r="J50" s="680"/>
      <c r="K50" s="681"/>
      <c r="L50" s="681"/>
      <c r="M50" s="681"/>
      <c r="N50" s="681"/>
      <c r="O50" s="681"/>
      <c r="P50" s="682"/>
    </row>
    <row r="51" spans="1:16">
      <c r="A51" s="429"/>
      <c r="B51" s="654"/>
      <c r="C51" s="655"/>
      <c r="D51" s="652"/>
      <c r="E51" s="387"/>
      <c r="F51" s="671"/>
      <c r="G51" s="675"/>
      <c r="H51" s="675"/>
      <c r="I51" s="675" t="e">
        <f t="shared" si="2"/>
        <v>#DIV/0!</v>
      </c>
      <c r="J51" s="680"/>
      <c r="K51" s="681"/>
      <c r="L51" s="681"/>
      <c r="M51" s="681"/>
      <c r="N51" s="681"/>
      <c r="O51" s="681"/>
      <c r="P51" s="682"/>
    </row>
    <row r="52" spans="1:16">
      <c r="A52" s="429"/>
      <c r="B52" s="654"/>
      <c r="C52" s="655"/>
      <c r="D52" s="652"/>
      <c r="E52" s="387"/>
      <c r="F52" s="671"/>
      <c r="G52" s="675"/>
      <c r="H52" s="675"/>
      <c r="I52" s="675" t="e">
        <f t="shared" si="2"/>
        <v>#DIV/0!</v>
      </c>
      <c r="J52" s="680"/>
      <c r="K52" s="681"/>
      <c r="L52" s="681"/>
      <c r="M52" s="681"/>
      <c r="N52" s="681"/>
      <c r="O52" s="681"/>
      <c r="P52" s="682"/>
    </row>
    <row r="53" spans="1:16" ht="15.75">
      <c r="A53" s="430"/>
      <c r="B53" s="654"/>
      <c r="C53" s="655"/>
      <c r="D53" s="652"/>
      <c r="E53" s="387"/>
      <c r="F53" s="671"/>
      <c r="G53" s="675"/>
      <c r="H53" s="675"/>
      <c r="I53" s="675" t="e">
        <f t="shared" si="2"/>
        <v>#DIV/0!</v>
      </c>
      <c r="J53" s="680"/>
      <c r="K53" s="681"/>
      <c r="L53" s="681"/>
      <c r="M53" s="681"/>
      <c r="N53" s="681"/>
      <c r="O53" s="681"/>
      <c r="P53" s="682"/>
    </row>
    <row r="54" spans="1:16">
      <c r="A54" s="429"/>
      <c r="B54" s="654"/>
      <c r="C54" s="655"/>
      <c r="D54" s="652"/>
      <c r="E54" s="387"/>
      <c r="F54" s="671"/>
      <c r="G54" s="675"/>
      <c r="H54" s="675"/>
      <c r="I54" s="675" t="e">
        <f t="shared" si="2"/>
        <v>#DIV/0!</v>
      </c>
      <c r="J54" s="680"/>
      <c r="K54" s="681"/>
      <c r="L54" s="681"/>
      <c r="M54" s="681"/>
      <c r="N54" s="681"/>
      <c r="O54" s="681"/>
      <c r="P54" s="682"/>
    </row>
    <row r="55" spans="1:16">
      <c r="A55" s="429"/>
      <c r="B55" s="654"/>
      <c r="C55" s="655"/>
      <c r="D55" s="652"/>
      <c r="E55" s="387"/>
      <c r="F55" s="671"/>
      <c r="G55" s="675"/>
      <c r="H55" s="675"/>
      <c r="I55" s="675" t="e">
        <f t="shared" si="2"/>
        <v>#DIV/0!</v>
      </c>
      <c r="J55" s="680"/>
      <c r="K55" s="681"/>
      <c r="L55" s="681"/>
      <c r="M55" s="681"/>
      <c r="N55" s="681"/>
      <c r="O55" s="681"/>
      <c r="P55" s="682"/>
    </row>
    <row r="56" spans="1:16">
      <c r="A56" s="429"/>
      <c r="B56" s="654"/>
      <c r="C56" s="655"/>
      <c r="D56" s="652"/>
      <c r="E56" s="387"/>
      <c r="F56" s="671"/>
      <c r="G56" s="675"/>
      <c r="H56" s="675"/>
      <c r="I56" s="675" t="e">
        <f t="shared" si="2"/>
        <v>#DIV/0!</v>
      </c>
      <c r="J56" s="680"/>
      <c r="K56" s="681"/>
      <c r="L56" s="681"/>
      <c r="M56" s="681"/>
      <c r="N56" s="681"/>
      <c r="O56" s="681"/>
      <c r="P56" s="682"/>
    </row>
    <row r="57" spans="1:16">
      <c r="A57" s="431"/>
      <c r="B57" s="657"/>
      <c r="C57" s="658"/>
      <c r="D57" s="653"/>
      <c r="E57" s="393"/>
      <c r="F57" s="672"/>
      <c r="G57" s="676"/>
      <c r="H57" s="676"/>
      <c r="I57" s="676" t="e">
        <f t="shared" si="2"/>
        <v>#DIV/0!</v>
      </c>
      <c r="J57" s="683"/>
      <c r="K57" s="684"/>
      <c r="L57" s="684"/>
      <c r="M57" s="684"/>
      <c r="N57" s="684"/>
      <c r="O57" s="684"/>
      <c r="P57" s="685"/>
    </row>
    <row r="58" spans="1:16" ht="15.75" thickBot="1">
      <c r="A58" s="689"/>
      <c r="B58" s="690"/>
      <c r="C58" s="690"/>
      <c r="D58" s="690"/>
      <c r="E58" s="690"/>
      <c r="F58" s="690"/>
      <c r="G58" s="690"/>
      <c r="H58" s="690"/>
      <c r="I58" s="690"/>
      <c r="J58" s="690"/>
      <c r="K58" s="690"/>
      <c r="L58" s="690"/>
      <c r="M58" s="690"/>
      <c r="N58" s="690"/>
      <c r="O58" s="690"/>
      <c r="P58" s="691"/>
    </row>
  </sheetData>
  <sheetProtection formatCells="0" formatColumns="0" formatRows="0" insertColumns="0" insertRows="0" insertHyperlinks="0" deleteColumns="0" deleteRows="0" sort="0" autoFilter="0" pivotTables="0"/>
  <mergeCells count="32">
    <mergeCell ref="A37:C37"/>
    <mergeCell ref="O8:P8"/>
    <mergeCell ref="D1:M2"/>
    <mergeCell ref="A3:P5"/>
    <mergeCell ref="E6:L7"/>
    <mergeCell ref="M6:N6"/>
    <mergeCell ref="O6:P6"/>
    <mergeCell ref="M7:N7"/>
    <mergeCell ref="O7:P7"/>
    <mergeCell ref="B26:C26"/>
    <mergeCell ref="N26:P26"/>
    <mergeCell ref="F41:H41"/>
    <mergeCell ref="A11:P11"/>
    <mergeCell ref="A13:P13"/>
    <mergeCell ref="A14:P14"/>
    <mergeCell ref="A9:C9"/>
    <mergeCell ref="D9:E9"/>
    <mergeCell ref="F9:I9"/>
    <mergeCell ref="E25:H25"/>
    <mergeCell ref="I25:M25"/>
    <mergeCell ref="A39:C39"/>
    <mergeCell ref="A41:C41"/>
    <mergeCell ref="F37:H37"/>
    <mergeCell ref="F39:H39"/>
    <mergeCell ref="J9:K9"/>
    <mergeCell ref="L9:N9"/>
    <mergeCell ref="O9:P9"/>
    <mergeCell ref="J48:P48"/>
    <mergeCell ref="H47:P47"/>
    <mergeCell ref="B48:C48"/>
    <mergeCell ref="D47:E47"/>
    <mergeCell ref="F47:G47"/>
  </mergeCells>
  <dataValidations count="2">
    <dataValidation type="list" showInputMessage="1" showErrorMessage="1" sqref="D9:E9" xr:uid="{00000000-0002-0000-0B00-000000000000}">
      <formula1>RAS</formula1>
    </dataValidation>
    <dataValidation type="list" allowBlank="1" showInputMessage="1" showErrorMessage="1" sqref="O9:P9" xr:uid="{00000000-0002-0000-0B00-000001000000}">
      <formula1>Diligences</formula1>
    </dataValidation>
  </dataValidations>
  <hyperlinks>
    <hyperlink ref="O8:P8" location="'A Synthèse'!Zone_d_impression" display="A Synthèse" xr:uid="{00000000-0004-0000-0B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2"/>
  <dimension ref="A1:U34"/>
  <sheetViews>
    <sheetView showGridLines="0" zoomScale="80" zoomScaleNormal="80" workbookViewId="0">
      <selection activeCell="A14" sqref="A14:P29"/>
    </sheetView>
  </sheetViews>
  <sheetFormatPr baseColWidth="10" defaultColWidth="11.42578125" defaultRowHeight="15.75"/>
  <cols>
    <col min="1" max="1" width="13.28515625" style="7" customWidth="1"/>
    <col min="2" max="2" width="16.42578125" style="343" customWidth="1"/>
    <col min="3" max="3" width="17.140625" style="7" customWidth="1"/>
    <col min="4" max="5" width="14.7109375" style="7" customWidth="1"/>
    <col min="6" max="6" width="17.140625" style="7" customWidth="1"/>
    <col min="7" max="8" width="14.7109375" style="7" customWidth="1"/>
    <col min="9" max="15" width="16" style="7" customWidth="1"/>
    <col min="16" max="16" width="14.7109375" style="7" customWidth="1"/>
    <col min="17" max="16384" width="11.42578125" style="7"/>
  </cols>
  <sheetData>
    <row r="1" spans="1:21" s="1" customFormat="1" ht="15" customHeight="1">
      <c r="A1" s="10"/>
      <c r="B1" s="336"/>
      <c r="C1" s="11"/>
      <c r="D1" s="745" t="str">
        <f>'A Synthèse'!D1:M2</f>
        <v>#NomClient</v>
      </c>
      <c r="E1" s="765"/>
      <c r="F1" s="765"/>
      <c r="G1" s="765"/>
      <c r="H1" s="765"/>
      <c r="I1" s="765"/>
      <c r="J1" s="765"/>
      <c r="K1" s="765"/>
      <c r="L1" s="765"/>
      <c r="M1" s="766"/>
      <c r="N1" s="11"/>
      <c r="O1" s="11"/>
      <c r="P1" s="12"/>
    </row>
    <row r="2" spans="1:21" s="1" customFormat="1" ht="15" customHeight="1" thickBot="1">
      <c r="A2" s="13"/>
      <c r="B2" s="337"/>
      <c r="C2" s="14"/>
      <c r="D2" s="767"/>
      <c r="E2" s="768"/>
      <c r="F2" s="768"/>
      <c r="G2" s="768"/>
      <c r="H2" s="768"/>
      <c r="I2" s="768"/>
      <c r="J2" s="768"/>
      <c r="K2" s="768"/>
      <c r="L2" s="768"/>
      <c r="M2" s="769"/>
      <c r="N2" s="14"/>
      <c r="O2" s="14"/>
      <c r="P2" s="15"/>
    </row>
    <row r="3" spans="1:21" ht="15" customHeight="1">
      <c r="A3" s="709" t="s">
        <v>3</v>
      </c>
      <c r="B3" s="710"/>
      <c r="C3" s="710"/>
      <c r="D3" s="710"/>
      <c r="E3" s="710"/>
      <c r="F3" s="710"/>
      <c r="G3" s="710"/>
      <c r="H3" s="710"/>
      <c r="I3" s="710"/>
      <c r="J3" s="710"/>
      <c r="K3" s="710"/>
      <c r="L3" s="710"/>
      <c r="M3" s="710"/>
      <c r="N3" s="710"/>
      <c r="O3" s="710"/>
      <c r="P3" s="711"/>
      <c r="R3" s="3"/>
      <c r="T3" s="5"/>
      <c r="U3" s="6"/>
    </row>
    <row r="4" spans="1:21" ht="15" customHeight="1">
      <c r="A4" s="709"/>
      <c r="B4" s="710"/>
      <c r="C4" s="710"/>
      <c r="D4" s="710"/>
      <c r="E4" s="710"/>
      <c r="F4" s="710"/>
      <c r="G4" s="710"/>
      <c r="H4" s="710"/>
      <c r="I4" s="710"/>
      <c r="J4" s="710"/>
      <c r="K4" s="710"/>
      <c r="L4" s="710"/>
      <c r="M4" s="710"/>
      <c r="N4" s="710"/>
      <c r="O4" s="710"/>
      <c r="P4" s="711"/>
      <c r="R4" s="3"/>
      <c r="T4" s="5"/>
      <c r="U4" s="6"/>
    </row>
    <row r="5" spans="1:21" ht="15" customHeight="1" thickBot="1">
      <c r="A5" s="712"/>
      <c r="B5" s="713"/>
      <c r="C5" s="713"/>
      <c r="D5" s="713"/>
      <c r="E5" s="713"/>
      <c r="F5" s="713"/>
      <c r="G5" s="713"/>
      <c r="H5" s="713"/>
      <c r="I5" s="713"/>
      <c r="J5" s="713"/>
      <c r="K5" s="713"/>
      <c r="L5" s="713"/>
      <c r="M5" s="713"/>
      <c r="N5" s="713"/>
      <c r="O5" s="713"/>
      <c r="P5" s="714"/>
      <c r="Q5" s="8"/>
      <c r="R5" s="4"/>
      <c r="S5" s="23"/>
      <c r="T5" s="23"/>
      <c r="U5" s="23"/>
    </row>
    <row r="6" spans="1:21" ht="15" customHeight="1">
      <c r="A6" s="17" t="s">
        <v>6</v>
      </c>
      <c r="B6" s="546" t="str">
        <f>'A Synthèse'!B6</f>
        <v>BRA</v>
      </c>
      <c r="C6" s="17" t="s">
        <v>7</v>
      </c>
      <c r="D6" s="271">
        <f>'A Synthèse'!D6</f>
        <v>0</v>
      </c>
      <c r="E6" s="715" t="s">
        <v>56</v>
      </c>
      <c r="F6" s="716"/>
      <c r="G6" s="716"/>
      <c r="H6" s="716"/>
      <c r="I6" s="716"/>
      <c r="J6" s="716"/>
      <c r="K6" s="716"/>
      <c r="L6" s="717"/>
      <c r="M6" s="770" t="s">
        <v>9</v>
      </c>
      <c r="N6" s="771"/>
      <c r="O6" s="721" t="s">
        <v>10</v>
      </c>
      <c r="P6" s="722"/>
      <c r="R6" s="1"/>
      <c r="S6" s="1"/>
    </row>
    <row r="7" spans="1:21" ht="15" customHeight="1" thickBot="1">
      <c r="A7" s="18" t="s">
        <v>12</v>
      </c>
      <c r="B7" s="547">
        <f>'A Synthèse'!B7</f>
        <v>0</v>
      </c>
      <c r="C7" s="18" t="s">
        <v>12</v>
      </c>
      <c r="D7" s="272">
        <f>'A Synthèse'!D7</f>
        <v>0</v>
      </c>
      <c r="E7" s="718"/>
      <c r="F7" s="719"/>
      <c r="G7" s="719"/>
      <c r="H7" s="719"/>
      <c r="I7" s="719"/>
      <c r="J7" s="719"/>
      <c r="K7" s="719"/>
      <c r="L7" s="720"/>
      <c r="M7" s="772" t="str">
        <f>'A Synthèse'!M7:M7</f>
        <v>#DateClôture</v>
      </c>
      <c r="N7" s="773"/>
      <c r="O7" s="723" t="s">
        <v>55</v>
      </c>
      <c r="P7" s="724"/>
    </row>
    <row r="8" spans="1:21" ht="21" customHeight="1" thickBot="1">
      <c r="A8" s="19"/>
      <c r="B8" s="338"/>
      <c r="C8" s="20"/>
      <c r="D8" s="20"/>
      <c r="E8" s="21"/>
      <c r="F8" s="21"/>
      <c r="G8" s="21"/>
      <c r="H8" s="21"/>
      <c r="I8" s="21"/>
      <c r="J8" s="21"/>
      <c r="K8" s="21"/>
      <c r="L8" s="21"/>
      <c r="M8" s="22"/>
      <c r="N8" s="20"/>
      <c r="O8" s="776" t="s">
        <v>66</v>
      </c>
      <c r="P8" s="776"/>
    </row>
    <row r="9" spans="1:21" s="20" customFormat="1" ht="31.5" customHeight="1" thickBot="1">
      <c r="A9" s="733" t="s">
        <v>17</v>
      </c>
      <c r="B9" s="734"/>
      <c r="C9" s="734"/>
      <c r="D9" s="763" t="str">
        <f>'A Synthèse'!D9:E9</f>
        <v>Modéré</v>
      </c>
      <c r="E9" s="764"/>
      <c r="F9" s="735" t="s">
        <v>18</v>
      </c>
      <c r="G9" s="736"/>
      <c r="H9" s="736"/>
      <c r="I9" s="736"/>
      <c r="J9" s="774">
        <f>'A Synthèse'!J9:K9</f>
        <v>0</v>
      </c>
      <c r="K9" s="775"/>
      <c r="L9" s="735" t="s">
        <v>19</v>
      </c>
      <c r="M9" s="736"/>
      <c r="N9" s="736"/>
      <c r="O9" s="763" t="str">
        <f>'A Synthèse'!N9</f>
        <v>PE</v>
      </c>
      <c r="P9" s="764"/>
    </row>
    <row r="10" spans="1:21" s="20" customFormat="1" ht="21" customHeight="1" thickBot="1">
      <c r="A10" s="24"/>
      <c r="B10" s="335"/>
      <c r="C10" s="24"/>
      <c r="D10" s="24"/>
      <c r="E10" s="24"/>
      <c r="F10" s="24"/>
      <c r="G10" s="24"/>
      <c r="H10" s="24"/>
      <c r="I10" s="24"/>
      <c r="J10" s="24"/>
      <c r="K10" s="24"/>
      <c r="L10" s="24"/>
      <c r="M10" s="24"/>
      <c r="N10" s="24"/>
      <c r="O10" s="24"/>
      <c r="P10" s="24"/>
    </row>
    <row r="11" spans="1:21" s="25" customFormat="1" ht="149.25" customHeight="1" thickBot="1">
      <c r="A11" s="778" t="s">
        <v>255</v>
      </c>
      <c r="B11" s="779"/>
      <c r="C11" s="779"/>
      <c r="D11" s="779"/>
      <c r="E11" s="779"/>
      <c r="F11" s="779"/>
      <c r="G11" s="779"/>
      <c r="H11" s="779"/>
      <c r="I11" s="779"/>
      <c r="J11" s="779"/>
      <c r="K11" s="779"/>
      <c r="L11" s="779"/>
      <c r="M11" s="779"/>
      <c r="N11" s="779"/>
      <c r="O11" s="779"/>
      <c r="P11" s="780"/>
    </row>
    <row r="12" spans="1:21" s="25" customFormat="1" ht="9" customHeight="1" thickBot="1">
      <c r="B12" s="339"/>
    </row>
    <row r="13" spans="1:21" s="25" customFormat="1" thickBot="1">
      <c r="A13" s="754" t="s">
        <v>69</v>
      </c>
      <c r="B13" s="755"/>
      <c r="C13" s="755"/>
      <c r="D13" s="755"/>
      <c r="E13" s="755"/>
      <c r="F13" s="755"/>
      <c r="G13" s="755"/>
      <c r="H13" s="755"/>
      <c r="I13" s="755"/>
      <c r="J13" s="755"/>
      <c r="K13" s="755"/>
      <c r="L13" s="755"/>
      <c r="M13" s="755"/>
      <c r="N13" s="755"/>
      <c r="O13" s="755"/>
      <c r="P13" s="756"/>
    </row>
    <row r="14" spans="1:21" s="25" customFormat="1" ht="9.9499999999999993" customHeight="1">
      <c r="A14" s="904"/>
      <c r="B14" s="905"/>
      <c r="C14" s="905"/>
      <c r="D14" s="905"/>
      <c r="E14" s="905"/>
      <c r="F14" s="905"/>
      <c r="G14" s="905"/>
      <c r="H14" s="905"/>
      <c r="I14" s="905"/>
      <c r="J14" s="905"/>
      <c r="K14" s="905"/>
      <c r="L14" s="905"/>
      <c r="M14" s="905"/>
      <c r="N14" s="905"/>
      <c r="O14" s="905"/>
      <c r="P14" s="906"/>
    </row>
    <row r="15" spans="1:21" s="25" customFormat="1" ht="9.9499999999999993" customHeight="1">
      <c r="A15" s="907"/>
      <c r="B15" s="908"/>
      <c r="C15" s="908"/>
      <c r="D15" s="908"/>
      <c r="E15" s="908"/>
      <c r="F15" s="908"/>
      <c r="G15" s="908"/>
      <c r="H15" s="908"/>
      <c r="I15" s="908"/>
      <c r="J15" s="908"/>
      <c r="K15" s="908"/>
      <c r="L15" s="908"/>
      <c r="M15" s="908"/>
      <c r="N15" s="908"/>
      <c r="O15" s="908"/>
      <c r="P15" s="909"/>
    </row>
    <row r="16" spans="1:21" s="25" customFormat="1" ht="9.9499999999999993" customHeight="1">
      <c r="A16" s="907"/>
      <c r="B16" s="908"/>
      <c r="C16" s="908"/>
      <c r="D16" s="908"/>
      <c r="E16" s="908"/>
      <c r="F16" s="908"/>
      <c r="G16" s="908"/>
      <c r="H16" s="908"/>
      <c r="I16" s="908"/>
      <c r="J16" s="908"/>
      <c r="K16" s="908"/>
      <c r="L16" s="908"/>
      <c r="M16" s="908"/>
      <c r="N16" s="908"/>
      <c r="O16" s="908"/>
      <c r="P16" s="909"/>
    </row>
    <row r="17" spans="1:16" s="25" customFormat="1" ht="9.9499999999999993" customHeight="1">
      <c r="A17" s="907"/>
      <c r="B17" s="908"/>
      <c r="C17" s="908"/>
      <c r="D17" s="908"/>
      <c r="E17" s="908"/>
      <c r="F17" s="908"/>
      <c r="G17" s="908"/>
      <c r="H17" s="908"/>
      <c r="I17" s="908"/>
      <c r="J17" s="908"/>
      <c r="K17" s="908"/>
      <c r="L17" s="908"/>
      <c r="M17" s="908"/>
      <c r="N17" s="908"/>
      <c r="O17" s="908"/>
      <c r="P17" s="909"/>
    </row>
    <row r="18" spans="1:16" s="25" customFormat="1" ht="9.9499999999999993" customHeight="1">
      <c r="A18" s="907"/>
      <c r="B18" s="908"/>
      <c r="C18" s="908"/>
      <c r="D18" s="908"/>
      <c r="E18" s="908"/>
      <c r="F18" s="908"/>
      <c r="G18" s="908"/>
      <c r="H18" s="908"/>
      <c r="I18" s="908"/>
      <c r="J18" s="908"/>
      <c r="K18" s="908"/>
      <c r="L18" s="908"/>
      <c r="M18" s="908"/>
      <c r="N18" s="908"/>
      <c r="O18" s="908"/>
      <c r="P18" s="909"/>
    </row>
    <row r="19" spans="1:16" s="25" customFormat="1" ht="9.9499999999999993" customHeight="1">
      <c r="A19" s="907"/>
      <c r="B19" s="908"/>
      <c r="C19" s="908"/>
      <c r="D19" s="908"/>
      <c r="E19" s="908"/>
      <c r="F19" s="908"/>
      <c r="G19" s="908"/>
      <c r="H19" s="908"/>
      <c r="I19" s="908"/>
      <c r="J19" s="908"/>
      <c r="K19" s="908"/>
      <c r="L19" s="908"/>
      <c r="M19" s="908"/>
      <c r="N19" s="908"/>
      <c r="O19" s="908"/>
      <c r="P19" s="909"/>
    </row>
    <row r="20" spans="1:16" s="25" customFormat="1" ht="9.9499999999999993" customHeight="1">
      <c r="A20" s="907"/>
      <c r="B20" s="908"/>
      <c r="C20" s="908"/>
      <c r="D20" s="908"/>
      <c r="E20" s="908"/>
      <c r="F20" s="908"/>
      <c r="G20" s="908"/>
      <c r="H20" s="908"/>
      <c r="I20" s="908"/>
      <c r="J20" s="908"/>
      <c r="K20" s="908"/>
      <c r="L20" s="908"/>
      <c r="M20" s="908"/>
      <c r="N20" s="908"/>
      <c r="O20" s="908"/>
      <c r="P20" s="909"/>
    </row>
    <row r="21" spans="1:16" s="25" customFormat="1" ht="9.9499999999999993" customHeight="1">
      <c r="A21" s="907"/>
      <c r="B21" s="908"/>
      <c r="C21" s="908"/>
      <c r="D21" s="908"/>
      <c r="E21" s="908"/>
      <c r="F21" s="908"/>
      <c r="G21" s="908"/>
      <c r="H21" s="908"/>
      <c r="I21" s="908"/>
      <c r="J21" s="908"/>
      <c r="K21" s="908"/>
      <c r="L21" s="908"/>
      <c r="M21" s="908"/>
      <c r="N21" s="908"/>
      <c r="O21" s="908"/>
      <c r="P21" s="909"/>
    </row>
    <row r="22" spans="1:16" s="25" customFormat="1" ht="9.9499999999999993" customHeight="1">
      <c r="A22" s="907"/>
      <c r="B22" s="908"/>
      <c r="C22" s="908"/>
      <c r="D22" s="908"/>
      <c r="E22" s="908"/>
      <c r="F22" s="908"/>
      <c r="G22" s="908"/>
      <c r="H22" s="908"/>
      <c r="I22" s="908"/>
      <c r="J22" s="908"/>
      <c r="K22" s="908"/>
      <c r="L22" s="908"/>
      <c r="M22" s="908"/>
      <c r="N22" s="908"/>
      <c r="O22" s="908"/>
      <c r="P22" s="909"/>
    </row>
    <row r="23" spans="1:16" s="25" customFormat="1" ht="9.9499999999999993" customHeight="1">
      <c r="A23" s="907"/>
      <c r="B23" s="908"/>
      <c r="C23" s="908"/>
      <c r="D23" s="908"/>
      <c r="E23" s="908"/>
      <c r="F23" s="908"/>
      <c r="G23" s="908"/>
      <c r="H23" s="908"/>
      <c r="I23" s="908"/>
      <c r="J23" s="908"/>
      <c r="K23" s="908"/>
      <c r="L23" s="908"/>
      <c r="M23" s="908"/>
      <c r="N23" s="908"/>
      <c r="O23" s="908"/>
      <c r="P23" s="909"/>
    </row>
    <row r="24" spans="1:16" s="25" customFormat="1" ht="9.9499999999999993" customHeight="1">
      <c r="A24" s="907"/>
      <c r="B24" s="908"/>
      <c r="C24" s="908"/>
      <c r="D24" s="908"/>
      <c r="E24" s="908"/>
      <c r="F24" s="908"/>
      <c r="G24" s="908"/>
      <c r="H24" s="908"/>
      <c r="I24" s="908"/>
      <c r="J24" s="908"/>
      <c r="K24" s="908"/>
      <c r="L24" s="908"/>
      <c r="M24" s="908"/>
      <c r="N24" s="908"/>
      <c r="O24" s="908"/>
      <c r="P24" s="909"/>
    </row>
    <row r="25" spans="1:16" s="25" customFormat="1" ht="9.9499999999999993" customHeight="1">
      <c r="A25" s="907"/>
      <c r="B25" s="908"/>
      <c r="C25" s="908"/>
      <c r="D25" s="908"/>
      <c r="E25" s="908"/>
      <c r="F25" s="908"/>
      <c r="G25" s="908"/>
      <c r="H25" s="908"/>
      <c r="I25" s="908"/>
      <c r="J25" s="908"/>
      <c r="K25" s="908"/>
      <c r="L25" s="908"/>
      <c r="M25" s="908"/>
      <c r="N25" s="908"/>
      <c r="O25" s="908"/>
      <c r="P25" s="909"/>
    </row>
    <row r="26" spans="1:16" s="25" customFormat="1" ht="9.9499999999999993" customHeight="1">
      <c r="A26" s="907"/>
      <c r="B26" s="908"/>
      <c r="C26" s="908"/>
      <c r="D26" s="908"/>
      <c r="E26" s="908"/>
      <c r="F26" s="908"/>
      <c r="G26" s="908"/>
      <c r="H26" s="908"/>
      <c r="I26" s="908"/>
      <c r="J26" s="908"/>
      <c r="K26" s="908"/>
      <c r="L26" s="908"/>
      <c r="M26" s="908"/>
      <c r="N26" s="908"/>
      <c r="O26" s="908"/>
      <c r="P26" s="909"/>
    </row>
    <row r="27" spans="1:16" s="25" customFormat="1" ht="9.9499999999999993" customHeight="1">
      <c r="A27" s="907"/>
      <c r="B27" s="908"/>
      <c r="C27" s="908"/>
      <c r="D27" s="908"/>
      <c r="E27" s="908"/>
      <c r="F27" s="908"/>
      <c r="G27" s="908"/>
      <c r="H27" s="908"/>
      <c r="I27" s="908"/>
      <c r="J27" s="908"/>
      <c r="K27" s="908"/>
      <c r="L27" s="908"/>
      <c r="M27" s="908"/>
      <c r="N27" s="908"/>
      <c r="O27" s="908"/>
      <c r="P27" s="909"/>
    </row>
    <row r="28" spans="1:16" s="25" customFormat="1" ht="9.9499999999999993" customHeight="1">
      <c r="A28" s="907"/>
      <c r="B28" s="908"/>
      <c r="C28" s="908"/>
      <c r="D28" s="908"/>
      <c r="E28" s="908"/>
      <c r="F28" s="908"/>
      <c r="G28" s="908"/>
      <c r="H28" s="908"/>
      <c r="I28" s="908"/>
      <c r="J28" s="908"/>
      <c r="K28" s="908"/>
      <c r="L28" s="908"/>
      <c r="M28" s="908"/>
      <c r="N28" s="908"/>
      <c r="O28" s="908"/>
      <c r="P28" s="909"/>
    </row>
    <row r="29" spans="1:16" s="25" customFormat="1" ht="9.9499999999999993" customHeight="1" thickBot="1">
      <c r="A29" s="784"/>
      <c r="B29" s="910"/>
      <c r="C29" s="910"/>
      <c r="D29" s="910"/>
      <c r="E29" s="910"/>
      <c r="F29" s="910"/>
      <c r="G29" s="910"/>
      <c r="H29" s="910"/>
      <c r="I29" s="910"/>
      <c r="J29" s="910"/>
      <c r="K29" s="910"/>
      <c r="L29" s="910"/>
      <c r="M29" s="910"/>
      <c r="N29" s="910"/>
      <c r="O29" s="910"/>
      <c r="P29" s="911"/>
    </row>
    <row r="30" spans="1:16" s="25" customFormat="1" thickBot="1">
      <c r="B30" s="339"/>
    </row>
    <row r="31" spans="1:16" s="25" customFormat="1" ht="15">
      <c r="A31" s="58"/>
      <c r="B31" s="340"/>
      <c r="C31" s="141"/>
      <c r="D31" s="141"/>
      <c r="E31" s="141"/>
      <c r="F31" s="239"/>
      <c r="G31" s="239"/>
      <c r="H31" s="61"/>
      <c r="I31" s="61"/>
      <c r="J31" s="61"/>
      <c r="K31" s="61"/>
      <c r="L31" s="61"/>
      <c r="M31" s="61"/>
      <c r="N31" s="61"/>
      <c r="O31" s="61"/>
      <c r="P31" s="62"/>
    </row>
    <row r="32" spans="1:16" s="25" customFormat="1" ht="15">
      <c r="A32" s="266" t="s">
        <v>256</v>
      </c>
      <c r="B32" s="341"/>
      <c r="C32" s="29"/>
      <c r="D32" s="29"/>
      <c r="E32" s="29"/>
      <c r="F32" s="189"/>
      <c r="G32" s="189"/>
      <c r="P32" s="64"/>
    </row>
    <row r="33" spans="1:16" s="25" customFormat="1" ht="15">
      <c r="A33" s="63" t="s">
        <v>257</v>
      </c>
      <c r="B33" s="339"/>
      <c r="E33" s="912"/>
      <c r="F33" s="912"/>
      <c r="G33" s="912"/>
      <c r="H33" s="912"/>
      <c r="I33" s="240"/>
      <c r="J33" s="240"/>
      <c r="K33" s="29"/>
      <c r="P33" s="64"/>
    </row>
    <row r="34" spans="1:16" ht="16.5" thickBot="1">
      <c r="A34" s="148"/>
      <c r="B34" s="342"/>
      <c r="C34" s="149"/>
      <c r="D34" s="149"/>
      <c r="E34" s="149"/>
      <c r="F34" s="149"/>
      <c r="G34" s="149"/>
      <c r="H34" s="149"/>
      <c r="I34" s="149"/>
      <c r="J34" s="149"/>
      <c r="K34" s="149"/>
      <c r="L34" s="149"/>
      <c r="M34" s="149"/>
      <c r="N34" s="149"/>
      <c r="O34" s="149"/>
      <c r="P34" s="150"/>
    </row>
  </sheetData>
  <sheetProtection formatCells="0" formatColumns="0" formatRows="0" insertColumns="0" insertRows="0" insertHyperlinks="0" deleteColumns="0" deleteRows="0" sort="0" autoFilter="0" pivotTables="0"/>
  <mergeCells count="18">
    <mergeCell ref="A14:P29"/>
    <mergeCell ref="E33:H33"/>
    <mergeCell ref="A13:P13"/>
    <mergeCell ref="O9:P9"/>
    <mergeCell ref="A9:C9"/>
    <mergeCell ref="D9:E9"/>
    <mergeCell ref="F9:I9"/>
    <mergeCell ref="J9:K9"/>
    <mergeCell ref="L9:N9"/>
    <mergeCell ref="A11:P11"/>
    <mergeCell ref="O8:P8"/>
    <mergeCell ref="D1:M2"/>
    <mergeCell ref="A3:P5"/>
    <mergeCell ref="E6:L7"/>
    <mergeCell ref="M6:N6"/>
    <mergeCell ref="O6:P6"/>
    <mergeCell ref="M7:N7"/>
    <mergeCell ref="O7:P7"/>
  </mergeCells>
  <dataValidations count="2">
    <dataValidation type="list" showInputMessage="1" showErrorMessage="1" sqref="D9:E9" xr:uid="{00000000-0002-0000-0C00-000000000000}">
      <formula1>RAS</formula1>
    </dataValidation>
    <dataValidation type="list" allowBlank="1" showInputMessage="1" showErrorMessage="1" sqref="O9:P9" xr:uid="{00000000-0002-0000-0C00-000001000000}">
      <formula1>Diligences</formula1>
    </dataValidation>
  </dataValidations>
  <hyperlinks>
    <hyperlink ref="O8:P8" location="'A Synthèse'!Zone_d_impression" display="A Synthèse" xr:uid="{00000000-0004-0000-0C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3"/>
  <dimension ref="A1:U62"/>
  <sheetViews>
    <sheetView showGridLines="0" zoomScale="80" zoomScaleNormal="80" workbookViewId="0">
      <selection activeCell="O10" sqref="O10"/>
    </sheetView>
  </sheetViews>
  <sheetFormatPr baseColWidth="10" defaultColWidth="11.42578125" defaultRowHeight="15"/>
  <cols>
    <col min="1" max="3" width="14.7109375" style="25" customWidth="1"/>
    <col min="4" max="7" width="19.85546875" style="25" customWidth="1"/>
    <col min="8" max="16" width="14.7109375" style="25" customWidth="1"/>
    <col min="17" max="16384" width="11.42578125" style="25"/>
  </cols>
  <sheetData>
    <row r="1" spans="1:21" s="35" customFormat="1" ht="15" customHeight="1">
      <c r="A1" s="10"/>
      <c r="B1" s="11"/>
      <c r="C1" s="11"/>
      <c r="D1" s="745" t="str">
        <f>'A Synthèse'!D1:M2</f>
        <v>#NomClient</v>
      </c>
      <c r="E1" s="765"/>
      <c r="F1" s="765"/>
      <c r="G1" s="765"/>
      <c r="H1" s="765"/>
      <c r="I1" s="765"/>
      <c r="J1" s="765"/>
      <c r="K1" s="765"/>
      <c r="L1" s="765"/>
      <c r="M1" s="766"/>
      <c r="N1" s="11"/>
      <c r="O1" s="11"/>
      <c r="P1" s="12"/>
    </row>
    <row r="2" spans="1:21" s="35" customFormat="1" ht="15" customHeight="1" thickBot="1">
      <c r="A2" s="13"/>
      <c r="B2" s="14"/>
      <c r="C2" s="14"/>
      <c r="D2" s="767"/>
      <c r="E2" s="768"/>
      <c r="F2" s="768"/>
      <c r="G2" s="768"/>
      <c r="H2" s="768"/>
      <c r="I2" s="768"/>
      <c r="J2" s="768"/>
      <c r="K2" s="768"/>
      <c r="L2" s="768"/>
      <c r="M2" s="769"/>
      <c r="N2" s="14"/>
      <c r="O2" s="14"/>
      <c r="P2" s="15"/>
    </row>
    <row r="3" spans="1:21" ht="15" customHeight="1">
      <c r="A3" s="709" t="s">
        <v>3</v>
      </c>
      <c r="B3" s="710"/>
      <c r="C3" s="710"/>
      <c r="D3" s="710"/>
      <c r="E3" s="710"/>
      <c r="F3" s="710"/>
      <c r="G3" s="710"/>
      <c r="H3" s="710"/>
      <c r="I3" s="710"/>
      <c r="J3" s="710"/>
      <c r="K3" s="710"/>
      <c r="L3" s="710"/>
      <c r="M3" s="710"/>
      <c r="N3" s="710"/>
      <c r="O3" s="710"/>
      <c r="P3" s="711"/>
      <c r="R3" s="3"/>
      <c r="T3" s="5"/>
      <c r="U3" s="5"/>
    </row>
    <row r="4" spans="1:21" ht="15" customHeight="1">
      <c r="A4" s="709"/>
      <c r="B4" s="710"/>
      <c r="C4" s="710"/>
      <c r="D4" s="710"/>
      <c r="E4" s="710"/>
      <c r="F4" s="710"/>
      <c r="G4" s="710"/>
      <c r="H4" s="710"/>
      <c r="I4" s="710"/>
      <c r="J4" s="710"/>
      <c r="K4" s="710"/>
      <c r="L4" s="710"/>
      <c r="M4" s="710"/>
      <c r="N4" s="710"/>
      <c r="O4" s="710"/>
      <c r="P4" s="711"/>
      <c r="R4" s="3"/>
      <c r="T4" s="5"/>
      <c r="U4" s="5"/>
    </row>
    <row r="5" spans="1:21" ht="15" customHeight="1" thickBot="1">
      <c r="A5" s="712"/>
      <c r="B5" s="713"/>
      <c r="C5" s="713"/>
      <c r="D5" s="713"/>
      <c r="E5" s="713"/>
      <c r="F5" s="713"/>
      <c r="G5" s="713"/>
      <c r="H5" s="713"/>
      <c r="I5" s="713"/>
      <c r="J5" s="713"/>
      <c r="K5" s="713"/>
      <c r="L5" s="713"/>
      <c r="M5" s="713"/>
      <c r="N5" s="713"/>
      <c r="O5" s="713"/>
      <c r="P5" s="714"/>
      <c r="Q5" s="3"/>
      <c r="R5" s="36"/>
      <c r="S5" s="37"/>
      <c r="T5" s="37"/>
      <c r="U5" s="37"/>
    </row>
    <row r="6" spans="1:21" ht="15" customHeight="1">
      <c r="A6" s="17" t="s">
        <v>6</v>
      </c>
      <c r="B6" s="271" t="str">
        <f>'A Synthèse'!B6</f>
        <v>BRA</v>
      </c>
      <c r="C6" s="17" t="s">
        <v>7</v>
      </c>
      <c r="D6" s="271">
        <f>'A Synthèse'!D6</f>
        <v>0</v>
      </c>
      <c r="E6" s="715" t="s">
        <v>59</v>
      </c>
      <c r="F6" s="716"/>
      <c r="G6" s="716"/>
      <c r="H6" s="716"/>
      <c r="I6" s="716"/>
      <c r="J6" s="716"/>
      <c r="K6" s="716"/>
      <c r="L6" s="717"/>
      <c r="M6" s="770" t="s">
        <v>9</v>
      </c>
      <c r="N6" s="771"/>
      <c r="O6" s="721" t="s">
        <v>10</v>
      </c>
      <c r="P6" s="722"/>
      <c r="R6" s="35"/>
      <c r="S6" s="35"/>
    </row>
    <row r="7" spans="1:21" ht="15" customHeight="1" thickBot="1">
      <c r="A7" s="18" t="s">
        <v>12</v>
      </c>
      <c r="B7" s="272">
        <f>'A Synthèse'!B7</f>
        <v>0</v>
      </c>
      <c r="C7" s="18" t="s">
        <v>12</v>
      </c>
      <c r="D7" s="272">
        <f>'A Synthèse'!D7</f>
        <v>0</v>
      </c>
      <c r="E7" s="718"/>
      <c r="F7" s="719"/>
      <c r="G7" s="719"/>
      <c r="H7" s="719"/>
      <c r="I7" s="719"/>
      <c r="J7" s="719"/>
      <c r="K7" s="719"/>
      <c r="L7" s="720"/>
      <c r="M7" s="772" t="str">
        <f>'A Synthèse'!M7:M7</f>
        <v>#DateClôture</v>
      </c>
      <c r="N7" s="773"/>
      <c r="O7" s="723" t="s">
        <v>58</v>
      </c>
      <c r="P7" s="724"/>
    </row>
    <row r="8" spans="1:21" ht="21" customHeight="1" thickBot="1">
      <c r="A8" s="19"/>
      <c r="B8" s="38"/>
      <c r="C8" s="20"/>
      <c r="D8" s="20"/>
      <c r="E8" s="39"/>
      <c r="F8" s="39"/>
      <c r="G8" s="39"/>
      <c r="H8" s="39"/>
      <c r="I8" s="39"/>
      <c r="J8" s="39"/>
      <c r="K8" s="39"/>
      <c r="L8" s="39"/>
      <c r="M8" s="22"/>
      <c r="N8" s="20"/>
      <c r="O8" s="776" t="s">
        <v>66</v>
      </c>
      <c r="P8" s="776"/>
    </row>
    <row r="9" spans="1:21" s="20" customFormat="1" ht="31.5" customHeight="1" thickBot="1">
      <c r="A9" s="733" t="s">
        <v>17</v>
      </c>
      <c r="B9" s="734"/>
      <c r="C9" s="734"/>
      <c r="D9" s="763" t="str">
        <f>'A Synthèse'!D9:E9</f>
        <v>Modéré</v>
      </c>
      <c r="E9" s="764"/>
      <c r="F9" s="735" t="s">
        <v>18</v>
      </c>
      <c r="G9" s="736"/>
      <c r="H9" s="736"/>
      <c r="I9" s="736"/>
      <c r="J9" s="774">
        <f>'A Synthèse'!J9:K9</f>
        <v>0</v>
      </c>
      <c r="K9" s="775"/>
      <c r="L9" s="735" t="s">
        <v>19</v>
      </c>
      <c r="M9" s="736"/>
      <c r="N9" s="736"/>
      <c r="O9" s="763" t="str">
        <f>'A Synthèse'!N9</f>
        <v>PE</v>
      </c>
      <c r="P9" s="764"/>
    </row>
    <row r="10" spans="1:21" s="20" customFormat="1" ht="21" customHeight="1" thickBot="1">
      <c r="A10" s="24"/>
      <c r="B10" s="24"/>
      <c r="C10" s="24"/>
      <c r="D10" s="24"/>
      <c r="E10" s="24"/>
      <c r="F10" s="24"/>
      <c r="G10" s="24"/>
      <c r="H10" s="24"/>
      <c r="I10" s="24"/>
      <c r="J10" s="24"/>
      <c r="K10" s="24"/>
      <c r="L10" s="24"/>
      <c r="M10" s="24"/>
      <c r="N10" s="24"/>
      <c r="O10" s="24"/>
      <c r="P10" s="24"/>
    </row>
    <row r="11" spans="1:21" ht="98.25" customHeight="1" thickBot="1">
      <c r="A11" s="778" t="s">
        <v>214</v>
      </c>
      <c r="B11" s="779"/>
      <c r="C11" s="779"/>
      <c r="D11" s="779"/>
      <c r="E11" s="779"/>
      <c r="F11" s="779"/>
      <c r="G11" s="779"/>
      <c r="H11" s="779"/>
      <c r="I11" s="779"/>
      <c r="J11" s="779"/>
      <c r="K11" s="779"/>
      <c r="L11" s="779"/>
      <c r="M11" s="779"/>
      <c r="N11" s="779"/>
      <c r="O11" s="779"/>
      <c r="P11" s="780"/>
    </row>
    <row r="12" spans="1:21" ht="9" customHeight="1" thickBot="1"/>
    <row r="13" spans="1:21">
      <c r="A13" s="781" t="s">
        <v>69</v>
      </c>
      <c r="B13" s="782"/>
      <c r="C13" s="782"/>
      <c r="D13" s="782"/>
      <c r="E13" s="782"/>
      <c r="F13" s="782"/>
      <c r="G13" s="782"/>
      <c r="H13" s="782"/>
      <c r="I13" s="782"/>
      <c r="J13" s="782"/>
      <c r="K13" s="782"/>
      <c r="L13" s="782"/>
      <c r="M13" s="782"/>
      <c r="N13" s="782"/>
      <c r="O13" s="782"/>
      <c r="P13" s="783"/>
    </row>
    <row r="14" spans="1:21" ht="60" customHeight="1" thickBot="1">
      <c r="A14" s="784"/>
      <c r="B14" s="785"/>
      <c r="C14" s="785"/>
      <c r="D14" s="785"/>
      <c r="E14" s="785"/>
      <c r="F14" s="785"/>
      <c r="G14" s="785"/>
      <c r="H14" s="785"/>
      <c r="I14" s="785"/>
      <c r="J14" s="785"/>
      <c r="K14" s="785"/>
      <c r="L14" s="785"/>
      <c r="M14" s="785"/>
      <c r="N14" s="785"/>
      <c r="O14" s="785"/>
      <c r="P14" s="786"/>
    </row>
    <row r="15" spans="1:21" ht="15.75" thickBot="1"/>
    <row r="16" spans="1:21">
      <c r="A16" s="198"/>
      <c r="B16" s="612"/>
      <c r="C16" s="612"/>
      <c r="D16" s="612"/>
      <c r="E16" s="612"/>
      <c r="F16" s="612"/>
      <c r="G16" s="612"/>
      <c r="H16" s="61"/>
      <c r="I16" s="61"/>
      <c r="J16" s="61"/>
      <c r="K16" s="61"/>
      <c r="L16" s="61"/>
      <c r="M16" s="61"/>
      <c r="N16" s="61"/>
      <c r="O16" s="61"/>
      <c r="P16" s="62"/>
    </row>
    <row r="17" spans="1:16">
      <c r="A17" s="266" t="s">
        <v>258</v>
      </c>
      <c r="B17" s="613"/>
      <c r="C17" s="613"/>
      <c r="D17" s="613"/>
      <c r="E17" s="613"/>
      <c r="F17" s="613"/>
      <c r="G17" s="613"/>
      <c r="P17" s="64"/>
    </row>
    <row r="18" spans="1:16" ht="15.75" thickBot="1">
      <c r="A18" s="614"/>
      <c r="B18" s="613"/>
      <c r="C18" s="613"/>
      <c r="D18" s="613"/>
      <c r="E18" s="613"/>
      <c r="F18" s="613"/>
      <c r="G18" s="613"/>
      <c r="P18" s="64"/>
    </row>
    <row r="19" spans="1:16" ht="15.75" thickBot="1">
      <c r="A19" s="614" t="s">
        <v>215</v>
      </c>
      <c r="B19" s="613"/>
      <c r="C19" s="613"/>
      <c r="D19" s="615"/>
      <c r="E19" s="613"/>
      <c r="F19" s="613"/>
      <c r="G19" s="613"/>
      <c r="P19" s="64"/>
    </row>
    <row r="20" spans="1:16" ht="15.75" thickBot="1">
      <c r="A20" s="614"/>
      <c r="B20" s="613"/>
      <c r="C20" s="613"/>
      <c r="D20" s="616"/>
      <c r="E20" s="613"/>
      <c r="F20" s="613"/>
      <c r="G20" s="613"/>
      <c r="P20" s="64"/>
    </row>
    <row r="21" spans="1:16" ht="15.75" thickBot="1">
      <c r="A21" s="614" t="s">
        <v>216</v>
      </c>
      <c r="B21" s="613"/>
      <c r="C21" s="613"/>
      <c r="D21" s="615"/>
      <c r="E21" s="613"/>
      <c r="F21" s="613"/>
      <c r="G21" s="613"/>
      <c r="P21" s="64"/>
    </row>
    <row r="22" spans="1:16" ht="15.75" thickBot="1">
      <c r="A22" s="614"/>
      <c r="B22" s="613"/>
      <c r="C22" s="613"/>
      <c r="D22" s="616"/>
      <c r="E22" s="613"/>
      <c r="F22" s="613"/>
      <c r="G22" s="613"/>
      <c r="P22" s="64"/>
    </row>
    <row r="23" spans="1:16" ht="15.75" thickBot="1">
      <c r="A23" s="614" t="s">
        <v>217</v>
      </c>
      <c r="B23" s="613"/>
      <c r="C23" s="613"/>
      <c r="D23" s="617">
        <f>D19-D21</f>
        <v>0</v>
      </c>
      <c r="E23" s="613"/>
      <c r="F23" s="613"/>
      <c r="G23" s="613"/>
      <c r="P23" s="64"/>
    </row>
    <row r="24" spans="1:16">
      <c r="A24" s="614"/>
      <c r="B24" s="613"/>
      <c r="C24" s="613"/>
      <c r="D24" s="613"/>
      <c r="E24" s="613"/>
      <c r="F24" s="613"/>
      <c r="G24" s="613"/>
      <c r="P24" s="64"/>
    </row>
    <row r="25" spans="1:16">
      <c r="A25" s="614"/>
      <c r="B25" s="613"/>
      <c r="C25" s="613"/>
      <c r="D25" s="613"/>
      <c r="E25" s="613"/>
      <c r="F25" s="613"/>
      <c r="G25" s="613"/>
      <c r="P25" s="64"/>
    </row>
    <row r="26" spans="1:16">
      <c r="A26" s="266" t="s">
        <v>259</v>
      </c>
      <c r="B26" s="613"/>
      <c r="C26" s="613"/>
      <c r="D26" s="613"/>
      <c r="E26" s="613"/>
      <c r="F26" s="613"/>
      <c r="G26" s="613"/>
      <c r="P26" s="64"/>
    </row>
    <row r="27" spans="1:16">
      <c r="A27" s="41"/>
      <c r="B27" s="29"/>
      <c r="C27" s="29"/>
      <c r="D27" s="29"/>
      <c r="E27" s="29"/>
      <c r="F27" s="29"/>
      <c r="G27" s="29"/>
      <c r="P27" s="64"/>
    </row>
    <row r="28" spans="1:16" ht="24.75" customHeight="1">
      <c r="A28" s="805" t="s">
        <v>218</v>
      </c>
      <c r="B28" s="805"/>
      <c r="C28" s="805"/>
      <c r="D28" s="286" t="s">
        <v>86</v>
      </c>
      <c r="E28" s="286" t="s">
        <v>219</v>
      </c>
      <c r="F28" s="576" t="s">
        <v>220</v>
      </c>
      <c r="G28" s="241" t="s">
        <v>221</v>
      </c>
      <c r="H28" s="805" t="s">
        <v>222</v>
      </c>
      <c r="I28" s="805"/>
      <c r="J28" s="805"/>
      <c r="K28" s="805"/>
      <c r="L28" s="805"/>
      <c r="M28" s="805"/>
      <c r="N28" s="805"/>
      <c r="O28" s="805"/>
      <c r="P28" s="805"/>
    </row>
    <row r="29" spans="1:16">
      <c r="A29" s="559"/>
      <c r="B29" s="560"/>
      <c r="C29" s="475"/>
      <c r="D29" s="552"/>
      <c r="E29" s="553"/>
      <c r="F29" s="554"/>
      <c r="G29" s="555"/>
      <c r="H29" s="556"/>
      <c r="I29" s="557"/>
      <c r="J29" s="557"/>
      <c r="K29" s="557"/>
      <c r="L29" s="557"/>
      <c r="M29" s="557"/>
      <c r="N29" s="557"/>
      <c r="O29" s="557"/>
      <c r="P29" s="558"/>
    </row>
    <row r="30" spans="1:16">
      <c r="A30" s="561"/>
      <c r="B30" s="562"/>
      <c r="C30" s="471"/>
      <c r="D30" s="190"/>
      <c r="E30" s="191"/>
      <c r="F30" s="244"/>
      <c r="G30" s="245"/>
      <c r="H30" s="618"/>
      <c r="I30" s="548"/>
      <c r="J30" s="548"/>
      <c r="K30" s="548"/>
      <c r="L30" s="548"/>
      <c r="M30" s="548"/>
      <c r="N30" s="548"/>
      <c r="O30" s="548"/>
      <c r="P30" s="550"/>
    </row>
    <row r="31" spans="1:16">
      <c r="A31" s="561"/>
      <c r="B31" s="562"/>
      <c r="C31" s="471"/>
      <c r="D31" s="190"/>
      <c r="E31" s="191"/>
      <c r="F31" s="244"/>
      <c r="G31" s="245"/>
      <c r="H31" s="618"/>
      <c r="I31" s="548"/>
      <c r="J31" s="548"/>
      <c r="K31" s="548"/>
      <c r="L31" s="548"/>
      <c r="M31" s="548"/>
      <c r="N31" s="548"/>
      <c r="O31" s="548"/>
      <c r="P31" s="550"/>
    </row>
    <row r="32" spans="1:16">
      <c r="A32" s="561"/>
      <c r="B32" s="562"/>
      <c r="C32" s="471"/>
      <c r="D32" s="190"/>
      <c r="E32" s="191"/>
      <c r="F32" s="244"/>
      <c r="G32" s="245"/>
      <c r="H32" s="618"/>
      <c r="I32" s="548"/>
      <c r="J32" s="548"/>
      <c r="K32" s="548"/>
      <c r="L32" s="548"/>
      <c r="M32" s="548"/>
      <c r="N32" s="548"/>
      <c r="O32" s="548"/>
      <c r="P32" s="550"/>
    </row>
    <row r="33" spans="1:16">
      <c r="A33" s="561"/>
      <c r="B33" s="562"/>
      <c r="C33" s="471"/>
      <c r="D33" s="190"/>
      <c r="E33" s="191"/>
      <c r="F33" s="244"/>
      <c r="G33" s="245"/>
      <c r="H33" s="618"/>
      <c r="I33" s="548"/>
      <c r="J33" s="548"/>
      <c r="K33" s="548"/>
      <c r="L33" s="548"/>
      <c r="M33" s="548"/>
      <c r="N33" s="548"/>
      <c r="O33" s="548"/>
      <c r="P33" s="550"/>
    </row>
    <row r="34" spans="1:16">
      <c r="A34" s="561"/>
      <c r="B34" s="562"/>
      <c r="C34" s="471"/>
      <c r="D34" s="190"/>
      <c r="E34" s="191"/>
      <c r="F34" s="244"/>
      <c r="G34" s="245"/>
      <c r="H34" s="618"/>
      <c r="I34" s="548"/>
      <c r="J34" s="548"/>
      <c r="K34" s="548"/>
      <c r="L34" s="548"/>
      <c r="M34" s="548"/>
      <c r="N34" s="548"/>
      <c r="O34" s="548"/>
      <c r="P34" s="550"/>
    </row>
    <row r="35" spans="1:16">
      <c r="A35" s="561"/>
      <c r="B35" s="562"/>
      <c r="C35" s="471"/>
      <c r="D35" s="190"/>
      <c r="E35" s="191"/>
      <c r="F35" s="244"/>
      <c r="G35" s="245"/>
      <c r="H35" s="618"/>
      <c r="I35" s="548"/>
      <c r="J35" s="548"/>
      <c r="K35" s="548"/>
      <c r="L35" s="548"/>
      <c r="M35" s="548"/>
      <c r="N35" s="548"/>
      <c r="O35" s="548"/>
      <c r="P35" s="550"/>
    </row>
    <row r="36" spans="1:16">
      <c r="A36" s="561"/>
      <c r="B36" s="562"/>
      <c r="C36" s="471"/>
      <c r="D36" s="190"/>
      <c r="E36" s="191"/>
      <c r="F36" s="244"/>
      <c r="G36" s="245"/>
      <c r="H36" s="618"/>
      <c r="I36" s="548"/>
      <c r="J36" s="548"/>
      <c r="K36" s="548"/>
      <c r="L36" s="548"/>
      <c r="M36" s="548"/>
      <c r="N36" s="548"/>
      <c r="O36" s="548"/>
      <c r="P36" s="550"/>
    </row>
    <row r="37" spans="1:16">
      <c r="A37" s="561"/>
      <c r="B37" s="562"/>
      <c r="C37" s="471"/>
      <c r="D37" s="190"/>
      <c r="E37" s="191"/>
      <c r="F37" s="244"/>
      <c r="G37" s="245"/>
      <c r="H37" s="618"/>
      <c r="I37" s="548"/>
      <c r="J37" s="548"/>
      <c r="K37" s="548"/>
      <c r="L37" s="548"/>
      <c r="M37" s="548"/>
      <c r="N37" s="548"/>
      <c r="O37" s="548"/>
      <c r="P37" s="550"/>
    </row>
    <row r="38" spans="1:16">
      <c r="A38" s="561"/>
      <c r="B38" s="562"/>
      <c r="C38" s="471"/>
      <c r="D38" s="190"/>
      <c r="E38" s="191"/>
      <c r="F38" s="244"/>
      <c r="G38" s="245"/>
      <c r="H38" s="618"/>
      <c r="I38" s="548"/>
      <c r="J38" s="548"/>
      <c r="K38" s="548"/>
      <c r="L38" s="548"/>
      <c r="M38" s="548"/>
      <c r="N38" s="548"/>
      <c r="O38" s="548"/>
      <c r="P38" s="550"/>
    </row>
    <row r="39" spans="1:16">
      <c r="A39" s="561"/>
      <c r="B39" s="562"/>
      <c r="C39" s="471"/>
      <c r="D39" s="190"/>
      <c r="E39" s="191"/>
      <c r="F39" s="244"/>
      <c r="G39" s="245"/>
      <c r="H39" s="618"/>
      <c r="I39" s="548"/>
      <c r="J39" s="548"/>
      <c r="K39" s="548"/>
      <c r="L39" s="548"/>
      <c r="M39" s="548"/>
      <c r="N39" s="548"/>
      <c r="O39" s="548"/>
      <c r="P39" s="550"/>
    </row>
    <row r="40" spans="1:16">
      <c r="A40" s="561"/>
      <c r="B40" s="562"/>
      <c r="C40" s="471"/>
      <c r="D40" s="190"/>
      <c r="E40" s="191"/>
      <c r="F40" s="244"/>
      <c r="G40" s="245"/>
      <c r="H40" s="618"/>
      <c r="I40" s="548"/>
      <c r="J40" s="548"/>
      <c r="K40" s="548"/>
      <c r="L40" s="548"/>
      <c r="M40" s="548"/>
      <c r="N40" s="548"/>
      <c r="O40" s="548"/>
      <c r="P40" s="550"/>
    </row>
    <row r="41" spans="1:16">
      <c r="A41" s="561"/>
      <c r="B41" s="562"/>
      <c r="C41" s="471"/>
      <c r="D41" s="190"/>
      <c r="E41" s="191"/>
      <c r="F41" s="244"/>
      <c r="G41" s="245"/>
      <c r="H41" s="618"/>
      <c r="I41" s="548"/>
      <c r="J41" s="548"/>
      <c r="K41" s="548"/>
      <c r="L41" s="548"/>
      <c r="M41" s="548"/>
      <c r="N41" s="548"/>
      <c r="O41" s="548"/>
      <c r="P41" s="550"/>
    </row>
    <row r="42" spans="1:16">
      <c r="A42" s="563"/>
      <c r="B42" s="564"/>
      <c r="C42" s="476"/>
      <c r="D42" s="423"/>
      <c r="E42" s="424"/>
      <c r="F42" s="425"/>
      <c r="G42" s="426"/>
      <c r="H42" s="619"/>
      <c r="I42" s="549"/>
      <c r="J42" s="549"/>
      <c r="K42" s="549"/>
      <c r="L42" s="549"/>
      <c r="M42" s="549"/>
      <c r="N42" s="549"/>
      <c r="O42" s="549"/>
      <c r="P42" s="551"/>
    </row>
    <row r="43" spans="1:16">
      <c r="A43" s="41"/>
      <c r="B43" s="192"/>
      <c r="C43" s="193"/>
      <c r="D43" s="194"/>
      <c r="E43" s="194"/>
      <c r="F43" s="192"/>
      <c r="G43" s="192"/>
      <c r="P43" s="64"/>
    </row>
    <row r="44" spans="1:16">
      <c r="B44" s="242"/>
      <c r="C44" s="175" t="s">
        <v>223</v>
      </c>
      <c r="D44" s="196">
        <f>SUM(D29:D42)</f>
        <v>0</v>
      </c>
      <c r="E44" s="194"/>
      <c r="F44" s="192"/>
      <c r="G44" s="29"/>
      <c r="P44" s="64"/>
    </row>
    <row r="45" spans="1:16" ht="7.5" customHeight="1">
      <c r="B45" s="192"/>
      <c r="C45" s="243"/>
      <c r="D45" s="193"/>
      <c r="E45" s="194"/>
      <c r="F45" s="192"/>
      <c r="G45" s="29"/>
      <c r="P45" s="64"/>
    </row>
    <row r="46" spans="1:16">
      <c r="B46" s="242"/>
      <c r="C46" s="175" t="s">
        <v>224</v>
      </c>
      <c r="D46" s="195"/>
      <c r="E46" s="194"/>
      <c r="F46" s="192"/>
      <c r="G46" s="29"/>
      <c r="P46" s="64"/>
    </row>
    <row r="47" spans="1:16" ht="7.5" customHeight="1">
      <c r="B47" s="192"/>
      <c r="C47" s="243"/>
      <c r="D47" s="193"/>
      <c r="E47" s="194"/>
      <c r="F47" s="192"/>
      <c r="G47" s="29"/>
      <c r="P47" s="64"/>
    </row>
    <row r="48" spans="1:16">
      <c r="B48" s="242"/>
      <c r="C48" s="175" t="s">
        <v>225</v>
      </c>
      <c r="D48" s="197" t="e">
        <f>+D44/D46</f>
        <v>#DIV/0!</v>
      </c>
      <c r="E48" s="194"/>
      <c r="F48" s="192"/>
      <c r="G48" s="29"/>
      <c r="P48" s="64"/>
    </row>
    <row r="49" spans="1:16">
      <c r="A49" s="41"/>
      <c r="B49" s="29"/>
      <c r="C49" s="29"/>
      <c r="D49" s="29"/>
      <c r="E49" s="29"/>
      <c r="F49" s="29"/>
      <c r="G49" s="29"/>
      <c r="P49" s="64"/>
    </row>
    <row r="50" spans="1:16">
      <c r="A50" s="41"/>
      <c r="B50" s="29"/>
      <c r="C50" s="29"/>
      <c r="D50" s="29"/>
      <c r="E50" s="29"/>
      <c r="F50" s="29"/>
      <c r="G50" s="29"/>
      <c r="P50" s="64"/>
    </row>
    <row r="51" spans="1:16">
      <c r="A51" s="266" t="s">
        <v>260</v>
      </c>
      <c r="B51" s="29"/>
      <c r="C51" s="29"/>
      <c r="D51" s="29"/>
      <c r="E51" s="29"/>
      <c r="F51" s="29"/>
      <c r="G51" s="29"/>
      <c r="P51" s="64"/>
    </row>
    <row r="52" spans="1:16">
      <c r="A52" s="41"/>
      <c r="B52" s="29"/>
      <c r="C52" s="29"/>
      <c r="D52" s="29"/>
      <c r="E52" s="29"/>
      <c r="F52" s="29"/>
      <c r="G52" s="29"/>
      <c r="P52" s="64"/>
    </row>
    <row r="53" spans="1:16">
      <c r="A53" s="41" t="s">
        <v>261</v>
      </c>
      <c r="B53" s="29"/>
      <c r="C53" s="29"/>
      <c r="D53" s="29"/>
      <c r="E53" s="29"/>
      <c r="F53" s="29"/>
      <c r="G53" s="29"/>
      <c r="P53" s="64"/>
    </row>
    <row r="54" spans="1:16">
      <c r="A54" s="41" t="s">
        <v>262</v>
      </c>
      <c r="B54" s="29"/>
      <c r="C54" s="29"/>
      <c r="D54" s="29"/>
      <c r="E54" s="29"/>
      <c r="F54" s="29"/>
      <c r="G54" s="29"/>
      <c r="P54" s="64"/>
    </row>
    <row r="55" spans="1:16">
      <c r="A55" s="41"/>
      <c r="B55" s="29"/>
      <c r="C55" s="29"/>
      <c r="D55" s="29"/>
      <c r="E55" s="29"/>
      <c r="F55" s="29"/>
      <c r="G55" s="29"/>
      <c r="P55" s="64"/>
    </row>
    <row r="56" spans="1:16" ht="47.25" customHeight="1">
      <c r="A56" s="913" t="s">
        <v>69</v>
      </c>
      <c r="B56" s="914"/>
      <c r="C56" s="914"/>
      <c r="D56" s="914"/>
      <c r="E56" s="914"/>
      <c r="F56" s="914"/>
      <c r="G56" s="914"/>
      <c r="H56" s="914"/>
      <c r="I56" s="914"/>
      <c r="J56" s="914"/>
      <c r="K56" s="914"/>
      <c r="L56" s="914"/>
      <c r="M56" s="914"/>
      <c r="N56" s="914"/>
      <c r="O56" s="914"/>
      <c r="P56" s="915"/>
    </row>
    <row r="57" spans="1:16">
      <c r="A57" s="41"/>
      <c r="B57" s="29"/>
      <c r="C57" s="29"/>
      <c r="D57" s="29"/>
      <c r="E57" s="29"/>
      <c r="F57" s="29"/>
      <c r="G57" s="29"/>
      <c r="P57" s="64"/>
    </row>
    <row r="58" spans="1:16">
      <c r="A58" s="41"/>
      <c r="B58" s="29"/>
      <c r="C58" s="29"/>
      <c r="D58" s="29"/>
      <c r="E58" s="29"/>
      <c r="F58" s="29"/>
      <c r="G58" s="29"/>
      <c r="P58" s="64"/>
    </row>
    <row r="59" spans="1:16">
      <c r="A59" s="41"/>
      <c r="B59" s="29"/>
      <c r="C59" s="29"/>
      <c r="D59" s="29"/>
      <c r="E59" s="29"/>
      <c r="F59" s="29"/>
      <c r="G59" s="29"/>
      <c r="P59" s="64"/>
    </row>
    <row r="60" spans="1:16">
      <c r="A60" s="41"/>
      <c r="B60" s="29"/>
      <c r="C60" s="29"/>
      <c r="D60" s="29"/>
      <c r="E60" s="29"/>
      <c r="F60" s="29"/>
      <c r="G60" s="29"/>
      <c r="P60" s="64"/>
    </row>
    <row r="61" spans="1:16">
      <c r="A61" s="41"/>
      <c r="B61" s="29"/>
      <c r="C61" s="29"/>
      <c r="D61" s="29"/>
      <c r="E61" s="29"/>
      <c r="F61" s="29"/>
      <c r="G61" s="29"/>
      <c r="P61" s="64"/>
    </row>
    <row r="62" spans="1:16" ht="15.75" thickBot="1">
      <c r="A62" s="199"/>
      <c r="B62" s="200"/>
      <c r="C62" s="200"/>
      <c r="D62" s="200"/>
      <c r="E62" s="200"/>
      <c r="F62" s="200"/>
      <c r="G62" s="201"/>
      <c r="H62" s="66"/>
      <c r="I62" s="66"/>
      <c r="J62" s="66"/>
      <c r="K62" s="66"/>
      <c r="L62" s="66"/>
      <c r="M62" s="66"/>
      <c r="N62" s="66"/>
      <c r="O62" s="66"/>
      <c r="P62" s="67"/>
    </row>
  </sheetData>
  <sheetProtection formatCells="0" formatColumns="0" formatRows="0" insertColumns="0" insertRows="0" insertHyperlinks="0" deleteColumns="0" deleteRows="0" sort="0" autoFilter="0" pivotTables="0"/>
  <mergeCells count="20">
    <mergeCell ref="J9:K9"/>
    <mergeCell ref="D1:M2"/>
    <mergeCell ref="A3:P5"/>
    <mergeCell ref="E6:L7"/>
    <mergeCell ref="M6:N6"/>
    <mergeCell ref="O6:P6"/>
    <mergeCell ref="M7:N7"/>
    <mergeCell ref="O7:P7"/>
    <mergeCell ref="L9:N9"/>
    <mergeCell ref="O9:P9"/>
    <mergeCell ref="A9:C9"/>
    <mergeCell ref="D9:E9"/>
    <mergeCell ref="F9:I9"/>
    <mergeCell ref="O8:P8"/>
    <mergeCell ref="A56:P56"/>
    <mergeCell ref="A11:P11"/>
    <mergeCell ref="A13:P13"/>
    <mergeCell ref="A14:P14"/>
    <mergeCell ref="A28:C28"/>
    <mergeCell ref="H28:P28"/>
  </mergeCells>
  <dataValidations count="2">
    <dataValidation type="list" allowBlank="1" showInputMessage="1" showErrorMessage="1" sqref="O9:P9" xr:uid="{00000000-0002-0000-0D00-000000000000}">
      <formula1>Diligences</formula1>
    </dataValidation>
    <dataValidation type="list" showInputMessage="1" showErrorMessage="1" sqref="D9:E9" xr:uid="{00000000-0002-0000-0D00-000001000000}">
      <formula1>RAS</formula1>
    </dataValidation>
  </dataValidations>
  <hyperlinks>
    <hyperlink ref="O8:P8" location="'A Synthèse'!Zone_d_impression" display="A Synthèse" xr:uid="{00000000-0004-0000-0D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4"/>
  <dimension ref="A1:U56"/>
  <sheetViews>
    <sheetView showGridLines="0" zoomScale="80" zoomScaleNormal="80" workbookViewId="0">
      <selection activeCell="O10" sqref="O10"/>
    </sheetView>
  </sheetViews>
  <sheetFormatPr baseColWidth="10" defaultColWidth="11.42578125" defaultRowHeight="15"/>
  <cols>
    <col min="1" max="1" width="16.5703125" style="25" customWidth="1"/>
    <col min="2" max="2" width="25.140625" style="25" customWidth="1"/>
    <col min="3" max="3" width="14.7109375" style="25" customWidth="1"/>
    <col min="4" max="4" width="17.42578125" style="25" customWidth="1"/>
    <col min="5" max="6" width="14.7109375" style="25" customWidth="1"/>
    <col min="7" max="7" width="19.5703125" style="25" customWidth="1"/>
    <col min="8" max="16" width="14.7109375" style="25" customWidth="1"/>
    <col min="17" max="16384" width="11.42578125" style="25"/>
  </cols>
  <sheetData>
    <row r="1" spans="1:21" s="35" customFormat="1" ht="15" customHeight="1">
      <c r="A1" s="10"/>
      <c r="B1" s="11"/>
      <c r="C1" s="11"/>
      <c r="D1" s="745" t="str">
        <f>'A Synthèse'!D1:M2</f>
        <v>#NomClient</v>
      </c>
      <c r="E1" s="765"/>
      <c r="F1" s="765"/>
      <c r="G1" s="765"/>
      <c r="H1" s="765"/>
      <c r="I1" s="765"/>
      <c r="J1" s="765"/>
      <c r="K1" s="765"/>
      <c r="L1" s="765"/>
      <c r="M1" s="766"/>
      <c r="N1" s="11"/>
      <c r="O1" s="11"/>
      <c r="P1" s="12"/>
    </row>
    <row r="2" spans="1:21" s="35" customFormat="1" ht="15" customHeight="1" thickBot="1">
      <c r="A2" s="13"/>
      <c r="B2" s="14"/>
      <c r="C2" s="14"/>
      <c r="D2" s="767"/>
      <c r="E2" s="768"/>
      <c r="F2" s="768"/>
      <c r="G2" s="768"/>
      <c r="H2" s="768"/>
      <c r="I2" s="768"/>
      <c r="J2" s="768"/>
      <c r="K2" s="768"/>
      <c r="L2" s="768"/>
      <c r="M2" s="769"/>
      <c r="N2" s="14"/>
      <c r="O2" s="14"/>
      <c r="P2" s="15"/>
    </row>
    <row r="3" spans="1:21" ht="15" customHeight="1">
      <c r="A3" s="709" t="s">
        <v>3</v>
      </c>
      <c r="B3" s="710"/>
      <c r="C3" s="710"/>
      <c r="D3" s="710"/>
      <c r="E3" s="710"/>
      <c r="F3" s="710"/>
      <c r="G3" s="710"/>
      <c r="H3" s="710"/>
      <c r="I3" s="710"/>
      <c r="J3" s="710"/>
      <c r="K3" s="710"/>
      <c r="L3" s="710"/>
      <c r="M3" s="710"/>
      <c r="N3" s="710"/>
      <c r="O3" s="710"/>
      <c r="P3" s="711"/>
      <c r="R3" s="3"/>
      <c r="T3" s="5"/>
      <c r="U3" s="5"/>
    </row>
    <row r="4" spans="1:21" ht="15" customHeight="1">
      <c r="A4" s="709"/>
      <c r="B4" s="710"/>
      <c r="C4" s="710"/>
      <c r="D4" s="710"/>
      <c r="E4" s="710"/>
      <c r="F4" s="710"/>
      <c r="G4" s="710"/>
      <c r="H4" s="710"/>
      <c r="I4" s="710"/>
      <c r="J4" s="710"/>
      <c r="K4" s="710"/>
      <c r="L4" s="710"/>
      <c r="M4" s="710"/>
      <c r="N4" s="710"/>
      <c r="O4" s="710"/>
      <c r="P4" s="711"/>
      <c r="R4" s="3"/>
      <c r="T4" s="5"/>
      <c r="U4" s="5"/>
    </row>
    <row r="5" spans="1:21" ht="15" customHeight="1" thickBot="1">
      <c r="A5" s="712"/>
      <c r="B5" s="713"/>
      <c r="C5" s="713"/>
      <c r="D5" s="713"/>
      <c r="E5" s="713"/>
      <c r="F5" s="713"/>
      <c r="G5" s="713"/>
      <c r="H5" s="713"/>
      <c r="I5" s="713"/>
      <c r="J5" s="713"/>
      <c r="K5" s="713"/>
      <c r="L5" s="713"/>
      <c r="M5" s="713"/>
      <c r="N5" s="713"/>
      <c r="O5" s="713"/>
      <c r="P5" s="714"/>
      <c r="Q5" s="3"/>
      <c r="R5" s="36"/>
      <c r="S5" s="37"/>
      <c r="T5" s="37"/>
      <c r="U5" s="37"/>
    </row>
    <row r="6" spans="1:21" ht="15" customHeight="1">
      <c r="A6" s="17" t="s">
        <v>6</v>
      </c>
      <c r="B6" s="271" t="str">
        <f>'A Synthèse'!B6</f>
        <v>BRA</v>
      </c>
      <c r="C6" s="17" t="s">
        <v>7</v>
      </c>
      <c r="D6" s="271">
        <f>'A Synthèse'!D6</f>
        <v>0</v>
      </c>
      <c r="E6" s="715" t="s">
        <v>62</v>
      </c>
      <c r="F6" s="716"/>
      <c r="G6" s="716"/>
      <c r="H6" s="716"/>
      <c r="I6" s="716"/>
      <c r="J6" s="716"/>
      <c r="K6" s="716"/>
      <c r="L6" s="717"/>
      <c r="M6" s="770" t="s">
        <v>9</v>
      </c>
      <c r="N6" s="771"/>
      <c r="O6" s="721" t="s">
        <v>10</v>
      </c>
      <c r="P6" s="722"/>
      <c r="R6" s="35"/>
      <c r="S6" s="35"/>
    </row>
    <row r="7" spans="1:21" ht="15" customHeight="1" thickBot="1">
      <c r="A7" s="18" t="s">
        <v>12</v>
      </c>
      <c r="B7" s="272">
        <f>'A Synthèse'!B7</f>
        <v>0</v>
      </c>
      <c r="C7" s="18" t="s">
        <v>12</v>
      </c>
      <c r="D7" s="272">
        <f>'A Synthèse'!D7</f>
        <v>0</v>
      </c>
      <c r="E7" s="718"/>
      <c r="F7" s="719"/>
      <c r="G7" s="719"/>
      <c r="H7" s="719"/>
      <c r="I7" s="719"/>
      <c r="J7" s="719"/>
      <c r="K7" s="719"/>
      <c r="L7" s="720"/>
      <c r="M7" s="772" t="str">
        <f>'A Synthèse'!M7:M7</f>
        <v>#DateClôture</v>
      </c>
      <c r="N7" s="773"/>
      <c r="O7" s="723" t="s">
        <v>61</v>
      </c>
      <c r="P7" s="724"/>
    </row>
    <row r="8" spans="1:21" ht="21" customHeight="1" thickBot="1">
      <c r="A8" s="19"/>
      <c r="B8" s="38"/>
      <c r="C8" s="20"/>
      <c r="D8" s="20"/>
      <c r="E8" s="39"/>
      <c r="F8" s="39"/>
      <c r="G8" s="39"/>
      <c r="H8" s="39"/>
      <c r="I8" s="39"/>
      <c r="J8" s="39"/>
      <c r="K8" s="39"/>
      <c r="L8" s="39"/>
      <c r="M8" s="22"/>
      <c r="N8" s="20"/>
      <c r="O8" s="776" t="s">
        <v>66</v>
      </c>
      <c r="P8" s="776"/>
    </row>
    <row r="9" spans="1:21" s="20" customFormat="1" ht="31.5" customHeight="1" thickBot="1">
      <c r="A9" s="733" t="s">
        <v>17</v>
      </c>
      <c r="B9" s="734"/>
      <c r="C9" s="734"/>
      <c r="D9" s="763" t="str">
        <f>'A Synthèse'!D9:E9</f>
        <v>Modéré</v>
      </c>
      <c r="E9" s="764"/>
      <c r="F9" s="735" t="s">
        <v>18</v>
      </c>
      <c r="G9" s="736"/>
      <c r="H9" s="736"/>
      <c r="I9" s="736"/>
      <c r="J9" s="774">
        <f>'A Synthèse'!J9:K9</f>
        <v>0</v>
      </c>
      <c r="K9" s="775"/>
      <c r="L9" s="735" t="s">
        <v>19</v>
      </c>
      <c r="M9" s="736"/>
      <c r="N9" s="736"/>
      <c r="O9" s="763" t="str">
        <f>'A Synthèse'!N9</f>
        <v>PE</v>
      </c>
      <c r="P9" s="764"/>
    </row>
    <row r="10" spans="1:21" s="20" customFormat="1" ht="21" customHeight="1" thickBot="1">
      <c r="A10" s="24"/>
      <c r="B10" s="24"/>
      <c r="C10" s="24"/>
      <c r="D10" s="24"/>
      <c r="E10" s="24"/>
      <c r="F10" s="24"/>
      <c r="G10" s="24"/>
      <c r="H10" s="24"/>
      <c r="I10" s="24"/>
      <c r="J10" s="24"/>
      <c r="K10" s="24"/>
      <c r="L10" s="24"/>
      <c r="M10" s="24"/>
      <c r="N10" s="24"/>
      <c r="O10" s="24"/>
      <c r="P10" s="24"/>
    </row>
    <row r="11" spans="1:21" ht="140.44999999999999" customHeight="1" thickBot="1">
      <c r="A11" s="778" t="s">
        <v>226</v>
      </c>
      <c r="B11" s="779"/>
      <c r="C11" s="779"/>
      <c r="D11" s="779"/>
      <c r="E11" s="779"/>
      <c r="F11" s="779"/>
      <c r="G11" s="779"/>
      <c r="H11" s="779"/>
      <c r="I11" s="779"/>
      <c r="J11" s="779"/>
      <c r="K11" s="779"/>
      <c r="L11" s="779"/>
      <c r="M11" s="779"/>
      <c r="N11" s="779"/>
      <c r="O11" s="779"/>
      <c r="P11" s="780"/>
    </row>
    <row r="12" spans="1:21" ht="9" customHeight="1" thickBot="1"/>
    <row r="13" spans="1:21">
      <c r="A13" s="781" t="s">
        <v>69</v>
      </c>
      <c r="B13" s="782"/>
      <c r="C13" s="782"/>
      <c r="D13" s="782"/>
      <c r="E13" s="782"/>
      <c r="F13" s="782"/>
      <c r="G13" s="782"/>
      <c r="H13" s="782"/>
      <c r="I13" s="782"/>
      <c r="J13" s="782"/>
      <c r="K13" s="782"/>
      <c r="L13" s="782"/>
      <c r="M13" s="782"/>
      <c r="N13" s="782"/>
      <c r="O13" s="782"/>
      <c r="P13" s="783"/>
    </row>
    <row r="14" spans="1:21" ht="60" customHeight="1" thickBot="1">
      <c r="A14" s="784"/>
      <c r="B14" s="785"/>
      <c r="C14" s="785"/>
      <c r="D14" s="785"/>
      <c r="E14" s="785"/>
      <c r="F14" s="785"/>
      <c r="G14" s="785"/>
      <c r="H14" s="785"/>
      <c r="I14" s="785"/>
      <c r="J14" s="785"/>
      <c r="K14" s="785"/>
      <c r="L14" s="785"/>
      <c r="M14" s="785"/>
      <c r="N14" s="785"/>
      <c r="O14" s="785"/>
      <c r="P14" s="786"/>
    </row>
    <row r="15" spans="1:21" ht="15.75" thickBot="1"/>
    <row r="16" spans="1:21">
      <c r="A16" s="60"/>
      <c r="B16" s="61"/>
      <c r="C16" s="61"/>
      <c r="D16" s="61"/>
      <c r="E16" s="61"/>
      <c r="F16" s="61"/>
      <c r="G16" s="61"/>
      <c r="H16" s="61"/>
      <c r="I16" s="61"/>
      <c r="J16" s="61"/>
      <c r="K16" s="61"/>
      <c r="L16" s="61"/>
      <c r="M16" s="61"/>
      <c r="N16" s="61"/>
      <c r="O16" s="61"/>
      <c r="P16" s="62"/>
    </row>
    <row r="17" spans="1:16">
      <c r="A17" s="154" t="s">
        <v>227</v>
      </c>
      <c r="P17" s="64"/>
    </row>
    <row r="18" spans="1:16">
      <c r="A18" s="154" t="s">
        <v>228</v>
      </c>
      <c r="P18" s="64"/>
    </row>
    <row r="19" spans="1:16">
      <c r="A19" s="63"/>
      <c r="P19" s="64"/>
    </row>
    <row r="20" spans="1:16">
      <c r="A20" s="918" t="s">
        <v>229</v>
      </c>
      <c r="B20" s="920" t="s">
        <v>230</v>
      </c>
      <c r="C20" s="919" t="s">
        <v>231</v>
      </c>
      <c r="D20" s="919" t="s">
        <v>232</v>
      </c>
      <c r="E20" s="930" t="s">
        <v>75</v>
      </c>
      <c r="F20" s="919" t="s">
        <v>233</v>
      </c>
      <c r="G20" s="919" t="s">
        <v>234</v>
      </c>
      <c r="H20" s="930" t="s">
        <v>75</v>
      </c>
      <c r="I20" s="919" t="s">
        <v>79</v>
      </c>
      <c r="J20" s="919" t="s">
        <v>235</v>
      </c>
      <c r="K20" s="920" t="s">
        <v>191</v>
      </c>
      <c r="L20" s="920"/>
      <c r="M20" s="920"/>
      <c r="N20" s="920"/>
      <c r="O20" s="920"/>
      <c r="P20" s="932"/>
    </row>
    <row r="21" spans="1:16">
      <c r="A21" s="918"/>
      <c r="B21" s="920"/>
      <c r="C21" s="920"/>
      <c r="D21" s="919"/>
      <c r="E21" s="931"/>
      <c r="F21" s="920"/>
      <c r="G21" s="920"/>
      <c r="H21" s="931"/>
      <c r="I21" s="920"/>
      <c r="J21" s="920"/>
      <c r="K21" s="920"/>
      <c r="L21" s="920"/>
      <c r="M21" s="920"/>
      <c r="N21" s="920"/>
      <c r="O21" s="920"/>
      <c r="P21" s="932"/>
    </row>
    <row r="22" spans="1:16">
      <c r="A22" s="918"/>
      <c r="B22" s="920"/>
      <c r="C22" s="920"/>
      <c r="D22" s="919"/>
      <c r="E22" s="931"/>
      <c r="F22" s="920"/>
      <c r="G22" s="920"/>
      <c r="H22" s="931"/>
      <c r="I22" s="920"/>
      <c r="J22" s="920"/>
      <c r="K22" s="920"/>
      <c r="L22" s="920"/>
      <c r="M22" s="920"/>
      <c r="N22" s="920"/>
      <c r="O22" s="920"/>
      <c r="P22" s="932"/>
    </row>
    <row r="23" spans="1:16">
      <c r="A23" s="620"/>
      <c r="B23" s="621"/>
      <c r="C23" s="621"/>
      <c r="D23" s="622"/>
      <c r="E23" s="623"/>
      <c r="F23" s="624"/>
      <c r="G23" s="624"/>
      <c r="H23" s="179"/>
      <c r="I23" s="625">
        <f>F23-G23</f>
        <v>0</v>
      </c>
      <c r="J23" s="626">
        <f>D23*I23</f>
        <v>0</v>
      </c>
      <c r="K23" s="927"/>
      <c r="L23" s="928"/>
      <c r="M23" s="928"/>
      <c r="N23" s="928"/>
      <c r="O23" s="928"/>
      <c r="P23" s="929"/>
    </row>
    <row r="24" spans="1:16">
      <c r="A24" s="627"/>
      <c r="B24" s="628"/>
      <c r="C24" s="628"/>
      <c r="D24" s="629"/>
      <c r="E24" s="630"/>
      <c r="F24" s="631"/>
      <c r="G24" s="631"/>
      <c r="H24" s="632"/>
      <c r="I24" s="633">
        <f t="shared" ref="I24:I32" si="0">F24-G24</f>
        <v>0</v>
      </c>
      <c r="J24" s="634">
        <f t="shared" ref="J24:J32" si="1">D24*I24</f>
        <v>0</v>
      </c>
      <c r="K24" s="933"/>
      <c r="L24" s="934"/>
      <c r="M24" s="934"/>
      <c r="N24" s="934"/>
      <c r="O24" s="934"/>
      <c r="P24" s="935"/>
    </row>
    <row r="25" spans="1:16">
      <c r="A25" s="627"/>
      <c r="B25" s="628"/>
      <c r="C25" s="628"/>
      <c r="D25" s="629"/>
      <c r="E25" s="630"/>
      <c r="F25" s="631"/>
      <c r="G25" s="631"/>
      <c r="H25" s="632"/>
      <c r="I25" s="633">
        <f t="shared" si="0"/>
        <v>0</v>
      </c>
      <c r="J25" s="634">
        <f t="shared" si="1"/>
        <v>0</v>
      </c>
      <c r="K25" s="933"/>
      <c r="L25" s="934"/>
      <c r="M25" s="934"/>
      <c r="N25" s="934"/>
      <c r="O25" s="934"/>
      <c r="P25" s="935"/>
    </row>
    <row r="26" spans="1:16">
      <c r="A26" s="627"/>
      <c r="B26" s="628"/>
      <c r="C26" s="628"/>
      <c r="D26" s="629"/>
      <c r="E26" s="630"/>
      <c r="F26" s="631"/>
      <c r="G26" s="631"/>
      <c r="H26" s="632"/>
      <c r="I26" s="633">
        <f t="shared" si="0"/>
        <v>0</v>
      </c>
      <c r="J26" s="634">
        <f t="shared" si="1"/>
        <v>0</v>
      </c>
      <c r="K26" s="933"/>
      <c r="L26" s="934"/>
      <c r="M26" s="934"/>
      <c r="N26" s="934"/>
      <c r="O26" s="934"/>
      <c r="P26" s="935"/>
    </row>
    <row r="27" spans="1:16">
      <c r="A27" s="627"/>
      <c r="B27" s="628"/>
      <c r="C27" s="628"/>
      <c r="D27" s="629"/>
      <c r="E27" s="630"/>
      <c r="F27" s="631"/>
      <c r="G27" s="631"/>
      <c r="H27" s="632"/>
      <c r="I27" s="633">
        <f t="shared" si="0"/>
        <v>0</v>
      </c>
      <c r="J27" s="634">
        <f t="shared" si="1"/>
        <v>0</v>
      </c>
      <c r="K27" s="933"/>
      <c r="L27" s="934"/>
      <c r="M27" s="934"/>
      <c r="N27" s="934"/>
      <c r="O27" s="934"/>
      <c r="P27" s="935"/>
    </row>
    <row r="28" spans="1:16">
      <c r="A28" s="627"/>
      <c r="B28" s="628"/>
      <c r="C28" s="628"/>
      <c r="D28" s="629"/>
      <c r="E28" s="630"/>
      <c r="F28" s="631"/>
      <c r="G28" s="631"/>
      <c r="H28" s="632"/>
      <c r="I28" s="633">
        <f t="shared" si="0"/>
        <v>0</v>
      </c>
      <c r="J28" s="634">
        <f t="shared" si="1"/>
        <v>0</v>
      </c>
      <c r="K28" s="933"/>
      <c r="L28" s="934"/>
      <c r="M28" s="934"/>
      <c r="N28" s="934"/>
      <c r="O28" s="934"/>
      <c r="P28" s="935"/>
    </row>
    <row r="29" spans="1:16">
      <c r="A29" s="627"/>
      <c r="B29" s="628"/>
      <c r="C29" s="628"/>
      <c r="D29" s="629"/>
      <c r="E29" s="630"/>
      <c r="F29" s="631"/>
      <c r="G29" s="631"/>
      <c r="H29" s="632"/>
      <c r="I29" s="633">
        <f t="shared" si="0"/>
        <v>0</v>
      </c>
      <c r="J29" s="634">
        <f t="shared" si="1"/>
        <v>0</v>
      </c>
      <c r="K29" s="933"/>
      <c r="L29" s="934"/>
      <c r="M29" s="934"/>
      <c r="N29" s="934"/>
      <c r="O29" s="934"/>
      <c r="P29" s="935"/>
    </row>
    <row r="30" spans="1:16">
      <c r="A30" s="627"/>
      <c r="B30" s="628"/>
      <c r="C30" s="628"/>
      <c r="D30" s="629"/>
      <c r="E30" s="630"/>
      <c r="F30" s="631"/>
      <c r="G30" s="631"/>
      <c r="H30" s="632"/>
      <c r="I30" s="633">
        <f t="shared" si="0"/>
        <v>0</v>
      </c>
      <c r="J30" s="634">
        <f t="shared" si="1"/>
        <v>0</v>
      </c>
      <c r="K30" s="933"/>
      <c r="L30" s="934"/>
      <c r="M30" s="934"/>
      <c r="N30" s="934"/>
      <c r="O30" s="934"/>
      <c r="P30" s="935"/>
    </row>
    <row r="31" spans="1:16">
      <c r="A31" s="627"/>
      <c r="B31" s="628"/>
      <c r="C31" s="628"/>
      <c r="D31" s="629"/>
      <c r="E31" s="630"/>
      <c r="F31" s="631"/>
      <c r="G31" s="631"/>
      <c r="H31" s="632"/>
      <c r="I31" s="633">
        <f t="shared" si="0"/>
        <v>0</v>
      </c>
      <c r="J31" s="634">
        <f t="shared" si="1"/>
        <v>0</v>
      </c>
      <c r="K31" s="933"/>
      <c r="L31" s="934"/>
      <c r="M31" s="934"/>
      <c r="N31" s="934"/>
      <c r="O31" s="934"/>
      <c r="P31" s="935"/>
    </row>
    <row r="32" spans="1:16">
      <c r="A32" s="635"/>
      <c r="B32" s="642"/>
      <c r="C32" s="642"/>
      <c r="D32" s="643"/>
      <c r="E32" s="644"/>
      <c r="F32" s="645"/>
      <c r="G32" s="645"/>
      <c r="H32" s="646"/>
      <c r="I32" s="647">
        <f t="shared" si="0"/>
        <v>0</v>
      </c>
      <c r="J32" s="648">
        <f t="shared" si="1"/>
        <v>0</v>
      </c>
      <c r="K32" s="936"/>
      <c r="L32" s="937"/>
      <c r="M32" s="937"/>
      <c r="N32" s="937"/>
      <c r="O32" s="937"/>
      <c r="P32" s="938"/>
    </row>
    <row r="33" spans="1:16">
      <c r="A33" s="63"/>
      <c r="P33" s="64"/>
    </row>
    <row r="34" spans="1:16">
      <c r="A34" s="63"/>
      <c r="P34" s="64"/>
    </row>
    <row r="35" spans="1:16">
      <c r="A35" s="154" t="s">
        <v>236</v>
      </c>
      <c r="B35" s="29"/>
      <c r="C35" s="29"/>
      <c r="D35" s="29"/>
      <c r="E35" s="29"/>
      <c r="F35" s="29"/>
      <c r="G35" s="29"/>
      <c r="H35" s="29"/>
      <c r="I35" s="29"/>
      <c r="J35" s="29"/>
      <c r="K35" s="29"/>
      <c r="L35" s="29"/>
      <c r="P35" s="64"/>
    </row>
    <row r="36" spans="1:16">
      <c r="A36" s="49"/>
      <c r="B36" s="50"/>
      <c r="C36" s="51"/>
      <c r="D36" s="51"/>
      <c r="E36" s="51"/>
      <c r="F36" s="52"/>
      <c r="G36" s="52"/>
      <c r="H36" s="52"/>
      <c r="I36" s="50"/>
      <c r="J36" s="50"/>
      <c r="K36" s="50"/>
      <c r="L36" s="50"/>
      <c r="P36" s="64"/>
    </row>
    <row r="37" spans="1:16" ht="14.45" customHeight="1">
      <c r="A37" s="918" t="s">
        <v>229</v>
      </c>
      <c r="B37" s="920" t="s">
        <v>230</v>
      </c>
      <c r="C37" s="919" t="s">
        <v>232</v>
      </c>
      <c r="D37" s="151" t="s">
        <v>237</v>
      </c>
      <c r="E37" s="152"/>
      <c r="F37" s="152"/>
      <c r="G37" s="921" t="s">
        <v>238</v>
      </c>
      <c r="H37" s="924" t="s">
        <v>239</v>
      </c>
      <c r="I37" s="920" t="s">
        <v>191</v>
      </c>
      <c r="J37" s="920"/>
      <c r="K37" s="920"/>
      <c r="L37" s="920"/>
      <c r="M37" s="920"/>
      <c r="N37" s="920"/>
      <c r="O37" s="920"/>
      <c r="P37" s="920"/>
    </row>
    <row r="38" spans="1:16" ht="15" customHeight="1">
      <c r="A38" s="918"/>
      <c r="B38" s="920"/>
      <c r="C38" s="919"/>
      <c r="D38" s="919" t="s">
        <v>240</v>
      </c>
      <c r="E38" s="916" t="s">
        <v>241</v>
      </c>
      <c r="F38" s="916" t="s">
        <v>242</v>
      </c>
      <c r="G38" s="922"/>
      <c r="H38" s="925"/>
      <c r="I38" s="920"/>
      <c r="J38" s="920"/>
      <c r="K38" s="920"/>
      <c r="L38" s="920"/>
      <c r="M38" s="920"/>
      <c r="N38" s="920"/>
      <c r="O38" s="920"/>
      <c r="P38" s="920"/>
    </row>
    <row r="39" spans="1:16">
      <c r="A39" s="918"/>
      <c r="B39" s="920"/>
      <c r="C39" s="919"/>
      <c r="D39" s="919"/>
      <c r="E39" s="917"/>
      <c r="F39" s="917"/>
      <c r="G39" s="923"/>
      <c r="H39" s="926"/>
      <c r="I39" s="920"/>
      <c r="J39" s="920"/>
      <c r="K39" s="920"/>
      <c r="L39" s="920"/>
      <c r="M39" s="920"/>
      <c r="N39" s="920"/>
      <c r="O39" s="920"/>
      <c r="P39" s="920"/>
    </row>
    <row r="40" spans="1:16">
      <c r="A40" s="620"/>
      <c r="B40" s="621"/>
      <c r="C40" s="153"/>
      <c r="D40" s="153"/>
      <c r="E40" s="345"/>
      <c r="F40" s="347">
        <f>D40*E40</f>
        <v>0</v>
      </c>
      <c r="G40" s="155" t="str">
        <f t="shared" ref="G40:G55" si="2">IF(F40&gt;C40,F40 - C40,"N/A")</f>
        <v>N/A</v>
      </c>
      <c r="H40" s="156" t="str">
        <f t="shared" ref="H40:H55" si="3">IF(F40&lt;C40,F40 - C40,"N/A")</f>
        <v>N/A</v>
      </c>
      <c r="I40" s="566"/>
      <c r="J40" s="565"/>
      <c r="K40" s="565"/>
      <c r="L40" s="565"/>
      <c r="M40" s="565"/>
      <c r="N40" s="565"/>
      <c r="O40" s="485"/>
      <c r="P40" s="494"/>
    </row>
    <row r="41" spans="1:16">
      <c r="A41" s="627"/>
      <c r="B41" s="628"/>
      <c r="C41" s="636"/>
      <c r="D41" s="636"/>
      <c r="E41" s="344"/>
      <c r="F41" s="567">
        <f t="shared" ref="F41:F55" si="4">D41*E41</f>
        <v>0</v>
      </c>
      <c r="G41" s="157" t="str">
        <f t="shared" si="2"/>
        <v>N/A</v>
      </c>
      <c r="H41" s="158" t="str">
        <f t="shared" si="3"/>
        <v>N/A</v>
      </c>
      <c r="I41" s="933"/>
      <c r="J41" s="934"/>
      <c r="K41" s="934"/>
      <c r="L41" s="934"/>
      <c r="M41" s="934"/>
      <c r="N41" s="934"/>
      <c r="O41" s="462"/>
      <c r="P41" s="496"/>
    </row>
    <row r="42" spans="1:16">
      <c r="A42" s="627"/>
      <c r="B42" s="628"/>
      <c r="C42" s="629"/>
      <c r="D42" s="629"/>
      <c r="E42" s="344"/>
      <c r="F42" s="567">
        <f>D42*E42</f>
        <v>0</v>
      </c>
      <c r="G42" s="157" t="str">
        <f t="shared" si="2"/>
        <v>N/A</v>
      </c>
      <c r="H42" s="158" t="str">
        <f t="shared" si="3"/>
        <v>N/A</v>
      </c>
      <c r="I42" s="933"/>
      <c r="J42" s="934"/>
      <c r="K42" s="934"/>
      <c r="L42" s="934"/>
      <c r="M42" s="934"/>
      <c r="N42" s="934"/>
      <c r="O42" s="462"/>
      <c r="P42" s="496"/>
    </row>
    <row r="43" spans="1:16">
      <c r="A43" s="627"/>
      <c r="B43" s="628"/>
      <c r="C43" s="629"/>
      <c r="D43" s="629"/>
      <c r="E43" s="344"/>
      <c r="F43" s="567">
        <f t="shared" si="4"/>
        <v>0</v>
      </c>
      <c r="G43" s="157" t="str">
        <f t="shared" si="2"/>
        <v>N/A</v>
      </c>
      <c r="H43" s="158" t="str">
        <f t="shared" si="3"/>
        <v>N/A</v>
      </c>
      <c r="I43" s="933"/>
      <c r="J43" s="934"/>
      <c r="K43" s="934"/>
      <c r="L43" s="934"/>
      <c r="M43" s="934"/>
      <c r="N43" s="934"/>
      <c r="O43" s="462"/>
      <c r="P43" s="496"/>
    </row>
    <row r="44" spans="1:16">
      <c r="A44" s="627"/>
      <c r="B44" s="628"/>
      <c r="C44" s="629"/>
      <c r="D44" s="629"/>
      <c r="E44" s="344"/>
      <c r="F44" s="567">
        <f t="shared" si="4"/>
        <v>0</v>
      </c>
      <c r="G44" s="157" t="str">
        <f t="shared" si="2"/>
        <v>N/A</v>
      </c>
      <c r="H44" s="158" t="str">
        <f t="shared" si="3"/>
        <v>N/A</v>
      </c>
      <c r="I44" s="933"/>
      <c r="J44" s="934"/>
      <c r="K44" s="934"/>
      <c r="L44" s="934"/>
      <c r="M44" s="934"/>
      <c r="N44" s="934"/>
      <c r="O44" s="462"/>
      <c r="P44" s="496"/>
    </row>
    <row r="45" spans="1:16">
      <c r="A45" s="627"/>
      <c r="B45" s="628"/>
      <c r="C45" s="629"/>
      <c r="D45" s="629"/>
      <c r="E45" s="344"/>
      <c r="F45" s="567">
        <f t="shared" si="4"/>
        <v>0</v>
      </c>
      <c r="G45" s="157" t="str">
        <f t="shared" si="2"/>
        <v>N/A</v>
      </c>
      <c r="H45" s="158" t="str">
        <f t="shared" si="3"/>
        <v>N/A</v>
      </c>
      <c r="I45" s="933"/>
      <c r="J45" s="934"/>
      <c r="K45" s="934"/>
      <c r="L45" s="934"/>
      <c r="M45" s="934"/>
      <c r="N45" s="934"/>
      <c r="O45" s="462"/>
      <c r="P45" s="496"/>
    </row>
    <row r="46" spans="1:16">
      <c r="A46" s="627"/>
      <c r="B46" s="628"/>
      <c r="C46" s="629"/>
      <c r="D46" s="629"/>
      <c r="E46" s="344"/>
      <c r="F46" s="567">
        <f t="shared" si="4"/>
        <v>0</v>
      </c>
      <c r="G46" s="157" t="str">
        <f t="shared" si="2"/>
        <v>N/A</v>
      </c>
      <c r="H46" s="158" t="str">
        <f t="shared" si="3"/>
        <v>N/A</v>
      </c>
      <c r="I46" s="933"/>
      <c r="J46" s="934"/>
      <c r="K46" s="934"/>
      <c r="L46" s="934"/>
      <c r="M46" s="934"/>
      <c r="N46" s="934"/>
      <c r="O46" s="462"/>
      <c r="P46" s="496"/>
    </row>
    <row r="47" spans="1:16">
      <c r="A47" s="637"/>
      <c r="B47" s="628"/>
      <c r="C47" s="629"/>
      <c r="D47" s="629"/>
      <c r="E47" s="344"/>
      <c r="F47" s="567">
        <f t="shared" si="4"/>
        <v>0</v>
      </c>
      <c r="G47" s="157" t="str">
        <f t="shared" si="2"/>
        <v>N/A</v>
      </c>
      <c r="H47" s="158" t="str">
        <f t="shared" si="3"/>
        <v>N/A</v>
      </c>
      <c r="I47" s="933"/>
      <c r="J47" s="934"/>
      <c r="K47" s="934"/>
      <c r="L47" s="934"/>
      <c r="M47" s="934"/>
      <c r="N47" s="934"/>
      <c r="O47" s="462"/>
      <c r="P47" s="496"/>
    </row>
    <row r="48" spans="1:16">
      <c r="A48" s="637"/>
      <c r="B48" s="628"/>
      <c r="C48" s="629"/>
      <c r="D48" s="629"/>
      <c r="E48" s="344"/>
      <c r="F48" s="567">
        <f t="shared" si="4"/>
        <v>0</v>
      </c>
      <c r="G48" s="157" t="str">
        <f t="shared" si="2"/>
        <v>N/A</v>
      </c>
      <c r="H48" s="158" t="str">
        <f t="shared" si="3"/>
        <v>N/A</v>
      </c>
      <c r="I48" s="933"/>
      <c r="J48" s="934"/>
      <c r="K48" s="934"/>
      <c r="L48" s="934"/>
      <c r="M48" s="934"/>
      <c r="N48" s="934"/>
      <c r="O48" s="462"/>
      <c r="P48" s="496"/>
    </row>
    <row r="49" spans="1:16">
      <c r="A49" s="637"/>
      <c r="B49" s="628"/>
      <c r="C49" s="629"/>
      <c r="D49" s="629"/>
      <c r="E49" s="344"/>
      <c r="F49" s="567">
        <f t="shared" si="4"/>
        <v>0</v>
      </c>
      <c r="G49" s="157" t="str">
        <f t="shared" si="2"/>
        <v>N/A</v>
      </c>
      <c r="H49" s="158" t="str">
        <f t="shared" si="3"/>
        <v>N/A</v>
      </c>
      <c r="I49" s="933"/>
      <c r="J49" s="934"/>
      <c r="K49" s="934"/>
      <c r="L49" s="934"/>
      <c r="M49" s="934"/>
      <c r="N49" s="934"/>
      <c r="O49" s="462"/>
      <c r="P49" s="496"/>
    </row>
    <row r="50" spans="1:16">
      <c r="A50" s="637"/>
      <c r="B50" s="628"/>
      <c r="C50" s="629"/>
      <c r="D50" s="629"/>
      <c r="E50" s="344"/>
      <c r="F50" s="567">
        <f t="shared" si="4"/>
        <v>0</v>
      </c>
      <c r="G50" s="157" t="str">
        <f t="shared" si="2"/>
        <v>N/A</v>
      </c>
      <c r="H50" s="158" t="str">
        <f t="shared" si="3"/>
        <v>N/A</v>
      </c>
      <c r="I50" s="933"/>
      <c r="J50" s="934"/>
      <c r="K50" s="934"/>
      <c r="L50" s="934"/>
      <c r="M50" s="934"/>
      <c r="N50" s="934"/>
      <c r="O50" s="462"/>
      <c r="P50" s="496"/>
    </row>
    <row r="51" spans="1:16">
      <c r="A51" s="637"/>
      <c r="B51" s="628"/>
      <c r="C51" s="629"/>
      <c r="D51" s="629"/>
      <c r="E51" s="344"/>
      <c r="F51" s="567">
        <f t="shared" si="4"/>
        <v>0</v>
      </c>
      <c r="G51" s="157" t="str">
        <f t="shared" si="2"/>
        <v>N/A</v>
      </c>
      <c r="H51" s="158" t="str">
        <f t="shared" si="3"/>
        <v>N/A</v>
      </c>
      <c r="I51" s="933"/>
      <c r="J51" s="934"/>
      <c r="K51" s="934"/>
      <c r="L51" s="934"/>
      <c r="M51" s="934"/>
      <c r="N51" s="934"/>
      <c r="O51" s="462"/>
      <c r="P51" s="496"/>
    </row>
    <row r="52" spans="1:16">
      <c r="A52" s="637"/>
      <c r="B52" s="628"/>
      <c r="C52" s="629"/>
      <c r="D52" s="629"/>
      <c r="E52" s="344"/>
      <c r="F52" s="567">
        <f t="shared" si="4"/>
        <v>0</v>
      </c>
      <c r="G52" s="157" t="str">
        <f t="shared" si="2"/>
        <v>N/A</v>
      </c>
      <c r="H52" s="158" t="str">
        <f t="shared" si="3"/>
        <v>N/A</v>
      </c>
      <c r="I52" s="933"/>
      <c r="J52" s="934"/>
      <c r="K52" s="934"/>
      <c r="L52" s="934"/>
      <c r="M52" s="934"/>
      <c r="N52" s="934"/>
      <c r="O52" s="462"/>
      <c r="P52" s="496"/>
    </row>
    <row r="53" spans="1:16">
      <c r="A53" s="637"/>
      <c r="B53" s="628"/>
      <c r="C53" s="629"/>
      <c r="D53" s="629"/>
      <c r="E53" s="344"/>
      <c r="F53" s="567">
        <f t="shared" si="4"/>
        <v>0</v>
      </c>
      <c r="G53" s="157" t="str">
        <f t="shared" si="2"/>
        <v>N/A</v>
      </c>
      <c r="H53" s="158" t="str">
        <f t="shared" si="3"/>
        <v>N/A</v>
      </c>
      <c r="I53" s="933"/>
      <c r="J53" s="934"/>
      <c r="K53" s="934"/>
      <c r="L53" s="934"/>
      <c r="M53" s="934"/>
      <c r="N53" s="934"/>
      <c r="O53" s="462"/>
      <c r="P53" s="496"/>
    </row>
    <row r="54" spans="1:16">
      <c r="A54" s="637"/>
      <c r="B54" s="628"/>
      <c r="C54" s="629"/>
      <c r="D54" s="629"/>
      <c r="E54" s="344"/>
      <c r="F54" s="567">
        <f t="shared" si="4"/>
        <v>0</v>
      </c>
      <c r="G54" s="157" t="str">
        <f t="shared" si="2"/>
        <v>N/A</v>
      </c>
      <c r="H54" s="158" t="str">
        <f t="shared" si="3"/>
        <v>N/A</v>
      </c>
      <c r="I54" s="933"/>
      <c r="J54" s="934"/>
      <c r="K54" s="934"/>
      <c r="L54" s="934"/>
      <c r="M54" s="934"/>
      <c r="N54" s="934"/>
      <c r="O54" s="462"/>
      <c r="P54" s="496"/>
    </row>
    <row r="55" spans="1:16">
      <c r="A55" s="638"/>
      <c r="B55" s="642"/>
      <c r="C55" s="643"/>
      <c r="D55" s="643"/>
      <c r="E55" s="346"/>
      <c r="F55" s="649">
        <f t="shared" si="4"/>
        <v>0</v>
      </c>
      <c r="G55" s="406" t="str">
        <f t="shared" si="2"/>
        <v>N/A</v>
      </c>
      <c r="H55" s="159" t="str">
        <f t="shared" si="3"/>
        <v>N/A</v>
      </c>
      <c r="I55" s="936"/>
      <c r="J55" s="937"/>
      <c r="K55" s="937"/>
      <c r="L55" s="937"/>
      <c r="M55" s="937"/>
      <c r="N55" s="937"/>
      <c r="O55" s="467"/>
      <c r="P55" s="498"/>
    </row>
    <row r="56" spans="1:16" ht="15.75" thickBot="1">
      <c r="A56" s="65"/>
      <c r="B56" s="66"/>
      <c r="C56" s="66"/>
      <c r="D56" s="66"/>
      <c r="E56" s="66"/>
      <c r="F56" s="66"/>
      <c r="G56" s="66"/>
      <c r="H56" s="66"/>
      <c r="I56" s="66"/>
      <c r="J56" s="66"/>
      <c r="K56" s="66"/>
      <c r="L56" s="66"/>
      <c r="M56" s="66"/>
      <c r="N56" s="66"/>
      <c r="O56" s="66"/>
      <c r="P56" s="67"/>
    </row>
  </sheetData>
  <sheetProtection formatCells="0" formatColumns="0" formatRows="0" insertColumns="0" insertRows="0" insertHyperlinks="0" deleteColumns="0" deleteRows="0" sort="0" autoFilter="0" pivotTables="0"/>
  <mergeCells count="62">
    <mergeCell ref="I51:N51"/>
    <mergeCell ref="I52:N52"/>
    <mergeCell ref="I53:N53"/>
    <mergeCell ref="I54:N54"/>
    <mergeCell ref="I55:N55"/>
    <mergeCell ref="I46:N46"/>
    <mergeCell ref="I47:N47"/>
    <mergeCell ref="I48:N48"/>
    <mergeCell ref="I49:N49"/>
    <mergeCell ref="I50:N50"/>
    <mergeCell ref="I41:N41"/>
    <mergeCell ref="I42:N42"/>
    <mergeCell ref="I43:N43"/>
    <mergeCell ref="I44:N44"/>
    <mergeCell ref="I45:N45"/>
    <mergeCell ref="K29:P29"/>
    <mergeCell ref="K30:P30"/>
    <mergeCell ref="K31:P31"/>
    <mergeCell ref="K32:P32"/>
    <mergeCell ref="I37:P39"/>
    <mergeCell ref="K24:P24"/>
    <mergeCell ref="K25:P25"/>
    <mergeCell ref="K26:P26"/>
    <mergeCell ref="K27:P27"/>
    <mergeCell ref="K28:P28"/>
    <mergeCell ref="O9:P9"/>
    <mergeCell ref="A9:C9"/>
    <mergeCell ref="D9:E9"/>
    <mergeCell ref="I20:I22"/>
    <mergeCell ref="J20:J22"/>
    <mergeCell ref="B20:B22"/>
    <mergeCell ref="C20:C22"/>
    <mergeCell ref="H20:H22"/>
    <mergeCell ref="A11:P11"/>
    <mergeCell ref="A13:P13"/>
    <mergeCell ref="A14:P14"/>
    <mergeCell ref="D20:D22"/>
    <mergeCell ref="E20:E22"/>
    <mergeCell ref="K20:P22"/>
    <mergeCell ref="D1:M2"/>
    <mergeCell ref="A3:P5"/>
    <mergeCell ref="E6:L7"/>
    <mergeCell ref="M6:N6"/>
    <mergeCell ref="O6:P6"/>
    <mergeCell ref="M7:N7"/>
    <mergeCell ref="O7:P7"/>
    <mergeCell ref="E38:E39"/>
    <mergeCell ref="F38:F39"/>
    <mergeCell ref="O8:P8"/>
    <mergeCell ref="A20:A22"/>
    <mergeCell ref="F20:F22"/>
    <mergeCell ref="G20:G22"/>
    <mergeCell ref="A37:A39"/>
    <mergeCell ref="B37:B39"/>
    <mergeCell ref="C37:C39"/>
    <mergeCell ref="G37:G39"/>
    <mergeCell ref="H37:H39"/>
    <mergeCell ref="D38:D39"/>
    <mergeCell ref="F9:I9"/>
    <mergeCell ref="J9:K9"/>
    <mergeCell ref="L9:N9"/>
    <mergeCell ref="K23:P23"/>
  </mergeCells>
  <dataValidations count="2">
    <dataValidation type="list" showInputMessage="1" showErrorMessage="1" sqref="D9:E9" xr:uid="{00000000-0002-0000-0E00-000000000000}">
      <formula1>RAS</formula1>
    </dataValidation>
    <dataValidation type="list" allowBlank="1" showInputMessage="1" showErrorMessage="1" sqref="O9:P9" xr:uid="{00000000-0002-0000-0E00-000001000000}">
      <formula1>Diligences</formula1>
    </dataValidation>
  </dataValidations>
  <hyperlinks>
    <hyperlink ref="O8:P8" location="'A Synthèse'!Zone_d_impression" display="A Synthèse" xr:uid="{00000000-0004-0000-0E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3FFDFD4C05D14DADD40B72BFB892F2" ma:contentTypeVersion="12" ma:contentTypeDescription="Crée un document." ma:contentTypeScope="" ma:versionID="a1e612abde7994f04a20992d1f580c2e">
  <xsd:schema xmlns:xsd="http://www.w3.org/2001/XMLSchema" xmlns:xs="http://www.w3.org/2001/XMLSchema" xmlns:p="http://schemas.microsoft.com/office/2006/metadata/properties" xmlns:ns2="27d32b71-31f9-4ffd-a7f0-416f695e1477" xmlns:ns3="d905335e-07f7-449f-8325-7d00af0e6b96" targetNamespace="http://schemas.microsoft.com/office/2006/metadata/properties" ma:root="true" ma:fieldsID="ec4aa46a3384ff861a570c8849968e95" ns2:_="" ns3:_="">
    <xsd:import namespace="27d32b71-31f9-4ffd-a7f0-416f695e1477"/>
    <xsd:import namespace="d905335e-07f7-449f-8325-7d00af0e6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32b71-31f9-4ffd-a7f0-416f695e14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e55a836-def3-43e3-8f00-2a26c919754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05335e-07f7-449f-8325-7d00af0e6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e981c32-6aaa-40cd-9bf7-e0202a3392a7}" ma:internalName="TaxCatchAll" ma:showField="CatchAllData" ma:web="d905335e-07f7-449f-8325-7d00af0e6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7d32b71-31f9-4ffd-a7f0-416f695e1477">
      <Terms xmlns="http://schemas.microsoft.com/office/infopath/2007/PartnerControls"/>
    </lcf76f155ced4ddcb4097134ff3c332f>
    <TaxCatchAll xmlns="d905335e-07f7-449f-8325-7d00af0e6b96" xsi:nil="true"/>
  </documentManagement>
</p:properties>
</file>

<file path=customXml/itemProps1.xml><?xml version="1.0" encoding="utf-8"?>
<ds:datastoreItem xmlns:ds="http://schemas.openxmlformats.org/officeDocument/2006/customXml" ds:itemID="{14AE594C-14EE-4A7C-B41C-96AD6BC050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d32b71-31f9-4ffd-a7f0-416f695e1477"/>
    <ds:schemaRef ds:uri="d905335e-07f7-449f-8325-7d00af0e6b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3A94BD-9F7D-4BDF-9ACF-D9FDB472BF45}">
  <ds:schemaRefs>
    <ds:schemaRef ds:uri="http://schemas.microsoft.com/sharepoint/v3/contenttype/forms"/>
  </ds:schemaRefs>
</ds:datastoreItem>
</file>

<file path=customXml/itemProps3.xml><?xml version="1.0" encoding="utf-8"?>
<ds:datastoreItem xmlns:ds="http://schemas.openxmlformats.org/officeDocument/2006/customXml" ds:itemID="{F662FA16-6967-4C37-A8DA-1A8929D9EC61}">
  <ds:schemaRefs>
    <ds:schemaRef ds:uri="http://purl.org/dc/elements/1.1/"/>
    <ds:schemaRef ds:uri="http://schemas.microsoft.com/office/2006/metadata/properties"/>
    <ds:schemaRef ds:uri="http://purl.org/dc/terms/"/>
    <ds:schemaRef ds:uri="http://schemas.openxmlformats.org/package/2006/metadata/core-properties"/>
    <ds:schemaRef ds:uri="9d7aee5f-c6d7-4567-bea9-00a4b0c47d6f"/>
    <ds:schemaRef ds:uri="http://schemas.microsoft.com/office/2006/documentManagement/types"/>
    <ds:schemaRef ds:uri="http://schemas.microsoft.com/office/infopath/2007/PartnerControls"/>
    <ds:schemaRef ds:uri="aed0d0bd-a659-4dbf-bbaa-a56f4efa3b0c"/>
    <ds:schemaRef ds:uri="http://www.w3.org/XML/1998/namespace"/>
    <ds:schemaRef ds:uri="http://purl.org/dc/dcmitype/"/>
    <ds:schemaRef ds:uri="27d32b71-31f9-4ffd-a7f0-416f695e1477"/>
    <ds:schemaRef ds:uri="d905335e-07f7-449f-8325-7d00af0e6b9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14</vt:i4>
      </vt:variant>
      <vt:variant>
        <vt:lpstr>Plages nommées</vt:lpstr>
      </vt:variant>
      <vt:variant>
        <vt:i4>13</vt:i4>
      </vt:variant>
    </vt:vector>
  </HeadingPairs>
  <TitlesOfParts>
    <vt:vector size="27" baseType="lpstr">
      <vt:lpstr>A Synthèse</vt:lpstr>
      <vt:lpstr>A100 Rappro BA-BG</vt:lpstr>
      <vt:lpstr>A110 Revue frs débiteurs</vt:lpstr>
      <vt:lpstr>A200 DPO Frs</vt:lpstr>
      <vt:lpstr>A300 Réciprocité intragroupe</vt:lpstr>
      <vt:lpstr>A410 Revue FNP</vt:lpstr>
      <vt:lpstr>A420 Revue AAR</vt:lpstr>
      <vt:lpstr>A430 Revue RFA</vt:lpstr>
      <vt:lpstr>A440 Revue CCA</vt:lpstr>
      <vt:lpstr>A450 Test cut off achats</vt:lpstr>
      <vt:lpstr>A500 Circularisations</vt:lpstr>
      <vt:lpstr>A600 Revue AACE</vt:lpstr>
      <vt:lpstr>A700 Revue EAP</vt:lpstr>
      <vt:lpstr>A800 Frs en devise</vt:lpstr>
      <vt:lpstr>'A Synthèse'!Zone_d_impression</vt:lpstr>
      <vt:lpstr>'A100 Rappro BA-BG'!Zone_d_impression</vt:lpstr>
      <vt:lpstr>'A110 Revue frs débiteurs'!Zone_d_impression</vt:lpstr>
      <vt:lpstr>'A200 DPO Frs'!Zone_d_impression</vt:lpstr>
      <vt:lpstr>'A300 Réciprocité intragroupe'!Zone_d_impression</vt:lpstr>
      <vt:lpstr>'A420 Revue AAR'!Zone_d_impression</vt:lpstr>
      <vt:lpstr>'A430 Revue RFA'!Zone_d_impression</vt:lpstr>
      <vt:lpstr>'A440 Revue CCA'!Zone_d_impression</vt:lpstr>
      <vt:lpstr>'A450 Test cut off achats'!Zone_d_impression</vt:lpstr>
      <vt:lpstr>'A500 Circularisations'!Zone_d_impression</vt:lpstr>
      <vt:lpstr>'A600 Revue AACE'!Zone_d_impression</vt:lpstr>
      <vt:lpstr>'A700 Revue EAP'!Zone_d_impression</vt:lpstr>
      <vt:lpstr>'A800 Frs en devise'!Zone_d_impression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CHA. ARNAUD</dc:creator>
  <cp:keywords/>
  <dc:description/>
  <cp:lastModifiedBy>Augustin PEDRINI</cp:lastModifiedBy>
  <cp:revision/>
  <cp:lastPrinted>2018-09-17T15:10:35Z</cp:lastPrinted>
  <dcterms:created xsi:type="dcterms:W3CDTF">2017-01-24T11:12:27Z</dcterms:created>
  <dcterms:modified xsi:type="dcterms:W3CDTF">2026-02-05T15:38:49Z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0x010100BD3FFDFD4C05D14DADD40B72BFB892F2</vt:lpwstr>
  </property>
</Properties>
</file>