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C- Capitaux propres + PRC\"/>
    </mc:Choice>
  </mc:AlternateContent>
  <xr:revisionPtr revIDLastSave="0" documentId="13_ncr:1_{3479A301-3F1B-4587-BD28-54AAB7B81173}" xr6:coauthVersionLast="47" xr6:coauthVersionMax="47" xr10:uidLastSave="{00000000-0000-0000-0000-000000000000}"/>
  <bookViews>
    <workbookView xWindow="-28920" yWindow="-120" windowWidth="29040" windowHeight="15720" tabRatio="728" xr2:uid="{00000000-000D-0000-FFFF-FFFF00000000}"/>
  </bookViews>
  <sheets>
    <sheet name="C Synthèse" sheetId="1" r:id="rId1"/>
    <sheet name="C100 Variation des CP" sheetId="26" r:id="rId2"/>
    <sheet name="C200 Revue de l'actionnariat" sheetId="28" state="hidden" r:id="rId3"/>
    <sheet name="C300 Subventions d'équipement" sheetId="27" state="hidden" r:id="rId4"/>
  </sheets>
  <externalReferences>
    <externalReference r:id="rId5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 localSheetId="1">#REF!</definedName>
    <definedName name="dateCloture" localSheetId="2">#REF!</definedName>
    <definedName name="dateCloture" localSheetId="3">#REF!</definedName>
    <definedName name="dateCloture">#REF!</definedName>
    <definedName name="DatesCloture">"$#REF !.$F$9:$#REF !.$M$9"</definedName>
    <definedName name="Diligences" localSheetId="1">'C100 Variation des CP'!#REF!</definedName>
    <definedName name="Diligences" localSheetId="2">'C200 Revue de l''actionnariat'!#REF!</definedName>
    <definedName name="Diligences" localSheetId="3">'C300 Subventions d''équipement'!#REF!</definedName>
    <definedName name="Diligences">'C Synthèse'!$Q$7:$Q$9</definedName>
    <definedName name="Etat" localSheetId="1">'C100 Variation des CP'!#REF!</definedName>
    <definedName name="Etat" localSheetId="2">'C200 Revue de l''actionnariat'!#REF!</definedName>
    <definedName name="Etat" localSheetId="3">'C300 Subventions d''équipement'!#REF!</definedName>
    <definedName name="Etat">'C Synthèse'!$Q$1:$Q$3</definedName>
    <definedName name="NomDossier">"$#REF !.$E$1"</definedName>
    <definedName name="RAS" localSheetId="1">'C100 Variation des CP'!#REF!</definedName>
    <definedName name="RAS" localSheetId="2">'C200 Revue de l''actionnariat'!#REF!</definedName>
    <definedName name="RAS" localSheetId="3">'C300 Subventions d''équipement'!#REF!</definedName>
    <definedName name="RAS">'C Synthèse'!$Q$4:$Q$6</definedName>
    <definedName name="referenceDossier" localSheetId="1">#REF!</definedName>
    <definedName name="referenceDossier" localSheetId="2">#REF!</definedName>
    <definedName name="referenceDossier" localSheetId="3">#REF!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1">#REF!</definedName>
    <definedName name="start_toc" localSheetId="2">#REF!</definedName>
    <definedName name="start_toc" localSheetId="3">#REF!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 localSheetId="1">#REF!</definedName>
    <definedName name="uniteMonetaire" localSheetId="2">#REF!</definedName>
    <definedName name="uniteMonetaire" localSheetId="3">#REF!</definedName>
    <definedName name="uniteMonetaire">#REF!</definedName>
    <definedName name="Z_11CE3843_8765_4D4C_AA39_79A83C002DF6_.wvu.PrintArea" localSheetId="0" hidden="1">'C Synthèse'!$A$1:$O$15</definedName>
    <definedName name="Z_11CE3843_8765_4D4C_AA39_79A83C002DF6_.wvu.PrintArea" localSheetId="1" hidden="1">'C100 Variation des CP'!$A$1:$P$10</definedName>
    <definedName name="Z_11CE3843_8765_4D4C_AA39_79A83C002DF6_.wvu.PrintArea" localSheetId="2" hidden="1">'C200 Revue de l''actionnariat'!$A$1:$P$10</definedName>
    <definedName name="Z_11CE3843_8765_4D4C_AA39_79A83C002DF6_.wvu.PrintArea" localSheetId="3" hidden="1">'C300 Subventions d''équipement'!$A$1:$P$10</definedName>
    <definedName name="Z_3BBE5D10_E029_4BF5_BC04_29D3FAA5A0EB_.wvu.PrintArea" localSheetId="0" hidden="1">'C Synthèse'!$A$1:$O$15</definedName>
    <definedName name="Z_3BBE5D10_E029_4BF5_BC04_29D3FAA5A0EB_.wvu.PrintArea" localSheetId="1" hidden="1">'C100 Variation des CP'!$A$1:$P$10</definedName>
    <definedName name="Z_3BBE5D10_E029_4BF5_BC04_29D3FAA5A0EB_.wvu.PrintArea" localSheetId="2" hidden="1">'C200 Revue de l''actionnariat'!$A$1:$P$10</definedName>
    <definedName name="Z_3BBE5D10_E029_4BF5_BC04_29D3FAA5A0EB_.wvu.PrintArea" localSheetId="3" hidden="1">'C300 Subventions d''équipement'!$A$1:$P$10</definedName>
    <definedName name="_xlnm.Print_Area" localSheetId="0">'C Synthèse'!$A$1:$O$24</definedName>
    <definedName name="_xlnm.Print_Area" localSheetId="1">'C100 Variation des CP'!$A$1:$P$14</definedName>
    <definedName name="_xlnm.Print_Area" localSheetId="2">'C200 Revue de l''actionnariat'!$A$1:$P$14</definedName>
    <definedName name="_xlnm.Print_Area" localSheetId="3">'C300 Subventions d''équipement'!$A$1:$P$14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6" l="1"/>
  <c r="J18" i="26"/>
  <c r="J19" i="26"/>
  <c r="J20" i="26"/>
  <c r="J21" i="26"/>
  <c r="J22" i="26"/>
  <c r="J23" i="26" l="1"/>
  <c r="D1" i="27"/>
  <c r="O9" i="27"/>
  <c r="O9" i="28"/>
  <c r="O9" i="26"/>
  <c r="I31" i="26"/>
  <c r="H23" i="26"/>
  <c r="G23" i="26"/>
  <c r="F23" i="26"/>
  <c r="F43" i="27"/>
  <c r="G36" i="27"/>
  <c r="F37" i="27"/>
  <c r="D29" i="27"/>
  <c r="C23" i="27"/>
  <c r="G21" i="27"/>
  <c r="E27" i="28"/>
  <c r="D33" i="28"/>
  <c r="E33" i="28"/>
  <c r="E23" i="28"/>
  <c r="E24" i="28"/>
  <c r="E25" i="28"/>
  <c r="E26" i="28"/>
  <c r="E28" i="28"/>
  <c r="E29" i="28"/>
  <c r="E30" i="28"/>
  <c r="E31" i="28"/>
  <c r="E32" i="28"/>
  <c r="E22" i="28"/>
  <c r="D1" i="28"/>
  <c r="M7" i="28"/>
  <c r="M7" i="27"/>
  <c r="M7" i="26"/>
  <c r="D7" i="28"/>
  <c r="B7" i="28"/>
  <c r="D6" i="28"/>
  <c r="B6" i="28"/>
  <c r="D7" i="27"/>
  <c r="B7" i="27"/>
  <c r="D6" i="27"/>
  <c r="B6" i="27"/>
  <c r="D7" i="26"/>
  <c r="B7" i="26"/>
  <c r="D6" i="26"/>
  <c r="B6" i="26"/>
  <c r="D1" i="26"/>
  <c r="G47" i="27"/>
  <c r="G49" i="27" s="1"/>
  <c r="F45" i="27"/>
  <c r="F44" i="27"/>
  <c r="D37" i="27"/>
  <c r="G48" i="27"/>
  <c r="C37" i="27"/>
  <c r="F23" i="27"/>
  <c r="D23" i="27"/>
  <c r="G35" i="27"/>
  <c r="G34" i="27"/>
  <c r="G22" i="27"/>
  <c r="G23" i="27" s="1"/>
  <c r="G20" i="27"/>
  <c r="G19" i="28"/>
  <c r="C14" i="1"/>
  <c r="C13" i="1"/>
  <c r="C12" i="1"/>
  <c r="J9" i="28"/>
  <c r="D9" i="28"/>
  <c r="J9" i="27"/>
  <c r="D9" i="27"/>
  <c r="J9" i="26"/>
  <c r="D9" i="26"/>
  <c r="G37" i="27" l="1"/>
</calcChain>
</file>

<file path=xl/sharedStrings.xml><?xml version="1.0" encoding="utf-8"?>
<sst xmlns="http://schemas.openxmlformats.org/spreadsheetml/2006/main" count="142" uniqueCount="90">
  <si>
    <t>#NomClient</t>
  </si>
  <si>
    <t>OUI</t>
  </si>
  <si>
    <t>NON</t>
  </si>
  <si>
    <t>CAPITAUX PROPRES</t>
  </si>
  <si>
    <t>Faible</t>
  </si>
  <si>
    <t>Modéré</t>
  </si>
  <si>
    <t>Fait par :</t>
  </si>
  <si>
    <t>Revu par :</t>
  </si>
  <si>
    <t>Synthèse du cycle</t>
  </si>
  <si>
    <t>Date Clôture</t>
  </si>
  <si>
    <t>XRef</t>
  </si>
  <si>
    <t>Elevé</t>
  </si>
  <si>
    <t>Le :</t>
  </si>
  <si>
    <t>#DateClôture</t>
  </si>
  <si>
    <t>C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</si>
  <si>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</si>
  <si>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</si>
  <si>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</si>
  <si>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</si>
  <si>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</si>
  <si>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</si>
  <si>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</si>
  <si>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</si>
  <si>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 à tester</t>
  </si>
  <si>
    <t>Liens</t>
  </si>
  <si>
    <t>C100</t>
  </si>
  <si>
    <t>C100 Variation des CP</t>
  </si>
  <si>
    <t>C200</t>
  </si>
  <si>
    <t>C200 Revue de l''actionnariat</t>
  </si>
  <si>
    <t>C300</t>
  </si>
  <si>
    <t>C300 Subventions d''équipement</t>
  </si>
  <si>
    <t>Revue analytique</t>
  </si>
  <si>
    <t>CONCLUSION</t>
  </si>
  <si>
    <t>Variation des capitaux propres</t>
  </si>
  <si>
    <t>C Synthèse</t>
  </si>
  <si>
    <r>
      <t>Objectif</t>
    </r>
    <r>
      <rPr>
        <sz val="11"/>
        <rFont val="Calibri"/>
        <family val="2"/>
        <scheme val="minor"/>
      </rPr>
      <t xml:space="preserve">
Evaluation et exhaustivité des capitaux propres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Etablir le tableau de variation des capitaux propres, et à partir de ce tableau : 
 - Obtenir les PV d'AG et d'affectation du résultat
 - Vérifier  que l'affectation du résultat comptabilisée est conforme au  PV d'AG
 - Vérifier que la réserve légale est dotée à hauteur de 5% du résultat, plafonnée à 10% du capital social
 - Vérifier que la situation nette est &gt; à la 1/2 du capital social (si ce n'est pas le cas, penser à convoquer une AGE dans les 4 mois suivant l'approbation des comptes</t>
    </r>
  </si>
  <si>
    <t>Conclusion sur le contrôle</t>
  </si>
  <si>
    <t>Conclure sur les points énoncés ci-dessus</t>
  </si>
  <si>
    <t>N° Compte</t>
  </si>
  <si>
    <t>Libellé</t>
  </si>
  <si>
    <t>Montant début exercice N</t>
  </si>
  <si>
    <t>Affectation 
résultat N-1</t>
  </si>
  <si>
    <t>Autres mouvements</t>
  </si>
  <si>
    <t>Résultat N</t>
  </si>
  <si>
    <t>Montant fin exercice N</t>
  </si>
  <si>
    <t>A reprendre depuis la FM C0</t>
  </si>
  <si>
    <t>Résultat</t>
  </si>
  <si>
    <t>Total capitaux propres</t>
  </si>
  <si>
    <t>Dividendes versés</t>
  </si>
  <si>
    <t>Mise en paiement des dividendes</t>
  </si>
  <si>
    <t>#Date</t>
  </si>
  <si>
    <t>Revue de l'actionnariat</t>
  </si>
  <si>
    <r>
      <t>Objectif</t>
    </r>
    <r>
      <rPr>
        <sz val="11"/>
        <rFont val="Calibri"/>
        <family val="2"/>
        <scheme val="minor"/>
      </rPr>
      <t xml:space="preserve">
Contrôle de la composition de l'actionnariat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1/ Vérifier la décomposition de l'actionnariat et obtenir le cas échéant les ordres de mouvements en cas d'agrément d'un nouvel actionnaire/associé 
2/ Obtenir le PV d'AG d'agrément du nouvel actionnaire/associé</t>
    </r>
  </si>
  <si>
    <t xml:space="preserve">Le capital de l'entité s'élève à la somme de </t>
  </si>
  <si>
    <t>Nombre d'actions</t>
  </si>
  <si>
    <t>Valeur nominale</t>
  </si>
  <si>
    <t xml:space="preserve">Associés </t>
  </si>
  <si>
    <t xml:space="preserve">Nombre d'actions </t>
  </si>
  <si>
    <t>Détention</t>
  </si>
  <si>
    <t>Qualité</t>
  </si>
  <si>
    <t>TOTAL</t>
  </si>
  <si>
    <t>Revue des subventions d'équipements</t>
  </si>
  <si>
    <t>,</t>
  </si>
  <si>
    <r>
      <t>Objectif</t>
    </r>
    <r>
      <rPr>
        <sz val="11"/>
        <rFont val="Calibri"/>
        <family val="2"/>
        <scheme val="minor"/>
      </rPr>
      <t xml:space="preserve">
Contrôle de l'évaluation et de la réalité des subventions d'équipements reçues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1/ Etablir le tableau de variation des subventions d'équipements ou d'investissements bruts, ainsi que celui des amortissements
2/ Obtenir les conventions attributives de subvention et y contrôler les éléments suivants : 
 - Vérifier que la subvention finance un bien d'équipement
 - Examiner les obligations de chaque partie dans la convention atttibutive de subvention
 - Vérifier que les nouvelles subventions d'investissement  comptabilisées sont  conformes aux conventions attributives
 - Vérifier que les sorties de subventions se justifient (subventions totalement amorties)
3/ Vérifier pour les nouvelles subventions que la durée d'amortissement appliquée est conforme à la durée d'amortissement du bien subventionné.</t>
    </r>
  </si>
  <si>
    <t xml:space="preserve">1a/ Tableaux de variation des subventions brutes : </t>
  </si>
  <si>
    <t>Libellé de la subvention</t>
  </si>
  <si>
    <t>Montant brut fin 
N-1</t>
  </si>
  <si>
    <t>Subventions entrées sur N</t>
  </si>
  <si>
    <t>X-Ref</t>
  </si>
  <si>
    <t>Subventions sorties sur N</t>
  </si>
  <si>
    <t>Montant brut fin N</t>
  </si>
  <si>
    <t>Total subventions</t>
  </si>
  <si>
    <t>Règlement des subventions</t>
  </si>
  <si>
    <t xml:space="preserve">1b/ Tableaux de variation des amortissements : </t>
  </si>
  <si>
    <t>Montant amort. 
fin N-1</t>
  </si>
  <si>
    <t>Dotation 
sur N</t>
  </si>
  <si>
    <t>Reprise 
sur N</t>
  </si>
  <si>
    <t>Montant amort. fin N</t>
  </si>
  <si>
    <t>Total amortissement des subventions</t>
  </si>
  <si>
    <t xml:space="preserve">3/ Contrôle de la durée d'amortissement appliquée, pour les nouvelles subventions : </t>
  </si>
  <si>
    <t>Montant de la subvention</t>
  </si>
  <si>
    <t>Montant du bien subventionné</t>
  </si>
  <si>
    <t>Durée d'amort. 
du bien 
(en linéaire)</t>
  </si>
  <si>
    <t>Amort. théorique</t>
  </si>
  <si>
    <t>Amort. calculé (en compta)</t>
  </si>
  <si>
    <t>Total des tests</t>
  </si>
  <si>
    <t>Total des dotations de l'exercice</t>
  </si>
  <si>
    <t>Scope d'audit</t>
  </si>
  <si>
    <t>BRA</t>
  </si>
  <si>
    <t>Cf. 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</si>
</sst>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\ &quot;F&quot;;[Red]\-#,##0.00\ &quot;F&quot;"/>
    <numFmt numFmtId="166" formatCode="_-* #,##0\ _€_-;\-* #,##0\ _€_-;_-* &quot;-&quot;??\ _€_-;_-@_-"/>
    <numFmt numFmtId="167" formatCode="_-* #,##0\ _F_-;\-* #,##0\ _F_-;_-* &quot;-&quot;??\ _F_-;_-@_-"/>
    <numFmt numFmtId="168" formatCode="#,##0_ ;\-#,##0\ "/>
    <numFmt numFmtId="169" formatCode="_-* #,##0.000\ _€_-;\-* #,##0.000\ _€_-;_-* &quot;-&quot;??\ _€_-;_-@_-"/>
    <numFmt numFmtId="170" formatCode="_(* #,##0.00_);_(* \(#,##0.00\);_(* &quot;-&quot;??_);_(@_)"/>
  </numFmts>
  <fonts count="4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17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indexed="1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auto="1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9" fontId="2" fillId="2" borderId="0" applyFont="0" applyBorder="0" applyProtection="0">
      <alignment vertical="center" readingOrder="1"/>
    </xf>
    <xf numFmtId="0" fontId="32" fillId="0" borderId="0" applyNumberFormat="0" applyFill="0" applyBorder="0" applyAlignment="0" applyProtection="0"/>
  </cellStyleXfs>
  <cellXfs count="255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4" fillId="0" borderId="0" xfId="0" applyNumberFormat="1" applyFont="1" applyAlignment="1" applyProtection="1">
      <alignment horizontal="right"/>
      <protection locked="0"/>
    </xf>
    <xf numFmtId="14" fontId="6" fillId="0" borderId="11" xfId="0" applyNumberFormat="1" applyFont="1" applyBorder="1" applyAlignment="1" applyProtection="1">
      <alignment vertical="center"/>
      <protection locked="0"/>
    </xf>
    <xf numFmtId="14" fontId="6" fillId="0" borderId="12" xfId="0" applyNumberFormat="1" applyFont="1" applyBorder="1" applyAlignment="1" applyProtection="1">
      <alignment vertical="center"/>
      <protection locked="0"/>
    </xf>
    <xf numFmtId="14" fontId="6" fillId="0" borderId="13" xfId="0" applyNumberFormat="1" applyFont="1" applyBorder="1" applyAlignment="1" applyProtection="1">
      <alignment vertical="center"/>
      <protection locked="0"/>
    </xf>
    <xf numFmtId="14" fontId="6" fillId="0" borderId="14" xfId="0" applyNumberFormat="1" applyFont="1" applyBorder="1" applyAlignment="1" applyProtection="1">
      <alignment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14" fontId="6" fillId="0" borderId="15" xfId="0" applyNumberFormat="1" applyFont="1" applyBorder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3" fillId="0" borderId="11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5" xfId="0" applyFont="1" applyBorder="1" applyProtection="1">
      <protection locked="0"/>
    </xf>
    <xf numFmtId="0" fontId="3" fillId="0" borderId="16" xfId="0" applyFont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8" fillId="0" borderId="14" xfId="0" applyFont="1" applyBorder="1"/>
    <xf numFmtId="0" fontId="8" fillId="0" borderId="0" xfId="0" applyFont="1"/>
    <xf numFmtId="167" fontId="24" fillId="0" borderId="0" xfId="1" applyNumberFormat="1" applyFont="1" applyAlignment="1">
      <alignment horizontal="center"/>
    </xf>
    <xf numFmtId="167" fontId="24" fillId="0" borderId="0" xfId="1" applyNumberFormat="1" applyFont="1"/>
    <xf numFmtId="167" fontId="8" fillId="0" borderId="0" xfId="1" applyNumberFormat="1" applyFont="1"/>
    <xf numFmtId="0" fontId="21" fillId="0" borderId="0" xfId="0" applyFont="1"/>
    <xf numFmtId="164" fontId="5" fillId="0" borderId="0" xfId="1" applyFont="1"/>
    <xf numFmtId="14" fontId="25" fillId="0" borderId="0" xfId="0" applyNumberFormat="1" applyFont="1" applyAlignment="1">
      <alignment vertical="top"/>
    </xf>
    <xf numFmtId="0" fontId="8" fillId="0" borderId="15" xfId="0" applyFont="1" applyBorder="1" applyProtection="1">
      <protection locked="0"/>
    </xf>
    <xf numFmtId="0" fontId="8" fillId="0" borderId="16" xfId="0" applyFont="1" applyBorder="1" applyProtection="1">
      <protection locked="0"/>
    </xf>
    <xf numFmtId="0" fontId="8" fillId="0" borderId="17" xfId="0" applyFont="1" applyBorder="1" applyProtection="1">
      <protection locked="0"/>
    </xf>
    <xf numFmtId="0" fontId="8" fillId="0" borderId="18" xfId="0" applyFont="1" applyBorder="1" applyProtection="1">
      <protection locked="0"/>
    </xf>
    <xf numFmtId="0" fontId="23" fillId="0" borderId="0" xfId="3" applyFont="1" applyAlignment="1">
      <alignment horizontal="right" vertical="center"/>
    </xf>
    <xf numFmtId="0" fontId="23" fillId="0" borderId="0" xfId="3" applyFont="1"/>
    <xf numFmtId="0" fontId="23" fillId="0" borderId="0" xfId="3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22" fillId="0" borderId="0" xfId="3" applyFont="1"/>
    <xf numFmtId="0" fontId="22" fillId="0" borderId="0" xfId="3" applyFont="1" applyAlignment="1">
      <alignment horizontal="center"/>
    </xf>
    <xf numFmtId="0" fontId="3" fillId="0" borderId="14" xfId="0" applyFont="1" applyBorder="1" applyProtection="1">
      <protection locked="0"/>
    </xf>
    <xf numFmtId="0" fontId="29" fillId="0" borderId="14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21" fillId="0" borderId="14" xfId="0" applyFont="1" applyBorder="1" applyAlignment="1">
      <alignment vertical="center"/>
    </xf>
    <xf numFmtId="0" fontId="8" fillId="0" borderId="15" xfId="0" applyFont="1" applyBorder="1"/>
    <xf numFmtId="0" fontId="8" fillId="0" borderId="14" xfId="0" applyFont="1" applyBorder="1" applyAlignment="1">
      <alignment vertical="center"/>
    </xf>
    <xf numFmtId="0" fontId="8" fillId="0" borderId="14" xfId="0" applyFont="1" applyBorder="1" applyAlignment="1" applyProtection="1">
      <alignment horizontal="left"/>
      <protection locked="0"/>
    </xf>
    <xf numFmtId="167" fontId="24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 indent="2"/>
    </xf>
    <xf numFmtId="3" fontId="25" fillId="0" borderId="0" xfId="1" applyNumberFormat="1" applyFont="1" applyAlignment="1">
      <alignment horizontal="right" vertical="top" indent="2"/>
    </xf>
    <xf numFmtId="3" fontId="5" fillId="0" borderId="0" xfId="1" applyNumberFormat="1" applyFont="1" applyAlignment="1">
      <alignment horizontal="right" vertical="top" indent="2"/>
    </xf>
    <xf numFmtId="0" fontId="30" fillId="0" borderId="14" xfId="0" applyFont="1" applyBorder="1" applyAlignment="1">
      <alignment horizontal="left"/>
    </xf>
    <xf numFmtId="0" fontId="5" fillId="0" borderId="0" xfId="0" applyFont="1"/>
    <xf numFmtId="167" fontId="8" fillId="0" borderId="0" xfId="1" applyNumberFormat="1" applyFont="1" applyAlignment="1">
      <alignment horizontal="center"/>
    </xf>
    <xf numFmtId="167" fontId="8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5" fillId="6" borderId="31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8" fillId="0" borderId="17" xfId="0" applyFont="1" applyBorder="1"/>
    <xf numFmtId="0" fontId="31" fillId="0" borderId="0" xfId="0" applyFont="1" applyProtection="1">
      <protection locked="0"/>
    </xf>
    <xf numFmtId="0" fontId="9" fillId="0" borderId="32" xfId="0" applyFont="1" applyBorder="1" applyAlignment="1" applyProtection="1">
      <alignment horizontal="left" vertical="center"/>
      <protection locked="0"/>
    </xf>
    <xf numFmtId="0" fontId="9" fillId="0" borderId="32" xfId="0" applyFont="1" applyBorder="1" applyAlignment="1" applyProtection="1">
      <alignment vertical="center"/>
      <protection locked="0"/>
    </xf>
    <xf numFmtId="14" fontId="9" fillId="0" borderId="33" xfId="0" applyNumberFormat="1" applyFont="1" applyBorder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center"/>
      <protection locked="0"/>
    </xf>
    <xf numFmtId="0" fontId="34" fillId="0" borderId="0" xfId="0" applyFont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0" fontId="36" fillId="0" borderId="0" xfId="0" applyFont="1" applyAlignment="1" applyProtection="1">
      <alignment horizontal="center"/>
      <protection locked="0"/>
    </xf>
    <xf numFmtId="14" fontId="5" fillId="5" borderId="7" xfId="0" applyNumberFormat="1" applyFont="1" applyFill="1" applyBorder="1" applyAlignment="1">
      <alignment horizontal="center" vertical="center" wrapText="1"/>
    </xf>
    <xf numFmtId="14" fontId="5" fillId="5" borderId="7" xfId="0" applyNumberFormat="1" applyFont="1" applyFill="1" applyBorder="1" applyAlignment="1">
      <alignment horizontal="center" vertical="center"/>
    </xf>
    <xf numFmtId="14" fontId="5" fillId="6" borderId="7" xfId="0" applyNumberFormat="1" applyFont="1" applyFill="1" applyBorder="1" applyAlignment="1">
      <alignment horizontal="center" vertical="center" wrapText="1"/>
    </xf>
    <xf numFmtId="14" fontId="5" fillId="6" borderId="7" xfId="0" applyNumberFormat="1" applyFont="1" applyFill="1" applyBorder="1" applyAlignment="1">
      <alignment horizontal="center" vertical="center"/>
    </xf>
    <xf numFmtId="14" fontId="5" fillId="7" borderId="7" xfId="0" applyNumberFormat="1" applyFont="1" applyFill="1" applyBorder="1" applyAlignment="1">
      <alignment horizontal="center" vertical="center" wrapText="1"/>
    </xf>
    <xf numFmtId="14" fontId="5" fillId="7" borderId="7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8" fontId="5" fillId="0" borderId="0" xfId="1" applyNumberFormat="1" applyFont="1" applyAlignment="1">
      <alignment vertical="center"/>
    </xf>
    <xf numFmtId="14" fontId="26" fillId="0" borderId="0" xfId="0" applyNumberFormat="1" applyFont="1" applyAlignment="1">
      <alignment vertical="center"/>
    </xf>
    <xf numFmtId="0" fontId="8" fillId="3" borderId="0" xfId="0" applyFont="1" applyFill="1"/>
    <xf numFmtId="168" fontId="8" fillId="5" borderId="0" xfId="1" applyNumberFormat="1" applyFont="1" applyFill="1" applyAlignment="1">
      <alignment vertical="center"/>
    </xf>
    <xf numFmtId="167" fontId="24" fillId="3" borderId="0" xfId="1" applyNumberFormat="1" applyFont="1" applyFill="1"/>
    <xf numFmtId="0" fontId="8" fillId="0" borderId="14" xfId="0" applyFont="1" applyBorder="1" applyProtection="1">
      <protection locked="0"/>
    </xf>
    <xf numFmtId="0" fontId="23" fillId="0" borderId="4" xfId="3" applyFont="1" applyBorder="1"/>
    <xf numFmtId="166" fontId="23" fillId="0" borderId="7" xfId="1" applyNumberFormat="1" applyFont="1" applyBorder="1"/>
    <xf numFmtId="0" fontId="28" fillId="0" borderId="0" xfId="3" applyFont="1"/>
    <xf numFmtId="10" fontId="28" fillId="0" borderId="0" xfId="3" applyNumberFormat="1" applyFont="1"/>
    <xf numFmtId="166" fontId="22" fillId="0" borderId="0" xfId="3" applyNumberFormat="1" applyFont="1"/>
    <xf numFmtId="0" fontId="27" fillId="0" borderId="7" xfId="3" applyFont="1" applyBorder="1"/>
    <xf numFmtId="166" fontId="23" fillId="3" borderId="0" xfId="1" applyNumberFormat="1" applyFont="1" applyFill="1"/>
    <xf numFmtId="164" fontId="22" fillId="0" borderId="0" xfId="1" applyFont="1"/>
    <xf numFmtId="0" fontId="27" fillId="0" borderId="15" xfId="3" applyFont="1" applyBorder="1" applyAlignment="1">
      <alignment horizontal="right"/>
    </xf>
    <xf numFmtId="0" fontId="8" fillId="0" borderId="7" xfId="0" applyFont="1" applyBorder="1" applyAlignment="1" applyProtection="1">
      <alignment vertical="center"/>
      <protection locked="0"/>
    </xf>
    <xf numFmtId="169" fontId="5" fillId="0" borderId="7" xfId="1" applyNumberFormat="1" applyFont="1" applyBorder="1"/>
    <xf numFmtId="166" fontId="8" fillId="0" borderId="7" xfId="1" applyNumberFormat="1" applyFont="1" applyBorder="1" applyAlignment="1">
      <alignment vertical="center"/>
    </xf>
    <xf numFmtId="166" fontId="5" fillId="6" borderId="7" xfId="1" applyNumberFormat="1" applyFont="1" applyFill="1" applyBorder="1" applyAlignment="1">
      <alignment vertical="center"/>
    </xf>
    <xf numFmtId="166" fontId="12" fillId="0" borderId="7" xfId="1" applyNumberFormat="1" applyFont="1" applyBorder="1" applyAlignment="1">
      <alignment vertical="center"/>
    </xf>
    <xf numFmtId="166" fontId="12" fillId="6" borderId="7" xfId="1" applyNumberFormat="1" applyFont="1" applyFill="1" applyBorder="1" applyAlignment="1">
      <alignment vertical="center"/>
    </xf>
    <xf numFmtId="166" fontId="8" fillId="6" borderId="7" xfId="1" applyNumberFormat="1" applyFont="1" applyFill="1" applyBorder="1" applyAlignment="1">
      <alignment vertical="center"/>
    </xf>
    <xf numFmtId="14" fontId="26" fillId="0" borderId="0" xfId="0" applyNumberFormat="1" applyFont="1" applyAlignment="1">
      <alignment vertical="top"/>
    </xf>
    <xf numFmtId="166" fontId="5" fillId="5" borderId="1" xfId="1" applyNumberFormat="1" applyFont="1" applyFill="1" applyBorder="1" applyAlignment="1">
      <alignment vertical="top"/>
    </xf>
    <xf numFmtId="166" fontId="25" fillId="0" borderId="0" xfId="1" applyNumberFormat="1" applyFont="1" applyAlignment="1">
      <alignment vertical="top"/>
    </xf>
    <xf numFmtId="167" fontId="24" fillId="0" borderId="15" xfId="1" applyNumberFormat="1" applyFont="1" applyBorder="1" applyAlignment="1">
      <alignment horizontal="right"/>
    </xf>
    <xf numFmtId="0" fontId="8" fillId="4" borderId="7" xfId="0" applyFont="1" applyFill="1" applyBorder="1" applyAlignment="1" applyProtection="1">
      <alignment vertical="center"/>
      <protection locked="0"/>
    </xf>
    <xf numFmtId="166" fontId="8" fillId="4" borderId="7" xfId="1" applyNumberFormat="1" applyFont="1" applyFill="1" applyBorder="1" applyAlignment="1">
      <alignment vertical="center"/>
    </xf>
    <xf numFmtId="169" fontId="5" fillId="6" borderId="7" xfId="1" applyNumberFormat="1" applyFont="1" applyFill="1" applyBorder="1" applyAlignment="1">
      <alignment vertical="center"/>
    </xf>
    <xf numFmtId="166" fontId="12" fillId="4" borderId="7" xfId="1" applyNumberFormat="1" applyFont="1" applyFill="1" applyBorder="1" applyAlignment="1">
      <alignment vertical="center"/>
    </xf>
    <xf numFmtId="169" fontId="12" fillId="6" borderId="7" xfId="1" applyNumberFormat="1" applyFont="1" applyFill="1" applyBorder="1" applyAlignment="1">
      <alignment vertical="center"/>
    </xf>
    <xf numFmtId="169" fontId="5" fillId="4" borderId="7" xfId="1" applyNumberFormat="1" applyFont="1" applyFill="1" applyBorder="1" applyAlignment="1">
      <alignment horizontal="center" wrapText="1"/>
    </xf>
    <xf numFmtId="166" fontId="8" fillId="0" borderId="7" xfId="1" applyNumberFormat="1" applyFont="1" applyBorder="1"/>
    <xf numFmtId="166" fontId="8" fillId="6" borderId="0" xfId="1" applyNumberFormat="1" applyFont="1" applyFill="1" applyAlignment="1">
      <alignment vertical="center"/>
    </xf>
    <xf numFmtId="166" fontId="5" fillId="6" borderId="1" xfId="1" applyNumberFormat="1" applyFont="1" applyFill="1" applyBorder="1" applyAlignment="1">
      <alignment vertical="center"/>
    </xf>
    <xf numFmtId="170" fontId="5" fillId="0" borderId="0" xfId="1" applyNumberFormat="1" applyFont="1"/>
    <xf numFmtId="0" fontId="22" fillId="5" borderId="7" xfId="3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6" fontId="8" fillId="0" borderId="7" xfId="1" applyNumberFormat="1" applyFont="1" applyBorder="1" applyProtection="1">
      <protection locked="0"/>
    </xf>
    <xf numFmtId="167" fontId="8" fillId="0" borderId="7" xfId="1" applyNumberFormat="1" applyFont="1" applyBorder="1"/>
    <xf numFmtId="168" fontId="8" fillId="5" borderId="7" xfId="1" applyNumberFormat="1" applyFont="1" applyFill="1" applyBorder="1" applyAlignment="1">
      <alignment vertical="center"/>
    </xf>
    <xf numFmtId="168" fontId="5" fillId="5" borderId="34" xfId="1" applyNumberFormat="1" applyFont="1" applyFill="1" applyBorder="1" applyAlignment="1">
      <alignment vertical="center"/>
    </xf>
    <xf numFmtId="0" fontId="3" fillId="0" borderId="0" xfId="0" applyFont="1"/>
    <xf numFmtId="0" fontId="10" fillId="0" borderId="0" xfId="0" applyFont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166" fontId="8" fillId="0" borderId="19" xfId="1" applyNumberFormat="1" applyFont="1" applyBorder="1" applyAlignment="1" applyProtection="1">
      <alignment vertical="center" wrapText="1"/>
      <protection locked="0"/>
    </xf>
    <xf numFmtId="166" fontId="8" fillId="0" borderId="10" xfId="1" applyNumberFormat="1" applyFont="1" applyBorder="1" applyAlignment="1" applyProtection="1">
      <alignment vertical="center" wrapText="1"/>
      <protection locked="0"/>
    </xf>
    <xf numFmtId="0" fontId="5" fillId="0" borderId="29" xfId="0" applyFont="1" applyBorder="1" applyAlignment="1" applyProtection="1">
      <alignment vertical="center" wrapText="1"/>
      <protection locked="0"/>
    </xf>
    <xf numFmtId="0" fontId="5" fillId="0" borderId="9" xfId="0" applyFont="1" applyBorder="1" applyAlignment="1" applyProtection="1">
      <alignment vertical="center" wrapText="1"/>
      <protection locked="0"/>
    </xf>
    <xf numFmtId="49" fontId="8" fillId="0" borderId="3" xfId="0" applyNumberFormat="1" applyFont="1" applyBorder="1" applyAlignment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22" fillId="5" borderId="7" xfId="3" applyFont="1" applyFill="1" applyBorder="1" applyAlignment="1">
      <alignment horizontal="center" vertical="center" wrapText="1"/>
    </xf>
    <xf numFmtId="0" fontId="3" fillId="0" borderId="6" xfId="0" applyFont="1" applyBorder="1" applyProtection="1">
      <protection locked="0"/>
    </xf>
    <xf numFmtId="0" fontId="22" fillId="0" borderId="0" xfId="3" applyFont="1" applyAlignment="1">
      <alignment horizontal="right"/>
    </xf>
    <xf numFmtId="0" fontId="5" fillId="0" borderId="36" xfId="0" applyFont="1" applyBorder="1" applyAlignment="1" applyProtection="1">
      <alignment horizont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/>
      <protection locked="0"/>
    </xf>
    <xf numFmtId="14" fontId="14" fillId="0" borderId="41" xfId="0" applyNumberFormat="1" applyFont="1" applyBorder="1" applyAlignment="1" applyProtection="1">
      <alignment horizontal="center"/>
      <protection locked="0"/>
    </xf>
    <xf numFmtId="14" fontId="1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17" fillId="0" borderId="14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15" xfId="0" applyNumberFormat="1" applyFont="1" applyBorder="1" applyAlignment="1" applyProtection="1">
      <alignment horizontal="center" vertical="center"/>
      <protection locked="0"/>
    </xf>
    <xf numFmtId="14" fontId="17" fillId="0" borderId="16" xfId="0" applyNumberFormat="1" applyFont="1" applyBorder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center" vertical="center"/>
      <protection locked="0"/>
    </xf>
    <xf numFmtId="14" fontId="17" fillId="0" borderId="18" xfId="0" applyNumberFormat="1" applyFont="1" applyBorder="1" applyAlignment="1" applyProtection="1">
      <alignment horizontal="center" vertical="center"/>
      <protection locked="0"/>
    </xf>
    <xf numFmtId="49" fontId="13" fillId="0" borderId="1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49" fontId="13" fillId="0" borderId="13" xfId="0" applyNumberFormat="1" applyFont="1" applyBorder="1" applyAlignment="1" applyProtection="1">
      <alignment horizontal="center" vertical="center"/>
      <protection locked="0"/>
    </xf>
    <xf numFmtId="49" fontId="13" fillId="0" borderId="16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8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left" vertical="top"/>
      <protection locked="0"/>
    </xf>
    <xf numFmtId="0" fontId="10" fillId="0" borderId="12" xfId="0" applyFont="1" applyBorder="1" applyAlignment="1" applyProtection="1">
      <alignment horizontal="left" vertical="top"/>
      <protection locked="0"/>
    </xf>
    <xf numFmtId="0" fontId="10" fillId="0" borderId="13" xfId="0" applyFont="1" applyBorder="1" applyAlignment="1" applyProtection="1">
      <alignment horizontal="left" vertical="top"/>
      <protection locked="0"/>
    </xf>
    <xf numFmtId="0" fontId="10" fillId="0" borderId="14" xfId="0" applyFont="1" applyBorder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10" fillId="0" borderId="15" xfId="0" applyFont="1" applyBorder="1" applyAlignment="1" applyProtection="1">
      <alignment horizontal="left" vertical="top"/>
      <protection locked="0"/>
    </xf>
    <xf numFmtId="0" fontId="10" fillId="0" borderId="16" xfId="0" applyFont="1" applyBorder="1" applyAlignment="1" applyProtection="1">
      <alignment horizontal="left" vertical="top"/>
      <protection locked="0"/>
    </xf>
    <xf numFmtId="0" fontId="10" fillId="0" borderId="17" xfId="0" applyFont="1" applyBorder="1" applyAlignment="1" applyProtection="1">
      <alignment horizontal="left" vertical="top"/>
      <protection locked="0"/>
    </xf>
    <xf numFmtId="0" fontId="10" fillId="0" borderId="18" xfId="0" applyFont="1" applyBorder="1" applyAlignment="1" applyProtection="1">
      <alignment horizontal="left" vertical="top"/>
      <protection locked="0"/>
    </xf>
    <xf numFmtId="0" fontId="12" fillId="0" borderId="26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wrapText="1"/>
      <protection locked="0"/>
    </xf>
    <xf numFmtId="0" fontId="5" fillId="0" borderId="10" xfId="0" applyFont="1" applyBorder="1" applyAlignment="1" applyProtection="1">
      <alignment horizont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13" xfId="0" applyFont="1" applyBorder="1" applyAlignment="1" applyProtection="1">
      <alignment horizontal="left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30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8" fillId="0" borderId="25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5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7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left" vertical="center" wrapText="1" indent="2"/>
      <protection locked="0"/>
    </xf>
    <xf numFmtId="0" fontId="5" fillId="0" borderId="9" xfId="0" applyFont="1" applyBorder="1" applyAlignment="1" applyProtection="1">
      <alignment horizontal="left" vertical="center" wrapText="1" indent="2"/>
      <protection locked="0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6" xfId="0" applyFont="1" applyBorder="1" applyAlignment="1" applyProtection="1">
      <alignment horizontal="left"/>
      <protection locked="0"/>
    </xf>
    <xf numFmtId="0" fontId="15" fillId="0" borderId="8" xfId="0" applyFont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 applyProtection="1">
      <alignment horizontal="left" vertical="top"/>
      <protection locked="0"/>
    </xf>
    <xf numFmtId="0" fontId="8" fillId="0" borderId="10" xfId="0" applyFont="1" applyBorder="1" applyAlignment="1" applyProtection="1">
      <alignment horizontal="left" vertical="top"/>
      <protection locked="0"/>
    </xf>
    <xf numFmtId="0" fontId="5" fillId="0" borderId="20" xfId="0" applyFont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left"/>
      <protection locked="0"/>
    </xf>
    <xf numFmtId="0" fontId="5" fillId="0" borderId="22" xfId="0" applyFont="1" applyBorder="1" applyAlignment="1" applyProtection="1">
      <alignment horizontal="left"/>
      <protection locked="0"/>
    </xf>
    <xf numFmtId="0" fontId="14" fillId="0" borderId="16" xfId="0" applyFont="1" applyBorder="1" applyAlignment="1" applyProtection="1">
      <alignment horizontal="left" vertical="top" wrapText="1"/>
      <protection locked="0"/>
    </xf>
    <xf numFmtId="0" fontId="14" fillId="0" borderId="17" xfId="0" applyFont="1" applyBorder="1" applyAlignment="1" applyProtection="1">
      <alignment horizontal="left" vertical="top"/>
      <protection locked="0"/>
    </xf>
    <xf numFmtId="0" fontId="14" fillId="0" borderId="18" xfId="0" applyFont="1" applyBorder="1" applyAlignment="1" applyProtection="1">
      <alignment horizontal="left" vertical="top"/>
      <protection locked="0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9" fillId="0" borderId="35" xfId="0" applyFont="1" applyBorder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14" fontId="11" fillId="0" borderId="11" xfId="0" applyNumberFormat="1" applyFont="1" applyBorder="1" applyAlignment="1" applyProtection="1">
      <alignment horizontal="center" vertical="center"/>
      <protection locked="0"/>
    </xf>
    <xf numFmtId="14" fontId="11" fillId="0" borderId="12" xfId="0" applyNumberFormat="1" applyFont="1" applyBorder="1" applyAlignment="1" applyProtection="1">
      <alignment horizontal="center" vertical="center"/>
      <protection locked="0"/>
    </xf>
    <xf numFmtId="14" fontId="11" fillId="0" borderId="13" xfId="0" applyNumberFormat="1" applyFont="1" applyBorder="1" applyAlignment="1" applyProtection="1">
      <alignment horizontal="center" vertical="center"/>
      <protection locked="0"/>
    </xf>
    <xf numFmtId="14" fontId="11" fillId="0" borderId="16" xfId="0" applyNumberFormat="1" applyFont="1" applyBorder="1" applyAlignment="1" applyProtection="1">
      <alignment horizontal="center" vertical="center"/>
      <protection locked="0"/>
    </xf>
    <xf numFmtId="14" fontId="11" fillId="0" borderId="17" xfId="0" applyNumberFormat="1" applyFont="1" applyBorder="1" applyAlignment="1" applyProtection="1">
      <alignment horizontal="center" vertical="center"/>
      <protection locked="0"/>
    </xf>
    <xf numFmtId="14" fontId="11" fillId="0" borderId="18" xfId="0" applyNumberFormat="1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14" fontId="14" fillId="0" borderId="16" xfId="0" applyNumberFormat="1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166" fontId="8" fillId="0" borderId="19" xfId="1" applyNumberFormat="1" applyFont="1" applyBorder="1" applyAlignment="1" applyProtection="1">
      <alignment horizontal="center" vertical="center" wrapText="1"/>
      <protection locked="0"/>
    </xf>
    <xf numFmtId="166" fontId="8" fillId="0" borderId="10" xfId="1" applyNumberFormat="1" applyFont="1" applyBorder="1" applyAlignment="1" applyProtection="1">
      <alignment horizontal="center" vertical="center" wrapText="1"/>
      <protection locked="0"/>
    </xf>
    <xf numFmtId="0" fontId="38" fillId="0" borderId="9" xfId="5" applyFont="1" applyBorder="1" applyAlignment="1" applyProtection="1">
      <alignment horizontal="center" vertical="center"/>
      <protection locked="0"/>
    </xf>
    <xf numFmtId="0" fontId="22" fillId="5" borderId="7" xfId="3" applyFont="1" applyFill="1" applyBorder="1" applyAlignment="1">
      <alignment horizontal="center" vertical="center"/>
    </xf>
    <xf numFmtId="0" fontId="3" fillId="0" borderId="7" xfId="0" applyFont="1" applyBorder="1" applyAlignment="1" applyProtection="1">
      <alignment horizontal="left"/>
      <protection locked="0"/>
    </xf>
    <xf numFmtId="0" fontId="22" fillId="5" borderId="4" xfId="3" applyFont="1" applyFill="1" applyBorder="1" applyAlignment="1">
      <alignment horizontal="center" vertical="center"/>
    </xf>
    <xf numFmtId="0" fontId="22" fillId="5" borderId="6" xfId="3" applyFont="1" applyFill="1" applyBorder="1" applyAlignment="1">
      <alignment horizontal="center" vertical="center"/>
    </xf>
    <xf numFmtId="0" fontId="37" fillId="0" borderId="21" xfId="5" applyFont="1" applyFill="1" applyBorder="1" applyAlignment="1" applyProtection="1">
      <alignment horizontal="left" vertical="center"/>
      <protection locked="0"/>
    </xf>
    <xf numFmtId="0" fontId="37" fillId="0" borderId="22" xfId="5" applyFont="1" applyFill="1" applyBorder="1" applyAlignment="1" applyProtection="1">
      <alignment horizontal="left" vertical="center"/>
      <protection locked="0"/>
    </xf>
    <xf numFmtId="0" fontId="37" fillId="8" borderId="3" xfId="5" applyFont="1" applyFill="1" applyBorder="1" applyAlignment="1" applyProtection="1">
      <alignment horizontal="left" vertical="center"/>
      <protection locked="0"/>
    </xf>
    <xf numFmtId="0" fontId="37" fillId="8" borderId="27" xfId="5" applyFont="1" applyFill="1" applyBorder="1" applyAlignment="1" applyProtection="1">
      <alignment horizontal="left" vertical="center"/>
      <protection locked="0"/>
    </xf>
  </cellXfs>
  <cellStyles count="6">
    <cellStyle name="Lien hypertexte" xfId="5" builtinId="8"/>
    <cellStyle name="Milliers" xfId="1" builtinId="3"/>
    <cellStyle name="Milliers 2_DA CAC VASA 12.07" xfId="2" xr:uid="{00000000-0005-0000-0000-000002000000}"/>
    <cellStyle name="Normal" xfId="0" builtinId="0"/>
    <cellStyle name="Normal 2" xfId="3" xr:uid="{00000000-0005-0000-0000-000004000000}"/>
    <cellStyle name="Texte de fond" xfId="4" xr:uid="{00000000-0005-0000-0000-000005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67865</xdr:colOff>
      <xdr:row>24</xdr:row>
      <xdr:rowOff>52388</xdr:rowOff>
    </xdr:from>
    <xdr:to>
      <xdr:col>9</xdr:col>
      <xdr:colOff>466725</xdr:colOff>
      <xdr:row>30</xdr:row>
      <xdr:rowOff>171450</xdr:rowOff>
    </xdr:to>
    <xdr:sp macro="" textlink="">
      <xdr:nvSpPr>
        <xdr:cNvPr id="8" name="Flèche courbée vers la gauche 8">
          <a:extLst>
            <a:ext uri="{FF2B5EF4-FFF2-40B4-BE49-F238E27FC236}">
              <a16:creationId xmlns:a16="http://schemas.microsoft.com/office/drawing/2014/main" id="{971BF1BC-E565-4279-B867-BBCCC66CF0C7}"/>
            </a:ext>
          </a:extLst>
        </xdr:cNvPr>
        <xdr:cNvSpPr/>
      </xdr:nvSpPr>
      <xdr:spPr>
        <a:xfrm>
          <a:off x="10535840" y="7729538"/>
          <a:ext cx="398860" cy="1262062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  <xdr:twoCellAnchor>
    <xdr:from>
      <xdr:col>1</xdr:col>
      <xdr:colOff>1864546</xdr:colOff>
      <xdr:row>16</xdr:row>
      <xdr:rowOff>52180</xdr:rowOff>
    </xdr:from>
    <xdr:to>
      <xdr:col>1</xdr:col>
      <xdr:colOff>2070651</xdr:colOff>
      <xdr:row>20</xdr:row>
      <xdr:rowOff>173935</xdr:rowOff>
    </xdr:to>
    <xdr:sp macro="" textlink="">
      <xdr:nvSpPr>
        <xdr:cNvPr id="3" name="Accolade ouvrante 2">
          <a:extLst>
            <a:ext uri="{FF2B5EF4-FFF2-40B4-BE49-F238E27FC236}">
              <a16:creationId xmlns:a16="http://schemas.microsoft.com/office/drawing/2014/main" id="{C7A152F3-46AA-42F7-AC76-06E9D50493A1}"/>
            </a:ext>
          </a:extLst>
        </xdr:cNvPr>
        <xdr:cNvSpPr/>
      </xdr:nvSpPr>
      <xdr:spPr>
        <a:xfrm>
          <a:off x="2841894" y="6197876"/>
          <a:ext cx="206105" cy="88375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493871</xdr:colOff>
      <xdr:row>23</xdr:row>
      <xdr:rowOff>167640</xdr:rowOff>
    </xdr:from>
    <xdr:to>
      <xdr:col>4</xdr:col>
      <xdr:colOff>862965</xdr:colOff>
      <xdr:row>29</xdr:row>
      <xdr:rowOff>179546</xdr:rowOff>
    </xdr:to>
    <xdr:sp macro="" textlink="">
      <xdr:nvSpPr>
        <xdr:cNvPr id="4" name="Flèche courbée vers la gauche 8">
          <a:extLst>
            <a:ext uri="{FF2B5EF4-FFF2-40B4-BE49-F238E27FC236}">
              <a16:creationId xmlns:a16="http://schemas.microsoft.com/office/drawing/2014/main" id="{F09ECB9B-B63B-4A86-A653-17C6659DC23F}"/>
            </a:ext>
          </a:extLst>
        </xdr:cNvPr>
        <xdr:cNvSpPr/>
      </xdr:nvSpPr>
      <xdr:spPr>
        <a:xfrm>
          <a:off x="5233511" y="8001000"/>
          <a:ext cx="369094" cy="1200626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F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29"/>
  <sheetViews>
    <sheetView showGridLines="0" tabSelected="1" zoomScale="90" zoomScaleNormal="90" workbookViewId="0">
      <selection activeCell="A30" sqref="A30"/>
    </sheetView>
  </sheetViews>
  <sheetFormatPr baseColWidth="10" defaultColWidth="11.42578125" defaultRowHeight="15.75" x14ac:dyDescent="0.25"/>
  <cols>
    <col min="1" max="12" width="14.7109375" style="25" customWidth="1"/>
    <col min="13" max="13" width="24.140625" style="25" customWidth="1"/>
    <col min="14" max="15" width="14.7109375" style="25" customWidth="1"/>
    <col min="16" max="16" width="5.85546875" style="25" customWidth="1"/>
    <col min="17" max="17" width="6.28515625" style="25" hidden="1" customWidth="1"/>
    <col min="18" max="16384" width="11.42578125" style="25"/>
  </cols>
  <sheetData>
    <row r="1" spans="1:23" s="24" customFormat="1" ht="15" customHeight="1" x14ac:dyDescent="0.2">
      <c r="A1" s="8"/>
      <c r="B1" s="9"/>
      <c r="C1" s="9"/>
      <c r="D1" s="154" t="s">
        <v>0</v>
      </c>
      <c r="E1" s="155"/>
      <c r="F1" s="155"/>
      <c r="G1" s="155"/>
      <c r="H1" s="155"/>
      <c r="I1" s="155"/>
      <c r="J1" s="155"/>
      <c r="K1" s="155"/>
      <c r="L1" s="155"/>
      <c r="M1" s="156"/>
      <c r="N1" s="9"/>
      <c r="O1" s="10"/>
      <c r="P1" s="1"/>
      <c r="Q1" s="90" t="s">
        <v>1</v>
      </c>
      <c r="R1" s="1"/>
      <c r="S1" s="1"/>
      <c r="T1" s="1"/>
      <c r="U1" s="1"/>
      <c r="V1" s="1"/>
      <c r="W1" s="1"/>
    </row>
    <row r="2" spans="1:23" s="24" customFormat="1" ht="15" customHeight="1" thickBot="1" x14ac:dyDescent="0.25">
      <c r="A2" s="11"/>
      <c r="B2" s="12"/>
      <c r="C2" s="12"/>
      <c r="D2" s="157"/>
      <c r="E2" s="158"/>
      <c r="F2" s="158"/>
      <c r="G2" s="158"/>
      <c r="H2" s="158"/>
      <c r="I2" s="158"/>
      <c r="J2" s="158"/>
      <c r="K2" s="158"/>
      <c r="L2" s="158"/>
      <c r="M2" s="159"/>
      <c r="N2" s="12"/>
      <c r="O2" s="13"/>
      <c r="P2" s="1"/>
      <c r="Q2" s="90" t="s">
        <v>2</v>
      </c>
      <c r="R2" s="1"/>
      <c r="S2" s="1"/>
      <c r="T2" s="1"/>
      <c r="U2" s="1"/>
      <c r="V2" s="1"/>
      <c r="W2" s="1"/>
    </row>
    <row r="3" spans="1:23" ht="15" customHeight="1" x14ac:dyDescent="0.25">
      <c r="A3" s="160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2"/>
      <c r="P3" s="6"/>
      <c r="Q3" s="133"/>
      <c r="R3" s="6"/>
      <c r="S3" s="6"/>
      <c r="T3" s="2"/>
      <c r="U3" s="6"/>
      <c r="V3" s="4"/>
      <c r="W3" s="5"/>
    </row>
    <row r="4" spans="1:23" ht="15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2"/>
      <c r="P4" s="6"/>
      <c r="Q4" s="90" t="s">
        <v>4</v>
      </c>
      <c r="R4" s="26"/>
      <c r="S4" s="6"/>
      <c r="T4" s="2"/>
      <c r="U4" s="6"/>
      <c r="V4" s="4"/>
      <c r="W4" s="5"/>
    </row>
    <row r="5" spans="1:23" ht="1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5"/>
      <c r="P5" s="6"/>
      <c r="Q5" s="90" t="s">
        <v>5</v>
      </c>
      <c r="R5" s="6"/>
      <c r="S5" s="7"/>
      <c r="T5" s="3"/>
      <c r="U5" s="21"/>
      <c r="V5" s="21"/>
      <c r="W5" s="21"/>
    </row>
    <row r="6" spans="1:23" ht="15" customHeight="1" x14ac:dyDescent="0.25">
      <c r="A6" s="15" t="s">
        <v>6</v>
      </c>
      <c r="B6" s="76" t="s">
        <v>88</v>
      </c>
      <c r="C6" s="15" t="s">
        <v>7</v>
      </c>
      <c r="D6" s="77"/>
      <c r="E6" s="166" t="s">
        <v>8</v>
      </c>
      <c r="F6" s="167"/>
      <c r="G6" s="167"/>
      <c r="H6" s="167"/>
      <c r="I6" s="167"/>
      <c r="J6" s="167"/>
      <c r="K6" s="167"/>
      <c r="L6" s="168"/>
      <c r="M6" s="152" t="s">
        <v>9</v>
      </c>
      <c r="N6" s="172" t="s">
        <v>10</v>
      </c>
      <c r="O6" s="173"/>
      <c r="P6" s="6"/>
      <c r="Q6" s="133" t="s">
        <v>11</v>
      </c>
      <c r="R6" s="27"/>
      <c r="S6" s="6"/>
      <c r="T6" s="1"/>
      <c r="U6" s="1"/>
      <c r="V6" s="6"/>
      <c r="W6" s="6"/>
    </row>
    <row r="7" spans="1:23" ht="15" customHeight="1" thickBot="1" x14ac:dyDescent="0.3">
      <c r="A7" s="16" t="s">
        <v>12</v>
      </c>
      <c r="B7" s="78"/>
      <c r="C7" s="16" t="s">
        <v>12</v>
      </c>
      <c r="D7" s="78"/>
      <c r="E7" s="169"/>
      <c r="F7" s="170"/>
      <c r="G7" s="170"/>
      <c r="H7" s="170"/>
      <c r="I7" s="170"/>
      <c r="J7" s="170"/>
      <c r="K7" s="170"/>
      <c r="L7" s="171"/>
      <c r="M7" s="153" t="s">
        <v>13</v>
      </c>
      <c r="N7" s="174" t="s">
        <v>14</v>
      </c>
      <c r="O7" s="175"/>
      <c r="P7" s="6"/>
      <c r="Q7" s="90" t="s">
        <v>15</v>
      </c>
      <c r="R7" s="6"/>
      <c r="S7" s="6"/>
      <c r="T7" s="6"/>
      <c r="U7" s="6"/>
      <c r="V7" s="6"/>
      <c r="W7" s="6"/>
    </row>
    <row r="8" spans="1:23" ht="21" customHeight="1" thickBot="1" x14ac:dyDescent="0.3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34"/>
      <c r="O8" s="134"/>
      <c r="P8" s="6"/>
      <c r="Q8" s="90" t="s">
        <v>16</v>
      </c>
      <c r="R8" s="6"/>
      <c r="S8" s="6"/>
      <c r="T8" s="6"/>
      <c r="U8" s="6"/>
      <c r="V8" s="6"/>
      <c r="W8" s="6"/>
    </row>
    <row r="9" spans="1:23" s="28" customFormat="1" ht="31.5" customHeight="1" thickBot="1" x14ac:dyDescent="0.3">
      <c r="A9" s="214" t="s">
        <v>17</v>
      </c>
      <c r="B9" s="215"/>
      <c r="C9" s="215"/>
      <c r="D9" s="135" t="s">
        <v>4</v>
      </c>
      <c r="E9" s="136"/>
      <c r="F9" s="212" t="s">
        <v>18</v>
      </c>
      <c r="G9" s="213"/>
      <c r="H9" s="213"/>
      <c r="I9" s="213"/>
      <c r="J9" s="137"/>
      <c r="K9" s="138"/>
      <c r="L9" s="212" t="s">
        <v>19</v>
      </c>
      <c r="M9" s="213"/>
      <c r="N9" s="135" t="s">
        <v>15</v>
      </c>
      <c r="O9" s="136"/>
      <c r="P9" s="18"/>
      <c r="Q9" s="133" t="s">
        <v>20</v>
      </c>
      <c r="R9" s="18"/>
      <c r="S9" s="18"/>
      <c r="T9" s="18"/>
      <c r="U9" s="18"/>
      <c r="V9" s="18"/>
      <c r="W9" s="18"/>
    </row>
    <row r="10" spans="1:23" s="29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23" ht="15" customHeight="1" thickBot="1" x14ac:dyDescent="0.3">
      <c r="A11" s="189" t="s">
        <v>21</v>
      </c>
      <c r="B11" s="190"/>
      <c r="C11" s="139" t="s">
        <v>22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8" t="s">
        <v>23</v>
      </c>
      <c r="N11" s="187" t="s">
        <v>24</v>
      </c>
      <c r="O11" s="188"/>
      <c r="P11" s="79"/>
      <c r="Q11" s="6"/>
      <c r="R11" s="6"/>
      <c r="S11" s="6"/>
      <c r="T11" s="6"/>
      <c r="U11" s="6"/>
      <c r="V11" s="6"/>
      <c r="W11" s="6"/>
    </row>
    <row r="12" spans="1:23" s="24" customFormat="1" ht="15" customHeight="1" x14ac:dyDescent="0.2">
      <c r="A12" s="185" t="s">
        <v>25</v>
      </c>
      <c r="B12" s="186"/>
      <c r="C12" s="141" t="str">
        <f>'C100 Variation des CP'!E6</f>
        <v>Variation des capitaux propres</v>
      </c>
      <c r="D12" s="142"/>
      <c r="E12" s="142"/>
      <c r="F12" s="142"/>
      <c r="G12" s="142"/>
      <c r="H12" s="142"/>
      <c r="I12" s="142"/>
      <c r="J12" s="142"/>
      <c r="K12" s="142"/>
      <c r="L12" s="142"/>
      <c r="M12" s="149" t="s">
        <v>1</v>
      </c>
      <c r="N12" s="251" t="s">
        <v>26</v>
      </c>
      <c r="O12" s="252"/>
      <c r="P12" s="80"/>
      <c r="Q12" s="1"/>
      <c r="R12" s="1"/>
      <c r="S12" s="1"/>
      <c r="T12" s="1"/>
      <c r="U12" s="1"/>
      <c r="V12" s="1"/>
      <c r="W12" s="1"/>
    </row>
    <row r="13" spans="1:23" s="24" customFormat="1" ht="15" customHeight="1" x14ac:dyDescent="0.25">
      <c r="A13" s="199"/>
      <c r="B13" s="200"/>
      <c r="C13" s="143" t="str">
        <f>'C200 Revue de l''actionnariat'!E6</f>
        <v>Revue de l'actionnariat</v>
      </c>
      <c r="D13" s="144"/>
      <c r="E13" s="144"/>
      <c r="F13" s="144"/>
      <c r="G13" s="144"/>
      <c r="H13" s="144"/>
      <c r="I13" s="144"/>
      <c r="J13" s="144"/>
      <c r="K13" s="144"/>
      <c r="L13" s="144"/>
      <c r="M13" s="150" t="s">
        <v>2</v>
      </c>
      <c r="N13" s="253" t="s">
        <v>28</v>
      </c>
      <c r="O13" s="254"/>
      <c r="P13" s="81"/>
      <c r="Q13" s="1"/>
      <c r="R13" s="1"/>
      <c r="S13" s="1"/>
      <c r="T13" s="1"/>
      <c r="U13" s="1"/>
      <c r="V13" s="1"/>
      <c r="W13" s="1"/>
    </row>
    <row r="14" spans="1:23" s="24" customFormat="1" ht="15" customHeight="1" x14ac:dyDescent="0.2">
      <c r="A14" s="199"/>
      <c r="B14" s="200"/>
      <c r="C14" s="143" t="str">
        <f>'C300 Subventions d''équipement'!E6</f>
        <v>Revue des subventions d'équipements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50" t="s">
        <v>2</v>
      </c>
      <c r="N14" s="253" t="s">
        <v>30</v>
      </c>
      <c r="O14" s="254"/>
      <c r="P14" s="80"/>
      <c r="Q14" s="1"/>
      <c r="R14" s="1"/>
      <c r="S14" s="1"/>
      <c r="T14" s="1"/>
      <c r="U14" s="1"/>
      <c r="V14" s="1"/>
      <c r="W14" s="1"/>
    </row>
    <row r="15" spans="1:23" s="24" customFormat="1" ht="15" customHeight="1" thickBot="1" x14ac:dyDescent="0.25">
      <c r="A15" s="197"/>
      <c r="B15" s="198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151"/>
      <c r="N15" s="201"/>
      <c r="O15" s="202"/>
      <c r="P15" s="82"/>
      <c r="Q15" s="1"/>
      <c r="R15" s="1"/>
      <c r="S15" s="1"/>
      <c r="T15" s="1"/>
      <c r="U15" s="1"/>
      <c r="V15" s="1"/>
      <c r="W15" s="1"/>
    </row>
    <row r="16" spans="1:23" s="30" customFormat="1" ht="21" customHeight="1" thickBo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82"/>
      <c r="Q16" s="1"/>
      <c r="R16" s="1"/>
      <c r="S16" s="23"/>
      <c r="T16" s="23"/>
      <c r="U16" s="23"/>
      <c r="V16" s="23"/>
      <c r="W16" s="23"/>
    </row>
    <row r="17" spans="1:18" s="75" customFormat="1" ht="16.5" thickBot="1" x14ac:dyDescent="0.3">
      <c r="A17" s="194" t="s">
        <v>31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6"/>
      <c r="P17" s="80"/>
      <c r="Q17" s="1"/>
      <c r="R17" s="1"/>
    </row>
    <row r="18" spans="1:18" s="6" customFormat="1" ht="9.9499999999999993" customHeight="1" x14ac:dyDescent="0.25">
      <c r="A18" s="176" t="s">
        <v>89</v>
      </c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5"/>
    </row>
    <row r="19" spans="1:18" s="6" customFormat="1" ht="9.9499999999999993" customHeight="1" x14ac:dyDescent="0.25">
      <c r="A19" s="206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8"/>
    </row>
    <row r="20" spans="1:18" s="6" customFormat="1" ht="9.9499999999999993" customHeight="1" x14ac:dyDescent="0.25">
      <c r="A20" s="206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</row>
    <row r="21" spans="1:18" s="6" customFormat="1" ht="9.9499999999999993" customHeight="1" x14ac:dyDescent="0.25">
      <c r="A21" s="206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8"/>
    </row>
    <row r="22" spans="1:18" s="6" customFormat="1" ht="9.9499999999999993" customHeight="1" thickBot="1" x14ac:dyDescent="0.3">
      <c r="A22" s="209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1"/>
    </row>
    <row r="23" spans="1:18" s="30" customFormat="1" ht="21" customHeight="1" thickBot="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s="30" customFormat="1" thickBot="1" x14ac:dyDescent="0.3">
      <c r="A24" s="191" t="s">
        <v>32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3"/>
      <c r="P24" s="23"/>
      <c r="Q24" s="23"/>
      <c r="R24" s="23"/>
    </row>
    <row r="25" spans="1:18" s="6" customFormat="1" ht="9.9499999999999993" customHeight="1" x14ac:dyDescent="0.25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8"/>
    </row>
    <row r="26" spans="1:18" s="6" customFormat="1" ht="9.9499999999999993" customHeight="1" x14ac:dyDescent="0.25">
      <c r="A26" s="179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1"/>
    </row>
    <row r="27" spans="1:18" s="6" customFormat="1" ht="9.9499999999999993" customHeight="1" x14ac:dyDescent="0.25">
      <c r="A27" s="179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1"/>
    </row>
    <row r="28" spans="1:18" s="6" customFormat="1" ht="9.9499999999999993" customHeight="1" x14ac:dyDescent="0.25">
      <c r="A28" s="179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</row>
    <row r="29" spans="1:18" s="6" customFormat="1" ht="9.9499999999999993" customHeight="1" thickBot="1" x14ac:dyDescent="0.3">
      <c r="A29" s="182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4"/>
    </row>
  </sheetData>
  <sheetProtection formatCells="0" formatColumns="0" formatRows="0" insertColumns="0" insertRows="0" insertHyperlinks="0" deleteColumns="0" deleteRows="0" sort="0" autoFilter="0" pivotTables="0"/>
  <mergeCells count="23">
    <mergeCell ref="L9:M9"/>
    <mergeCell ref="F9:I9"/>
    <mergeCell ref="A9:C9"/>
    <mergeCell ref="A25:O29"/>
    <mergeCell ref="A12:B12"/>
    <mergeCell ref="N12:O12"/>
    <mergeCell ref="N11:O11"/>
    <mergeCell ref="A11:B11"/>
    <mergeCell ref="A24:O24"/>
    <mergeCell ref="N13:O13"/>
    <mergeCell ref="A17:O17"/>
    <mergeCell ref="A15:B15"/>
    <mergeCell ref="N14:O14"/>
    <mergeCell ref="A13:B13"/>
    <mergeCell ref="A14:B14"/>
    <mergeCell ref="N15:O15"/>
    <mergeCell ref="C15:L15"/>
    <mergeCell ref="A18:O22"/>
    <mergeCell ref="D1:M2"/>
    <mergeCell ref="A3:O5"/>
    <mergeCell ref="E6:L7"/>
    <mergeCell ref="N6:O6"/>
    <mergeCell ref="N7:O7"/>
  </mergeCells>
  <dataValidations count="4">
    <dataValidation type="list" showInputMessage="1" showErrorMessage="1" sqref="D9:E9" xr:uid="{00000000-0002-0000-0000-000000000000}">
      <formula1>RAS</formula1>
    </dataValidation>
    <dataValidation type="list" allowBlank="1" showInputMessage="1" showErrorMessage="1" sqref="N9:O9" xr:uid="{00000000-0002-0000-0000-000001000000}">
      <formula1>Diligences</formula1>
    </dataValidation>
    <dataValidation type="list" allowBlank="1" showInputMessage="1" showErrorMessage="1" sqref="M15" xr:uid="{00000000-0002-0000-0000-000002000000}">
      <formula1>Etat</formula1>
    </dataValidation>
    <dataValidation type="list" allowBlank="1" showInputMessage="1" showErrorMessage="1" sqref="M12:M14" xr:uid="{00000000-0002-0000-0000-000003000000}">
      <formula1>$Q$1:$Q$2</formula1>
    </dataValidation>
  </dataValidations>
  <hyperlinks>
    <hyperlink ref="N12:O12" location="'C100 Variation des CP'!A1" display="C100 Variation des CP" xr:uid="{00000000-0004-0000-0000-000000000000}"/>
    <hyperlink ref="N13:O13" location="'C200 Revue de l''actionnariat'!A1" display="C200 Revue de l''actionnariat" xr:uid="{00000000-0004-0000-0000-000001000000}"/>
    <hyperlink ref="N14:O14" location="'C300 Subventions d''équipement'!A1" display="C300 Subventions d''équipement" xr:uid="{00000000-0004-0000-0000-000002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U32"/>
  <sheetViews>
    <sheetView showGridLines="0" zoomScale="80" zoomScaleNormal="80" workbookViewId="0"/>
  </sheetViews>
  <sheetFormatPr baseColWidth="10" defaultColWidth="11.42578125" defaultRowHeight="15.75" x14ac:dyDescent="0.25"/>
  <cols>
    <col min="1" max="1" width="14.7109375" style="6" customWidth="1"/>
    <col min="2" max="2" width="32.28515625" style="6" customWidth="1"/>
    <col min="3" max="3" width="14.7109375" style="6" customWidth="1"/>
    <col min="4" max="4" width="21.7109375" style="6" customWidth="1"/>
    <col min="5" max="10" width="14.7109375" style="6" customWidth="1"/>
    <col min="11" max="16" width="11.28515625" style="6" customWidth="1"/>
    <col min="17" max="16384" width="11.42578125" style="6"/>
  </cols>
  <sheetData>
    <row r="1" spans="1:21" s="1" customFormat="1" ht="15" customHeight="1" x14ac:dyDescent="0.2">
      <c r="A1" s="8"/>
      <c r="B1" s="9"/>
      <c r="C1" s="9"/>
      <c r="D1" s="234" t="str">
        <f>+'C Synthèse'!D1:M2</f>
        <v>#NomClient</v>
      </c>
      <c r="E1" s="235"/>
      <c r="F1" s="235"/>
      <c r="G1" s="235"/>
      <c r="H1" s="235"/>
      <c r="I1" s="235"/>
      <c r="J1" s="235"/>
      <c r="K1" s="235"/>
      <c r="L1" s="235"/>
      <c r="M1" s="236"/>
      <c r="N1" s="9"/>
      <c r="O1" s="9"/>
      <c r="P1" s="10"/>
    </row>
    <row r="2" spans="1:21" s="1" customFormat="1" ht="15" customHeight="1" thickBot="1" x14ac:dyDescent="0.25">
      <c r="A2" s="11"/>
      <c r="B2" s="12"/>
      <c r="C2" s="12"/>
      <c r="D2" s="237"/>
      <c r="E2" s="238"/>
      <c r="F2" s="238"/>
      <c r="G2" s="238"/>
      <c r="H2" s="238"/>
      <c r="I2" s="238"/>
      <c r="J2" s="238"/>
      <c r="K2" s="238"/>
      <c r="L2" s="238"/>
      <c r="M2" s="239"/>
      <c r="N2" s="12"/>
      <c r="O2" s="12"/>
      <c r="P2" s="13"/>
    </row>
    <row r="3" spans="1:21" ht="15" customHeight="1" x14ac:dyDescent="0.25">
      <c r="A3" s="160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  <c r="R3" s="2"/>
      <c r="T3" s="4"/>
      <c r="U3" s="5"/>
    </row>
    <row r="4" spans="1:21" ht="15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2"/>
      <c r="R4" s="2"/>
      <c r="T4" s="4"/>
      <c r="U4" s="5"/>
    </row>
    <row r="5" spans="1:21" ht="1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5"/>
      <c r="Q5" s="7"/>
      <c r="R5" s="3"/>
      <c r="S5" s="21"/>
      <c r="T5" s="21"/>
      <c r="U5" s="21"/>
    </row>
    <row r="6" spans="1:21" ht="15" customHeight="1" x14ac:dyDescent="0.25">
      <c r="A6" s="15" t="s">
        <v>6</v>
      </c>
      <c r="B6" s="76" t="str">
        <f>+'C Synthèse'!B6</f>
        <v>BRA</v>
      </c>
      <c r="C6" s="15" t="s">
        <v>7</v>
      </c>
      <c r="D6" s="76">
        <f>+'C Synthèse'!D6</f>
        <v>0</v>
      </c>
      <c r="E6" s="166" t="s">
        <v>33</v>
      </c>
      <c r="F6" s="167"/>
      <c r="G6" s="167"/>
      <c r="H6" s="167"/>
      <c r="I6" s="167"/>
      <c r="J6" s="167"/>
      <c r="K6" s="167"/>
      <c r="L6" s="168"/>
      <c r="M6" s="240" t="s">
        <v>9</v>
      </c>
      <c r="N6" s="241"/>
      <c r="O6" s="172" t="s">
        <v>10</v>
      </c>
      <c r="P6" s="173"/>
      <c r="R6" s="1"/>
      <c r="S6" s="1"/>
    </row>
    <row r="7" spans="1:21" ht="15" customHeight="1" thickBot="1" x14ac:dyDescent="0.3">
      <c r="A7" s="16" t="s">
        <v>12</v>
      </c>
      <c r="B7" s="78">
        <f>+'C Synthèse'!B7</f>
        <v>0</v>
      </c>
      <c r="C7" s="16" t="s">
        <v>12</v>
      </c>
      <c r="D7" s="78">
        <f>+'C Synthèse'!D7</f>
        <v>0</v>
      </c>
      <c r="E7" s="169"/>
      <c r="F7" s="170"/>
      <c r="G7" s="170"/>
      <c r="H7" s="170"/>
      <c r="I7" s="170"/>
      <c r="J7" s="170"/>
      <c r="K7" s="170"/>
      <c r="L7" s="171"/>
      <c r="M7" s="242" t="str">
        <f>+'C Synthèse'!M7:M7</f>
        <v>#DateClôture</v>
      </c>
      <c r="N7" s="243"/>
      <c r="O7" s="174" t="s">
        <v>25</v>
      </c>
      <c r="P7" s="175"/>
    </row>
    <row r="8" spans="1:21" ht="21" customHeight="1" thickBot="1" x14ac:dyDescent="0.3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"/>
      <c r="O8" s="246" t="s">
        <v>34</v>
      </c>
      <c r="P8" s="246"/>
    </row>
    <row r="9" spans="1:21" s="18" customFormat="1" ht="31.5" customHeight="1" thickBot="1" x14ac:dyDescent="0.25">
      <c r="A9" s="214" t="s">
        <v>17</v>
      </c>
      <c r="B9" s="215"/>
      <c r="C9" s="215"/>
      <c r="D9" s="232" t="str">
        <f>'C Synthèse'!D9:E9</f>
        <v>Faible</v>
      </c>
      <c r="E9" s="233"/>
      <c r="F9" s="212" t="s">
        <v>18</v>
      </c>
      <c r="G9" s="213"/>
      <c r="H9" s="213"/>
      <c r="I9" s="213"/>
      <c r="J9" s="244">
        <f>'C Synthèse'!J9:K9</f>
        <v>0</v>
      </c>
      <c r="K9" s="245"/>
      <c r="L9" s="212" t="s">
        <v>19</v>
      </c>
      <c r="M9" s="213"/>
      <c r="N9" s="213"/>
      <c r="O9" s="232" t="str">
        <f>'C Synthèse'!N9</f>
        <v>PB</v>
      </c>
      <c r="P9" s="233"/>
    </row>
    <row r="10" spans="1:21" s="18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21" s="23" customFormat="1" ht="140.25" customHeight="1" thickBot="1" x14ac:dyDescent="0.3">
      <c r="A11" s="220" t="s">
        <v>35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2"/>
    </row>
    <row r="12" spans="1:21" s="23" customFormat="1" ht="9" customHeight="1" thickBot="1" x14ac:dyDescent="0.3"/>
    <row r="13" spans="1:21" s="23" customFormat="1" ht="15" x14ac:dyDescent="0.25">
      <c r="A13" s="223" t="s">
        <v>36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5"/>
    </row>
    <row r="14" spans="1:21" s="23" customFormat="1" ht="60" customHeight="1" thickBot="1" x14ac:dyDescent="0.3">
      <c r="A14" s="226" t="s">
        <v>37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8"/>
    </row>
    <row r="15" spans="1:21" x14ac:dyDescent="0.25">
      <c r="A15" s="31"/>
      <c r="P15" s="33"/>
    </row>
    <row r="16" spans="1:21" s="23" customFormat="1" ht="66" customHeight="1" x14ac:dyDescent="0.25">
      <c r="A16" s="96"/>
      <c r="C16" s="128" t="s">
        <v>38</v>
      </c>
      <c r="D16" s="229" t="s">
        <v>39</v>
      </c>
      <c r="E16" s="230"/>
      <c r="F16" s="83" t="s">
        <v>40</v>
      </c>
      <c r="G16" s="83" t="s">
        <v>41</v>
      </c>
      <c r="H16" s="83" t="s">
        <v>42</v>
      </c>
      <c r="I16" s="84" t="s">
        <v>43</v>
      </c>
      <c r="J16" s="83" t="s">
        <v>44</v>
      </c>
      <c r="P16" s="46"/>
    </row>
    <row r="17" spans="1:16" s="23" customFormat="1" ht="15" x14ac:dyDescent="0.25">
      <c r="A17" s="96"/>
      <c r="B17" s="231" t="s">
        <v>45</v>
      </c>
      <c r="C17" s="129"/>
      <c r="D17" s="218"/>
      <c r="E17" s="219"/>
      <c r="F17" s="130"/>
      <c r="G17" s="130"/>
      <c r="H17" s="130"/>
      <c r="I17" s="130"/>
      <c r="J17" s="131">
        <f>SUM(F17:I17)</f>
        <v>0</v>
      </c>
      <c r="P17" s="46"/>
    </row>
    <row r="18" spans="1:16" s="23" customFormat="1" ht="15" x14ac:dyDescent="0.25">
      <c r="A18" s="96"/>
      <c r="B18" s="231"/>
      <c r="C18" s="129"/>
      <c r="D18" s="218"/>
      <c r="E18" s="219"/>
      <c r="F18" s="130"/>
      <c r="G18" s="130"/>
      <c r="H18" s="130"/>
      <c r="I18" s="130"/>
      <c r="J18" s="131">
        <f t="shared" ref="J18:J21" si="0">SUM(F18:I18)</f>
        <v>0</v>
      </c>
      <c r="P18" s="46"/>
    </row>
    <row r="19" spans="1:16" s="23" customFormat="1" ht="15" x14ac:dyDescent="0.25">
      <c r="A19" s="96"/>
      <c r="B19" s="231"/>
      <c r="C19" s="129"/>
      <c r="D19" s="218"/>
      <c r="E19" s="219"/>
      <c r="F19" s="130"/>
      <c r="G19" s="130"/>
      <c r="H19" s="130"/>
      <c r="I19" s="130"/>
      <c r="J19" s="131">
        <f t="shared" si="0"/>
        <v>0</v>
      </c>
      <c r="P19" s="46"/>
    </row>
    <row r="20" spans="1:16" s="23" customFormat="1" ht="15" x14ac:dyDescent="0.25">
      <c r="A20" s="96"/>
      <c r="B20" s="231"/>
      <c r="C20" s="129"/>
      <c r="D20" s="218"/>
      <c r="E20" s="219"/>
      <c r="F20" s="130"/>
      <c r="G20" s="130"/>
      <c r="H20" s="130"/>
      <c r="I20" s="130"/>
      <c r="J20" s="131">
        <f t="shared" si="0"/>
        <v>0</v>
      </c>
      <c r="P20" s="46"/>
    </row>
    <row r="21" spans="1:16" s="23" customFormat="1" ht="15" x14ac:dyDescent="0.25">
      <c r="A21" s="96"/>
      <c r="B21" s="231"/>
      <c r="C21" s="129"/>
      <c r="D21" s="218"/>
      <c r="E21" s="219"/>
      <c r="F21" s="130"/>
      <c r="G21" s="130"/>
      <c r="H21" s="130"/>
      <c r="I21" s="130"/>
      <c r="J21" s="131">
        <f t="shared" si="0"/>
        <v>0</v>
      </c>
      <c r="P21" s="46"/>
    </row>
    <row r="22" spans="1:16" s="23" customFormat="1" ht="15" x14ac:dyDescent="0.25">
      <c r="A22" s="96"/>
      <c r="C22" s="129">
        <v>120000</v>
      </c>
      <c r="D22" s="218" t="s">
        <v>46</v>
      </c>
      <c r="E22" s="219"/>
      <c r="F22" s="130"/>
      <c r="G22" s="130"/>
      <c r="H22" s="130"/>
      <c r="I22" s="130"/>
      <c r="J22" s="131">
        <f>SUM(F22:I22)</f>
        <v>0</v>
      </c>
      <c r="P22" s="46"/>
    </row>
    <row r="23" spans="1:16" s="23" customFormat="1" ht="15" x14ac:dyDescent="0.25">
      <c r="A23" s="96"/>
      <c r="D23" s="216" t="s">
        <v>47</v>
      </c>
      <c r="E23" s="217"/>
      <c r="F23" s="132">
        <f>SUM(F17:F22)</f>
        <v>0</v>
      </c>
      <c r="G23" s="132">
        <f>SUM(G17:G22)</f>
        <v>0</v>
      </c>
      <c r="H23" s="132">
        <f>SUM(H17:H22)</f>
        <v>0</v>
      </c>
      <c r="I23" s="132"/>
      <c r="J23" s="132">
        <f>SUM(J17:J22)</f>
        <v>0</v>
      </c>
      <c r="K23" s="91"/>
      <c r="P23" s="46"/>
    </row>
    <row r="24" spans="1:16" s="23" customFormat="1" ht="15" x14ac:dyDescent="0.25">
      <c r="A24" s="38"/>
      <c r="F24" s="39"/>
      <c r="J24" s="40"/>
      <c r="K24" s="40"/>
      <c r="M24" s="40"/>
      <c r="O24" s="40"/>
      <c r="P24" s="46"/>
    </row>
    <row r="25" spans="1:16" s="23" customFormat="1" ht="15" x14ac:dyDescent="0.25">
      <c r="A25" s="38"/>
      <c r="G25" s="39" t="s">
        <v>48</v>
      </c>
      <c r="I25" s="95"/>
      <c r="J25" s="40"/>
      <c r="K25" s="40"/>
      <c r="M25" s="42"/>
      <c r="P25" s="46"/>
    </row>
    <row r="26" spans="1:16" s="23" customFormat="1" ht="15" x14ac:dyDescent="0.25">
      <c r="A26" s="38"/>
      <c r="F26" s="39"/>
      <c r="G26" s="39"/>
      <c r="I26" s="42"/>
      <c r="J26" s="42"/>
      <c r="K26" s="42"/>
      <c r="M26" s="42"/>
      <c r="P26" s="46"/>
    </row>
    <row r="27" spans="1:16" s="23" customFormat="1" ht="15" x14ac:dyDescent="0.25">
      <c r="A27" s="38"/>
      <c r="G27" s="43" t="s">
        <v>49</v>
      </c>
      <c r="I27" s="126"/>
      <c r="J27" s="126"/>
      <c r="K27" s="126"/>
      <c r="M27" s="39"/>
      <c r="P27" s="46"/>
    </row>
    <row r="28" spans="1:16" s="23" customFormat="1" ht="15" x14ac:dyDescent="0.25">
      <c r="A28" s="38"/>
      <c r="G28" s="92" t="s">
        <v>50</v>
      </c>
      <c r="I28" s="93"/>
      <c r="J28" s="39"/>
      <c r="K28" s="39"/>
      <c r="M28" s="39"/>
      <c r="P28" s="46"/>
    </row>
    <row r="29" spans="1:16" s="23" customFormat="1" ht="15" x14ac:dyDescent="0.25">
      <c r="A29" s="38"/>
      <c r="G29" s="92" t="s">
        <v>50</v>
      </c>
      <c r="I29" s="93"/>
      <c r="J29" s="39"/>
      <c r="K29" s="39"/>
      <c r="M29" s="39"/>
      <c r="P29" s="46"/>
    </row>
    <row r="30" spans="1:16" s="23" customFormat="1" ht="15" x14ac:dyDescent="0.25">
      <c r="A30" s="38"/>
      <c r="G30" s="92" t="s">
        <v>50</v>
      </c>
      <c r="I30" s="93"/>
      <c r="J30" s="39"/>
      <c r="K30" s="39"/>
      <c r="M30" s="39"/>
      <c r="P30" s="46"/>
    </row>
    <row r="31" spans="1:16" s="23" customFormat="1" ht="15" x14ac:dyDescent="0.25">
      <c r="A31" s="38"/>
      <c r="F31" s="45"/>
      <c r="G31" s="39"/>
      <c r="I31" s="94">
        <f>SUM(I28:I30)</f>
        <v>0</v>
      </c>
      <c r="J31" s="39"/>
      <c r="K31" s="39"/>
      <c r="M31" s="39"/>
      <c r="P31" s="46"/>
    </row>
    <row r="32" spans="1:16" s="23" customFormat="1" thickBot="1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9"/>
    </row>
  </sheetData>
  <sheetProtection formatCells="0" formatColumns="0" formatRows="0" insertColumns="0" insertRows="0" insertHyperlinks="0" deleteColumns="0" deleteRows="0" sort="0" autoFilter="0" pivotTables="0"/>
  <mergeCells count="26">
    <mergeCell ref="O9:P9"/>
    <mergeCell ref="D1:M2"/>
    <mergeCell ref="A3:P5"/>
    <mergeCell ref="E6:L7"/>
    <mergeCell ref="M6:N6"/>
    <mergeCell ref="O6:P6"/>
    <mergeCell ref="M7:N7"/>
    <mergeCell ref="O7:P7"/>
    <mergeCell ref="A9:C9"/>
    <mergeCell ref="D9:E9"/>
    <mergeCell ref="F9:I9"/>
    <mergeCell ref="J9:K9"/>
    <mergeCell ref="L9:N9"/>
    <mergeCell ref="O8:P8"/>
    <mergeCell ref="A11:P11"/>
    <mergeCell ref="A13:P13"/>
    <mergeCell ref="A14:P14"/>
    <mergeCell ref="D16:E16"/>
    <mergeCell ref="D17:E17"/>
    <mergeCell ref="B17:B21"/>
    <mergeCell ref="D23:E23"/>
    <mergeCell ref="D18:E18"/>
    <mergeCell ref="D19:E19"/>
    <mergeCell ref="D20:E20"/>
    <mergeCell ref="D21:E21"/>
    <mergeCell ref="D22:E22"/>
  </mergeCells>
  <dataValidations count="2">
    <dataValidation type="list" showInputMessage="1" showErrorMessage="1" sqref="D9:E9" xr:uid="{00000000-0002-0000-0200-000000000000}">
      <formula1>RAS</formula1>
    </dataValidation>
    <dataValidation type="list" allowBlank="1" showInputMessage="1" showErrorMessage="1" sqref="O9:P9" xr:uid="{00000000-0002-0000-0200-000001000000}">
      <formula1>Diligences</formula1>
    </dataValidation>
  </dataValidations>
  <hyperlinks>
    <hyperlink ref="O8:P8" location="'C Synthèse'!A1" display="C Synthèse" xr:uid="{00000000-0004-0000-02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U35"/>
  <sheetViews>
    <sheetView showGridLines="0" topLeftCell="B1" zoomScale="90" zoomScaleNormal="90" workbookViewId="0">
      <selection activeCell="D1" sqref="D1:M2"/>
    </sheetView>
  </sheetViews>
  <sheetFormatPr baseColWidth="10" defaultColWidth="11.42578125" defaultRowHeight="15.75" x14ac:dyDescent="0.25"/>
  <cols>
    <col min="1" max="16" width="14.7109375" style="6" customWidth="1"/>
    <col min="17" max="16384" width="11.42578125" style="6"/>
  </cols>
  <sheetData>
    <row r="1" spans="1:21" s="1" customFormat="1" ht="15" customHeight="1" x14ac:dyDescent="0.2">
      <c r="A1" s="8"/>
      <c r="B1" s="9"/>
      <c r="C1" s="9"/>
      <c r="D1" s="234" t="str">
        <f>+'C Synthèse'!D1:M2</f>
        <v>#NomClient</v>
      </c>
      <c r="E1" s="235"/>
      <c r="F1" s="235"/>
      <c r="G1" s="235"/>
      <c r="H1" s="235"/>
      <c r="I1" s="235"/>
      <c r="J1" s="235"/>
      <c r="K1" s="235"/>
      <c r="L1" s="235"/>
      <c r="M1" s="236"/>
      <c r="N1" s="9"/>
      <c r="O1" s="9"/>
      <c r="P1" s="10"/>
    </row>
    <row r="2" spans="1:21" s="1" customFormat="1" ht="15" customHeight="1" thickBot="1" x14ac:dyDescent="0.25">
      <c r="A2" s="11"/>
      <c r="B2" s="12"/>
      <c r="C2" s="12"/>
      <c r="D2" s="237"/>
      <c r="E2" s="238"/>
      <c r="F2" s="238"/>
      <c r="G2" s="238"/>
      <c r="H2" s="238"/>
      <c r="I2" s="238"/>
      <c r="J2" s="238"/>
      <c r="K2" s="238"/>
      <c r="L2" s="238"/>
      <c r="M2" s="239"/>
      <c r="N2" s="12"/>
      <c r="O2" s="12"/>
      <c r="P2" s="13"/>
    </row>
    <row r="3" spans="1:21" ht="15" customHeight="1" x14ac:dyDescent="0.25">
      <c r="A3" s="160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  <c r="R3" s="2"/>
      <c r="T3" s="4"/>
      <c r="U3" s="5"/>
    </row>
    <row r="4" spans="1:21" ht="15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2"/>
      <c r="R4" s="2"/>
      <c r="T4" s="4"/>
      <c r="U4" s="5"/>
    </row>
    <row r="5" spans="1:21" ht="1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5"/>
      <c r="Q5" s="7"/>
      <c r="R5" s="3"/>
      <c r="S5" s="21"/>
      <c r="T5" s="21"/>
      <c r="U5" s="21"/>
    </row>
    <row r="6" spans="1:21" ht="15" customHeight="1" x14ac:dyDescent="0.25">
      <c r="A6" s="15" t="s">
        <v>6</v>
      </c>
      <c r="B6" s="76" t="str">
        <f>+'C Synthèse'!B6</f>
        <v>BRA</v>
      </c>
      <c r="C6" s="15" t="s">
        <v>7</v>
      </c>
      <c r="D6" s="76">
        <f>+'C Synthèse'!D6</f>
        <v>0</v>
      </c>
      <c r="E6" s="166" t="s">
        <v>51</v>
      </c>
      <c r="F6" s="167"/>
      <c r="G6" s="167"/>
      <c r="H6" s="167"/>
      <c r="I6" s="167"/>
      <c r="J6" s="167"/>
      <c r="K6" s="167"/>
      <c r="L6" s="168"/>
      <c r="M6" s="240" t="s">
        <v>9</v>
      </c>
      <c r="N6" s="241"/>
      <c r="O6" s="172" t="s">
        <v>10</v>
      </c>
      <c r="P6" s="173"/>
      <c r="R6" s="1"/>
      <c r="S6" s="1"/>
    </row>
    <row r="7" spans="1:21" ht="15" customHeight="1" thickBot="1" x14ac:dyDescent="0.3">
      <c r="A7" s="16" t="s">
        <v>12</v>
      </c>
      <c r="B7" s="78">
        <f>+'C Synthèse'!B7</f>
        <v>0</v>
      </c>
      <c r="C7" s="16" t="s">
        <v>12</v>
      </c>
      <c r="D7" s="78">
        <f>+'C Synthèse'!D7</f>
        <v>0</v>
      </c>
      <c r="E7" s="169"/>
      <c r="F7" s="170"/>
      <c r="G7" s="170"/>
      <c r="H7" s="170"/>
      <c r="I7" s="170"/>
      <c r="J7" s="170"/>
      <c r="K7" s="170"/>
      <c r="L7" s="171"/>
      <c r="M7" s="242" t="str">
        <f>+'C Synthèse'!M7:M7</f>
        <v>#DateClôture</v>
      </c>
      <c r="N7" s="243"/>
      <c r="O7" s="174" t="s">
        <v>27</v>
      </c>
      <c r="P7" s="175"/>
    </row>
    <row r="8" spans="1:21" ht="21" customHeight="1" thickBot="1" x14ac:dyDescent="0.3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"/>
      <c r="O8" s="246" t="s">
        <v>34</v>
      </c>
      <c r="P8" s="246"/>
    </row>
    <row r="9" spans="1:21" s="18" customFormat="1" ht="31.5" customHeight="1" thickBot="1" x14ac:dyDescent="0.25">
      <c r="A9" s="214" t="s">
        <v>17</v>
      </c>
      <c r="B9" s="215"/>
      <c r="C9" s="215"/>
      <c r="D9" s="232" t="str">
        <f>'C Synthèse'!D9:E9</f>
        <v>Faible</v>
      </c>
      <c r="E9" s="233"/>
      <c r="F9" s="212" t="s">
        <v>18</v>
      </c>
      <c r="G9" s="213"/>
      <c r="H9" s="213"/>
      <c r="I9" s="213"/>
      <c r="J9" s="244">
        <f>'C Synthèse'!J9:K9</f>
        <v>0</v>
      </c>
      <c r="K9" s="245"/>
      <c r="L9" s="212" t="s">
        <v>19</v>
      </c>
      <c r="M9" s="213"/>
      <c r="N9" s="213"/>
      <c r="O9" s="232" t="str">
        <f>'C Synthèse'!N9</f>
        <v>PB</v>
      </c>
      <c r="P9" s="233"/>
    </row>
    <row r="10" spans="1:21" s="18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21" s="23" customFormat="1" ht="98.25" customHeight="1" thickBot="1" x14ac:dyDescent="0.3">
      <c r="A11" s="220" t="s">
        <v>52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2"/>
    </row>
    <row r="12" spans="1:21" s="23" customFormat="1" ht="9" customHeight="1" thickBot="1" x14ac:dyDescent="0.3"/>
    <row r="13" spans="1:21" s="23" customFormat="1" ht="15" x14ac:dyDescent="0.25">
      <c r="A13" s="223" t="s">
        <v>36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5"/>
    </row>
    <row r="14" spans="1:21" s="23" customFormat="1" ht="60" customHeight="1" thickBot="1" x14ac:dyDescent="0.3">
      <c r="A14" s="226" t="s">
        <v>37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8"/>
    </row>
    <row r="15" spans="1:21" ht="16.5" thickBot="1" x14ac:dyDescent="0.3"/>
    <row r="16" spans="1:21" x14ac:dyDescent="0.25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</row>
    <row r="17" spans="1:16" ht="16.5" x14ac:dyDescent="0.3">
      <c r="A17" s="56"/>
      <c r="E17" s="51"/>
      <c r="F17" s="50" t="s">
        <v>53</v>
      </c>
      <c r="G17" s="103"/>
      <c r="P17" s="34"/>
    </row>
    <row r="18" spans="1:16" ht="16.5" x14ac:dyDescent="0.3">
      <c r="A18" s="56"/>
      <c r="E18" s="51"/>
      <c r="F18" s="50" t="s">
        <v>54</v>
      </c>
      <c r="G18" s="103"/>
      <c r="P18" s="34"/>
    </row>
    <row r="19" spans="1:16" ht="16.5" x14ac:dyDescent="0.3">
      <c r="A19" s="56"/>
      <c r="E19" s="51"/>
      <c r="F19" s="53" t="s">
        <v>55</v>
      </c>
      <c r="G19" s="104" t="e">
        <f>G17/G18</f>
        <v>#DIV/0!</v>
      </c>
      <c r="P19" s="34"/>
    </row>
    <row r="20" spans="1:16" ht="16.5" x14ac:dyDescent="0.3">
      <c r="A20" s="56"/>
      <c r="C20" s="51"/>
      <c r="D20" s="51"/>
      <c r="E20" s="51"/>
      <c r="F20" s="51"/>
      <c r="G20" s="52"/>
      <c r="P20" s="34"/>
    </row>
    <row r="21" spans="1:16" ht="48" customHeight="1" x14ac:dyDescent="0.25">
      <c r="A21" s="56"/>
      <c r="B21" s="249" t="s">
        <v>56</v>
      </c>
      <c r="C21" s="250"/>
      <c r="D21" s="145" t="s">
        <v>57</v>
      </c>
      <c r="E21" s="127" t="s">
        <v>58</v>
      </c>
      <c r="F21" s="247" t="s">
        <v>59</v>
      </c>
      <c r="G21" s="247"/>
      <c r="H21" s="247"/>
      <c r="I21" s="247"/>
      <c r="P21" s="34"/>
    </row>
    <row r="22" spans="1:16" ht="16.5" x14ac:dyDescent="0.3">
      <c r="A22" s="56"/>
      <c r="B22" s="97"/>
      <c r="C22" s="146"/>
      <c r="D22" s="98"/>
      <c r="E22" s="102" t="e">
        <f>D22/$G$18</f>
        <v>#DIV/0!</v>
      </c>
      <c r="F22" s="248"/>
      <c r="G22" s="248"/>
      <c r="H22" s="248"/>
      <c r="I22" s="248"/>
      <c r="P22" s="34"/>
    </row>
    <row r="23" spans="1:16" ht="16.5" x14ac:dyDescent="0.3">
      <c r="A23" s="56"/>
      <c r="B23" s="97"/>
      <c r="C23" s="146"/>
      <c r="D23" s="98"/>
      <c r="E23" s="102" t="e">
        <f t="shared" ref="E23:E32" si="0">D23/$G$18</f>
        <v>#DIV/0!</v>
      </c>
      <c r="F23" s="248"/>
      <c r="G23" s="248"/>
      <c r="H23" s="248"/>
      <c r="I23" s="248"/>
      <c r="P23" s="34"/>
    </row>
    <row r="24" spans="1:16" ht="16.5" x14ac:dyDescent="0.3">
      <c r="A24" s="56"/>
      <c r="B24" s="97"/>
      <c r="C24" s="146"/>
      <c r="D24" s="98"/>
      <c r="E24" s="102" t="e">
        <f t="shared" si="0"/>
        <v>#DIV/0!</v>
      </c>
      <c r="F24" s="248"/>
      <c r="G24" s="248"/>
      <c r="H24" s="248"/>
      <c r="I24" s="248"/>
      <c r="P24" s="34"/>
    </row>
    <row r="25" spans="1:16" ht="16.5" x14ac:dyDescent="0.3">
      <c r="A25" s="56"/>
      <c r="B25" s="97"/>
      <c r="C25" s="146"/>
      <c r="D25" s="98"/>
      <c r="E25" s="102" t="e">
        <f t="shared" si="0"/>
        <v>#DIV/0!</v>
      </c>
      <c r="F25" s="248"/>
      <c r="G25" s="248"/>
      <c r="H25" s="248"/>
      <c r="I25" s="248"/>
      <c r="P25" s="34"/>
    </row>
    <row r="26" spans="1:16" ht="16.5" x14ac:dyDescent="0.3">
      <c r="A26" s="56"/>
      <c r="B26" s="97"/>
      <c r="C26" s="146"/>
      <c r="D26" s="98"/>
      <c r="E26" s="102" t="e">
        <f t="shared" si="0"/>
        <v>#DIV/0!</v>
      </c>
      <c r="F26" s="248"/>
      <c r="G26" s="248"/>
      <c r="H26" s="248"/>
      <c r="I26" s="248"/>
      <c r="P26" s="34"/>
    </row>
    <row r="27" spans="1:16" ht="16.5" x14ac:dyDescent="0.3">
      <c r="A27" s="56"/>
      <c r="B27" s="97"/>
      <c r="C27" s="146"/>
      <c r="D27" s="98"/>
      <c r="E27" s="102" t="e">
        <f>D27/$G$18</f>
        <v>#DIV/0!</v>
      </c>
      <c r="F27" s="248"/>
      <c r="G27" s="248"/>
      <c r="H27" s="248"/>
      <c r="I27" s="248"/>
      <c r="P27" s="34"/>
    </row>
    <row r="28" spans="1:16" ht="16.5" x14ac:dyDescent="0.3">
      <c r="A28" s="56"/>
      <c r="B28" s="97"/>
      <c r="C28" s="146"/>
      <c r="D28" s="98"/>
      <c r="E28" s="102" t="e">
        <f t="shared" si="0"/>
        <v>#DIV/0!</v>
      </c>
      <c r="F28" s="248"/>
      <c r="G28" s="248"/>
      <c r="H28" s="248"/>
      <c r="I28" s="248"/>
      <c r="P28" s="34"/>
    </row>
    <row r="29" spans="1:16" ht="16.5" x14ac:dyDescent="0.3">
      <c r="A29" s="56"/>
      <c r="B29" s="97"/>
      <c r="C29" s="146"/>
      <c r="D29" s="98"/>
      <c r="E29" s="102" t="e">
        <f t="shared" si="0"/>
        <v>#DIV/0!</v>
      </c>
      <c r="F29" s="248"/>
      <c r="G29" s="248"/>
      <c r="H29" s="248"/>
      <c r="I29" s="248"/>
      <c r="P29" s="34"/>
    </row>
    <row r="30" spans="1:16" ht="16.5" x14ac:dyDescent="0.3">
      <c r="A30" s="56"/>
      <c r="B30" s="97"/>
      <c r="C30" s="146"/>
      <c r="D30" s="98"/>
      <c r="E30" s="102" t="e">
        <f t="shared" si="0"/>
        <v>#DIV/0!</v>
      </c>
      <c r="F30" s="248"/>
      <c r="G30" s="248"/>
      <c r="H30" s="248"/>
      <c r="I30" s="248"/>
      <c r="P30" s="34"/>
    </row>
    <row r="31" spans="1:16" ht="16.5" x14ac:dyDescent="0.3">
      <c r="A31" s="56"/>
      <c r="B31" s="97"/>
      <c r="C31" s="146"/>
      <c r="D31" s="98"/>
      <c r="E31" s="102" t="e">
        <f t="shared" si="0"/>
        <v>#DIV/0!</v>
      </c>
      <c r="F31" s="248"/>
      <c r="G31" s="248"/>
      <c r="H31" s="248"/>
      <c r="I31" s="248"/>
      <c r="P31" s="34"/>
    </row>
    <row r="32" spans="1:16" ht="16.5" x14ac:dyDescent="0.3">
      <c r="A32" s="56"/>
      <c r="B32" s="97"/>
      <c r="C32" s="146"/>
      <c r="D32" s="98"/>
      <c r="E32" s="102" t="e">
        <f t="shared" si="0"/>
        <v>#DIV/0!</v>
      </c>
      <c r="F32" s="248"/>
      <c r="G32" s="248"/>
      <c r="H32" s="248"/>
      <c r="I32" s="248"/>
      <c r="P32" s="105"/>
    </row>
    <row r="33" spans="1:16" ht="16.5" x14ac:dyDescent="0.3">
      <c r="A33" s="56"/>
      <c r="B33" s="54"/>
      <c r="C33" s="147" t="s">
        <v>60</v>
      </c>
      <c r="D33" s="101">
        <f>SUM(D22:D32)</f>
        <v>0</v>
      </c>
      <c r="E33" s="99" t="e">
        <f>D33/$G$18</f>
        <v>#DIV/0!</v>
      </c>
      <c r="I33" s="51"/>
      <c r="J33" s="51"/>
      <c r="P33" s="34"/>
    </row>
    <row r="34" spans="1:16" ht="16.5" x14ac:dyDescent="0.3">
      <c r="A34" s="56"/>
      <c r="E34" s="54"/>
      <c r="H34" s="101"/>
      <c r="J34" s="100"/>
      <c r="M34" s="55"/>
      <c r="P34" s="34"/>
    </row>
    <row r="35" spans="1:16" ht="16.5" thickBot="1" x14ac:dyDescent="0.3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/>
    </row>
  </sheetData>
  <sheetProtection formatCells="0" formatColumns="0" formatRows="0" insertColumns="0" insertRows="0" insertHyperlinks="0" deleteColumns="0" deleteRows="0" sort="0" autoFilter="0" pivotTables="0"/>
  <mergeCells count="30">
    <mergeCell ref="O9:P9"/>
    <mergeCell ref="D1:M2"/>
    <mergeCell ref="A3:P5"/>
    <mergeCell ref="E6:L7"/>
    <mergeCell ref="M6:N6"/>
    <mergeCell ref="O6:P6"/>
    <mergeCell ref="M7:N7"/>
    <mergeCell ref="O7:P7"/>
    <mergeCell ref="A9:C9"/>
    <mergeCell ref="D9:E9"/>
    <mergeCell ref="F9:I9"/>
    <mergeCell ref="J9:K9"/>
    <mergeCell ref="L9:N9"/>
    <mergeCell ref="O8:P8"/>
    <mergeCell ref="F31:I31"/>
    <mergeCell ref="F32:I32"/>
    <mergeCell ref="F29:I29"/>
    <mergeCell ref="F30:I30"/>
    <mergeCell ref="F27:I27"/>
    <mergeCell ref="F23:I23"/>
    <mergeCell ref="F24:I24"/>
    <mergeCell ref="F28:I28"/>
    <mergeCell ref="F25:I25"/>
    <mergeCell ref="F26:I26"/>
    <mergeCell ref="A11:P11"/>
    <mergeCell ref="A13:P13"/>
    <mergeCell ref="A14:P14"/>
    <mergeCell ref="F21:I21"/>
    <mergeCell ref="F22:I22"/>
    <mergeCell ref="B21:C21"/>
  </mergeCells>
  <dataValidations count="2">
    <dataValidation type="list" showInputMessage="1" showErrorMessage="1" sqref="D9:E9" xr:uid="{00000000-0002-0000-0300-000000000000}">
      <formula1>RAS</formula1>
    </dataValidation>
    <dataValidation type="list" allowBlank="1" showInputMessage="1" showErrorMessage="1" sqref="O9:P9" xr:uid="{00000000-0002-0000-0300-000001000000}">
      <formula1>Diligences</formula1>
    </dataValidation>
  </dataValidations>
  <hyperlinks>
    <hyperlink ref="O8:P8" location="'C Synthèse'!A1" display="C Synthèse" xr:uid="{00000000-0004-0000-03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A1:U50"/>
  <sheetViews>
    <sheetView showGridLines="0" zoomScale="90" zoomScaleNormal="90" workbookViewId="0">
      <selection activeCell="D1" sqref="D1:M2"/>
    </sheetView>
  </sheetViews>
  <sheetFormatPr baseColWidth="10" defaultColWidth="11.42578125" defaultRowHeight="15.75" x14ac:dyDescent="0.25"/>
  <cols>
    <col min="1" max="1" width="14.7109375" style="6" customWidth="1"/>
    <col min="2" max="2" width="25.140625" style="6" customWidth="1"/>
    <col min="3" max="8" width="14.7109375" style="6" customWidth="1"/>
    <col min="9" max="16" width="11.7109375" style="6" customWidth="1"/>
    <col min="17" max="16384" width="11.42578125" style="6"/>
  </cols>
  <sheetData>
    <row r="1" spans="1:21" s="1" customFormat="1" ht="15" customHeight="1" x14ac:dyDescent="0.2">
      <c r="A1" s="8"/>
      <c r="B1" s="9"/>
      <c r="C1" s="9"/>
      <c r="D1" s="234" t="str">
        <f>+'C Synthèse'!D1:M2</f>
        <v>#NomClient</v>
      </c>
      <c r="E1" s="235"/>
      <c r="F1" s="235"/>
      <c r="G1" s="235"/>
      <c r="H1" s="235"/>
      <c r="I1" s="235"/>
      <c r="J1" s="235"/>
      <c r="K1" s="235"/>
      <c r="L1" s="235"/>
      <c r="M1" s="236"/>
      <c r="N1" s="9"/>
      <c r="O1" s="9"/>
      <c r="P1" s="10"/>
    </row>
    <row r="2" spans="1:21" s="1" customFormat="1" ht="15" customHeight="1" thickBot="1" x14ac:dyDescent="0.25">
      <c r="A2" s="11"/>
      <c r="B2" s="12"/>
      <c r="C2" s="12"/>
      <c r="D2" s="237"/>
      <c r="E2" s="238"/>
      <c r="F2" s="238"/>
      <c r="G2" s="238"/>
      <c r="H2" s="238"/>
      <c r="I2" s="238"/>
      <c r="J2" s="238"/>
      <c r="K2" s="238"/>
      <c r="L2" s="238"/>
      <c r="M2" s="239"/>
      <c r="N2" s="12"/>
      <c r="O2" s="12"/>
      <c r="P2" s="13"/>
    </row>
    <row r="3" spans="1:21" ht="15" customHeight="1" x14ac:dyDescent="0.25">
      <c r="A3" s="160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  <c r="R3" s="2"/>
      <c r="T3" s="4"/>
      <c r="U3" s="5"/>
    </row>
    <row r="4" spans="1:21" ht="15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2"/>
      <c r="R4" s="2"/>
      <c r="T4" s="4"/>
      <c r="U4" s="5"/>
    </row>
    <row r="5" spans="1:21" ht="1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5"/>
      <c r="Q5" s="7"/>
      <c r="R5" s="3"/>
      <c r="S5" s="21"/>
      <c r="T5" s="21"/>
      <c r="U5" s="21"/>
    </row>
    <row r="6" spans="1:21" ht="15" customHeight="1" x14ac:dyDescent="0.25">
      <c r="A6" s="15" t="s">
        <v>6</v>
      </c>
      <c r="B6" s="76" t="str">
        <f>+'C Synthèse'!B6</f>
        <v>BRA</v>
      </c>
      <c r="C6" s="15" t="s">
        <v>7</v>
      </c>
      <c r="D6" s="76">
        <f>+'C Synthèse'!D6</f>
        <v>0</v>
      </c>
      <c r="E6" s="166" t="s">
        <v>61</v>
      </c>
      <c r="F6" s="167"/>
      <c r="G6" s="167"/>
      <c r="H6" s="167"/>
      <c r="I6" s="167"/>
      <c r="J6" s="167"/>
      <c r="K6" s="167"/>
      <c r="L6" s="168"/>
      <c r="M6" s="240" t="s">
        <v>9</v>
      </c>
      <c r="N6" s="241"/>
      <c r="O6" s="172" t="s">
        <v>10</v>
      </c>
      <c r="P6" s="173"/>
      <c r="R6" s="1"/>
      <c r="S6" s="1"/>
    </row>
    <row r="7" spans="1:21" ht="15" customHeight="1" thickBot="1" x14ac:dyDescent="0.3">
      <c r="A7" s="16" t="s">
        <v>12</v>
      </c>
      <c r="B7" s="78">
        <f>+'C Synthèse'!B7</f>
        <v>0</v>
      </c>
      <c r="C7" s="16" t="s">
        <v>12</v>
      </c>
      <c r="D7" s="78">
        <f>+'C Synthèse'!D7</f>
        <v>0</v>
      </c>
      <c r="E7" s="169"/>
      <c r="F7" s="170"/>
      <c r="G7" s="170"/>
      <c r="H7" s="170"/>
      <c r="I7" s="170"/>
      <c r="J7" s="170"/>
      <c r="K7" s="170"/>
      <c r="L7" s="171"/>
      <c r="M7" s="242" t="str">
        <f>+'C Synthèse'!M7:M7</f>
        <v>#DateClôture</v>
      </c>
      <c r="N7" s="243"/>
      <c r="O7" s="174" t="s">
        <v>29</v>
      </c>
      <c r="P7" s="175"/>
    </row>
    <row r="8" spans="1:21" ht="21" customHeight="1" thickBot="1" x14ac:dyDescent="0.3">
      <c r="A8" s="17"/>
      <c r="B8" s="14"/>
      <c r="C8" s="18"/>
      <c r="D8" s="18"/>
      <c r="E8" s="19" t="s">
        <v>62</v>
      </c>
      <c r="F8" s="19"/>
      <c r="G8" s="19"/>
      <c r="H8" s="19"/>
      <c r="I8" s="19"/>
      <c r="J8" s="19"/>
      <c r="K8" s="19"/>
      <c r="L8" s="19"/>
      <c r="M8" s="20"/>
      <c r="N8" s="18"/>
      <c r="O8" s="246" t="s">
        <v>34</v>
      </c>
      <c r="P8" s="246"/>
    </row>
    <row r="9" spans="1:21" s="18" customFormat="1" ht="31.5" customHeight="1" thickBot="1" x14ac:dyDescent="0.25">
      <c r="A9" s="214" t="s">
        <v>17</v>
      </c>
      <c r="B9" s="215"/>
      <c r="C9" s="215"/>
      <c r="D9" s="232" t="str">
        <f>'C Synthèse'!D9:E9</f>
        <v>Faible</v>
      </c>
      <c r="E9" s="233"/>
      <c r="F9" s="212" t="s">
        <v>18</v>
      </c>
      <c r="G9" s="213"/>
      <c r="H9" s="213"/>
      <c r="I9" s="213"/>
      <c r="J9" s="244">
        <f>'C Synthèse'!J9:K9</f>
        <v>0</v>
      </c>
      <c r="K9" s="245"/>
      <c r="L9" s="212" t="s">
        <v>19</v>
      </c>
      <c r="M9" s="213"/>
      <c r="N9" s="213"/>
      <c r="O9" s="232" t="str">
        <f>'C Synthèse'!N9</f>
        <v>PB</v>
      </c>
      <c r="P9" s="233"/>
    </row>
    <row r="10" spans="1:21" s="18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21" s="23" customFormat="1" ht="171" customHeight="1" thickBot="1" x14ac:dyDescent="0.3">
      <c r="A11" s="220" t="s">
        <v>63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2"/>
    </row>
    <row r="12" spans="1:21" s="23" customFormat="1" ht="9" customHeight="1" thickBot="1" x14ac:dyDescent="0.3"/>
    <row r="13" spans="1:21" s="23" customFormat="1" ht="15" x14ac:dyDescent="0.25">
      <c r="A13" s="223" t="s">
        <v>36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5"/>
    </row>
    <row r="14" spans="1:21" s="23" customFormat="1" ht="60" customHeight="1" thickBot="1" x14ac:dyDescent="0.3">
      <c r="A14" s="226" t="s">
        <v>37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8"/>
    </row>
    <row r="15" spans="1:21" ht="16.5" thickBot="1" x14ac:dyDescent="0.3"/>
    <row r="16" spans="1:21" x14ac:dyDescent="0.25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</row>
    <row r="17" spans="1:16" x14ac:dyDescent="0.25">
      <c r="A17" s="57" t="s">
        <v>64</v>
      </c>
      <c r="B17" s="58"/>
      <c r="C17" s="58"/>
      <c r="D17" s="58"/>
      <c r="E17" s="58"/>
      <c r="F17" s="58"/>
      <c r="G17" s="58"/>
      <c r="P17" s="34"/>
    </row>
    <row r="18" spans="1:16" x14ac:dyDescent="0.25">
      <c r="A18" s="59"/>
      <c r="B18" s="39"/>
      <c r="C18" s="39"/>
      <c r="D18" s="39"/>
      <c r="E18" s="39"/>
      <c r="F18" s="39"/>
      <c r="G18" s="39"/>
      <c r="P18" s="34"/>
    </row>
    <row r="19" spans="1:16" ht="59.25" customHeight="1" x14ac:dyDescent="0.25">
      <c r="A19" s="61"/>
      <c r="B19" s="86" t="s">
        <v>65</v>
      </c>
      <c r="C19" s="85" t="s">
        <v>66</v>
      </c>
      <c r="D19" s="85" t="s">
        <v>67</v>
      </c>
      <c r="E19" s="85" t="s">
        <v>68</v>
      </c>
      <c r="F19" s="85" t="s">
        <v>69</v>
      </c>
      <c r="G19" s="85" t="s">
        <v>70</v>
      </c>
      <c r="P19" s="34"/>
    </row>
    <row r="20" spans="1:16" x14ac:dyDescent="0.25">
      <c r="A20" s="38"/>
      <c r="B20" s="106"/>
      <c r="C20" s="108"/>
      <c r="D20" s="108"/>
      <c r="E20" s="110"/>
      <c r="F20" s="108"/>
      <c r="G20" s="112">
        <f>C20+D20-F20</f>
        <v>0</v>
      </c>
      <c r="P20" s="34"/>
    </row>
    <row r="21" spans="1:16" x14ac:dyDescent="0.25">
      <c r="A21" s="38"/>
      <c r="B21" s="106"/>
      <c r="C21" s="108"/>
      <c r="D21" s="108"/>
      <c r="E21" s="110"/>
      <c r="F21" s="108"/>
      <c r="G21" s="112">
        <f>C21+D21-F21</f>
        <v>0</v>
      </c>
      <c r="P21" s="34"/>
    </row>
    <row r="22" spans="1:16" x14ac:dyDescent="0.25">
      <c r="A22" s="62"/>
      <c r="B22" s="106"/>
      <c r="C22" s="108"/>
      <c r="D22" s="108"/>
      <c r="E22" s="110"/>
      <c r="F22" s="108"/>
      <c r="G22" s="112">
        <f>C22+D22-F22</f>
        <v>0</v>
      </c>
      <c r="P22" s="34"/>
    </row>
    <row r="23" spans="1:16" x14ac:dyDescent="0.25">
      <c r="A23" s="38"/>
      <c r="B23" s="107" t="s">
        <v>71</v>
      </c>
      <c r="C23" s="109">
        <f>SUM(C20:C22)</f>
        <v>0</v>
      </c>
      <c r="D23" s="109">
        <f>SUM(D20:D22)</f>
        <v>0</v>
      </c>
      <c r="E23" s="111"/>
      <c r="F23" s="109">
        <f>SUM(F20:F22)</f>
        <v>0</v>
      </c>
      <c r="G23" s="109">
        <f>SUM(G20:G22)</f>
        <v>0</v>
      </c>
      <c r="P23" s="116"/>
    </row>
    <row r="24" spans="1:16" x14ac:dyDescent="0.25">
      <c r="A24" s="38"/>
      <c r="B24" s="39"/>
      <c r="F24" s="41"/>
      <c r="J24" s="63"/>
      <c r="L24" s="63"/>
      <c r="N24" s="41"/>
      <c r="P24" s="34"/>
    </row>
    <row r="25" spans="1:16" x14ac:dyDescent="0.25">
      <c r="B25" s="43" t="s">
        <v>72</v>
      </c>
      <c r="D25" s="64"/>
      <c r="J25" s="64"/>
      <c r="L25" s="44"/>
      <c r="N25" s="44"/>
      <c r="P25" s="34"/>
    </row>
    <row r="26" spans="1:16" x14ac:dyDescent="0.25">
      <c r="B26" s="113" t="s">
        <v>50</v>
      </c>
      <c r="C26" s="113"/>
      <c r="D26" s="115"/>
      <c r="I26" s="65"/>
      <c r="K26" s="39"/>
      <c r="M26" s="39"/>
      <c r="P26" s="34"/>
    </row>
    <row r="27" spans="1:16" x14ac:dyDescent="0.25">
      <c r="B27" s="113" t="s">
        <v>50</v>
      </c>
      <c r="C27" s="113"/>
      <c r="D27" s="115"/>
      <c r="I27" s="65"/>
      <c r="K27" s="39"/>
      <c r="M27" s="39"/>
      <c r="P27" s="34"/>
    </row>
    <row r="28" spans="1:16" x14ac:dyDescent="0.25">
      <c r="B28" s="113" t="s">
        <v>50</v>
      </c>
      <c r="C28" s="113"/>
      <c r="D28" s="115"/>
      <c r="I28" s="65"/>
      <c r="K28" s="39"/>
      <c r="M28" s="39"/>
      <c r="P28" s="34"/>
    </row>
    <row r="29" spans="1:16" x14ac:dyDescent="0.25">
      <c r="B29" s="39"/>
      <c r="D29" s="114">
        <f>SUM(D26:D28)</f>
        <v>0</v>
      </c>
      <c r="I29" s="66"/>
      <c r="K29" s="39"/>
      <c r="M29" s="39"/>
      <c r="P29" s="34"/>
    </row>
    <row r="30" spans="1:16" x14ac:dyDescent="0.25">
      <c r="A30" s="38"/>
      <c r="E30" s="39"/>
      <c r="H30" s="39"/>
      <c r="J30" s="66"/>
      <c r="L30" s="39"/>
      <c r="N30" s="39"/>
      <c r="P30" s="34"/>
    </row>
    <row r="31" spans="1:16" x14ac:dyDescent="0.25">
      <c r="A31" s="57" t="s">
        <v>73</v>
      </c>
      <c r="B31" s="39"/>
      <c r="F31" s="39"/>
      <c r="H31" s="39"/>
      <c r="J31" s="39"/>
      <c r="L31" s="39"/>
      <c r="N31" s="39"/>
      <c r="P31" s="34"/>
    </row>
    <row r="32" spans="1:16" x14ac:dyDescent="0.25">
      <c r="A32" s="67"/>
      <c r="B32" s="39"/>
      <c r="F32" s="39"/>
      <c r="J32" s="39"/>
      <c r="L32" s="39"/>
      <c r="N32" s="39"/>
      <c r="P32" s="60"/>
    </row>
    <row r="33" spans="1:16" ht="60" customHeight="1" x14ac:dyDescent="0.25">
      <c r="A33" s="61"/>
      <c r="B33" s="88" t="s">
        <v>65</v>
      </c>
      <c r="C33" s="87" t="s">
        <v>74</v>
      </c>
      <c r="D33" s="87" t="s">
        <v>75</v>
      </c>
      <c r="E33" s="87" t="s">
        <v>68</v>
      </c>
      <c r="F33" s="87" t="s">
        <v>76</v>
      </c>
      <c r="G33" s="87" t="s">
        <v>77</v>
      </c>
      <c r="P33" s="34"/>
    </row>
    <row r="34" spans="1:16" x14ac:dyDescent="0.25">
      <c r="A34" s="38"/>
      <c r="B34" s="117"/>
      <c r="C34" s="118"/>
      <c r="D34" s="118"/>
      <c r="E34" s="120"/>
      <c r="F34" s="118"/>
      <c r="G34" s="112">
        <f>C34+D34-F34</f>
        <v>0</v>
      </c>
      <c r="P34" s="34"/>
    </row>
    <row r="35" spans="1:16" x14ac:dyDescent="0.25">
      <c r="A35" s="38"/>
      <c r="B35" s="117"/>
      <c r="C35" s="118"/>
      <c r="D35" s="118"/>
      <c r="E35" s="120"/>
      <c r="F35" s="118"/>
      <c r="G35" s="112">
        <f>C35+D35-F35</f>
        <v>0</v>
      </c>
      <c r="P35" s="34"/>
    </row>
    <row r="36" spans="1:16" x14ac:dyDescent="0.25">
      <c r="A36" s="38"/>
      <c r="B36" s="117"/>
      <c r="C36" s="118"/>
      <c r="D36" s="118"/>
      <c r="E36" s="120"/>
      <c r="F36" s="118"/>
      <c r="G36" s="112">
        <f>C36+D36-F36</f>
        <v>0</v>
      </c>
      <c r="P36" s="34"/>
    </row>
    <row r="37" spans="1:16" ht="30" x14ac:dyDescent="0.25">
      <c r="A37" s="38"/>
      <c r="B37" s="122" t="s">
        <v>78</v>
      </c>
      <c r="C37" s="119">
        <f>SUM(C34:C36)</f>
        <v>0</v>
      </c>
      <c r="D37" s="119">
        <f>SUM(D34:D36)</f>
        <v>0</v>
      </c>
      <c r="E37" s="121"/>
      <c r="F37" s="119">
        <f>SUM(F34:F36)</f>
        <v>0</v>
      </c>
      <c r="G37" s="119">
        <f>SUM(G34:G36)</f>
        <v>0</v>
      </c>
      <c r="P37" s="34"/>
    </row>
    <row r="38" spans="1:16" x14ac:dyDescent="0.25">
      <c r="A38" s="38"/>
      <c r="B38" s="68"/>
      <c r="C38" s="41"/>
      <c r="D38" s="41"/>
      <c r="E38" s="41"/>
      <c r="F38" s="69"/>
      <c r="G38" s="41"/>
      <c r="P38" s="34"/>
    </row>
    <row r="39" spans="1:16" x14ac:dyDescent="0.25">
      <c r="A39" s="38"/>
      <c r="B39" s="68"/>
      <c r="C39" s="41"/>
      <c r="D39" s="41"/>
      <c r="E39" s="41"/>
      <c r="F39" s="69"/>
      <c r="G39" s="41"/>
      <c r="P39" s="34"/>
    </row>
    <row r="40" spans="1:16" x14ac:dyDescent="0.25">
      <c r="A40" s="57" t="s">
        <v>79</v>
      </c>
      <c r="B40" s="68"/>
      <c r="C40" s="69"/>
      <c r="D40" s="69"/>
      <c r="E40" s="69"/>
      <c r="F40" s="69"/>
      <c r="G40" s="39"/>
      <c r="P40" s="34"/>
    </row>
    <row r="41" spans="1:16" x14ac:dyDescent="0.25">
      <c r="A41" s="38"/>
      <c r="B41" s="68"/>
      <c r="C41" s="69"/>
      <c r="D41" s="69"/>
      <c r="E41" s="69"/>
      <c r="F41" s="69"/>
      <c r="G41" s="39"/>
      <c r="P41" s="34"/>
    </row>
    <row r="42" spans="1:16" ht="60" customHeight="1" x14ac:dyDescent="0.25">
      <c r="A42" s="56"/>
      <c r="B42" s="89" t="s">
        <v>65</v>
      </c>
      <c r="C42" s="85" t="s">
        <v>80</v>
      </c>
      <c r="D42" s="85" t="s">
        <v>81</v>
      </c>
      <c r="E42" s="85" t="s">
        <v>82</v>
      </c>
      <c r="F42" s="85" t="s">
        <v>83</v>
      </c>
      <c r="G42" s="85" t="s">
        <v>84</v>
      </c>
      <c r="H42" s="72" t="s">
        <v>68</v>
      </c>
      <c r="P42" s="34"/>
    </row>
    <row r="43" spans="1:16" x14ac:dyDescent="0.25">
      <c r="A43" s="56"/>
      <c r="B43" s="117"/>
      <c r="C43" s="123"/>
      <c r="D43" s="123"/>
      <c r="E43" s="123"/>
      <c r="F43" s="112" t="e">
        <f>C43/E43</f>
        <v>#DIV/0!</v>
      </c>
      <c r="G43" s="123"/>
      <c r="H43" s="73"/>
      <c r="P43" s="34"/>
    </row>
    <row r="44" spans="1:16" x14ac:dyDescent="0.25">
      <c r="A44" s="56"/>
      <c r="B44" s="117"/>
      <c r="C44" s="123"/>
      <c r="D44" s="123"/>
      <c r="E44" s="123"/>
      <c r="F44" s="112" t="e">
        <f>C44/E44</f>
        <v>#DIV/0!</v>
      </c>
      <c r="G44" s="123"/>
      <c r="H44" s="73"/>
      <c r="I44" s="39"/>
      <c r="J44" s="39"/>
      <c r="P44" s="34"/>
    </row>
    <row r="45" spans="1:16" x14ac:dyDescent="0.25">
      <c r="A45" s="56"/>
      <c r="B45" s="117"/>
      <c r="C45" s="123"/>
      <c r="D45" s="123"/>
      <c r="E45" s="123"/>
      <c r="F45" s="112" t="e">
        <f>C45/E45</f>
        <v>#DIV/0!</v>
      </c>
      <c r="G45" s="123"/>
      <c r="H45" s="73"/>
      <c r="I45" s="39"/>
      <c r="J45" s="39"/>
      <c r="P45" s="34"/>
    </row>
    <row r="46" spans="1:16" x14ac:dyDescent="0.25">
      <c r="A46" s="56"/>
      <c r="B46" s="39"/>
      <c r="P46" s="60"/>
    </row>
    <row r="47" spans="1:16" x14ac:dyDescent="0.25">
      <c r="A47" s="56"/>
      <c r="E47" s="70" t="s">
        <v>85</v>
      </c>
      <c r="G47" s="124">
        <f>SUM(G43:G45)</f>
        <v>0</v>
      </c>
      <c r="P47" s="60"/>
    </row>
    <row r="48" spans="1:16" x14ac:dyDescent="0.25">
      <c r="A48" s="56"/>
      <c r="E48" s="70" t="s">
        <v>86</v>
      </c>
      <c r="G48" s="124">
        <f>D37</f>
        <v>0</v>
      </c>
      <c r="I48" s="70"/>
      <c r="P48" s="60"/>
    </row>
    <row r="49" spans="1:16" x14ac:dyDescent="0.25">
      <c r="A49" s="56"/>
      <c r="E49" s="71" t="s">
        <v>87</v>
      </c>
      <c r="G49" s="125" t="e">
        <f>G47/G48</f>
        <v>#DIV/0!</v>
      </c>
      <c r="I49" s="71"/>
      <c r="P49" s="60"/>
    </row>
    <row r="50" spans="1:16" ht="16.5" thickBot="1" x14ac:dyDescent="0.3">
      <c r="A50" s="35"/>
      <c r="B50" s="36"/>
      <c r="C50" s="74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/>
    </row>
  </sheetData>
  <sheetProtection formatCells="0" formatColumns="0" formatRows="0" insertColumns="0" insertRows="0" insertHyperlinks="0" deleteColumns="0" deleteRows="0" sort="0" autoFilter="0" pivotTables="0"/>
  <mergeCells count="17">
    <mergeCell ref="O8:P8"/>
    <mergeCell ref="A9:C9"/>
    <mergeCell ref="D9:E9"/>
    <mergeCell ref="F9:I9"/>
    <mergeCell ref="J9:K9"/>
    <mergeCell ref="D1:M2"/>
    <mergeCell ref="A3:P5"/>
    <mergeCell ref="E6:L7"/>
    <mergeCell ref="M6:N6"/>
    <mergeCell ref="O6:P6"/>
    <mergeCell ref="M7:N7"/>
    <mergeCell ref="O7:P7"/>
    <mergeCell ref="L9:N9"/>
    <mergeCell ref="A11:P11"/>
    <mergeCell ref="A13:P13"/>
    <mergeCell ref="A14:P14"/>
    <mergeCell ref="O9:P9"/>
  </mergeCells>
  <dataValidations count="2">
    <dataValidation type="list" allowBlank="1" showInputMessage="1" showErrorMessage="1" sqref="O9:P9" xr:uid="{00000000-0002-0000-0400-000000000000}">
      <formula1>Diligences</formula1>
    </dataValidation>
    <dataValidation type="list" showInputMessage="1" showErrorMessage="1" sqref="D9:E9" xr:uid="{00000000-0002-0000-0400-000001000000}">
      <formula1>RAS</formula1>
    </dataValidation>
  </dataValidations>
  <hyperlinks>
    <hyperlink ref="O8:P8" location="'C Synthèse'!A1" display="C Synthèse" xr:uid="{00000000-0004-0000-04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a1e612abde7994f04a20992d1f580c2e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ec4aa46a3384ff861a570c8849968e95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2F353-131C-496C-949C-5C111ABA6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B62865-32A1-436E-ADE5-CAD24D1C3302}">
  <ds:schemaRefs>
    <ds:schemaRef ds:uri="http://purl.org/dc/terms/"/>
    <ds:schemaRef ds:uri="http://schemas.microsoft.com/office/2006/documentManagement/types"/>
    <ds:schemaRef ds:uri="9d7aee5f-c6d7-4567-bea9-00a4b0c47d6f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ed0d0bd-a659-4dbf-bbaa-a56f4efa3b0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BFEC7-8BB9-4962-A5BA-E26517F0743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7</vt:i4>
      </vt:variant>
    </vt:vector>
  </HeadingPairs>
  <TitlesOfParts>
    <vt:vector size="11" baseType="lpstr">
      <vt:lpstr>C Synthèse</vt:lpstr>
      <vt:lpstr>C100 Variation des CP</vt:lpstr>
      <vt:lpstr>C200 Revue de l'actionnariat</vt:lpstr>
      <vt:lpstr>C300 Subventions d'équipement</vt:lpstr>
      <vt:lpstr>Diligences</vt:lpstr>
      <vt:lpstr>Etat</vt:lpstr>
      <vt:lpstr>RAS</vt:lpstr>
      <vt:lpstr>'C Synthèse'!Zone_d_impression</vt:lpstr>
      <vt:lpstr>'C100 Variation des CP'!Zone_d_impression</vt:lpstr>
      <vt:lpstr>'C200 Revue de l''actionnariat'!Zone_d_impression</vt:lpstr>
      <vt:lpstr>'C300 Subventions d''équipement'!Zone_d_impression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BRIAN BRY. RAULY</cp:lastModifiedBy>
  <cp:revision/>
  <dcterms:created xsi:type="dcterms:W3CDTF">2017-01-24T11:12:27Z</dcterms:created>
  <dcterms:modified xsi:type="dcterms:W3CDTF">2024-07-08T07:23:22Z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</Properties>
</file>