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defaultThemeVersion="166925"/>
  <mc:AlternateContent xmlns:mc="http://schemas.openxmlformats.org/markup-compatibility/2006">
    <mc:Choice Requires="x15">
      <x15ac:absPath xmlns:x15ac="http://schemas.microsoft.com/office/spreadsheetml/2010/11/ac" url="\\Srvdcvil\collaborateurs\2-COLLABORATEURS\Brian\Modèles\Dossier annuel\S- Stocks\"/>
    </mc:Choice>
  </mc:AlternateContent>
  <xr:revisionPtr revIDLastSave="0" documentId="13_ncr:1_{40D6FAD4-2D3D-42ED-86BE-0913F8DD9BF3}" xr6:coauthVersionLast="47" xr6:coauthVersionMax="47" xr10:uidLastSave="{00000000-0000-0000-0000-000000000000}"/>
  <bookViews>
    <workbookView xWindow="-28920" yWindow="-120" windowWidth="29040" windowHeight="15720" tabRatio="728" xr2:uid="{00000000-000D-0000-FFFF-FFFF00000000}"/>
  </bookViews>
  <sheets>
    <sheet name="S Synthèse" sheetId="1" r:id="rId1"/>
    <sheet name="S100 Tableau var stocks" sheetId="11" r:id="rId2"/>
    <sheet name="S200 Rappro états stock-compta" sheetId="14" r:id="rId3"/>
    <sheet name="S300 Rotation stocks" sheetId="34" r:id="rId4"/>
    <sheet name="S400 Réconciliation IP" sheetId="15" r:id="rId5"/>
    <sheet name="S510 Valo MP" sheetId="16" r:id="rId6"/>
    <sheet name="S511 Contrôle var PU MP" sheetId="36" state="hidden" r:id="rId7"/>
    <sheet name="S512 Test détail valo MP" sheetId="37" r:id="rId8"/>
    <sheet name="S520 Valo EC" sheetId="17" r:id="rId9"/>
    <sheet name="S530 Valo PF" sheetId="38" r:id="rId10"/>
    <sheet name="S600 Cut-off" sheetId="18" state="hidden" r:id="rId11"/>
    <sheet name="S700 Dépréciation stocks" sheetId="20" r:id="rId12"/>
    <sheet name="S710 Dép N-1 et dénouement" sheetId="39" state="hidden" r:id="rId13"/>
  </sheets>
  <externalReferences>
    <externalReference r:id="rId14"/>
    <externalReference r:id="rId15"/>
  </externalReferences>
  <definedNames>
    <definedName name="ça">"$#REF !.$B$508:$R$508"</definedName>
    <definedName name="CA_N">[1]SIG!$B$8</definedName>
    <definedName name="CA_N_1">[1]SIG!$D$8</definedName>
    <definedName name="çb">"$#REF !.$A$48:$K$48"</definedName>
    <definedName name="çi">"$#REF !.$R$11:$R$508"</definedName>
    <definedName name="cloture">"$#REF !.$G$9"</definedName>
    <definedName name="çp">"$#REF !.$B$44:$F$44"</definedName>
    <definedName name="çr">"$#REF !.$B$62:$H$62"</definedName>
    <definedName name="çs">"$#REF !.$B$161:$L$161"</definedName>
    <definedName name="dateCloture" localSheetId="1">#REF!</definedName>
    <definedName name="dateCloture" localSheetId="2">#REF!</definedName>
    <definedName name="dateCloture" localSheetId="3">#REF!</definedName>
    <definedName name="dateCloture" localSheetId="4">#REF!</definedName>
    <definedName name="dateCloture" localSheetId="5">#REF!</definedName>
    <definedName name="dateCloture" localSheetId="6">#REF!</definedName>
    <definedName name="dateCloture" localSheetId="7">#REF!</definedName>
    <definedName name="dateCloture" localSheetId="8">#REF!</definedName>
    <definedName name="dateCloture" localSheetId="9">#REF!</definedName>
    <definedName name="dateCloture" localSheetId="10">#REF!</definedName>
    <definedName name="dateCloture" localSheetId="11">#REF!</definedName>
    <definedName name="dateCloture" localSheetId="12">#REF!</definedName>
    <definedName name="dateCloture">#REF!</definedName>
    <definedName name="DatesCloture">"$#REF !.$F$9:$#REF !.$M$9"</definedName>
    <definedName name="Diligences" localSheetId="1">'S100 Tableau var stocks'!#REF!</definedName>
    <definedName name="Diligences" localSheetId="2">'S200 Rappro états stock-compta'!#REF!</definedName>
    <definedName name="Diligences" localSheetId="3">'S300 Rotation stocks'!#REF!</definedName>
    <definedName name="Diligences" localSheetId="4">'S400 Réconciliation IP'!#REF!</definedName>
    <definedName name="Diligences" localSheetId="5">'S510 Valo MP'!#REF!</definedName>
    <definedName name="Diligences" localSheetId="6">'S511 Contrôle var PU MP'!#REF!</definedName>
    <definedName name="Diligences" localSheetId="7">'S512 Test détail valo MP'!#REF!</definedName>
    <definedName name="Diligences" localSheetId="8">'S520 Valo EC'!#REF!</definedName>
    <definedName name="Diligences" localSheetId="9">'S530 Valo PF'!#REF!</definedName>
    <definedName name="Diligences" localSheetId="10">'S600 Cut-off'!#REF!</definedName>
    <definedName name="Diligences" localSheetId="11">'S700 Dépréciation stocks'!#REF!</definedName>
    <definedName name="Diligences" localSheetId="12">'S710 Dép N-1 et dénouement'!#REF!</definedName>
    <definedName name="Diligences">'S Synthèse'!$Q$7:$Q$9</definedName>
    <definedName name="Etat" localSheetId="1">'S100 Tableau var stocks'!#REF!</definedName>
    <definedName name="Etat" localSheetId="2">'S200 Rappro états stock-compta'!#REF!</definedName>
    <definedName name="Etat" localSheetId="3">'S300 Rotation stocks'!#REF!</definedName>
    <definedName name="Etat" localSheetId="4">'S400 Réconciliation IP'!#REF!</definedName>
    <definedName name="Etat" localSheetId="5">'S510 Valo MP'!#REF!</definedName>
    <definedName name="Etat" localSheetId="6">'S511 Contrôle var PU MP'!#REF!</definedName>
    <definedName name="Etat" localSheetId="7">'S512 Test détail valo MP'!#REF!</definedName>
    <definedName name="Etat" localSheetId="8">'S520 Valo EC'!#REF!</definedName>
    <definedName name="Etat" localSheetId="9">'S530 Valo PF'!#REF!</definedName>
    <definedName name="Etat" localSheetId="10">'S600 Cut-off'!#REF!</definedName>
    <definedName name="Etat" localSheetId="11">'S700 Dépréciation stocks'!#REF!</definedName>
    <definedName name="Etat" localSheetId="12">'S710 Dép N-1 et dénouement'!#REF!</definedName>
    <definedName name="Etat">'S Synthèse'!$Q$1:$Q$3</definedName>
    <definedName name="NomDossier">"$#REF !.$E$1"</definedName>
    <definedName name="RAS" localSheetId="1">'S100 Tableau var stocks'!#REF!</definedName>
    <definedName name="RAS" localSheetId="2">'S200 Rappro états stock-compta'!#REF!</definedName>
    <definedName name="RAS" localSheetId="3">'S300 Rotation stocks'!#REF!</definedName>
    <definedName name="RAS" localSheetId="4">'S400 Réconciliation IP'!#REF!</definedName>
    <definedName name="RAS" localSheetId="5">'S510 Valo MP'!#REF!</definedName>
    <definedName name="RAS" localSheetId="6">'S511 Contrôle var PU MP'!#REF!</definedName>
    <definedName name="RAS" localSheetId="7">'S512 Test détail valo MP'!#REF!</definedName>
    <definedName name="RAS" localSheetId="8">'S520 Valo EC'!#REF!</definedName>
    <definedName name="RAS" localSheetId="9">'S530 Valo PF'!#REF!</definedName>
    <definedName name="RAS" localSheetId="10">'S600 Cut-off'!#REF!</definedName>
    <definedName name="RAS" localSheetId="11">'S700 Dépréciation stocks'!#REF!</definedName>
    <definedName name="RAS" localSheetId="12">'S710 Dép N-1 et dénouement'!#REF!</definedName>
    <definedName name="RAS">'S Synthèse'!$Q$4:$Q$6</definedName>
    <definedName name="referenceDossier" localSheetId="1">#REF!</definedName>
    <definedName name="referenceDossier" localSheetId="2">#REF!</definedName>
    <definedName name="referenceDossier" localSheetId="3">#REF!</definedName>
    <definedName name="referenceDossier" localSheetId="4">#REF!</definedName>
    <definedName name="referenceDossier" localSheetId="5">#REF!</definedName>
    <definedName name="referenceDossier" localSheetId="6">#REF!</definedName>
    <definedName name="referenceDossier" localSheetId="7">#REF!</definedName>
    <definedName name="referenceDossier" localSheetId="8">#REF!</definedName>
    <definedName name="referenceDossier" localSheetId="9">#REF!</definedName>
    <definedName name="referenceDossier" localSheetId="10">#REF!</definedName>
    <definedName name="referenceDossier" localSheetId="11">#REF!</definedName>
    <definedName name="referenceDossier" localSheetId="12">#REF!</definedName>
    <definedName name="referenceDossier">#REF!</definedName>
    <definedName name="sold6037">"$#REF !.$A$85:$I$85"</definedName>
    <definedName name="sold607">"$#REF !.$A$84:$I$84"</definedName>
    <definedName name="sold701">"$#REF !.$A$73:$I$73"</definedName>
    <definedName name="sold706">"$#REF !.$A$74:$I$74"</definedName>
    <definedName name="sold707">"$#REF !.$A$72:$I$72"</definedName>
    <definedName name="sold71">"$#REF !.$A$75:$I$75"</definedName>
    <definedName name="sold781">"$#REF !.$A$151:$I$151"</definedName>
    <definedName name="sold791">"$#REF !.$A$82:$I$82"</definedName>
    <definedName name="soldesCapitaux">"$#REF !.$A$55:$J$66"</definedName>
    <definedName name="start_toc" localSheetId="1">#REF!</definedName>
    <definedName name="start_toc" localSheetId="2">#REF!</definedName>
    <definedName name="start_toc" localSheetId="3">#REF!</definedName>
    <definedName name="start_toc" localSheetId="4">#REF!</definedName>
    <definedName name="start_toc" localSheetId="5">#REF!</definedName>
    <definedName name="start_toc" localSheetId="6">#REF!</definedName>
    <definedName name="start_toc" localSheetId="7">#REF!</definedName>
    <definedName name="start_toc" localSheetId="8">#REF!</definedName>
    <definedName name="start_toc" localSheetId="9">#REF!</definedName>
    <definedName name="start_toc" localSheetId="10">#REF!</definedName>
    <definedName name="start_toc" localSheetId="11">#REF!</definedName>
    <definedName name="start_toc" localSheetId="12">#REF!</definedName>
    <definedName name="start_toc">#REF!</definedName>
    <definedName name="TOTAL1_N">'[1]BILAN PASSIF'!$F$24</definedName>
    <definedName name="TOTAL1_N_1">'[1]BILAN PASSIF'!$H$24</definedName>
    <definedName name="TOTAL2_N">'[1]BILAN PASSIF'!$F$29</definedName>
    <definedName name="TOTAL2_N_1">'[1]BILAN PASSIF'!$H$29</definedName>
    <definedName name="TOTAL3_N">'[1]BILAN PASSIF'!$F$34</definedName>
    <definedName name="TOTAL3_N_1">'[1]BILAN PASSIF'!$H$34</definedName>
    <definedName name="TOTAL4_N">'[1]BILAN PASSIF'!$F$54</definedName>
    <definedName name="TOTAL4_N_1">'[1]BILAN PASSIF'!$H$54</definedName>
    <definedName name="TOTAL5_N">'[1]BILAN PASSIF'!$F$56</definedName>
    <definedName name="TOTAL5_N_1">'[1]BILAN PASSIF'!$H$56</definedName>
    <definedName name="TOTALGEN_N">'[1]BILAN PASSIF'!$F$58</definedName>
    <definedName name="TOTALGEN_N_1">'[1]BILAN PASSIF'!$H$58</definedName>
    <definedName name="uniteMonetaire" localSheetId="1">#REF!</definedName>
    <definedName name="uniteMonetaire" localSheetId="2">#REF!</definedName>
    <definedName name="uniteMonetaire" localSheetId="3">#REF!</definedName>
    <definedName name="uniteMonetaire" localSheetId="4">#REF!</definedName>
    <definedName name="uniteMonetaire" localSheetId="5">#REF!</definedName>
    <definedName name="uniteMonetaire" localSheetId="6">#REF!</definedName>
    <definedName name="uniteMonetaire" localSheetId="7">#REF!</definedName>
    <definedName name="uniteMonetaire" localSheetId="8">#REF!</definedName>
    <definedName name="uniteMonetaire" localSheetId="9">#REF!</definedName>
    <definedName name="uniteMonetaire" localSheetId="10">#REF!</definedName>
    <definedName name="uniteMonetaire" localSheetId="11">#REF!</definedName>
    <definedName name="uniteMonetaire" localSheetId="12">#REF!</definedName>
    <definedName name="uniteMonetaire">#REF!</definedName>
    <definedName name="Z_11CE3843_8765_4D4C_AA39_79A83C002DF6_.wvu.PrintArea" localSheetId="0" hidden="1">'S Synthèse'!$A$1:$O$22</definedName>
    <definedName name="Z_11CE3843_8765_4D4C_AA39_79A83C002DF6_.wvu.PrintArea" localSheetId="1" hidden="1">'S100 Tableau var stocks'!$A$1:$P$10</definedName>
    <definedName name="Z_11CE3843_8765_4D4C_AA39_79A83C002DF6_.wvu.PrintArea" localSheetId="2" hidden="1">'S200 Rappro états stock-compta'!$A$1:$P$10</definedName>
    <definedName name="Z_11CE3843_8765_4D4C_AA39_79A83C002DF6_.wvu.PrintArea" localSheetId="3" hidden="1">'S300 Rotation stocks'!$A$1:$P$10</definedName>
    <definedName name="Z_11CE3843_8765_4D4C_AA39_79A83C002DF6_.wvu.PrintArea" localSheetId="4" hidden="1">'S400 Réconciliation IP'!$A$1:$P$10</definedName>
    <definedName name="Z_11CE3843_8765_4D4C_AA39_79A83C002DF6_.wvu.PrintArea" localSheetId="5" hidden="1">'S510 Valo MP'!$A$1:$P$10</definedName>
    <definedName name="Z_11CE3843_8765_4D4C_AA39_79A83C002DF6_.wvu.PrintArea" localSheetId="6" hidden="1">'S511 Contrôle var PU MP'!$A$1:$P$10</definedName>
    <definedName name="Z_11CE3843_8765_4D4C_AA39_79A83C002DF6_.wvu.PrintArea" localSheetId="7" hidden="1">'S512 Test détail valo MP'!$A$1:$P$10</definedName>
    <definedName name="Z_11CE3843_8765_4D4C_AA39_79A83C002DF6_.wvu.PrintArea" localSheetId="8" hidden="1">'S520 Valo EC'!$A$1:$P$10</definedName>
    <definedName name="Z_11CE3843_8765_4D4C_AA39_79A83C002DF6_.wvu.PrintArea" localSheetId="9" hidden="1">'S530 Valo PF'!$A$1:$P$10</definedName>
    <definedName name="Z_11CE3843_8765_4D4C_AA39_79A83C002DF6_.wvu.PrintArea" localSheetId="10" hidden="1">'S600 Cut-off'!$A$1:$P$10</definedName>
    <definedName name="Z_11CE3843_8765_4D4C_AA39_79A83C002DF6_.wvu.PrintArea" localSheetId="11" hidden="1">'S700 Dépréciation stocks'!$A$1:$P$10</definedName>
    <definedName name="Z_11CE3843_8765_4D4C_AA39_79A83C002DF6_.wvu.PrintArea" localSheetId="12" hidden="1">'S710 Dép N-1 et dénouement'!$A$1:$P$10</definedName>
    <definedName name="Z_3BBE5D10_E029_4BF5_BC04_29D3FAA5A0EB_.wvu.PrintArea" localSheetId="0" hidden="1">'S Synthèse'!$A$1:$O$22</definedName>
    <definedName name="Z_3BBE5D10_E029_4BF5_BC04_29D3FAA5A0EB_.wvu.PrintArea" localSheetId="1" hidden="1">'S100 Tableau var stocks'!$A$1:$P$10</definedName>
    <definedName name="Z_3BBE5D10_E029_4BF5_BC04_29D3FAA5A0EB_.wvu.PrintArea" localSheetId="2" hidden="1">'S200 Rappro états stock-compta'!$A$1:$P$10</definedName>
    <definedName name="Z_3BBE5D10_E029_4BF5_BC04_29D3FAA5A0EB_.wvu.PrintArea" localSheetId="3" hidden="1">'S300 Rotation stocks'!$A$1:$P$10</definedName>
    <definedName name="Z_3BBE5D10_E029_4BF5_BC04_29D3FAA5A0EB_.wvu.PrintArea" localSheetId="4" hidden="1">'S400 Réconciliation IP'!$A$1:$P$10</definedName>
    <definedName name="Z_3BBE5D10_E029_4BF5_BC04_29D3FAA5A0EB_.wvu.PrintArea" localSheetId="5" hidden="1">'S510 Valo MP'!$A$1:$P$10</definedName>
    <definedName name="Z_3BBE5D10_E029_4BF5_BC04_29D3FAA5A0EB_.wvu.PrintArea" localSheetId="6" hidden="1">'S511 Contrôle var PU MP'!$A$1:$P$10</definedName>
    <definedName name="Z_3BBE5D10_E029_4BF5_BC04_29D3FAA5A0EB_.wvu.PrintArea" localSheetId="7" hidden="1">'S512 Test détail valo MP'!$A$1:$P$10</definedName>
    <definedName name="Z_3BBE5D10_E029_4BF5_BC04_29D3FAA5A0EB_.wvu.PrintArea" localSheetId="8" hidden="1">'S520 Valo EC'!$A$1:$P$10</definedName>
    <definedName name="Z_3BBE5D10_E029_4BF5_BC04_29D3FAA5A0EB_.wvu.PrintArea" localSheetId="9" hidden="1">'S530 Valo PF'!$A$1:$P$10</definedName>
    <definedName name="Z_3BBE5D10_E029_4BF5_BC04_29D3FAA5A0EB_.wvu.PrintArea" localSheetId="10" hidden="1">'S600 Cut-off'!$A$1:$P$10</definedName>
    <definedName name="Z_3BBE5D10_E029_4BF5_BC04_29D3FAA5A0EB_.wvu.PrintArea" localSheetId="11" hidden="1">'S700 Dépréciation stocks'!$A$1:$P$10</definedName>
    <definedName name="Z_3BBE5D10_E029_4BF5_BC04_29D3FAA5A0EB_.wvu.PrintArea" localSheetId="12" hidden="1">'S710 Dép N-1 et dénouement'!$A$1:$P$10</definedName>
    <definedName name="_xlnm.Print_Area" localSheetId="0">'S Synthèse'!$A$1:$O$38</definedName>
    <definedName name="_xlnm.Print_Area" localSheetId="1">'S100 Tableau var stocks'!$A$1:$P$50</definedName>
    <definedName name="_xlnm.Print_Area" localSheetId="2">'S200 Rappro états stock-compta'!$A$1:$P$14</definedName>
    <definedName name="_xlnm.Print_Area" localSheetId="3">'S300 Rotation stocks'!$A$1:$P$14</definedName>
    <definedName name="_xlnm.Print_Area" localSheetId="4">'S400 Réconciliation IP'!$A$1:$P$14</definedName>
    <definedName name="_xlnm.Print_Area" localSheetId="5">'S510 Valo MP'!$A$1:$P$14</definedName>
    <definedName name="_xlnm.Print_Area" localSheetId="6">'S511 Contrôle var PU MP'!$A$1:$P$14</definedName>
    <definedName name="_xlnm.Print_Area" localSheetId="7">'S512 Test détail valo MP'!$A$1:$P$14</definedName>
    <definedName name="_xlnm.Print_Area" localSheetId="8">'S520 Valo EC'!$A$1:$P$14</definedName>
    <definedName name="_xlnm.Print_Area" localSheetId="9">'S530 Valo PF'!$A$1:$P$14</definedName>
    <definedName name="_xlnm.Print_Area" localSheetId="10">'S600 Cut-off'!$A$1:$P$14</definedName>
    <definedName name="_xlnm.Print_Area" localSheetId="11">'S700 Dépréciation stocks'!$A$1:$P$14</definedName>
    <definedName name="_xlnm.Print_Area" localSheetId="12">'S710 Dép N-1 et dénouement'!$A$1:$P$14</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 i="39" l="1"/>
  <c r="O9" i="20"/>
  <c r="G70" i="20"/>
  <c r="O9" i="18"/>
  <c r="O9" i="38"/>
  <c r="O9" i="17"/>
  <c r="O9" i="37"/>
  <c r="O9" i="36"/>
  <c r="O9" i="16"/>
  <c r="O9" i="15"/>
  <c r="O9" i="34"/>
  <c r="O9" i="14"/>
  <c r="O9" i="11"/>
  <c r="J56" i="20" l="1"/>
  <c r="K20" i="18"/>
  <c r="L62" i="38"/>
  <c r="M62" i="38" s="1"/>
  <c r="N22" i="37"/>
  <c r="O22" i="37" s="1"/>
  <c r="H23" i="15"/>
  <c r="I23" i="15" s="1"/>
  <c r="H24" i="15"/>
  <c r="I24" i="15" s="1"/>
  <c r="H25" i="15"/>
  <c r="I25" i="15" s="1"/>
  <c r="H26" i="15"/>
  <c r="H27" i="15"/>
  <c r="H28" i="15"/>
  <c r="H29" i="15"/>
  <c r="H30" i="15"/>
  <c r="H31" i="15"/>
  <c r="I31" i="15" s="1"/>
  <c r="H32" i="15"/>
  <c r="I32" i="15" s="1"/>
  <c r="H33" i="15"/>
  <c r="I33" i="15" s="1"/>
  <c r="H34" i="15"/>
  <c r="H35" i="15"/>
  <c r="H36" i="15"/>
  <c r="H37" i="15"/>
  <c r="H38" i="15"/>
  <c r="H39" i="15"/>
  <c r="I39" i="15" s="1"/>
  <c r="H40" i="15"/>
  <c r="I40" i="15" s="1"/>
  <c r="H41" i="15"/>
  <c r="I41" i="15" s="1"/>
  <c r="H42" i="15"/>
  <c r="H43" i="15"/>
  <c r="H44" i="15"/>
  <c r="H45" i="15"/>
  <c r="H46" i="15"/>
  <c r="H47" i="15"/>
  <c r="I47" i="15" s="1"/>
  <c r="H48" i="15"/>
  <c r="I48" i="15" s="1"/>
  <c r="H49" i="15"/>
  <c r="I49" i="15" s="1"/>
  <c r="H22" i="15"/>
  <c r="I22" i="15" s="1"/>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22" i="15"/>
  <c r="K23" i="15"/>
  <c r="M23" i="15" s="1"/>
  <c r="O23" i="15" s="1"/>
  <c r="K24" i="15"/>
  <c r="M24" i="15" s="1"/>
  <c r="O24" i="15" s="1"/>
  <c r="K25" i="15"/>
  <c r="M25" i="15" s="1"/>
  <c r="O25" i="15" s="1"/>
  <c r="K26" i="15"/>
  <c r="M26" i="15" s="1"/>
  <c r="O26" i="15" s="1"/>
  <c r="K27" i="15"/>
  <c r="M27" i="15" s="1"/>
  <c r="O27" i="15" s="1"/>
  <c r="K28" i="15"/>
  <c r="M28" i="15" s="1"/>
  <c r="O28" i="15" s="1"/>
  <c r="K29" i="15"/>
  <c r="M29" i="15" s="1"/>
  <c r="O29" i="15" s="1"/>
  <c r="K30" i="15"/>
  <c r="M30" i="15" s="1"/>
  <c r="O30" i="15" s="1"/>
  <c r="K31" i="15"/>
  <c r="M31" i="15" s="1"/>
  <c r="O31" i="15" s="1"/>
  <c r="K32" i="15"/>
  <c r="M32" i="15" s="1"/>
  <c r="O32" i="15" s="1"/>
  <c r="K33" i="15"/>
  <c r="M33" i="15" s="1"/>
  <c r="O33" i="15" s="1"/>
  <c r="K34" i="15"/>
  <c r="M34" i="15" s="1"/>
  <c r="O34" i="15" s="1"/>
  <c r="K35" i="15"/>
  <c r="M35" i="15" s="1"/>
  <c r="O35" i="15" s="1"/>
  <c r="K36" i="15"/>
  <c r="M36" i="15" s="1"/>
  <c r="O36" i="15" s="1"/>
  <c r="K37" i="15"/>
  <c r="M37" i="15" s="1"/>
  <c r="O37" i="15" s="1"/>
  <c r="K38" i="15"/>
  <c r="M38" i="15" s="1"/>
  <c r="O38" i="15" s="1"/>
  <c r="K39" i="15"/>
  <c r="M39" i="15" s="1"/>
  <c r="O39" i="15" s="1"/>
  <c r="K40" i="15"/>
  <c r="M40" i="15" s="1"/>
  <c r="O40" i="15" s="1"/>
  <c r="K41" i="15"/>
  <c r="M41" i="15" s="1"/>
  <c r="O41" i="15" s="1"/>
  <c r="K42" i="15"/>
  <c r="M42" i="15" s="1"/>
  <c r="O42" i="15" s="1"/>
  <c r="K43" i="15"/>
  <c r="M43" i="15" s="1"/>
  <c r="O43" i="15" s="1"/>
  <c r="K44" i="15"/>
  <c r="M44" i="15" s="1"/>
  <c r="O44" i="15" s="1"/>
  <c r="K45" i="15"/>
  <c r="M45" i="15" s="1"/>
  <c r="O45" i="15" s="1"/>
  <c r="K46" i="15"/>
  <c r="M46" i="15" s="1"/>
  <c r="O46" i="15" s="1"/>
  <c r="K47" i="15"/>
  <c r="M47" i="15" s="1"/>
  <c r="O47" i="15" s="1"/>
  <c r="K48" i="15"/>
  <c r="M48" i="15" s="1"/>
  <c r="O48" i="15" s="1"/>
  <c r="K49" i="15"/>
  <c r="M49" i="15" s="1"/>
  <c r="O49" i="15" s="1"/>
  <c r="I26" i="15"/>
  <c r="I27" i="15"/>
  <c r="I28" i="15"/>
  <c r="I29" i="15"/>
  <c r="I30" i="15"/>
  <c r="I34" i="15"/>
  <c r="I35" i="15"/>
  <c r="I36" i="15"/>
  <c r="I37" i="15"/>
  <c r="I38" i="15"/>
  <c r="I42" i="15"/>
  <c r="I43" i="15"/>
  <c r="I44" i="15"/>
  <c r="I45" i="15"/>
  <c r="I46" i="15"/>
  <c r="K22" i="15"/>
  <c r="M22" i="15" s="1"/>
  <c r="O22" i="15" s="1"/>
  <c r="L23" i="11"/>
  <c r="N23" i="11" s="1"/>
  <c r="L24" i="11"/>
  <c r="N24" i="11" s="1"/>
  <c r="L25" i="11"/>
  <c r="N25" i="11" s="1"/>
  <c r="G23" i="11"/>
  <c r="G24" i="11"/>
  <c r="G25" i="11"/>
  <c r="I52" i="15" l="1"/>
  <c r="D52" i="15"/>
  <c r="F22" i="34"/>
  <c r="F45" i="34"/>
  <c r="E45" i="34"/>
  <c r="G22" i="34"/>
  <c r="F44" i="34"/>
  <c r="F29" i="20"/>
  <c r="K29" i="20" s="1"/>
  <c r="P29" i="20" s="1"/>
  <c r="J29" i="20"/>
  <c r="F28" i="20"/>
  <c r="J28" i="20"/>
  <c r="F27" i="20"/>
  <c r="J27" i="20"/>
  <c r="F26" i="20"/>
  <c r="J26" i="20"/>
  <c r="K22" i="36"/>
  <c r="L22" i="36" s="1"/>
  <c r="G22" i="36"/>
  <c r="H22" i="36" s="1"/>
  <c r="K21" i="36"/>
  <c r="L21" i="36" s="1"/>
  <c r="G21" i="36"/>
  <c r="H21" i="36"/>
  <c r="K20" i="36"/>
  <c r="L20" i="36" s="1"/>
  <c r="G20" i="36"/>
  <c r="H20" i="36" s="1"/>
  <c r="K19" i="36"/>
  <c r="L19" i="36" s="1"/>
  <c r="G19" i="36"/>
  <c r="H19" i="36" s="1"/>
  <c r="K18" i="36"/>
  <c r="G18" i="36"/>
  <c r="H18" i="36" s="1"/>
  <c r="H31" i="37"/>
  <c r="N27" i="37"/>
  <c r="P27" i="37" s="1"/>
  <c r="H27" i="37"/>
  <c r="N26" i="37"/>
  <c r="P26" i="37" s="1"/>
  <c r="H26" i="37"/>
  <c r="N25" i="37"/>
  <c r="P25" i="37" s="1"/>
  <c r="H25" i="37"/>
  <c r="N24" i="37"/>
  <c r="P24" i="37" s="1"/>
  <c r="H24" i="37"/>
  <c r="N23" i="37"/>
  <c r="P23" i="37" s="1"/>
  <c r="H23" i="37"/>
  <c r="P22" i="37"/>
  <c r="H22" i="37"/>
  <c r="O25" i="37"/>
  <c r="F62" i="38"/>
  <c r="F63" i="38"/>
  <c r="F64" i="38"/>
  <c r="F65" i="38"/>
  <c r="F66" i="38"/>
  <c r="F67" i="38"/>
  <c r="G36" i="34"/>
  <c r="K22" i="14"/>
  <c r="K28" i="14" s="1"/>
  <c r="H22" i="14"/>
  <c r="H28" i="14" s="1"/>
  <c r="M18" i="39"/>
  <c r="K18" i="39"/>
  <c r="M56" i="20"/>
  <c r="G68" i="20"/>
  <c r="E25" i="34"/>
  <c r="D25" i="34"/>
  <c r="G25" i="34" s="1"/>
  <c r="C25" i="34"/>
  <c r="K19" i="39"/>
  <c r="F21" i="34"/>
  <c r="L23" i="14"/>
  <c r="M23" i="14" s="1"/>
  <c r="J23" i="14"/>
  <c r="D1" i="39"/>
  <c r="I26" i="20"/>
  <c r="D1" i="18"/>
  <c r="D1" i="17"/>
  <c r="D1" i="37"/>
  <c r="D1" i="36"/>
  <c r="D1" i="16"/>
  <c r="D1" i="15"/>
  <c r="D1" i="34"/>
  <c r="D1" i="14"/>
  <c r="D1" i="11"/>
  <c r="M7" i="14"/>
  <c r="M7" i="34"/>
  <c r="M7" i="15"/>
  <c r="M7" i="16"/>
  <c r="M7" i="36"/>
  <c r="M7" i="37"/>
  <c r="M7" i="17"/>
  <c r="M7" i="38"/>
  <c r="M7" i="18"/>
  <c r="M7" i="20"/>
  <c r="M7" i="39"/>
  <c r="M7" i="11"/>
  <c r="D7" i="14"/>
  <c r="B7" i="14"/>
  <c r="D6" i="14"/>
  <c r="B6" i="14"/>
  <c r="D7" i="34"/>
  <c r="B7" i="34"/>
  <c r="D6" i="34"/>
  <c r="B6" i="34"/>
  <c r="D7" i="15"/>
  <c r="B7" i="15"/>
  <c r="D6" i="15"/>
  <c r="B6" i="15"/>
  <c r="D7" i="16"/>
  <c r="B7" i="16"/>
  <c r="D6" i="16"/>
  <c r="B6" i="16"/>
  <c r="D7" i="36"/>
  <c r="B7" i="36"/>
  <c r="D6" i="36"/>
  <c r="B6" i="36"/>
  <c r="D7" i="37"/>
  <c r="B7" i="37"/>
  <c r="D6" i="37"/>
  <c r="B6" i="37"/>
  <c r="D7" i="17"/>
  <c r="B7" i="17"/>
  <c r="D6" i="17"/>
  <c r="B6" i="17"/>
  <c r="D7" i="38"/>
  <c r="B7" i="38"/>
  <c r="D6" i="38"/>
  <c r="B6" i="38"/>
  <c r="D7" i="18"/>
  <c r="B7" i="18"/>
  <c r="D6" i="18"/>
  <c r="B6" i="18"/>
  <c r="D7" i="20"/>
  <c r="B7" i="20"/>
  <c r="D6" i="20"/>
  <c r="B6" i="20"/>
  <c r="D7" i="39"/>
  <c r="B7" i="39"/>
  <c r="D6" i="39"/>
  <c r="B6" i="39"/>
  <c r="D7" i="11"/>
  <c r="B7" i="11"/>
  <c r="D6" i="11"/>
  <c r="B6" i="11"/>
  <c r="G23" i="34"/>
  <c r="F23" i="34"/>
  <c r="E52" i="34"/>
  <c r="G52" i="34" s="1"/>
  <c r="F52" i="34"/>
  <c r="E51" i="34" s="1"/>
  <c r="E38" i="34"/>
  <c r="F38" i="34"/>
  <c r="E37" i="34" s="1"/>
  <c r="F51" i="34"/>
  <c r="F37" i="34"/>
  <c r="F39" i="34" s="1"/>
  <c r="G50" i="34"/>
  <c r="G45" i="34"/>
  <c r="G43" i="34"/>
  <c r="E23" i="39"/>
  <c r="E28" i="39" s="1"/>
  <c r="D23" i="39"/>
  <c r="C23" i="39"/>
  <c r="M22" i="39"/>
  <c r="L22" i="39"/>
  <c r="L21" i="39"/>
  <c r="M21" i="39"/>
  <c r="L20" i="39"/>
  <c r="K20" i="39"/>
  <c r="M19" i="39"/>
  <c r="L19" i="39"/>
  <c r="L18" i="39"/>
  <c r="J9" i="39"/>
  <c r="D9" i="39"/>
  <c r="K70" i="20"/>
  <c r="K69" i="20"/>
  <c r="G69" i="20"/>
  <c r="K68" i="20"/>
  <c r="M58" i="20"/>
  <c r="J58" i="20"/>
  <c r="M57" i="20"/>
  <c r="J57" i="20"/>
  <c r="H30" i="20"/>
  <c r="G30" i="20"/>
  <c r="D30" i="20"/>
  <c r="C30" i="20"/>
  <c r="I29" i="20"/>
  <c r="E29" i="20"/>
  <c r="I28" i="20"/>
  <c r="E28" i="20"/>
  <c r="I27" i="20"/>
  <c r="E27" i="20"/>
  <c r="E26" i="20"/>
  <c r="K44" i="18"/>
  <c r="K43" i="18"/>
  <c r="K42" i="18"/>
  <c r="K41" i="18"/>
  <c r="K40" i="18"/>
  <c r="K39" i="18"/>
  <c r="K38" i="18"/>
  <c r="K37" i="18"/>
  <c r="K36" i="18"/>
  <c r="K35" i="18"/>
  <c r="K29" i="18"/>
  <c r="K28" i="18"/>
  <c r="K27" i="18"/>
  <c r="K26" i="18"/>
  <c r="K25" i="18"/>
  <c r="K24" i="18"/>
  <c r="K23" i="18"/>
  <c r="K22" i="18"/>
  <c r="K21" i="18"/>
  <c r="L67" i="38"/>
  <c r="M67" i="38" s="1"/>
  <c r="L66" i="38"/>
  <c r="M66" i="38"/>
  <c r="O66" i="38" s="1"/>
  <c r="N66" i="38"/>
  <c r="L65" i="38"/>
  <c r="M65" i="38" s="1"/>
  <c r="L64" i="38"/>
  <c r="M64" i="38" s="1"/>
  <c r="N64" i="38" s="1"/>
  <c r="L63" i="38"/>
  <c r="M63" i="38"/>
  <c r="N63" i="38" s="1"/>
  <c r="O63" i="38"/>
  <c r="J9" i="38"/>
  <c r="D9" i="38"/>
  <c r="A3" i="38"/>
  <c r="N101" i="17"/>
  <c r="O101" i="17" s="1"/>
  <c r="P101" i="17" s="1"/>
  <c r="E101" i="17"/>
  <c r="N100" i="17"/>
  <c r="O100" i="17" s="1"/>
  <c r="P100" i="17" s="1"/>
  <c r="E100" i="17"/>
  <c r="N99" i="17"/>
  <c r="O99" i="17" s="1"/>
  <c r="P99" i="17" s="1"/>
  <c r="E99" i="17"/>
  <c r="N98" i="17"/>
  <c r="O98" i="17" s="1"/>
  <c r="P98" i="17" s="1"/>
  <c r="E98" i="17"/>
  <c r="N97" i="17"/>
  <c r="O97" i="17" s="1"/>
  <c r="P97" i="17" s="1"/>
  <c r="E97" i="17"/>
  <c r="N96" i="17"/>
  <c r="O96" i="17" s="1"/>
  <c r="P96" i="17" s="1"/>
  <c r="E96" i="17"/>
  <c r="J9" i="37"/>
  <c r="D9" i="37"/>
  <c r="J9" i="36"/>
  <c r="D9" i="36"/>
  <c r="A3" i="20"/>
  <c r="G21" i="34"/>
  <c r="F41" i="34" s="1"/>
  <c r="L24" i="14"/>
  <c r="M24" i="14" s="1"/>
  <c r="J24" i="14"/>
  <c r="B22" i="14"/>
  <c r="B28" i="14" s="1"/>
  <c r="L21" i="14"/>
  <c r="M21" i="14" s="1"/>
  <c r="J21" i="14"/>
  <c r="L20" i="14"/>
  <c r="M20" i="14" s="1"/>
  <c r="J20" i="14"/>
  <c r="L47" i="11"/>
  <c r="L44" i="11"/>
  <c r="E43" i="11"/>
  <c r="L38" i="11"/>
  <c r="E38" i="11"/>
  <c r="L35" i="11"/>
  <c r="E35" i="11"/>
  <c r="K26" i="11"/>
  <c r="J26" i="11"/>
  <c r="I26" i="11"/>
  <c r="F26" i="11"/>
  <c r="E26" i="11"/>
  <c r="D54" i="15" s="1"/>
  <c r="L26" i="11"/>
  <c r="L22" i="11"/>
  <c r="N22" i="11" s="1"/>
  <c r="N26" i="11" s="1"/>
  <c r="G22" i="11"/>
  <c r="G26" i="11" s="1"/>
  <c r="N21" i="11"/>
  <c r="L21" i="11"/>
  <c r="I21" i="11"/>
  <c r="J25" i="14"/>
  <c r="L25" i="14"/>
  <c r="M25" i="14" s="1"/>
  <c r="E44" i="11"/>
  <c r="J9" i="14"/>
  <c r="D9" i="14"/>
  <c r="J9" i="34"/>
  <c r="D9" i="34"/>
  <c r="J9" i="15"/>
  <c r="D9" i="15"/>
  <c r="J9" i="16"/>
  <c r="D9" i="16"/>
  <c r="J9" i="17"/>
  <c r="D9" i="17"/>
  <c r="J9" i="18"/>
  <c r="D9" i="18"/>
  <c r="J9" i="20"/>
  <c r="D9" i="20"/>
  <c r="J9" i="11"/>
  <c r="D9" i="11"/>
  <c r="J22" i="14" l="1"/>
  <c r="F25" i="34"/>
  <c r="E45" i="11"/>
  <c r="E103" i="17"/>
  <c r="E107" i="17" s="1"/>
  <c r="O24" i="37"/>
  <c r="K27" i="20"/>
  <c r="P27" i="20" s="1"/>
  <c r="K24" i="36"/>
  <c r="L39" i="11"/>
  <c r="L48" i="11"/>
  <c r="O27" i="37"/>
  <c r="E30" i="20"/>
  <c r="F30" i="20"/>
  <c r="K26" i="20"/>
  <c r="P26" i="20" s="1"/>
  <c r="P30" i="20" s="1"/>
  <c r="G51" i="34"/>
  <c r="E53" i="34"/>
  <c r="G24" i="36"/>
  <c r="K28" i="20"/>
  <c r="P28" i="20" s="1"/>
  <c r="I30" i="20"/>
  <c r="J30" i="20"/>
  <c r="F53" i="34"/>
  <c r="F55" i="34" s="1"/>
  <c r="G38" i="34"/>
  <c r="F69" i="38"/>
  <c r="F73" i="38" s="1"/>
  <c r="L18" i="36"/>
  <c r="L24" i="36" s="1"/>
  <c r="H24" i="36"/>
  <c r="F46" i="34"/>
  <c r="F48" i="34" s="1"/>
  <c r="E44" i="34"/>
  <c r="G44" i="34" s="1"/>
  <c r="K22" i="39"/>
  <c r="F23" i="39"/>
  <c r="F28" i="39" s="1"/>
  <c r="M20" i="39"/>
  <c r="K21" i="39"/>
  <c r="H29" i="37"/>
  <c r="H33" i="37" s="1"/>
  <c r="O23" i="37"/>
  <c r="P29" i="37"/>
  <c r="D56" i="15"/>
  <c r="N62" i="38"/>
  <c r="O62" i="38"/>
  <c r="O67" i="38"/>
  <c r="N67" i="38"/>
  <c r="I23" i="14"/>
  <c r="I25" i="14"/>
  <c r="I21" i="14"/>
  <c r="L28" i="14"/>
  <c r="I24" i="14"/>
  <c r="I20" i="14"/>
  <c r="C25" i="14"/>
  <c r="C24" i="14"/>
  <c r="J28" i="14"/>
  <c r="C23" i="14"/>
  <c r="C22" i="14"/>
  <c r="N27" i="11"/>
  <c r="N65" i="38"/>
  <c r="O65" i="38"/>
  <c r="P103" i="17"/>
  <c r="P105" i="17" s="1"/>
  <c r="G37" i="34"/>
  <c r="E39" i="34"/>
  <c r="G39" i="34" s="1"/>
  <c r="I22" i="14"/>
  <c r="D32" i="20"/>
  <c r="E46" i="34"/>
  <c r="L22" i="14"/>
  <c r="M22" i="14" s="1"/>
  <c r="O64" i="38"/>
  <c r="O26" i="37"/>
  <c r="K30" i="20" l="1"/>
  <c r="C28" i="14"/>
  <c r="K23" i="39"/>
  <c r="G53" i="34"/>
  <c r="E55" i="34"/>
  <c r="G55" i="34" s="1"/>
  <c r="P31" i="37"/>
  <c r="I54" i="15"/>
  <c r="I56" i="15" s="1"/>
  <c r="E48" i="34"/>
  <c r="G48" i="34" s="1"/>
  <c r="G46" i="34"/>
  <c r="O69" i="38"/>
  <c r="O71" i="38" s="1"/>
  <c r="E41" i="34"/>
  <c r="G41"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Adrien ADD. DELAGE</author>
  </authors>
  <commentList>
    <comment ref="D20" authorId="0" shapeId="0" xr:uid="{020B3194-A4CD-4A3D-B2C7-2DF9D119AA69}">
      <text>
        <r>
          <rPr>
            <b/>
            <sz val="9"/>
            <color indexed="81"/>
            <rFont val="Tahoma"/>
            <family val="2"/>
          </rPr>
          <t>Antoine ANG. GRIEZMAN: on est les champions !</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KPMG</author>
  </authors>
  <commentList>
    <comment ref="A22" authorId="0" shapeId="0" xr:uid="{00000000-0006-0000-0600-000001000000}">
      <text>
        <r>
          <rPr>
            <b/>
            <sz val="8"/>
            <color indexed="81"/>
            <rFont val="Tahoma"/>
            <family val="2"/>
          </rPr>
          <t>N’entrent pas dans les frais accessoires:</t>
        </r>
        <r>
          <rPr>
            <sz val="8"/>
            <color indexed="81"/>
            <rFont val="Tahoma"/>
            <family val="2"/>
          </rPr>
          <t xml:space="preserve">
- Les frais internes de la fonction Approvisionnement (sélection des fournisseurs, étude des offres…),
- Les frais financiers, sauf si les biens s’intègrent dans un process de production &gt; 12 mois
- Les frais de distribution engagés avant la production,
- Les frais ultérieurs de stockage (transport entre magasins…)
</t>
        </r>
        <r>
          <rPr>
            <b/>
            <sz val="8"/>
            <color indexed="81"/>
            <rFont val="Tahoma"/>
            <family val="2"/>
          </rPr>
          <t>Dans le cas d'achats en devises étrangères réguliers,</t>
        </r>
        <r>
          <rPr>
            <sz val="8"/>
            <color indexed="81"/>
            <rFont val="Tahoma"/>
            <family val="2"/>
          </rPr>
          <t xml:space="preserve"> il convient de s'interroger sur la nécessité de retraiter les écarts de change au niveau du coût d'acquisition des marchandises, </t>
        </r>
        <r>
          <rPr>
            <b/>
            <sz val="8"/>
            <color indexed="81"/>
            <rFont val="Tahoma"/>
            <family val="2"/>
          </rPr>
          <t xml:space="preserve">dans les cas où la société se couvre contre les variations monétaires.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KPMG</author>
  </authors>
  <commentList>
    <comment ref="B32" authorId="0" shapeId="0" xr:uid="{00000000-0006-0000-0900-000001000000}">
      <text>
        <r>
          <rPr>
            <b/>
            <sz val="8"/>
            <color indexed="81"/>
            <rFont val="Tahoma"/>
            <family val="2"/>
          </rPr>
          <t>RAPPEL:</t>
        </r>
        <r>
          <rPr>
            <sz val="8"/>
            <color indexed="81"/>
            <rFont val="Tahoma"/>
            <family val="2"/>
          </rPr>
          <t xml:space="preserve">
- Les charges fixes sont exclues du calcul car considérées comme rattachables à une période de temps et non à un produit
- La marge dégagée par cette méthode (“marge sur coût variable”) doit être en mesure de couvrir les frais fixes de structure de la société =&gt; notion de point mort
- Les charges variables sont allouées au direct cost en 2  phases : affectation des charges variables directes puis répartition et imputation des charges variables indirectes</t>
        </r>
      </text>
    </comment>
    <comment ref="B34" authorId="0" shapeId="0" xr:uid="{00000000-0006-0000-0900-000002000000}">
      <text>
        <r>
          <rPr>
            <b/>
            <sz val="8"/>
            <color indexed="81"/>
            <rFont val="Tahoma"/>
            <family val="2"/>
          </rPr>
          <t>RAPPEL:</t>
        </r>
        <r>
          <rPr>
            <sz val="8"/>
            <color indexed="81"/>
            <rFont val="Tahoma"/>
            <family val="2"/>
          </rPr>
          <t xml:space="preserve">
Méthode qui affecte au direct cost, des charges fixes unitaires:
- Ces charges fixes doivent être constantes afin d’éviter tout effet de sur ou sous-activité
- Repose donc sur le choix d’une norme et la linéarité des charges fixes et la difficulté de quantifier un niveau normal d’activité</t>
        </r>
      </text>
    </comment>
    <comment ref="B43" authorId="0" shapeId="0" xr:uid="{00000000-0006-0000-0900-000003000000}">
      <text>
        <r>
          <rPr>
            <sz val="8"/>
            <color indexed="81"/>
            <rFont val="Tahoma"/>
            <family val="2"/>
          </rPr>
          <t>ou méthode des coûts préétablis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KPMG</author>
    <author>Ludovic BOULLE</author>
  </authors>
  <commentList>
    <comment ref="C35" authorId="0" shapeId="0" xr:uid="{00000000-0006-0000-0A00-000001000000}">
      <text>
        <r>
          <rPr>
            <sz val="8"/>
            <color indexed="81"/>
            <rFont val="Tahoma"/>
            <family val="2"/>
          </rPr>
          <t>ou méthode des coûts préétablis</t>
        </r>
      </text>
    </comment>
    <comment ref="L60" authorId="1" shapeId="0" xr:uid="{00000000-0006-0000-0A00-000002000000}">
      <text>
        <r>
          <rPr>
            <b/>
            <sz val="9"/>
            <color indexed="81"/>
            <rFont val="Tahoma"/>
            <family val="2"/>
          </rPr>
          <t>Ludovic BOULLE:</t>
        </r>
        <r>
          <rPr>
            <sz val="9"/>
            <color indexed="81"/>
            <rFont val="Tahoma"/>
            <family val="2"/>
          </rPr>
          <t xml:space="preserve">
Correspond au taux de marge appliqué. Donc si taux de 20%, il faudra indiquer 80% dans la formule ci-dessous puisqu'il s'agit d'obtenir un prix de vente net de marge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Thomas Lilienbecker</author>
  </authors>
  <commentList>
    <comment ref="I19" authorId="0" shapeId="0" xr:uid="{00000000-0006-0000-0B00-000001000000}">
      <text>
        <r>
          <rPr>
            <sz val="8"/>
            <color indexed="81"/>
            <rFont val="Tahoma"/>
            <family val="2"/>
          </rPr>
          <t xml:space="preserve">
La valeur comptable s'entend comme étant la valeur comptable enregistrée à la clôture de l'exercice audité.
</t>
        </r>
        <r>
          <rPr>
            <b/>
            <sz val="8"/>
            <color indexed="81"/>
            <rFont val="Tahoma"/>
            <family val="2"/>
          </rPr>
          <t>Si la transaction a été correctement rattachée à l'exercice N+1</t>
        </r>
        <r>
          <rPr>
            <sz val="8"/>
            <color indexed="81"/>
            <rFont val="Tahoma"/>
            <family val="2"/>
          </rPr>
          <t xml:space="preserve">, il n'y a aucun montant à indiquer, ni dans "Valeur Comptable", ni dans "Montant FA/EA".
</t>
        </r>
        <r>
          <rPr>
            <b/>
            <sz val="8"/>
            <color indexed="81"/>
            <rFont val="Tahoma"/>
            <family val="2"/>
          </rPr>
          <t>Si la transaction a été rattaché à tort à l'exercice N+1</t>
        </r>
        <r>
          <rPr>
            <sz val="8"/>
            <color indexed="81"/>
            <rFont val="Tahoma"/>
            <family val="2"/>
          </rPr>
          <t xml:space="preserve">, la "Valeur Comptable" est 0 mais le montant de la transaction est à faire figurer dans "Montant FA/EA".
</t>
        </r>
        <r>
          <rPr>
            <b/>
            <sz val="8"/>
            <color indexed="81"/>
            <rFont val="Tahoma"/>
            <family val="2"/>
          </rPr>
          <t>Si la transaction a été correctement rattachée à l'exercice N audité,</t>
        </r>
        <r>
          <rPr>
            <sz val="8"/>
            <color indexed="81"/>
            <rFont val="Tahoma"/>
            <family val="2"/>
          </rPr>
          <t xml:space="preserve"> le montant de la transaction doit être renseignée dans "Valeur Comptable" et dans "Montant FA/EA".
</t>
        </r>
        <r>
          <rPr>
            <b/>
            <sz val="8"/>
            <color indexed="81"/>
            <rFont val="Tahoma"/>
            <family val="2"/>
          </rPr>
          <t>Si la transaction a été rattachée à tort à l'exercice N audité,</t>
        </r>
        <r>
          <rPr>
            <sz val="8"/>
            <color indexed="81"/>
            <rFont val="Tahoma"/>
            <family val="2"/>
          </rPr>
          <t xml:space="preserve">  le montant de la transaction est renseigné dans "Valeur Comptable" mais le montant à faire figurer dans "Montant FA/EA " est 0.
</t>
        </r>
      </text>
    </comment>
    <comment ref="I34" authorId="0" shapeId="0" xr:uid="{00000000-0006-0000-0B00-000002000000}">
      <text>
        <r>
          <rPr>
            <sz val="8"/>
            <color indexed="81"/>
            <rFont val="Tahoma"/>
            <family val="2"/>
          </rPr>
          <t xml:space="preserve">
La valeur comptable s'entend comme étant la valeur comptable enregistrée à la clôture de l'exercice audité.
</t>
        </r>
        <r>
          <rPr>
            <b/>
            <sz val="8"/>
            <color indexed="81"/>
            <rFont val="Tahoma"/>
            <family val="2"/>
          </rPr>
          <t>Si la transaction a été correctement rattachée à l'exercice N+1</t>
        </r>
        <r>
          <rPr>
            <sz val="8"/>
            <color indexed="81"/>
            <rFont val="Tahoma"/>
            <family val="2"/>
          </rPr>
          <t xml:space="preserve">, il n'y a aucun montant à indiquer, ni dans "Valeur Comptable", ni dans "Montant FA/EA".
</t>
        </r>
        <r>
          <rPr>
            <b/>
            <sz val="8"/>
            <color indexed="81"/>
            <rFont val="Tahoma"/>
            <family val="2"/>
          </rPr>
          <t>Si la transaction a été rattaché à tort à l'exercice N+1</t>
        </r>
        <r>
          <rPr>
            <sz val="8"/>
            <color indexed="81"/>
            <rFont val="Tahoma"/>
            <family val="2"/>
          </rPr>
          <t xml:space="preserve">, la "Valeur Comptable" est 0 mais le montant de la transaction est à faire figurer dans "Montant FA/EA".
</t>
        </r>
        <r>
          <rPr>
            <b/>
            <sz val="8"/>
            <color indexed="81"/>
            <rFont val="Tahoma"/>
            <family val="2"/>
          </rPr>
          <t>Si la transaction a été correctement rattachée à l'exercice N audité,</t>
        </r>
        <r>
          <rPr>
            <sz val="8"/>
            <color indexed="81"/>
            <rFont val="Tahoma"/>
            <family val="2"/>
          </rPr>
          <t xml:space="preserve"> le montant de la transaction doit être renseignée dans "Valeur Comptable" et dans "Montant FA/EA".
</t>
        </r>
        <r>
          <rPr>
            <b/>
            <sz val="8"/>
            <color indexed="81"/>
            <rFont val="Tahoma"/>
            <family val="2"/>
          </rPr>
          <t>Si la transaction a été rattachée à tort à l'exercice N audité,</t>
        </r>
        <r>
          <rPr>
            <sz val="8"/>
            <color indexed="81"/>
            <rFont val="Tahoma"/>
            <family val="2"/>
          </rPr>
          <t xml:space="preserve">  le montant de la transaction est renseigné dans "Valeur Comptable" mais le montant à faire figurer dans "Montant FA/EA
" est 0.
</t>
        </r>
      </text>
    </comment>
  </commentList>
</comments>
</file>

<file path=xl/sharedStrings.xml><?xml version="1.0" encoding="utf-8"?>
<sst xmlns="http://schemas.openxmlformats.org/spreadsheetml/2006/main" count="709" uniqueCount="394">
  <si>
    <t>#NomClient</t>
  </si>
  <si>
    <t>OUI</t>
  </si>
  <si>
    <t>NON</t>
  </si>
  <si>
    <t>STOCKS</t>
  </si>
  <si>
    <t>Faible</t>
  </si>
  <si>
    <t>Modéré</t>
  </si>
  <si>
    <t>Fait par :</t>
  </si>
  <si>
    <t>Revu par :</t>
  </si>
  <si>
    <t>Synthèse du cycle</t>
  </si>
  <si>
    <t>Date Clôture</t>
  </si>
  <si>
    <t>XRef</t>
  </si>
  <si>
    <t>Elevé</t>
  </si>
  <si>
    <t>Le :</t>
  </si>
  <si>
    <t>#DateClôture</t>
  </si>
  <si>
    <t>S</t>
  </si>
  <si>
    <t>PB</t>
  </si>
  <si>
    <t>PE</t>
  </si>
  <si>
    <t>Risque d'anomalies significatives</t>
  </si>
  <si>
    <t>Seuil d'investigation</t>
  </si>
  <si>
    <t>Niveau de diligences</t>
  </si>
  <si>
    <t>PE + VP</t>
  </si>
  <si>
    <t>Xref</t>
  </si>
  <si>
    <t>Contrôles</t>
  </si>
  <si>
    <t>Diligences à tester</t>
  </si>
  <si>
    <t>Liens</t>
  </si>
  <si>
    <t>S100</t>
  </si>
  <si>
    <t>Tableau variation stocks</t>
  </si>
  <si>
    <t>S100 Tableau var stocks</t>
  </si>
  <si>
    <t>S200</t>
  </si>
  <si>
    <t>Rapprochement états stocks / comptabilité</t>
  </si>
  <si>
    <t>S200 Rappro états stock-compta</t>
  </si>
  <si>
    <t>S300</t>
  </si>
  <si>
    <t>Calcul rotation stock</t>
  </si>
  <si>
    <t>S300 Rotation stocks</t>
  </si>
  <si>
    <t>S400</t>
  </si>
  <si>
    <t>Reconciliation IP</t>
  </si>
  <si>
    <t>S400 Réconciliation IP</t>
  </si>
  <si>
    <t>S510</t>
  </si>
  <si>
    <t>Valorisation MP</t>
  </si>
  <si>
    <t>S510 Valo MP</t>
  </si>
  <si>
    <t>S511</t>
  </si>
  <si>
    <t>Comparaison PU N s. N-1 stock MP</t>
  </si>
  <si>
    <t>S511 Contrôle var PU MP</t>
  </si>
  <si>
    <t>S512</t>
  </si>
  <si>
    <t>Test détail MP</t>
  </si>
  <si>
    <t>S512 Test détail valo MP</t>
  </si>
  <si>
    <t>S520</t>
  </si>
  <si>
    <t>Valorisation EC</t>
  </si>
  <si>
    <t>S520 Valo EC</t>
  </si>
  <si>
    <t>S530</t>
  </si>
  <si>
    <t>Valorisation PF</t>
  </si>
  <si>
    <t>S530 Valo PF</t>
  </si>
  <si>
    <t>S600</t>
  </si>
  <si>
    <t>Cut off stocks</t>
  </si>
  <si>
    <t>S600 Cut-off</t>
  </si>
  <si>
    <t>S700</t>
  </si>
  <si>
    <t>Dépréciation stocks</t>
  </si>
  <si>
    <t>S700 Dépréciation stocks</t>
  </si>
  <si>
    <t>S710</t>
  </si>
  <si>
    <t>Dépréciation N-1 et dénouement</t>
  </si>
  <si>
    <t>S710 Dép N-1 et dénouement</t>
  </si>
  <si>
    <t>Revue analytique</t>
  </si>
  <si>
    <t>CONCLUSION</t>
  </si>
  <si>
    <t>S Synthèse</t>
  </si>
  <si>
    <t>Commentaire</t>
  </si>
  <si>
    <t>Tableau de var des stocks</t>
  </si>
  <si>
    <r>
      <t>Objectif :</t>
    </r>
    <r>
      <rPr>
        <b/>
        <sz val="11"/>
        <rFont val="Calibri"/>
        <family val="2"/>
        <scheme val="minor"/>
      </rPr>
      <t xml:space="preserve"> </t>
    </r>
    <r>
      <rPr>
        <sz val="11"/>
        <rFont val="Calibri"/>
        <family val="2"/>
        <scheme val="minor"/>
      </rPr>
      <t xml:space="preserve">
Contrôler la cohérence des flux comptabilisés en résultat vs les variations de stocks enregistrées au niveau du brut et des provisions
</t>
    </r>
    <r>
      <rPr>
        <b/>
        <u/>
        <sz val="11"/>
        <rFont val="Calibri"/>
        <family val="2"/>
        <scheme val="minor"/>
      </rPr>
      <t>Travail effectué</t>
    </r>
    <r>
      <rPr>
        <sz val="11"/>
        <rFont val="Calibri"/>
        <family val="2"/>
        <scheme val="minor"/>
      </rPr>
      <t xml:space="preserve">
Contrôler la correcte reprise des soldes N-1 et des soldes de clôture des stocks par rapprochement à la BG  et aux états de stocks
Vérifier l'exactitude du bouclage avec les comptes de variations de stocks, de dotations et de reprises de dépréciations.</t>
    </r>
  </si>
  <si>
    <t>Conclusion sur le contrôle</t>
  </si>
  <si>
    <t>1° Revue analytique</t>
  </si>
  <si>
    <t>Etat des dotations/reprises</t>
  </si>
  <si>
    <t>Num compte</t>
  </si>
  <si>
    <t>Libellé</t>
  </si>
  <si>
    <t>Valeur brute</t>
  </si>
  <si>
    <t>Var</t>
  </si>
  <si>
    <t>Dépréciation au</t>
  </si>
  <si>
    <t>Dotations</t>
  </si>
  <si>
    <t>Reprises</t>
  </si>
  <si>
    <t>VNC</t>
  </si>
  <si>
    <t>31/12/N</t>
  </si>
  <si>
    <t>31/12/N-1</t>
  </si>
  <si>
    <t>Stocks matières premières</t>
  </si>
  <si>
    <t>Production en cours</t>
  </si>
  <si>
    <t xml:space="preserve">Stocks produits finis </t>
  </si>
  <si>
    <t>Stocks marchandises</t>
  </si>
  <si>
    <t>TOTAL</t>
  </si>
  <si>
    <t>ok S</t>
  </si>
  <si>
    <t>Ok N-1</t>
  </si>
  <si>
    <t>A</t>
  </si>
  <si>
    <t>B</t>
  </si>
  <si>
    <t>C</t>
  </si>
  <si>
    <t>X-ref</t>
  </si>
  <si>
    <t>2° Contrôle sur la variation de stocks</t>
  </si>
  <si>
    <t>3° Contrôle sur les dotations / reprises de dépréciations</t>
  </si>
  <si>
    <t>Solde au</t>
  </si>
  <si>
    <t>Variat. stocks Mat. premières</t>
  </si>
  <si>
    <t>68173000</t>
  </si>
  <si>
    <t>Dot aux prov stocks</t>
  </si>
  <si>
    <t>Var.stocks de composants</t>
  </si>
  <si>
    <t># 603</t>
  </si>
  <si>
    <t>Ecart par rapport à la dotation attendue</t>
  </si>
  <si>
    <t>Var.en-cours prod.biens</t>
  </si>
  <si>
    <t>Variat.stocks produits finis</t>
  </si>
  <si>
    <t>Var.stocks prod/s-traités</t>
  </si>
  <si>
    <t># 713</t>
  </si>
  <si>
    <t>Ecart par rapport à la variation attendue</t>
  </si>
  <si>
    <t>OK</t>
  </si>
  <si>
    <t>78173000</t>
  </si>
  <si>
    <t>Repr/prov depr. stocks</t>
  </si>
  <si>
    <t>Ecart par rapport à la reprise attendue</t>
  </si>
  <si>
    <r>
      <t>Objectif</t>
    </r>
    <r>
      <rPr>
        <sz val="11"/>
        <rFont val="Calibri"/>
        <family val="2"/>
        <scheme val="minor"/>
      </rPr>
      <t xml:space="preserve">
S'assurer du correct rapprochement entre la comptabilité et les listings de stocks définitifs 
</t>
    </r>
    <r>
      <rPr>
        <b/>
        <u/>
        <sz val="11"/>
        <rFont val="Calibri"/>
        <family val="2"/>
        <scheme val="minor"/>
      </rPr>
      <t>Travail effectué</t>
    </r>
    <r>
      <rPr>
        <sz val="11"/>
        <rFont val="Calibri"/>
        <family val="2"/>
        <scheme val="minor"/>
      </rPr>
      <t xml:space="preserve">
Vérification des formules de calcul (Valorisation = Qté * Prix unitaire), footing des fichiers
Cadrer les états de stocks avec la BG auditée</t>
    </r>
  </si>
  <si>
    <t>LISTINGS DES STOCKS</t>
  </si>
  <si>
    <t>Nature des stocks</t>
  </si>
  <si>
    <t>Compta 
Stock BRUT N</t>
  </si>
  <si>
    <t xml:space="preserve">% </t>
  </si>
  <si>
    <t>ECART listings / compta</t>
  </si>
  <si>
    <t>Compta 
Stock BRUT N-1</t>
  </si>
  <si>
    <t>Var. N / N-1</t>
  </si>
  <si>
    <t>Valeur en K€</t>
  </si>
  <si>
    <t>en K€</t>
  </si>
  <si>
    <t>en %</t>
  </si>
  <si>
    <t>Listing Stock Matière</t>
  </si>
  <si>
    <t>Listing composants achetés</t>
  </si>
  <si>
    <t>Stock MATIERES PREMIERES</t>
  </si>
  <si>
    <t>Stock MARCHANDISES</t>
  </si>
  <si>
    <t>Stocks EN COURS</t>
  </si>
  <si>
    <t>Stock PRODUITS FINIS</t>
  </si>
  <si>
    <t>TOTAL STOCKS BRUTS</t>
  </si>
  <si>
    <t>ok N-1</t>
  </si>
  <si>
    <t>Rotation des stocks</t>
  </si>
  <si>
    <r>
      <t>Objectif</t>
    </r>
    <r>
      <rPr>
        <sz val="11"/>
        <rFont val="Calibri"/>
        <family val="2"/>
        <scheme val="minor"/>
      </rPr>
      <t xml:space="preserve">
Comprendre l'évolution des stocks
</t>
    </r>
    <r>
      <rPr>
        <b/>
        <u/>
        <sz val="11"/>
        <rFont val="Calibri"/>
        <family val="2"/>
        <scheme val="minor"/>
      </rPr>
      <t>Travail effectué</t>
    </r>
    <r>
      <rPr>
        <sz val="11"/>
        <rFont val="Calibri"/>
        <family val="2"/>
        <scheme val="minor"/>
      </rPr>
      <t xml:space="preserve">
Calcul délai de rotation moyen par type de stock</t>
    </r>
  </si>
  <si>
    <t>1° Calcul du stock moyen</t>
  </si>
  <si>
    <t>Catégorie stocks</t>
  </si>
  <si>
    <t>31/12/N-2</t>
  </si>
  <si>
    <t>Stock moyen N</t>
  </si>
  <si>
    <t>Stock Moyen N-1</t>
  </si>
  <si>
    <t>Matières premières</t>
  </si>
  <si>
    <t>Marchandises</t>
  </si>
  <si>
    <t>Produits finis</t>
  </si>
  <si>
    <t>TOTAL STOCK BRUT</t>
  </si>
  <si>
    <t>ok N-2</t>
  </si>
  <si>
    <t>2° Calcul des délais de rotation</t>
  </si>
  <si>
    <t>Var.</t>
  </si>
  <si>
    <t>Achats MP HT</t>
  </si>
  <si>
    <t>Stock brut initial (+)</t>
  </si>
  <si>
    <t>Stock stock final (-)</t>
  </si>
  <si>
    <t>Consommation MP</t>
  </si>
  <si>
    <t>Délai de Rotation MP (en jours)</t>
  </si>
  <si>
    <t>Achats Marchandises HT</t>
  </si>
  <si>
    <t>Stock brut final (-)</t>
  </si>
  <si>
    <t>Consommation Marchandises</t>
  </si>
  <si>
    <t>Délai de Rotation Marchandises (en jours)</t>
  </si>
  <si>
    <t>Ventes de PF HT</t>
  </si>
  <si>
    <t>Stock brut initial (-)</t>
  </si>
  <si>
    <t>Stock brut final (+)</t>
  </si>
  <si>
    <t>Consommation PF</t>
  </si>
  <si>
    <t>Délai de Rotation PF (en jours)</t>
  </si>
  <si>
    <t>Réconciliation IP</t>
  </si>
  <si>
    <r>
      <t>Objectif</t>
    </r>
    <r>
      <rPr>
        <sz val="11"/>
        <rFont val="Calibri"/>
        <family val="2"/>
        <scheme val="minor"/>
      </rPr>
      <t xml:space="preserve">
Réalité des stocks
</t>
    </r>
    <r>
      <rPr>
        <b/>
        <u/>
        <sz val="11"/>
        <rFont val="Calibri"/>
        <family val="2"/>
        <scheme val="minor"/>
      </rPr>
      <t>Travail effectué</t>
    </r>
    <r>
      <rPr>
        <sz val="11"/>
        <rFont val="Calibri"/>
        <family val="2"/>
        <scheme val="minor"/>
      </rPr>
      <t xml:space="preserve">
Comparer les quantités présentes en stocks avec les quantités inventoriées physiquement par nos soins
Analyse des écarts</t>
    </r>
  </si>
  <si>
    <t>Désignation de l'article</t>
  </si>
  <si>
    <t>Référence</t>
  </si>
  <si>
    <t>Ecart</t>
  </si>
  <si>
    <t>Ecart valorisé</t>
  </si>
  <si>
    <t>TOTAL stock inventorié</t>
  </si>
  <si>
    <t>TOTAL écarts</t>
  </si>
  <si>
    <t>Total stock brut comptabilisé</t>
  </si>
  <si>
    <t>% d'écart / inventaire</t>
  </si>
  <si>
    <t>Scope inventorié</t>
  </si>
  <si>
    <t>Extrapolation écart</t>
  </si>
  <si>
    <t>Valorisation stock MP</t>
  </si>
  <si>
    <r>
      <t>Objectif</t>
    </r>
    <r>
      <rPr>
        <sz val="11"/>
        <rFont val="Calibri"/>
        <family val="2"/>
        <scheme val="minor"/>
      </rPr>
      <t xml:space="preserve">
Evaluation du stock de matières premières
</t>
    </r>
    <r>
      <rPr>
        <b/>
        <u/>
        <sz val="11"/>
        <rFont val="Calibri"/>
        <family val="2"/>
        <scheme val="minor"/>
      </rPr>
      <t>Travail effectué</t>
    </r>
    <r>
      <rPr>
        <sz val="11"/>
        <rFont val="Calibri"/>
        <family val="2"/>
        <scheme val="minor"/>
      </rPr>
      <t xml:space="preserve">
1/ Rappel de la méthode de valorisation
2/ Comparaison PU N vs. N-1 pour les anciennes références (cf.</t>
    </r>
    <r>
      <rPr>
        <b/>
        <sz val="11"/>
        <color rgb="FFFF0000"/>
        <rFont val="Calibri"/>
        <family val="2"/>
        <scheme val="minor"/>
      </rPr>
      <t xml:space="preserve"> S511</t>
    </r>
    <r>
      <rPr>
        <sz val="11"/>
        <rFont val="Calibri"/>
        <family val="2"/>
        <scheme val="minor"/>
      </rPr>
      <t xml:space="preserve">)
3/ Tests de détails pour les nouvelles références (cf. </t>
    </r>
    <r>
      <rPr>
        <b/>
        <sz val="11"/>
        <color rgb="FFFF0000"/>
        <rFont val="Calibri"/>
        <family val="2"/>
        <scheme val="minor"/>
      </rPr>
      <t>S512</t>
    </r>
    <r>
      <rPr>
        <sz val="11"/>
        <rFont val="Calibri"/>
        <family val="2"/>
        <scheme val="minor"/>
      </rPr>
      <t>)</t>
    </r>
  </si>
  <si>
    <t>1° Rappel de la méthode de valorisation</t>
  </si>
  <si>
    <t>Principes Généraux:</t>
  </si>
  <si>
    <r>
      <t xml:space="preserve">Les </t>
    </r>
    <r>
      <rPr>
        <b/>
        <sz val="11"/>
        <rFont val="Calibri"/>
        <family val="2"/>
        <scheme val="minor"/>
      </rPr>
      <t xml:space="preserve">stocks d'approvisionnements et marchandises </t>
    </r>
    <r>
      <rPr>
        <sz val="11"/>
        <rFont val="Calibri"/>
        <family val="2"/>
        <scheme val="minor"/>
      </rPr>
      <t>sont valorisés au coût d’acquisition qui correspond à la somme du prix d’achat et des frais accessoires.</t>
    </r>
  </si>
  <si>
    <r>
      <t xml:space="preserve">Le </t>
    </r>
    <r>
      <rPr>
        <b/>
        <sz val="11"/>
        <rFont val="Calibri"/>
        <family val="2"/>
        <scheme val="minor"/>
      </rPr>
      <t>prix d’achat</t>
    </r>
    <r>
      <rPr>
        <sz val="11"/>
        <rFont val="Calibri"/>
        <family val="2"/>
        <scheme val="minor"/>
      </rPr>
      <t xml:space="preserve"> est égal au montant en euros résultant de l’accord des parties à la date de l’opération. Il inclut, entre autres, les rabais, remises, ristournes et les escomptes de règlement obtenus (CRC 2004-06).</t>
    </r>
  </si>
  <si>
    <r>
      <t xml:space="preserve">Les </t>
    </r>
    <r>
      <rPr>
        <b/>
        <sz val="11"/>
        <rFont val="Calibri"/>
        <family val="2"/>
        <scheme val="minor"/>
      </rPr>
      <t>frais accessoires</t>
    </r>
    <r>
      <rPr>
        <sz val="11"/>
        <rFont val="Calibri"/>
        <family val="2"/>
        <scheme val="minor"/>
      </rPr>
      <t xml:space="preserve"> représentent les coûts directement attribuables à l’acquisition et engagés pour amener le bien à l'état et à l'endroit où il se trouve lors de l'entrée en magasin. Ils intègrent:</t>
    </r>
  </si>
  <si>
    <t xml:space="preserve">♦ Commissions courtage / achats </t>
  </si>
  <si>
    <t xml:space="preserve">♦ Frais de transport et manutention </t>
  </si>
  <si>
    <t xml:space="preserve">♦ Assurances/ transports </t>
  </si>
  <si>
    <t xml:space="preserve">♦ Droits de douane à l’importation </t>
  </si>
  <si>
    <t xml:space="preserve">♦ TVA non récupérable </t>
  </si>
  <si>
    <t xml:space="preserve">♦ Impôts indirects (droits/alcools…) </t>
  </si>
  <si>
    <t xml:space="preserve">♦ Frais de transport de l’entreprise </t>
  </si>
  <si>
    <t>♦ Frais de réception (déchargement/Manutention)</t>
  </si>
  <si>
    <t>Les stocks d'approvisionnements et marchandises sont valorisés selon :</t>
  </si>
  <si>
    <r>
      <t xml:space="preserve">- La méthode du </t>
    </r>
    <r>
      <rPr>
        <b/>
        <sz val="11"/>
        <rFont val="Calibri"/>
        <family val="2"/>
        <scheme val="minor"/>
      </rPr>
      <t>coût moyen pondéré</t>
    </r>
    <r>
      <rPr>
        <sz val="11"/>
        <rFont val="Calibri"/>
        <family val="2"/>
        <scheme val="minor"/>
      </rPr>
      <t xml:space="preserve"> (CMP)</t>
    </r>
  </si>
  <si>
    <t>OU</t>
  </si>
  <si>
    <r>
      <t>- La méthode</t>
    </r>
    <r>
      <rPr>
        <b/>
        <sz val="11"/>
        <rFont val="Calibri"/>
        <family val="2"/>
        <scheme val="minor"/>
      </rPr>
      <t xml:space="preserve"> FIFO</t>
    </r>
    <r>
      <rPr>
        <sz val="11"/>
        <rFont val="Calibri"/>
        <family val="2"/>
        <scheme val="minor"/>
      </rPr>
      <t xml:space="preserve"> (First In First Out)</t>
    </r>
  </si>
  <si>
    <t>Appréciation de la méthode de valorisation appliquée par la société:</t>
  </si>
  <si>
    <t>La méthode de valorisation des stocks appliquée par la société est conforme / n'est pas conforme à la réglementation comptable.</t>
  </si>
  <si>
    <t>Les divergences identifiées, décrites ci-dessous représentent un impact total de XXXXX K€ sur le stock à la clôture de l'exercice N.</t>
  </si>
  <si>
    <t>2° S'assurer de la permanence des méthodes comptables</t>
  </si>
  <si>
    <t>X-Ref</t>
  </si>
  <si>
    <r>
      <t>Objectif</t>
    </r>
    <r>
      <rPr>
        <sz val="11"/>
        <rFont val="Calibri"/>
        <family val="2"/>
        <scheme val="minor"/>
      </rPr>
      <t xml:space="preserve">
Evaluation du stock de matières premières
</t>
    </r>
    <r>
      <rPr>
        <b/>
        <u/>
        <sz val="11"/>
        <rFont val="Calibri"/>
        <family val="2"/>
        <scheme val="minor"/>
      </rPr>
      <t>Travail effectué</t>
    </r>
    <r>
      <rPr>
        <sz val="11"/>
        <rFont val="Calibri"/>
        <family val="2"/>
        <scheme val="minor"/>
      </rPr>
      <t xml:space="preserve">
1/ A partir des listings excel des stocks N et N-1, effectuer une RECHERCHEV (du listing N sur N-1) afin de comparer, pour chacune des références en stock : 
 - la variation des PU entre N et N-1
 - la variation des quantités en stock entre N et N-1
2/ A partir des listings excel des stocks N et N-1, effectuer une RECHERCHEV (du listing N-1 sur N) afin de comparer, pour chacune des références en stock : 
 - la variation des PU entre N et N-1
 - la variation des quantités en stock entre N et N-1
L'objectif étant, pour chacune des RECHERCHEV, de s'assurer que : 
 - les PU de chaque référence ne varient pas significatviement d'une année sur l'autre (se faire expliquer les écarts importants)
 - les quantités de chaque référence sont mouvementées sur l'exercice
 - pour les écarts PU valorisés significatifs comprendre l'origine de la variation et le cas échéant, remonter à la pièce justificative</t>
    </r>
  </si>
  <si>
    <t>Ref</t>
  </si>
  <si>
    <t>Désignation</t>
  </si>
  <si>
    <t>Quantité 
en N-1</t>
  </si>
  <si>
    <t>Quantité 
en N</t>
  </si>
  <si>
    <t>Ecart 
quantité</t>
  </si>
  <si>
    <t>Ecart quantité
valorisé</t>
  </si>
  <si>
    <t>PU en N-1</t>
  </si>
  <si>
    <t>PU en N</t>
  </si>
  <si>
    <t>Ecart 
PU</t>
  </si>
  <si>
    <t>Ecart PU
valorisé</t>
  </si>
  <si>
    <t xml:space="preserve">Total écart = </t>
  </si>
  <si>
    <t>Test détail stock MP</t>
  </si>
  <si>
    <r>
      <t xml:space="preserve">Objectif
</t>
    </r>
    <r>
      <rPr>
        <sz val="11"/>
        <rFont val="Calibri"/>
        <family val="2"/>
        <scheme val="minor"/>
      </rPr>
      <t>Evaluation du stock de matières premières</t>
    </r>
    <r>
      <rPr>
        <b/>
        <u/>
        <sz val="11"/>
        <rFont val="Calibri"/>
        <family val="2"/>
        <scheme val="minor"/>
      </rPr>
      <t xml:space="preserve">
Travail effectué
</t>
    </r>
    <r>
      <rPr>
        <sz val="11"/>
        <rFont val="Calibri"/>
        <family val="2"/>
        <scheme val="minor"/>
      </rPr>
      <t xml:space="preserve">1/ Tests de détail sur des nouvelles références représentatives (&gt; SI) :  après sélection des références les plus significatives en valeur, contrôler la valorisation des matières premières par rapprochement aux factures d'achat
2/ Analyse des écarts
3/ Penser à contrôler le PU des chutes de MP (en cas de présence d’un stock de chute à la clôture). Ce PU est en général un prix décôté issu du PU de la MP qui a servi à la valorisation du stock de MP. </t>
    </r>
  </si>
  <si>
    <t>1° Test de détail</t>
  </si>
  <si>
    <t>Fichier des stocks</t>
  </si>
  <si>
    <t>Fichier de gestion des stocks</t>
  </si>
  <si>
    <t>Facture d'achat</t>
  </si>
  <si>
    <t>ECART</t>
  </si>
  <si>
    <t>Quantité</t>
  </si>
  <si>
    <t>Unité</t>
  </si>
  <si>
    <t>P.U.</t>
  </si>
  <si>
    <t>Valeur en Stock</t>
  </si>
  <si>
    <t xml:space="preserve">Dernière Entrée </t>
  </si>
  <si>
    <t>Date Facture</t>
  </si>
  <si>
    <t>N° Facture</t>
  </si>
  <si>
    <t>X-réf Facture</t>
  </si>
  <si>
    <t>P.U. Facturé</t>
  </si>
  <si>
    <t>Ecart sur P.U.</t>
  </si>
  <si>
    <t>En % du prix listing</t>
  </si>
  <si>
    <t>Ecart Valorisé</t>
  </si>
  <si>
    <t>Total sondé</t>
  </si>
  <si>
    <t>TOTAL ECARTS</t>
  </si>
  <si>
    <t>Stock MP</t>
  </si>
  <si>
    <t>Scope</t>
  </si>
  <si>
    <t>2° Analyse des écarts :</t>
  </si>
  <si>
    <t>Valorisation stock En Cours</t>
  </si>
  <si>
    <r>
      <t>Objectif</t>
    </r>
    <r>
      <rPr>
        <sz val="11"/>
        <rFont val="Calibri"/>
        <family val="2"/>
        <scheme val="minor"/>
      </rPr>
      <t xml:space="preserve">
Evaluation du stock d'encours
</t>
    </r>
    <r>
      <rPr>
        <b/>
        <u/>
        <sz val="11"/>
        <rFont val="Calibri"/>
        <family val="2"/>
        <scheme val="minor"/>
      </rPr>
      <t>Travail effectué</t>
    </r>
    <r>
      <rPr>
        <sz val="11"/>
        <rFont val="Calibri"/>
        <family val="2"/>
        <scheme val="minor"/>
      </rPr>
      <t xml:space="preserve">
1/  - Rappel de la méthode de valorisation et s'assurer que la méthode de valorisation des stocks de production appliquée par la société est conforme à la réglementation. Cette analyse nécessite d'identifier la nature des composants du coût et leur part relative dans le coût de revient unitaire par produit comptable. 
2) S'assurer de la permanence des méthodes
3/ Tests de détail sur des références représentatives :  après sélection des références les plus significatives en valeur, calcul du coût de revient théorique par rapprochement aux factures d'achat et aux fiches de suivi des coûts variables par référence. Analyser le mode de traitement de la sous activité.
4/ Analyse des écarts</t>
    </r>
  </si>
  <si>
    <t>1) Méthode de valorisation des stocks de production ou encours</t>
  </si>
  <si>
    <r>
      <t xml:space="preserve">Le </t>
    </r>
    <r>
      <rPr>
        <b/>
        <sz val="11"/>
        <rFont val="Calibri"/>
        <family val="2"/>
        <scheme val="minor"/>
      </rPr>
      <t xml:space="preserve">prix de revient unitaire </t>
    </r>
    <r>
      <rPr>
        <sz val="11"/>
        <rFont val="Calibri"/>
        <family val="2"/>
        <scheme val="minor"/>
      </rPr>
      <t xml:space="preserve">des </t>
    </r>
    <r>
      <rPr>
        <b/>
        <sz val="11"/>
        <rFont val="Calibri"/>
        <family val="2"/>
        <scheme val="minor"/>
      </rPr>
      <t xml:space="preserve">stocks d'encours </t>
    </r>
    <r>
      <rPr>
        <sz val="11"/>
        <rFont val="Calibri"/>
        <family val="2"/>
        <scheme val="minor"/>
      </rPr>
      <t>ou</t>
    </r>
    <r>
      <rPr>
        <b/>
        <sz val="11"/>
        <rFont val="Calibri"/>
        <family val="2"/>
        <scheme val="minor"/>
      </rPr>
      <t xml:space="preserve"> de production</t>
    </r>
    <r>
      <rPr>
        <sz val="11"/>
        <rFont val="Calibri"/>
        <family val="2"/>
        <scheme val="minor"/>
      </rPr>
      <t xml:space="preserve"> se décompose ainsi:</t>
    </r>
  </si>
  <si>
    <t>Coût d’acquisition des matières consommées</t>
  </si>
  <si>
    <t>+ Coût de la main d’œuvre</t>
  </si>
  <si>
    <t>+ Autres de production dont la nature dépend de la méthode retenue</t>
  </si>
  <si>
    <t>Le coût des matières est égal à la quantité consommée x prix matière.</t>
  </si>
  <si>
    <t>Le coût de la main d'œuvre est le produit des heures consommées (temps passé) au taux horaire.</t>
  </si>
  <si>
    <t>Les autres charges directes et indirectes de production sont affectées selon des clés de répartition propres à l'activité de la société et dépendent de la méthode de valorisation retenue.</t>
  </si>
  <si>
    <t>La méthode de valorisation retenue par la société est la méthode du:</t>
  </si>
  <si>
    <t>- Coût partiel:…</t>
  </si>
  <si>
    <t>Direct Costing</t>
  </si>
  <si>
    <t>Imputation rationnelle</t>
  </si>
  <si>
    <t>Ou</t>
  </si>
  <si>
    <t>- Coût complet:…</t>
  </si>
  <si>
    <t>Coût complet réel</t>
  </si>
  <si>
    <t>Coût d’acquisition des matières</t>
  </si>
  <si>
    <t xml:space="preserve">+ charges directes </t>
  </si>
  <si>
    <t xml:space="preserve">+ charges indirectes </t>
  </si>
  <si>
    <t>Coûts de production</t>
  </si>
  <si>
    <t>Coût complet standard</t>
  </si>
  <si>
    <t>Identification de la nature des composants du coût et leur part relative dans le coût de revient unitaire par produit</t>
  </si>
  <si>
    <t>Analyse des charges incorporables</t>
  </si>
  <si>
    <t>Les charges incorporables suivantes correspondent aux charges intégrées dans la valorisation des stocks:</t>
  </si>
  <si>
    <t>- XXX</t>
  </si>
  <si>
    <t>Analyse des charges fixes/variables</t>
  </si>
  <si>
    <t>Les charges variables suivantes représentent les charges opérationnelles, fonction du volume d’activité de l’entreprise, intégrées dans la valorisation des stocks:</t>
  </si>
  <si>
    <t>Les charges fixes suivantes représentent les charges liées à la structure de l’entreprise intégrées dans la valorisation des stocks:</t>
  </si>
  <si>
    <t>Analyse des charges directes/indirectes</t>
  </si>
  <si>
    <t>Les charges directes suivantes représentent les charges affectées immédiatement, sans calcul intermédiaire:</t>
  </si>
  <si>
    <t>Les charges indirectes suivantes représentent les charges communes intégrées dans la valorisation des stocks:</t>
  </si>
  <si>
    <t>La méthode de valorisation des stocks de production appliquée par la société est conforme / n'est pas conforme à la réglementation comptable.</t>
  </si>
  <si>
    <t>2) S'assurer de la permanence des méthodes comptables</t>
  </si>
  <si>
    <t>Nous nous sommes assurés par revue des notes en annexes des comptes que la méthode de valorisation des stocks est inchangée par rapport à l'exercice précédent.</t>
  </si>
  <si>
    <t>Par revue des notes en annexes des comptes N-1, nous notons que la méthode de valorisation des stocks au xx/xx/N (date de clôture) a changé par rapport à l'exercice précédent. La société a opté pour ….</t>
  </si>
  <si>
    <t>Les changements identifiés, décrits ci-dessous représentent un impact total de XXXXX K€ sur le stock à la clôture de l'exercice N.</t>
  </si>
  <si>
    <t>3) Test de détail</t>
  </si>
  <si>
    <t>A partir du fichier des stocks, sélection :
- de XXX références dont le coût unitaire est le plus significatif
- de XXX références les plus significatives en valeur totale en stock
- de XXX références aléatoires</t>
  </si>
  <si>
    <t>CONTRÔLE DU COÜT DE LA MATIERE PREMIERE</t>
  </si>
  <si>
    <t>Fiche produit</t>
  </si>
  <si>
    <t>Fichier de mouvement des stocks</t>
  </si>
  <si>
    <t>Coûts indirects</t>
  </si>
  <si>
    <t>Total</t>
  </si>
  <si>
    <t>QP px matière dans l'article</t>
  </si>
  <si>
    <t>Couts de la MOD</t>
  </si>
  <si>
    <t>Couts de structures</t>
  </si>
  <si>
    <t>cumul valo de l'encours théorique</t>
  </si>
  <si>
    <t>Total EC au bilan</t>
  </si>
  <si>
    <t>Valorisation stock Produits Finis</t>
  </si>
  <si>
    <r>
      <t>Objectif</t>
    </r>
    <r>
      <rPr>
        <sz val="11"/>
        <rFont val="Calibri"/>
        <family val="2"/>
        <scheme val="minor"/>
      </rPr>
      <t xml:space="preserve">
Evaluation du stock de produits finis
</t>
    </r>
    <r>
      <rPr>
        <b/>
        <u/>
        <sz val="11"/>
        <rFont val="Calibri"/>
        <family val="2"/>
        <scheme val="minor"/>
      </rPr>
      <t>Travail effectué</t>
    </r>
    <r>
      <rPr>
        <sz val="11"/>
        <rFont val="Calibri"/>
        <family val="2"/>
        <scheme val="minor"/>
      </rPr>
      <t xml:space="preserve">
1/  - Rappel de la méthode de valorisation
2) S'assurer de la permanence des méthodes
3/ Tests de détail sur des références représentatives :  après sélection des références les plus significatives en valeur, contrôler de la valorisation des produits finis par rapprochement aux factures de vente
4/ Analyse des écarts</t>
    </r>
  </si>
  <si>
    <r>
      <t xml:space="preserve">Le </t>
    </r>
    <r>
      <rPr>
        <b/>
        <sz val="11"/>
        <rFont val="Calibri"/>
        <family val="2"/>
        <scheme val="minor"/>
      </rPr>
      <t xml:space="preserve">prix de revient unitaire </t>
    </r>
    <r>
      <rPr>
        <sz val="11"/>
        <rFont val="Calibri"/>
        <family val="2"/>
        <scheme val="minor"/>
      </rPr>
      <t xml:space="preserve">des </t>
    </r>
    <r>
      <rPr>
        <b/>
        <sz val="11"/>
        <rFont val="Calibri"/>
        <family val="2"/>
        <scheme val="minor"/>
      </rPr>
      <t xml:space="preserve">stocks de produits finis </t>
    </r>
    <r>
      <rPr>
        <sz val="11"/>
        <rFont val="Calibri"/>
        <family val="2"/>
        <scheme val="minor"/>
      </rPr>
      <t>se décompose ainsi:</t>
    </r>
  </si>
  <si>
    <t>+ frais d'emballage et d'assemblage</t>
  </si>
  <si>
    <t>hors Coûts de sortie</t>
  </si>
  <si>
    <t>Coûts de production totaux</t>
  </si>
  <si>
    <t>Prix de vente estimé - coûts de sortie</t>
  </si>
  <si>
    <t>PRIX DE REVIENT</t>
  </si>
  <si>
    <t>Facture de vente</t>
  </si>
  <si>
    <t>Décôte</t>
  </si>
  <si>
    <t>Dernière Sortie</t>
  </si>
  <si>
    <t>P.U. net</t>
  </si>
  <si>
    <t>Stock PF</t>
  </si>
  <si>
    <t>4/ Test NRV / Contrôle des prix de ventes N+1 (le cas échéant) :</t>
  </si>
  <si>
    <t>Cut-off stocks</t>
  </si>
  <si>
    <r>
      <t xml:space="preserve">Objectif 
</t>
    </r>
    <r>
      <rPr>
        <sz val="11"/>
        <rFont val="Calibri"/>
        <family val="2"/>
        <scheme val="minor"/>
      </rPr>
      <t xml:space="preserve">Contrôle de la correcte séparation des exercices
</t>
    </r>
    <r>
      <rPr>
        <b/>
        <u/>
        <sz val="11"/>
        <rFont val="Calibri"/>
        <family val="2"/>
        <scheme val="minor"/>
      </rPr>
      <t>Travail effectué</t>
    </r>
    <r>
      <rPr>
        <sz val="11"/>
        <rFont val="Calibri"/>
        <family val="2"/>
        <scheme val="minor"/>
      </rPr>
      <t xml:space="preserve">
1/ Récupérer les 5 derniers bons de livraisons de l'exercice N et les 5 premiers bons de livraison de l'exercice N+1.
(bien récupérer les BL émargés signés du transporteur car c'est la date du transporteur qui fait foi ; penser aussi à contrôler les incoterms en cas de livraison internationale).
S'assurer du correct rattachement entre les expéditions testées (sorties de stock) et les ventes constatés en comptabilité.
2/ Récupérer les 5 derniers bons de réception de l'exercice N et les 5 premiers bons de réception de l'exercice N+1.
(bien récupérer les BR émargés signés du transporteur car c'est la date du transporteur qui fait foi ; penser aussi à contrôler les incoterms en cas de livraison internationale).
S'assurer du correct rattachement entre les réceptions testées (entrée de stock) et les charges constatées en comptabilité.</t>
    </r>
  </si>
  <si>
    <t>1/ Tests sur les BL</t>
  </si>
  <si>
    <t>Numéro du BL</t>
  </si>
  <si>
    <t>Date du BL</t>
  </si>
  <si>
    <t>N° facture de vente 
correspondante</t>
  </si>
  <si>
    <t>Montant de la facture TTC en K€</t>
  </si>
  <si>
    <t>Date de la facture</t>
  </si>
  <si>
    <t>Description incoterm (si applicable)</t>
  </si>
  <si>
    <t>Date mouvement de stock</t>
  </si>
  <si>
    <t>Valeur comptable (source BG)</t>
  </si>
  <si>
    <t>Montant FA/EA à enregistrer à la clôture</t>
  </si>
  <si>
    <t>Conclusion</t>
  </si>
  <si>
    <t>2/ Tests sur les BR</t>
  </si>
  <si>
    <t>Numéro du BR</t>
  </si>
  <si>
    <t>Date du BR</t>
  </si>
  <si>
    <t>N° facture d'achat 
correspondante</t>
  </si>
  <si>
    <r>
      <t>Objectif</t>
    </r>
    <r>
      <rPr>
        <sz val="11"/>
        <rFont val="Calibri"/>
        <family val="2"/>
        <scheme val="minor"/>
      </rPr>
      <t xml:space="preserve">
Evaluation et exhaustivité des dépréciations de stocks
</t>
    </r>
    <r>
      <rPr>
        <b/>
        <u/>
        <sz val="11"/>
        <rFont val="Calibri"/>
        <family val="2"/>
        <scheme val="minor"/>
      </rPr>
      <t>Travail effectué</t>
    </r>
    <r>
      <rPr>
        <sz val="11"/>
        <rFont val="Calibri"/>
        <family val="2"/>
        <scheme val="minor"/>
      </rPr>
      <t xml:space="preserve">
Prise de connaissance de la méthode de dépréciation des stocks par entretien avec la direction
Revue analytique du taux de dépréciation moyen des stocks
Tests de détail : contrôle artihmétique du fichier de dépréciation des stocks - tests de dépréciation sur références dont la dépréciation est significative + contrôle de l'application de la méthode de dépréciation - tests de dépréciation sur des références non dépréciées
En cas de stock fluctuant et/ou soumis à des variations importantes de cours (concerne principalement les PF ou marchandises comportant une part importante de matière dont la valeur est volatile, type cuivre, acier, pétrole…), contrôler le prix de vente sur N+1 des principales références en stock à fin N et s'assurer que la société n'a pas survalorisé son stock à fin N (test NRV, Net Realizable Value).
Il s'agit en réalité de s'assurer que les prix de vente (diminués des coûts des sorties) sur N+1 des biens détenus en stock à la clôture sont supérieurs ou égaux aux prix unitaires de valorisation des stocks de PF à la clôture. </t>
    </r>
  </si>
  <si>
    <t>1° Prise de connaissance de la méthode de dépréciation de stocks</t>
  </si>
  <si>
    <t xml:space="preserve">2° Revue analytique du taux de dépréciation moyen </t>
  </si>
  <si>
    <t>Type de stock</t>
  </si>
  <si>
    <t>Stock brut N</t>
  </si>
  <si>
    <t>Dépréciation N</t>
  </si>
  <si>
    <t>Stock N net</t>
  </si>
  <si>
    <t>Taux de dép N</t>
  </si>
  <si>
    <t>Stock brut N-1</t>
  </si>
  <si>
    <t>Dépréciation N-1</t>
  </si>
  <si>
    <t>Stock N-1 net</t>
  </si>
  <si>
    <t>Taux de dép N-1</t>
  </si>
  <si>
    <t xml:space="preserve">Var. taux de dép </t>
  </si>
  <si>
    <t>Stock de matières premières</t>
  </si>
  <si>
    <t>Stock de marchandises</t>
  </si>
  <si>
    <t>Stock d'encours</t>
  </si>
  <si>
    <t>Stock de produits finis</t>
  </si>
  <si>
    <t>Var. dépréciation</t>
  </si>
  <si>
    <t>X REF</t>
  </si>
  <si>
    <t xml:space="preserve">3° Tests de détail </t>
  </si>
  <si>
    <t>a) Rapprochement tableau des dépréciations / comptabilité</t>
  </si>
  <si>
    <t>b) Contrôle arithmétique du tableau des dépréciation</t>
  </si>
  <si>
    <t>Des anomalies significatives ont-elles été relevées?</t>
  </si>
  <si>
    <t>c) Tests sur dépréciation</t>
  </si>
  <si>
    <t xml:space="preserve">       * Suivi de l'évolution des provisions N-1 </t>
  </si>
  <si>
    <t xml:space="preserve">       * Evaluation des dépréciations</t>
  </si>
  <si>
    <t xml:space="preserve">A partir du listing des stocks, sélection des XX références dont la valeur de la dépréciation est la plus significative puis analyse du  % de dépréciation appliqué en fonction du % d'écoulement calculé à la date de notre intervention. </t>
  </si>
  <si>
    <t>Analyse de ce % de dépréciation avec les dirigeants de la société.</t>
  </si>
  <si>
    <t>Tests à mener sur les nouvelles dépréciations de l'année</t>
  </si>
  <si>
    <r>
      <t xml:space="preserve">A notre date d'intervention 
</t>
    </r>
    <r>
      <rPr>
        <b/>
        <sz val="11"/>
        <color rgb="FFFF0000"/>
        <rFont val="Calibri"/>
        <family val="2"/>
        <scheme val="minor"/>
      </rPr>
      <t>(Quantité (Q) : du 1er jour de l'exercice contrôlé à la date de notre intervention)</t>
    </r>
  </si>
  <si>
    <r>
      <t xml:space="preserve">A la date de clôture
</t>
    </r>
    <r>
      <rPr>
        <b/>
        <sz val="11"/>
        <color rgb="FFFF0000"/>
        <rFont val="Calibri"/>
        <family val="2"/>
        <scheme val="minor"/>
      </rPr>
      <t>(Exercice contrôlé)</t>
    </r>
  </si>
  <si>
    <t>Valeur brute en Stock</t>
  </si>
  <si>
    <t>Dépréciation à la clôture</t>
  </si>
  <si>
    <t>Date dernier achat</t>
  </si>
  <si>
    <t>Date dernière vente</t>
  </si>
  <si>
    <t>Achats (Q)</t>
  </si>
  <si>
    <t>Ventes (Q)</t>
  </si>
  <si>
    <t>dont post-clôture (Q)</t>
  </si>
  <si>
    <t>% d'écoulement total</t>
  </si>
  <si>
    <t>Achats de l'exercice</t>
  </si>
  <si>
    <t>Ventes de l'exercice</t>
  </si>
  <si>
    <t>% d'écoulement exercice</t>
  </si>
  <si>
    <t xml:space="preserve">      * Exhaustivité des dépréciations</t>
  </si>
  <si>
    <t xml:space="preserve">A partir du fichier des stocks, sélection de XX références dont la valeur brute est la plus significative en valeur. Calcul du % d'écoulement à la clôture et à notre date d'intervention. </t>
  </si>
  <si>
    <t>A partir du % d'écoulement à notre intervention, conclure (un pourcentage supérieur à XX % est considéré comme satisfaisant : l'absence de dépréciation est donc cohérente). 
% d'avancement a calculé en fonction des quantité achetées et vendues (le cas échéant)</t>
  </si>
  <si>
    <t>A la date de clôture</t>
  </si>
  <si>
    <t>A notre date d'intervention</t>
  </si>
  <si>
    <t>Achats sur exercice (Q)</t>
  </si>
  <si>
    <t>Ventes sur exercice (Q)</t>
  </si>
  <si>
    <t>Date de 1er achat</t>
  </si>
  <si>
    <t>achats sur période post-clôture (Q)</t>
  </si>
  <si>
    <t>ventes sur périodes post-clôture (Q)</t>
  </si>
  <si>
    <t>% d'écoulement à aujourd'hui</t>
  </si>
  <si>
    <r>
      <t>Objectif</t>
    </r>
    <r>
      <rPr>
        <sz val="11"/>
        <rFont val="Calibri"/>
        <family val="2"/>
        <scheme val="minor"/>
      </rPr>
      <t xml:space="preserve">
Evaluation et exhaustivité des dépréciations de stocks
</t>
    </r>
    <r>
      <rPr>
        <b/>
        <u/>
        <sz val="11"/>
        <rFont val="Calibri"/>
        <family val="2"/>
        <scheme val="minor"/>
      </rPr>
      <t>Travail effectué</t>
    </r>
    <r>
      <rPr>
        <sz val="11"/>
        <rFont val="Calibri"/>
        <family val="2"/>
        <scheme val="minor"/>
      </rPr>
      <t xml:space="preserve">
NB : Cette feuille de travail concerne uniquement les sociétés dont les dép sur stock sont significatives à la clôture de l'exercice N ou N-1.
Décomposer la dép sur stock N-1 en indiquant les principales références dépréciées. 
Pour chacune d'entre elles, contrôler le dénouement de la dép comptabilisée en N-1. S'assurer notamment que : 
 - les références ont bien été mouvementées sur l'exercice N pour celles dont la dép a été reprise. Comprendre si la dép a été reprise pour motif de passage en destruction ou pour vente ;
- les références n'ont pas été mouvementées sur l'exercice N pour celles dont la dép a été conservée.</t>
    </r>
  </si>
  <si>
    <t>Désignation 
de l'article</t>
  </si>
  <si>
    <t>XRéf</t>
  </si>
  <si>
    <t>Valeur en stock 
à la clôture N-1</t>
  </si>
  <si>
    <t>Valeur en stock 
à la clôture N</t>
  </si>
  <si>
    <t>Dép
à fin N-1</t>
  </si>
  <si>
    <t>Dép 
à fin N</t>
  </si>
  <si>
    <t>Mouvement de stock sur N ?</t>
  </si>
  <si>
    <t>Ecart Dép
N / N-1</t>
  </si>
  <si>
    <t>Analyse de l'écart</t>
  </si>
  <si>
    <t>Total en compta =</t>
  </si>
  <si>
    <t xml:space="preserve">Scope de test = </t>
  </si>
  <si>
    <t>Impact variation % dépré.</t>
  </si>
  <si>
    <t>Valeur en %</t>
  </si>
  <si>
    <t>Quantité comptée par FA/EA à la date de l'IP</t>
  </si>
  <si>
    <t>Ecart Qté</t>
  </si>
  <si>
    <t>Quantités sur listing définitif de l'IP</t>
  </si>
  <si>
    <t>Mouvement entre la date d'IP et de clôture</t>
  </si>
  <si>
    <t>Qté sur l'état définitif des stocks</t>
  </si>
  <si>
    <t>Qté théorique à la date de clôture</t>
  </si>
  <si>
    <t>PU</t>
  </si>
  <si>
    <t>Valorisation (sur qté inventorié)</t>
  </si>
  <si>
    <t>Note de synthèse d'inventaire</t>
  </si>
  <si>
    <r>
      <t xml:space="preserve">Rapprochement </t>
    </r>
    <r>
      <rPr>
        <b/>
        <sz val="11"/>
        <color theme="4"/>
        <rFont val="Calibri"/>
        <family val="2"/>
        <scheme val="minor"/>
      </rPr>
      <t>Qté compté lors de l'IP</t>
    </r>
    <r>
      <rPr>
        <b/>
        <sz val="11"/>
        <rFont val="Calibri"/>
        <family val="2"/>
        <scheme val="minor"/>
      </rPr>
      <t xml:space="preserve"> avec le </t>
    </r>
    <r>
      <rPr>
        <b/>
        <sz val="11"/>
        <color theme="0"/>
        <rFont val="Calibri"/>
        <family val="2"/>
        <scheme val="minor"/>
      </rPr>
      <t>listing définitif d'inventaire</t>
    </r>
  </si>
  <si>
    <r>
      <t>Rapprochement entre le</t>
    </r>
    <r>
      <rPr>
        <b/>
        <sz val="11"/>
        <color theme="0"/>
        <rFont val="Calibri"/>
        <family val="2"/>
        <scheme val="minor"/>
      </rPr>
      <t xml:space="preserve"> listing définitif d'inventaire</t>
    </r>
    <r>
      <rPr>
        <b/>
        <sz val="11"/>
        <rFont val="Calibri"/>
        <family val="2"/>
        <scheme val="minor"/>
      </rPr>
      <t xml:space="preserve"> et l'état des </t>
    </r>
    <r>
      <rPr>
        <b/>
        <sz val="11"/>
        <color rgb="FFFF0000"/>
        <rFont val="Calibri"/>
        <family val="2"/>
        <scheme val="minor"/>
      </rPr>
      <t>stocks à la clôture</t>
    </r>
  </si>
  <si>
    <t>Ecart en %</t>
  </si>
  <si>
    <t>5 dernier BL de l'exercice N</t>
  </si>
  <si>
    <t>5 premier BL de l'exercice N+1</t>
  </si>
  <si>
    <t>5 dernier BR de l'exercice N</t>
  </si>
  <si>
    <t>5 premier BR de l'exercice N+1</t>
  </si>
  <si>
    <t>Commentaire sur la variation</t>
  </si>
  <si>
    <t>BRA</t>
  </si>
  <si>
    <t>Cf. S0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</si>
</sst>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 _€_-;\-* #,##0.00\ _€_-;_-* &quot;-&quot;??\ _€_-;_-@_-"/>
    <numFmt numFmtId="165" formatCode="_-* #,##0\ _€_-;\-* #,##0\ _€_-;_-* &quot;-&quot;??\ _€_-;_-@_-"/>
    <numFmt numFmtId="166" formatCode="0.0%"/>
    <numFmt numFmtId="167" formatCode="#,##0;\(#,##0\);\-"/>
    <numFmt numFmtId="168" formatCode="#,##0&quot; &quot;;[Red]\(#,##0\)"/>
    <numFmt numFmtId="169" formatCode="#,##0\ _€"/>
    <numFmt numFmtId="170" formatCode="#,##0.00_ ;\-#,##0.00\ "/>
    <numFmt numFmtId="171" formatCode="_-* #,##0\ _F_-;\-* #,##0\ _F_-;_-* &quot;-&quot;??\ _F_-;_-@_-"/>
    <numFmt numFmtId="172" formatCode="dd/mm/yy;@"/>
    <numFmt numFmtId="173" formatCode="0.0000"/>
    <numFmt numFmtId="174" formatCode="#,##0.0000"/>
    <numFmt numFmtId="175" formatCode="_-* #,##0.0\ _€_-;\-* #,##0.0\ _€_-;_-* &quot;-&quot;??\ _€_-;_-@_-"/>
  </numFmts>
  <fonts count="62"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2"/>
      <name val="Calibri"/>
      <family val="2"/>
      <scheme val="minor"/>
    </font>
    <font>
      <b/>
      <sz val="12"/>
      <name val="Calibri"/>
      <family val="2"/>
      <scheme val="minor"/>
    </font>
    <font>
      <u/>
      <sz val="12"/>
      <name val="Calibri"/>
      <family val="2"/>
      <scheme val="minor"/>
    </font>
    <font>
      <b/>
      <sz val="11"/>
      <name val="Calibri"/>
      <family val="2"/>
      <scheme val="minor"/>
    </font>
    <font>
      <sz val="8"/>
      <name val="Calibri"/>
      <family val="2"/>
      <scheme val="minor"/>
    </font>
    <font>
      <b/>
      <sz val="14"/>
      <name val="Calibri"/>
      <family val="2"/>
      <scheme val="minor"/>
    </font>
    <font>
      <sz val="14"/>
      <name val="Calibri"/>
      <family val="2"/>
      <scheme val="minor"/>
    </font>
    <font>
      <sz val="11"/>
      <name val="Calibri"/>
      <family val="2"/>
      <scheme val="minor"/>
    </font>
    <font>
      <sz val="9"/>
      <name val="Calibri"/>
      <family val="2"/>
      <scheme val="minor"/>
    </font>
    <font>
      <b/>
      <sz val="12"/>
      <color rgb="FFFF0000"/>
      <name val="Calibri"/>
      <family val="2"/>
      <scheme val="minor"/>
    </font>
    <font>
      <b/>
      <i/>
      <sz val="13"/>
      <name val="Calibri"/>
      <family val="2"/>
      <scheme val="minor"/>
    </font>
    <font>
      <b/>
      <sz val="17"/>
      <name val="Calibri"/>
      <family val="2"/>
      <scheme val="minor"/>
    </font>
    <font>
      <b/>
      <sz val="11"/>
      <color rgb="FFFF0000"/>
      <name val="Calibri"/>
      <family val="2"/>
      <scheme val="minor"/>
    </font>
    <font>
      <sz val="13"/>
      <name val="Calibri"/>
      <family val="2"/>
      <scheme val="minor"/>
    </font>
    <font>
      <i/>
      <sz val="11"/>
      <name val="Calibri"/>
      <family val="2"/>
      <scheme val="minor"/>
    </font>
    <font>
      <b/>
      <u/>
      <sz val="11"/>
      <name val="Calibri"/>
      <family val="2"/>
      <scheme val="minor"/>
    </font>
    <font>
      <sz val="10"/>
      <color indexed="8"/>
      <name val="Arial"/>
      <family val="2"/>
    </font>
    <font>
      <sz val="11"/>
      <name val="Arial Narrow"/>
      <family val="2"/>
    </font>
    <font>
      <b/>
      <i/>
      <sz val="11"/>
      <name val="Calibri"/>
      <family val="2"/>
      <scheme val="minor"/>
    </font>
    <font>
      <u/>
      <sz val="8"/>
      <color theme="10"/>
      <name val="Trebuchet MS"/>
      <family val="2"/>
    </font>
    <font>
      <u/>
      <sz val="11"/>
      <color theme="10"/>
      <name val="Calibri"/>
      <family val="2"/>
      <scheme val="minor"/>
    </font>
    <font>
      <u/>
      <sz val="11"/>
      <name val="Calibri"/>
      <family val="2"/>
      <scheme val="minor"/>
    </font>
    <font>
      <sz val="11"/>
      <name val="Times New Roman"/>
      <family val="1"/>
    </font>
    <font>
      <b/>
      <sz val="11"/>
      <color theme="1"/>
      <name val="Calibri"/>
      <family val="2"/>
      <scheme val="minor"/>
    </font>
    <font>
      <sz val="10"/>
      <name val="Trebuchet MS"/>
      <family val="2"/>
    </font>
    <font>
      <u/>
      <sz val="11"/>
      <name val="Arial Narrow"/>
      <family val="2"/>
    </font>
    <font>
      <b/>
      <sz val="11"/>
      <color rgb="FF0070C0"/>
      <name val="Calibri"/>
      <family val="2"/>
      <scheme val="minor"/>
    </font>
    <font>
      <b/>
      <u/>
      <sz val="11"/>
      <color indexed="60"/>
      <name val="Calibri"/>
      <family val="2"/>
      <scheme val="minor"/>
    </font>
    <font>
      <b/>
      <sz val="11"/>
      <color indexed="8"/>
      <name val="Calibri"/>
      <family val="2"/>
      <scheme val="minor"/>
    </font>
    <font>
      <sz val="11"/>
      <color indexed="8"/>
      <name val="Calibri"/>
      <family val="2"/>
      <scheme val="minor"/>
    </font>
    <font>
      <b/>
      <sz val="8"/>
      <color indexed="81"/>
      <name val="Tahoma"/>
      <family val="2"/>
    </font>
    <font>
      <sz val="8"/>
      <color indexed="81"/>
      <name val="Tahoma"/>
      <family val="2"/>
    </font>
    <font>
      <b/>
      <sz val="11"/>
      <color indexed="10"/>
      <name val="Calibri"/>
      <family val="2"/>
      <scheme val="minor"/>
    </font>
    <font>
      <sz val="11"/>
      <color indexed="62"/>
      <name val="Calibri"/>
      <family val="2"/>
      <scheme val="minor"/>
    </font>
    <font>
      <b/>
      <i/>
      <sz val="11"/>
      <color theme="1"/>
      <name val="Calibri"/>
      <family val="2"/>
      <scheme val="minor"/>
    </font>
    <font>
      <sz val="12"/>
      <name val="Calibri"/>
      <family val="2"/>
      <scheme val="minor"/>
    </font>
    <font>
      <sz val="11"/>
      <name val="Calibri"/>
      <family val="2"/>
      <scheme val="minor"/>
    </font>
    <font>
      <sz val="8"/>
      <name val="Calibri"/>
      <family val="2"/>
      <scheme val="minor"/>
    </font>
    <font>
      <u/>
      <sz val="11"/>
      <color rgb="FFFF0000"/>
      <name val="Calibri"/>
      <family val="2"/>
      <scheme val="minor"/>
    </font>
    <font>
      <sz val="11"/>
      <color rgb="FFFF0000"/>
      <name val="Calibri"/>
      <family val="2"/>
      <scheme val="minor"/>
    </font>
    <font>
      <sz val="12"/>
      <name val="Calibri"/>
      <family val="2"/>
      <scheme val="minor"/>
    </font>
    <font>
      <sz val="11"/>
      <name val="Calibri"/>
      <family val="2"/>
      <scheme val="minor"/>
    </font>
    <font>
      <b/>
      <sz val="11"/>
      <color rgb="FFFF0000"/>
      <name val="Wingdings 2"/>
      <family val="1"/>
      <charset val="2"/>
    </font>
    <font>
      <b/>
      <sz val="11"/>
      <color rgb="FFFF0000"/>
      <name val="Wingdings"/>
      <charset val="2"/>
    </font>
    <font>
      <b/>
      <sz val="11"/>
      <color rgb="FFFF0000"/>
      <name val="Calibri"/>
      <family val="2"/>
    </font>
    <font>
      <b/>
      <sz val="11"/>
      <color rgb="FFFF0000"/>
      <name val="Wingdings 3"/>
      <family val="1"/>
      <charset val="2"/>
    </font>
    <font>
      <u/>
      <sz val="10"/>
      <color theme="10"/>
      <name val="Calibri"/>
      <family val="2"/>
      <scheme val="minor"/>
    </font>
    <font>
      <b/>
      <sz val="10"/>
      <name val="Calibri"/>
      <family val="2"/>
      <scheme val="minor"/>
    </font>
    <font>
      <sz val="9"/>
      <color indexed="81"/>
      <name val="Tahoma"/>
      <family val="2"/>
    </font>
    <font>
      <b/>
      <sz val="9"/>
      <color indexed="81"/>
      <name val="Tahoma"/>
      <family val="2"/>
    </font>
    <font>
      <b/>
      <sz val="11"/>
      <color theme="0"/>
      <name val="Calibri"/>
      <family val="2"/>
      <scheme val="minor"/>
    </font>
    <font>
      <b/>
      <sz val="11"/>
      <color theme="4"/>
      <name val="Calibri"/>
      <family val="2"/>
      <scheme val="minor"/>
    </font>
    <font>
      <b/>
      <sz val="10"/>
      <color theme="4"/>
      <name val="Calibri"/>
      <family val="2"/>
      <scheme val="minor"/>
    </font>
    <font>
      <b/>
      <sz val="10"/>
      <color theme="0"/>
      <name val="Calibri"/>
      <family val="2"/>
      <scheme val="minor"/>
    </font>
    <font>
      <b/>
      <sz val="10"/>
      <color rgb="FFFF0000"/>
      <name val="Calibri"/>
      <family val="2"/>
      <scheme val="minor"/>
    </font>
    <font>
      <b/>
      <sz val="10"/>
      <color theme="1"/>
      <name val="Calibri"/>
      <family val="2"/>
      <scheme val="minor"/>
    </font>
    <font>
      <sz val="10"/>
      <name val="Calibri"/>
      <family val="2"/>
      <scheme val="minor"/>
    </font>
  </fonts>
  <fills count="8">
    <fill>
      <patternFill patternType="none"/>
    </fill>
    <fill>
      <patternFill patternType="gray125"/>
    </fill>
    <fill>
      <patternFill patternType="solid">
        <fgColor indexed="27"/>
        <bgColor indexed="41"/>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rgb="FF002060"/>
        <bgColor indexed="64"/>
      </patternFill>
    </fill>
  </fills>
  <borders count="150">
    <border>
      <left/>
      <right/>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dotted">
        <color indexed="64"/>
      </left>
      <right/>
      <top style="medium">
        <color indexed="64"/>
      </top>
      <bottom style="medium">
        <color indexed="64"/>
      </bottom>
      <diagonal/>
    </border>
    <border>
      <left style="thin">
        <color indexed="64"/>
      </left>
      <right style="thin">
        <color indexed="64"/>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indexed="64"/>
      </right>
      <top style="medium">
        <color auto="1"/>
      </top>
      <bottom style="thin">
        <color auto="1"/>
      </bottom>
      <diagonal/>
    </border>
    <border>
      <left style="medium">
        <color auto="1"/>
      </left>
      <right/>
      <top style="thin">
        <color auto="1"/>
      </top>
      <bottom style="thin">
        <color auto="1"/>
      </bottom>
      <diagonal/>
    </border>
    <border>
      <left/>
      <right style="medium">
        <color indexed="64"/>
      </right>
      <top style="thin">
        <color auto="1"/>
      </top>
      <bottom style="thin">
        <color auto="1"/>
      </bottom>
      <diagonal/>
    </border>
    <border>
      <left/>
      <right/>
      <top style="thin">
        <color auto="1"/>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thin">
        <color indexed="64"/>
      </top>
      <bottom/>
      <diagonal/>
    </border>
    <border>
      <left/>
      <right/>
      <top style="double">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hair">
        <color indexed="64"/>
      </right>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bottom style="hair">
        <color indexed="64"/>
      </bottom>
      <diagonal/>
    </border>
    <border>
      <left style="thin">
        <color indexed="64"/>
      </left>
      <right style="hair">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medium">
        <color indexed="64"/>
      </left>
      <right style="thin">
        <color indexed="64"/>
      </right>
      <top/>
      <bottom style="thin">
        <color indexed="64"/>
      </bottom>
      <diagonal/>
    </border>
    <border>
      <left style="medium">
        <color indexed="64"/>
      </left>
      <right style="hair">
        <color indexed="64"/>
      </right>
      <top style="hair">
        <color indexed="64"/>
      </top>
      <bottom style="hair">
        <color indexed="64"/>
      </bottom>
      <diagonal/>
    </border>
    <border>
      <left style="thin">
        <color indexed="64"/>
      </left>
      <right/>
      <top/>
      <bottom/>
      <diagonal/>
    </border>
    <border>
      <left/>
      <right style="thin">
        <color indexed="64"/>
      </right>
      <top/>
      <bottom/>
      <diagonal/>
    </border>
    <border>
      <left style="thin">
        <color indexed="64"/>
      </left>
      <right style="hair">
        <color indexed="64"/>
      </right>
      <top style="hair">
        <color indexed="64"/>
      </top>
      <bottom style="thin">
        <color indexed="64"/>
      </bottom>
      <diagonal/>
    </border>
    <border>
      <left style="medium">
        <color indexed="64"/>
      </left>
      <right style="hair">
        <color indexed="64"/>
      </right>
      <top/>
      <bottom style="hair">
        <color indexed="64"/>
      </bottom>
      <diagonal/>
    </border>
    <border>
      <left style="thin">
        <color indexed="64"/>
      </left>
      <right style="medium">
        <color indexed="64"/>
      </right>
      <top style="hair">
        <color indexed="64"/>
      </top>
      <bottom style="hair">
        <color indexed="64"/>
      </bottom>
      <diagonal/>
    </border>
    <border>
      <left style="hair">
        <color indexed="64"/>
      </left>
      <right/>
      <top style="hair">
        <color indexed="64"/>
      </top>
      <bottom style="thin">
        <color indexed="64"/>
      </bottom>
      <diagonal/>
    </border>
    <border>
      <left style="medium">
        <color indexed="64"/>
      </left>
      <right style="thin">
        <color indexed="64"/>
      </right>
      <top style="thin">
        <color indexed="64"/>
      </top>
      <bottom/>
      <diagonal/>
    </border>
    <border>
      <left style="thin">
        <color indexed="18"/>
      </left>
      <right style="thin">
        <color indexed="64"/>
      </right>
      <top style="thin">
        <color indexed="64"/>
      </top>
      <bottom/>
      <diagonal/>
    </border>
    <border>
      <left style="thin">
        <color indexed="18"/>
      </left>
      <right style="thin">
        <color indexed="64"/>
      </right>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style="double">
        <color indexed="64"/>
      </right>
      <top style="hair">
        <color indexed="64"/>
      </top>
      <bottom style="hair">
        <color indexed="64"/>
      </bottom>
      <diagonal/>
    </border>
    <border>
      <left style="double">
        <color indexed="64"/>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right style="double">
        <color indexed="64"/>
      </right>
      <top style="hair">
        <color indexed="64"/>
      </top>
      <bottom style="thin">
        <color indexed="64"/>
      </bottom>
      <diagonal/>
    </border>
    <border>
      <left style="double">
        <color indexed="64"/>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thin">
        <color indexed="64"/>
      </right>
      <top style="hair">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bottom style="hair">
        <color indexed="64"/>
      </bottom>
      <diagonal/>
    </border>
    <border>
      <left style="hair">
        <color indexed="64"/>
      </left>
      <right style="thin">
        <color indexed="64"/>
      </right>
      <top/>
      <bottom style="thin">
        <color indexed="64"/>
      </bottom>
      <diagonal/>
    </border>
    <border>
      <left style="medium">
        <color auto="1"/>
      </left>
      <right/>
      <top style="thin">
        <color auto="1"/>
      </top>
      <bottom style="medium">
        <color indexed="64"/>
      </bottom>
      <diagonal/>
    </border>
    <border>
      <left/>
      <right style="medium">
        <color indexed="64"/>
      </right>
      <top style="thin">
        <color auto="1"/>
      </top>
      <bottom style="medium">
        <color indexed="64"/>
      </bottom>
      <diagonal/>
    </border>
    <border>
      <left style="thin">
        <color indexed="64"/>
      </left>
      <right style="thin">
        <color indexed="64"/>
      </right>
      <top/>
      <bottom style="double">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top style="hair">
        <color indexed="64"/>
      </top>
      <bottom style="thin">
        <color indexed="64"/>
      </bottom>
      <diagonal/>
    </border>
    <border>
      <left/>
      <right style="double">
        <color indexed="64"/>
      </right>
      <top style="thin">
        <color auto="1"/>
      </top>
      <bottom style="hair">
        <color auto="1"/>
      </bottom>
      <diagonal/>
    </border>
    <border>
      <left style="double">
        <color indexed="64"/>
      </left>
      <right style="thin">
        <color indexed="64"/>
      </right>
      <top style="thin">
        <color auto="1"/>
      </top>
      <bottom style="hair">
        <color auto="1"/>
      </bottom>
      <diagonal/>
    </border>
    <border>
      <left style="thin">
        <color indexed="64"/>
      </left>
      <right style="medium">
        <color indexed="64"/>
      </right>
      <top style="thin">
        <color indexed="64"/>
      </top>
      <bottom style="hair">
        <color indexed="64"/>
      </bottom>
      <diagonal/>
    </border>
    <border>
      <left/>
      <right style="medium">
        <color indexed="64"/>
      </right>
      <top/>
      <bottom style="hair">
        <color indexed="64"/>
      </bottom>
      <diagonal/>
    </border>
    <border>
      <left style="dashed">
        <color auto="1"/>
      </left>
      <right style="medium">
        <color auto="1"/>
      </right>
      <top style="medium">
        <color auto="1"/>
      </top>
      <bottom/>
      <diagonal/>
    </border>
    <border>
      <left style="dashed">
        <color auto="1"/>
      </left>
      <right style="medium">
        <color auto="1"/>
      </right>
      <top/>
      <bottom style="medium">
        <color auto="1"/>
      </bottom>
      <diagonal/>
    </border>
    <border>
      <left/>
      <right style="medium">
        <color indexed="64"/>
      </right>
      <top/>
      <bottom style="thin">
        <color auto="1"/>
      </bottom>
      <diagonal/>
    </border>
    <border>
      <left style="thin">
        <color indexed="64"/>
      </left>
      <right style="medium">
        <color indexed="64"/>
      </right>
      <top style="thin">
        <color indexed="64"/>
      </top>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right style="medium">
        <color indexed="64"/>
      </right>
      <top style="hair">
        <color indexed="64"/>
      </top>
      <bottom/>
      <diagonal/>
    </border>
    <border>
      <left style="medium">
        <color indexed="64"/>
      </left>
      <right style="medium">
        <color indexed="64"/>
      </right>
      <top style="thin">
        <color indexed="64"/>
      </top>
      <bottom style="thin">
        <color indexed="64"/>
      </bottom>
      <diagonal/>
    </border>
  </borders>
  <cellStyleXfs count="16">
    <xf numFmtId="0" fontId="0" fillId="0" borderId="0"/>
    <xf numFmtId="0" fontId="4" fillId="0" borderId="0"/>
    <xf numFmtId="164" fontId="3" fillId="0" borderId="0" applyFont="0" applyFill="0" applyBorder="0" applyAlignment="0" applyProtection="0"/>
    <xf numFmtId="9" fontId="4" fillId="0" borderId="0" applyFont="0" applyFill="0" applyBorder="0" applyAlignment="0" applyProtection="0"/>
    <xf numFmtId="0" fontId="4" fillId="0" borderId="0"/>
    <xf numFmtId="49" fontId="4" fillId="2" borderId="0" applyFont="0" applyBorder="0" applyProtection="0">
      <alignment vertical="center" readingOrder="1"/>
    </xf>
    <xf numFmtId="0" fontId="24" fillId="0" borderId="0" applyNumberFormat="0" applyFill="0" applyBorder="0" applyAlignment="0" applyProtection="0">
      <alignment vertical="top"/>
      <protection locked="0"/>
    </xf>
    <xf numFmtId="0" fontId="4" fillId="0" borderId="0"/>
    <xf numFmtId="0" fontId="4" fillId="0" borderId="0"/>
    <xf numFmtId="9" fontId="4" fillId="0" borderId="0" applyFont="0" applyFill="0" applyBorder="0" applyAlignment="0" applyProtection="0"/>
    <xf numFmtId="0" fontId="27" fillId="0" borderId="0"/>
    <xf numFmtId="0" fontId="4" fillId="0" borderId="0"/>
    <xf numFmtId="0" fontId="21" fillId="0" borderId="0">
      <alignment vertical="top"/>
    </xf>
    <xf numFmtId="164" fontId="2" fillId="0" borderId="0" applyFont="0" applyFill="0" applyBorder="0" applyAlignment="0" applyProtection="0"/>
    <xf numFmtId="9" fontId="29" fillId="0" borderId="0" applyFont="0" applyFill="0" applyBorder="0" applyAlignment="0" applyProtection="0"/>
    <xf numFmtId="0" fontId="4" fillId="0" borderId="0"/>
  </cellStyleXfs>
  <cellXfs count="1221">
    <xf numFmtId="0" fontId="0" fillId="0" borderId="0" xfId="0"/>
    <xf numFmtId="0" fontId="5" fillId="0" borderId="0" xfId="0" applyFont="1" applyAlignment="1" applyProtection="1">
      <alignment vertical="center"/>
      <protection locked="0"/>
    </xf>
    <xf numFmtId="0" fontId="7" fillId="0" borderId="0" xfId="0" applyFont="1" applyProtection="1">
      <protection locked="0"/>
    </xf>
    <xf numFmtId="49" fontId="8" fillId="0" borderId="0" xfId="0" applyNumberFormat="1" applyFont="1" applyAlignment="1" applyProtection="1">
      <alignment horizontal="right"/>
      <protection locked="0"/>
    </xf>
    <xf numFmtId="49" fontId="5" fillId="0" borderId="0" xfId="0" applyNumberFormat="1" applyFont="1" applyAlignment="1" applyProtection="1">
      <alignment horizontal="right"/>
      <protection locked="0"/>
    </xf>
    <xf numFmtId="0" fontId="8" fillId="0" borderId="0" xfId="0" applyFont="1" applyAlignment="1" applyProtection="1">
      <alignment horizontal="left"/>
      <protection locked="0"/>
    </xf>
    <xf numFmtId="0" fontId="6" fillId="0" borderId="0" xfId="0" applyFont="1" applyAlignment="1" applyProtection="1">
      <alignment horizontal="left"/>
      <protection locked="0"/>
    </xf>
    <xf numFmtId="0" fontId="5" fillId="0" borderId="0" xfId="0" applyFont="1" applyProtection="1">
      <protection locked="0"/>
    </xf>
    <xf numFmtId="49" fontId="6" fillId="0" borderId="0" xfId="0" applyNumberFormat="1" applyFont="1" applyAlignment="1" applyProtection="1">
      <alignment horizontal="right"/>
      <protection locked="0"/>
    </xf>
    <xf numFmtId="0" fontId="7" fillId="0" borderId="0" xfId="0" applyFont="1" applyAlignment="1" applyProtection="1">
      <alignment vertical="center"/>
      <protection locked="0"/>
    </xf>
    <xf numFmtId="14" fontId="10" fillId="0" borderId="15" xfId="0" applyNumberFormat="1" applyFont="1" applyBorder="1" applyAlignment="1" applyProtection="1">
      <alignment vertical="center"/>
      <protection locked="0"/>
    </xf>
    <xf numFmtId="14" fontId="10" fillId="0" borderId="16" xfId="0" applyNumberFormat="1" applyFont="1" applyBorder="1" applyAlignment="1" applyProtection="1">
      <alignment vertical="center"/>
      <protection locked="0"/>
    </xf>
    <xf numFmtId="14" fontId="10" fillId="0" borderId="17" xfId="0" applyNumberFormat="1" applyFont="1" applyBorder="1" applyAlignment="1" applyProtection="1">
      <alignment vertical="center"/>
      <protection locked="0"/>
    </xf>
    <xf numFmtId="14" fontId="10" fillId="0" borderId="18" xfId="0" applyNumberFormat="1" applyFont="1" applyBorder="1" applyAlignment="1" applyProtection="1">
      <alignment vertical="center"/>
      <protection locked="0"/>
    </xf>
    <xf numFmtId="14" fontId="10" fillId="0" borderId="0" xfId="0" applyNumberFormat="1" applyFont="1" applyAlignment="1" applyProtection="1">
      <alignment vertical="center"/>
      <protection locked="0"/>
    </xf>
    <xf numFmtId="14" fontId="10" fillId="0" borderId="19" xfId="0" applyNumberFormat="1" applyFont="1" applyBorder="1" applyAlignment="1" applyProtection="1">
      <alignment vertical="center"/>
      <protection locked="0"/>
    </xf>
    <xf numFmtId="14" fontId="13" fillId="0" borderId="0" xfId="0" applyNumberFormat="1" applyFont="1" applyAlignment="1" applyProtection="1">
      <alignment vertical="center"/>
      <protection locked="0"/>
    </xf>
    <xf numFmtId="0" fontId="8" fillId="0" borderId="15" xfId="0" applyFont="1" applyBorder="1" applyAlignment="1" applyProtection="1">
      <alignment vertical="center"/>
      <protection locked="0"/>
    </xf>
    <xf numFmtId="0" fontId="8" fillId="0" borderId="20" xfId="0" applyFont="1" applyBorder="1" applyAlignment="1" applyProtection="1">
      <alignment vertical="center"/>
      <protection locked="0"/>
    </xf>
    <xf numFmtId="0" fontId="8" fillId="0" borderId="0" xfId="0" applyFont="1" applyAlignment="1" applyProtection="1">
      <alignment vertical="center"/>
      <protection locked="0"/>
    </xf>
    <xf numFmtId="0" fontId="12" fillId="0" borderId="0" xfId="0" applyFont="1" applyAlignment="1" applyProtection="1">
      <alignment horizontal="center" vertical="center"/>
      <protection locked="0"/>
    </xf>
    <xf numFmtId="49" fontId="11" fillId="0" borderId="0" xfId="0" applyNumberFormat="1" applyFont="1" applyAlignment="1" applyProtection="1">
      <alignment horizontal="center" vertical="center"/>
      <protection locked="0"/>
    </xf>
    <xf numFmtId="14" fontId="12" fillId="0" borderId="0" xfId="0" applyNumberFormat="1" applyFont="1" applyAlignment="1" applyProtection="1">
      <alignment horizontal="center" vertical="center"/>
      <protection locked="0"/>
    </xf>
    <xf numFmtId="0" fontId="5" fillId="0" borderId="0" xfId="0" applyFont="1" applyAlignment="1" applyProtection="1">
      <alignment horizontal="left"/>
      <protection locked="0"/>
    </xf>
    <xf numFmtId="0" fontId="8" fillId="0" borderId="16" xfId="0" applyFont="1" applyBorder="1" applyAlignment="1" applyProtection="1">
      <alignment vertical="center" wrapText="1"/>
      <protection locked="0"/>
    </xf>
    <xf numFmtId="0" fontId="12" fillId="0" borderId="0" xfId="0" applyFont="1" applyProtection="1">
      <protection locked="0"/>
    </xf>
    <xf numFmtId="0" fontId="9" fillId="0" borderId="0" xfId="0" applyFont="1" applyAlignment="1" applyProtection="1">
      <alignment horizontal="center" vertical="center"/>
      <protection locked="0"/>
    </xf>
    <xf numFmtId="0" fontId="5" fillId="0" borderId="0" xfId="0" applyFont="1" applyAlignment="1">
      <alignment vertical="center"/>
    </xf>
    <xf numFmtId="0" fontId="5" fillId="0" borderId="0" xfId="0" applyFont="1"/>
    <xf numFmtId="0" fontId="8" fillId="0" borderId="18" xfId="0" applyFont="1" applyBorder="1" applyAlignment="1">
      <alignment horizontal="left"/>
    </xf>
    <xf numFmtId="0" fontId="12" fillId="0" borderId="0" xfId="0" applyFont="1"/>
    <xf numFmtId="0" fontId="8" fillId="0" borderId="0" xfId="0" applyFont="1" applyAlignment="1">
      <alignment horizontal="center"/>
    </xf>
    <xf numFmtId="0" fontId="12" fillId="0" borderId="0" xfId="0" applyFont="1" applyAlignment="1">
      <alignment horizontal="center"/>
    </xf>
    <xf numFmtId="0" fontId="12" fillId="0" borderId="0" xfId="0" applyFont="1" applyAlignment="1" applyProtection="1">
      <alignment vertical="center"/>
      <protection locked="0"/>
    </xf>
    <xf numFmtId="49" fontId="12" fillId="0" borderId="0" xfId="0" applyNumberFormat="1" applyFont="1" applyAlignment="1" applyProtection="1">
      <alignment horizontal="right"/>
      <protection locked="0"/>
    </xf>
    <xf numFmtId="0" fontId="12" fillId="0" borderId="0" xfId="0" applyFont="1" applyAlignment="1" applyProtection="1">
      <alignment horizontal="left"/>
      <protection locked="0"/>
    </xf>
    <xf numFmtId="14" fontId="12" fillId="0" borderId="0" xfId="0" applyNumberFormat="1" applyFont="1" applyAlignment="1" applyProtection="1">
      <alignment vertical="center"/>
      <protection locked="0"/>
    </xf>
    <xf numFmtId="49" fontId="12" fillId="0" borderId="0" xfId="0" applyNumberFormat="1" applyFont="1" applyAlignment="1" applyProtection="1">
      <alignment horizontal="center" vertical="center"/>
      <protection locked="0"/>
    </xf>
    <xf numFmtId="0" fontId="12" fillId="0" borderId="18" xfId="0" applyFont="1" applyBorder="1"/>
    <xf numFmtId="0" fontId="8" fillId="0" borderId="18" xfId="0" applyFont="1" applyBorder="1"/>
    <xf numFmtId="4" fontId="12" fillId="0" borderId="0" xfId="0" applyNumberFormat="1" applyFont="1"/>
    <xf numFmtId="0" fontId="8" fillId="0" borderId="0" xfId="0" applyFont="1"/>
    <xf numFmtId="4" fontId="8" fillId="0" borderId="0" xfId="0" applyNumberFormat="1" applyFont="1"/>
    <xf numFmtId="0" fontId="12" fillId="0" borderId="0" xfId="0" applyFont="1" applyAlignment="1">
      <alignment horizontal="center" vertical="center"/>
    </xf>
    <xf numFmtId="4" fontId="12" fillId="0" borderId="18" xfId="0" applyNumberFormat="1" applyFont="1" applyBorder="1" applyAlignment="1">
      <alignment horizontal="left" vertical="top"/>
    </xf>
    <xf numFmtId="0" fontId="8" fillId="0" borderId="0" xfId="0" applyFont="1" applyAlignment="1">
      <alignment horizontal="left"/>
    </xf>
    <xf numFmtId="14" fontId="8" fillId="5" borderId="60" xfId="10" applyNumberFormat="1" applyFont="1" applyFill="1" applyBorder="1" applyAlignment="1" applyProtection="1">
      <alignment horizontal="center" vertical="center" wrapText="1"/>
      <protection hidden="1"/>
    </xf>
    <xf numFmtId="14" fontId="8" fillId="0" borderId="0" xfId="10" applyNumberFormat="1" applyFont="1" applyAlignment="1" applyProtection="1">
      <alignment horizontal="center" vertical="center" wrapText="1"/>
      <protection hidden="1"/>
    </xf>
    <xf numFmtId="14" fontId="8" fillId="0" borderId="61" xfId="10" applyNumberFormat="1" applyFont="1" applyBorder="1" applyAlignment="1" applyProtection="1">
      <alignment horizontal="center" vertical="center" wrapText="1"/>
      <protection hidden="1"/>
    </xf>
    <xf numFmtId="3" fontId="12" fillId="0" borderId="3" xfId="0" applyNumberFormat="1" applyFont="1" applyBorder="1" applyAlignment="1">
      <alignment horizontal="right" vertical="center" indent="2"/>
    </xf>
    <xf numFmtId="3" fontId="12" fillId="0" borderId="3" xfId="0" applyNumberFormat="1" applyFont="1" applyBorder="1" applyAlignment="1">
      <alignment horizontal="right" indent="2"/>
    </xf>
    <xf numFmtId="3" fontId="12" fillId="0" borderId="6" xfId="0" applyNumberFormat="1" applyFont="1" applyBorder="1" applyAlignment="1">
      <alignment horizontal="right" vertical="center" indent="2"/>
    </xf>
    <xf numFmtId="3" fontId="12" fillId="0" borderId="6" xfId="0" applyNumberFormat="1" applyFont="1" applyBorder="1" applyAlignment="1">
      <alignment horizontal="right" indent="2"/>
    </xf>
    <xf numFmtId="0" fontId="8" fillId="5" borderId="62" xfId="0" applyFont="1" applyFill="1" applyBorder="1"/>
    <xf numFmtId="3" fontId="8" fillId="5" borderId="3" xfId="0" applyNumberFormat="1" applyFont="1" applyFill="1" applyBorder="1" applyAlignment="1">
      <alignment horizontal="right" vertical="center" indent="2"/>
    </xf>
    <xf numFmtId="3" fontId="8" fillId="5" borderId="63" xfId="0" applyNumberFormat="1" applyFont="1" applyFill="1" applyBorder="1" applyAlignment="1">
      <alignment horizontal="right" vertical="center" indent="2"/>
    </xf>
    <xf numFmtId="0" fontId="17" fillId="0" borderId="36" xfId="0" applyFont="1" applyBorder="1" applyAlignment="1">
      <alignment horizontal="center"/>
    </xf>
    <xf numFmtId="0" fontId="8" fillId="0" borderId="36" xfId="0" applyFont="1" applyBorder="1" applyAlignment="1">
      <alignment horizontal="center"/>
    </xf>
    <xf numFmtId="167" fontId="8" fillId="0" borderId="36" xfId="0" applyNumberFormat="1" applyFont="1" applyBorder="1" applyAlignment="1">
      <alignment horizontal="center" vertical="center"/>
    </xf>
    <xf numFmtId="168" fontId="12" fillId="0" borderId="36" xfId="0" applyNumberFormat="1" applyFont="1" applyBorder="1" applyAlignment="1">
      <alignment horizontal="center"/>
    </xf>
    <xf numFmtId="0" fontId="17" fillId="0" borderId="0" xfId="0" applyFont="1" applyAlignment="1">
      <alignment horizontal="center"/>
    </xf>
    <xf numFmtId="168" fontId="12" fillId="0" borderId="0" xfId="0" applyNumberFormat="1" applyFont="1"/>
    <xf numFmtId="167" fontId="8" fillId="0" borderId="0" xfId="0" applyNumberFormat="1" applyFont="1" applyAlignment="1">
      <alignment horizontal="center" vertical="center"/>
    </xf>
    <xf numFmtId="0" fontId="8" fillId="0" borderId="0" xfId="11" applyFont="1" applyAlignment="1" applyProtection="1">
      <alignment horizontal="center" vertical="top"/>
      <protection hidden="1"/>
    </xf>
    <xf numFmtId="14" fontId="12" fillId="0" borderId="0" xfId="0" applyNumberFormat="1" applyFont="1"/>
    <xf numFmtId="168" fontId="23" fillId="0" borderId="0" xfId="0" applyNumberFormat="1" applyFont="1"/>
    <xf numFmtId="0" fontId="12" fillId="0" borderId="1" xfId="0" applyFont="1" applyBorder="1"/>
    <xf numFmtId="0" fontId="12" fillId="0" borderId="35" xfId="0" applyFont="1" applyBorder="1" applyAlignment="1">
      <alignment horizontal="center"/>
    </xf>
    <xf numFmtId="0" fontId="12" fillId="0" borderId="2" xfId="0" applyFont="1" applyBorder="1"/>
    <xf numFmtId="168" fontId="12" fillId="0" borderId="1" xfId="0" applyNumberFormat="1" applyFont="1" applyBorder="1"/>
    <xf numFmtId="0" fontId="12" fillId="0" borderId="7" xfId="0" applyFont="1" applyBorder="1"/>
    <xf numFmtId="0" fontId="12" fillId="0" borderId="4" xfId="0" applyFont="1" applyBorder="1" applyAlignment="1">
      <alignment horizontal="center"/>
    </xf>
    <xf numFmtId="168" fontId="12" fillId="0" borderId="5" xfId="0" applyNumberFormat="1" applyFont="1" applyBorder="1"/>
    <xf numFmtId="3" fontId="8" fillId="0" borderId="24" xfId="0" applyNumberFormat="1" applyFont="1" applyBorder="1" applyAlignment="1">
      <alignment horizontal="right" vertical="center" indent="2"/>
    </xf>
    <xf numFmtId="0" fontId="8" fillId="5" borderId="64" xfId="0" applyFont="1" applyFill="1" applyBorder="1"/>
    <xf numFmtId="168" fontId="12" fillId="5" borderId="65" xfId="0" applyNumberFormat="1" applyFont="1" applyFill="1" applyBorder="1"/>
    <xf numFmtId="0" fontId="12" fillId="0" borderId="54" xfId="0" applyFont="1" applyBorder="1"/>
    <xf numFmtId="3" fontId="12" fillId="0" borderId="24" xfId="0" applyNumberFormat="1" applyFont="1" applyBorder="1" applyAlignment="1">
      <alignment horizontal="right" vertical="center" indent="2"/>
    </xf>
    <xf numFmtId="168" fontId="8" fillId="5" borderId="66" xfId="0" applyNumberFormat="1" applyFont="1" applyFill="1" applyBorder="1"/>
    <xf numFmtId="168" fontId="12" fillId="5" borderId="67" xfId="0" applyNumberFormat="1" applyFont="1" applyFill="1" applyBorder="1"/>
    <xf numFmtId="168" fontId="12" fillId="5" borderId="68" xfId="0" applyNumberFormat="1" applyFont="1" applyFill="1" applyBorder="1"/>
    <xf numFmtId="3" fontId="8" fillId="5" borderId="69" xfId="0" applyNumberFormat="1" applyFont="1" applyFill="1" applyBorder="1" applyAlignment="1">
      <alignment horizontal="right" vertical="center" indent="2"/>
    </xf>
    <xf numFmtId="168" fontId="8" fillId="0" borderId="0" xfId="0" applyNumberFormat="1" applyFont="1"/>
    <xf numFmtId="3" fontId="8" fillId="0" borderId="0" xfId="0" applyNumberFormat="1" applyFont="1" applyAlignment="1">
      <alignment horizontal="center" vertical="center"/>
    </xf>
    <xf numFmtId="167" fontId="12" fillId="0" borderId="0" xfId="0" applyNumberFormat="1" applyFont="1" applyAlignment="1">
      <alignment vertical="center"/>
    </xf>
    <xf numFmtId="0" fontId="12" fillId="0" borderId="5" xfId="0" applyFont="1" applyBorder="1"/>
    <xf numFmtId="3" fontId="8" fillId="0" borderId="0" xfId="11" applyNumberFormat="1" applyFont="1" applyAlignment="1" applyProtection="1">
      <alignment horizontal="center" vertical="top"/>
      <protection hidden="1"/>
    </xf>
    <xf numFmtId="3" fontId="8" fillId="5" borderId="3" xfId="10" applyNumberFormat="1" applyFont="1" applyFill="1" applyBorder="1" applyAlignment="1" applyProtection="1">
      <alignment horizontal="center" vertical="center" wrapText="1"/>
      <protection hidden="1"/>
    </xf>
    <xf numFmtId="0" fontId="8" fillId="5" borderId="7" xfId="0" applyFont="1" applyFill="1" applyBorder="1"/>
    <xf numFmtId="168" fontId="12" fillId="5" borderId="62" xfId="0" applyNumberFormat="1" applyFont="1" applyFill="1" applyBorder="1"/>
    <xf numFmtId="167" fontId="8" fillId="0" borderId="0" xfId="0" applyNumberFormat="1" applyFont="1"/>
    <xf numFmtId="0" fontId="8" fillId="5" borderId="3" xfId="4" applyFont="1" applyFill="1" applyBorder="1" applyAlignment="1">
      <alignment horizontal="center"/>
    </xf>
    <xf numFmtId="169" fontId="12" fillId="5" borderId="11" xfId="1" applyNumberFormat="1" applyFont="1" applyFill="1" applyBorder="1" applyAlignment="1">
      <alignment horizontal="center"/>
    </xf>
    <xf numFmtId="0" fontId="12" fillId="5" borderId="6" xfId="4" applyFont="1" applyFill="1" applyBorder="1" applyAlignment="1">
      <alignment horizontal="center"/>
    </xf>
    <xf numFmtId="169" fontId="12" fillId="0" borderId="71" xfId="1" applyNumberFormat="1" applyFont="1" applyBorder="1" applyAlignment="1">
      <alignment horizontal="right"/>
    </xf>
    <xf numFmtId="169" fontId="12" fillId="0" borderId="76" xfId="1" applyNumberFormat="1" applyFont="1" applyBorder="1" applyAlignment="1">
      <alignment horizontal="right" vertical="center"/>
    </xf>
    <xf numFmtId="0" fontId="8" fillId="5" borderId="80" xfId="1" applyFont="1" applyFill="1" applyBorder="1" applyAlignment="1">
      <alignment horizontal="left" vertical="center"/>
    </xf>
    <xf numFmtId="169" fontId="8" fillId="5" borderId="81" xfId="1" applyNumberFormat="1" applyFont="1" applyFill="1" applyBorder="1" applyAlignment="1">
      <alignment horizontal="right" vertical="center"/>
    </xf>
    <xf numFmtId="0" fontId="8" fillId="0" borderId="18" xfId="1" applyFont="1" applyBorder="1" applyAlignment="1">
      <alignment horizontal="left" vertical="center"/>
    </xf>
    <xf numFmtId="169" fontId="8" fillId="0" borderId="0" xfId="1" applyNumberFormat="1" applyFont="1" applyAlignment="1">
      <alignment horizontal="right" vertical="center"/>
    </xf>
    <xf numFmtId="0" fontId="8" fillId="0" borderId="0" xfId="4" applyFont="1" applyAlignment="1">
      <alignment horizontal="center"/>
    </xf>
    <xf numFmtId="169" fontId="26" fillId="0" borderId="0" xfId="6" applyNumberFormat="1" applyFont="1" applyFill="1" applyBorder="1" applyAlignment="1" applyProtection="1">
      <alignment horizontal="right"/>
    </xf>
    <xf numFmtId="0" fontId="12" fillId="0" borderId="18" xfId="1" applyFont="1" applyBorder="1" applyAlignment="1">
      <alignment horizontal="left" vertical="center"/>
    </xf>
    <xf numFmtId="169" fontId="12" fillId="0" borderId="0" xfId="1" applyNumberFormat="1" applyFont="1" applyAlignment="1">
      <alignment horizontal="right" vertical="center"/>
    </xf>
    <xf numFmtId="0" fontId="8" fillId="0" borderId="0" xfId="4" applyFont="1" applyAlignment="1">
      <alignment horizontal="left"/>
    </xf>
    <xf numFmtId="0" fontId="8" fillId="0" borderId="0" xfId="4" applyFont="1" applyAlignment="1">
      <alignment horizontal="right"/>
    </xf>
    <xf numFmtId="0" fontId="8" fillId="5" borderId="37" xfId="1" applyFont="1" applyFill="1" applyBorder="1" applyAlignment="1">
      <alignment horizontal="left" vertical="center"/>
    </xf>
    <xf numFmtId="169" fontId="8" fillId="5" borderId="11" xfId="1" applyNumberFormat="1" applyFont="1" applyFill="1" applyBorder="1" applyAlignment="1">
      <alignment horizontal="right" vertical="center"/>
    </xf>
    <xf numFmtId="169" fontId="8" fillId="5" borderId="10" xfId="1" applyNumberFormat="1" applyFont="1" applyFill="1" applyBorder="1" applyAlignment="1">
      <alignment horizontal="right" vertical="center"/>
    </xf>
    <xf numFmtId="169" fontId="8" fillId="0" borderId="0" xfId="1" applyNumberFormat="1" applyFont="1" applyAlignment="1">
      <alignment horizontal="right"/>
    </xf>
    <xf numFmtId="169" fontId="8" fillId="0" borderId="0" xfId="1" applyNumberFormat="1" applyFont="1"/>
    <xf numFmtId="9" fontId="19" fillId="5" borderId="81" xfId="3" applyFont="1" applyFill="1" applyBorder="1" applyAlignment="1" applyProtection="1">
      <alignment horizontal="right" vertical="center"/>
    </xf>
    <xf numFmtId="9" fontId="23" fillId="0" borderId="0" xfId="3" applyFont="1" applyFill="1" applyBorder="1" applyAlignment="1">
      <alignment horizontal="center"/>
    </xf>
    <xf numFmtId="9" fontId="23" fillId="0" borderId="0" xfId="3" applyFont="1" applyFill="1" applyBorder="1" applyAlignment="1">
      <alignment horizontal="left"/>
    </xf>
    <xf numFmtId="9" fontId="19" fillId="5" borderId="10" xfId="3" applyFont="1" applyFill="1" applyBorder="1" applyAlignment="1" applyProtection="1">
      <alignment horizontal="center" vertical="center"/>
    </xf>
    <xf numFmtId="4" fontId="8" fillId="0" borderId="0" xfId="0" applyNumberFormat="1" applyFont="1" applyAlignment="1">
      <alignment horizontal="center"/>
    </xf>
    <xf numFmtId="0" fontId="12" fillId="0" borderId="0" xfId="0" applyFont="1" applyAlignment="1">
      <alignment horizontal="right"/>
    </xf>
    <xf numFmtId="0" fontId="8" fillId="0" borderId="18" xfId="0" applyFont="1" applyBorder="1" applyAlignment="1">
      <alignment horizontal="right"/>
    </xf>
    <xf numFmtId="1" fontId="8" fillId="0" borderId="0" xfId="0" applyNumberFormat="1" applyFont="1" applyAlignment="1">
      <alignment horizontal="center" vertical="center"/>
    </xf>
    <xf numFmtId="3" fontId="8" fillId="0" borderId="0" xfId="0" applyNumberFormat="1" applyFont="1" applyAlignment="1">
      <alignment horizontal="right" indent="2"/>
    </xf>
    <xf numFmtId="166" fontId="8" fillId="0" borderId="0" xfId="0" applyNumberFormat="1" applyFont="1" applyAlignment="1">
      <alignment horizontal="center"/>
    </xf>
    <xf numFmtId="3" fontId="8" fillId="0" borderId="0" xfId="0" applyNumberFormat="1" applyFont="1" applyAlignment="1">
      <alignment horizontal="center"/>
    </xf>
    <xf numFmtId="0" fontId="23" fillId="0" borderId="18" xfId="0" applyFont="1" applyBorder="1" applyAlignment="1">
      <alignment horizontal="left"/>
    </xf>
    <xf numFmtId="0" fontId="23" fillId="0" borderId="0" xfId="0" applyFont="1"/>
    <xf numFmtId="3" fontId="23" fillId="0" borderId="0" xfId="0" applyNumberFormat="1" applyFont="1" applyAlignment="1">
      <alignment horizontal="right" indent="2"/>
    </xf>
    <xf numFmtId="1" fontId="23" fillId="0" borderId="0" xfId="0" applyNumberFormat="1" applyFont="1" applyAlignment="1">
      <alignment horizontal="right" indent="2"/>
    </xf>
    <xf numFmtId="0" fontId="12" fillId="0" borderId="0" xfId="4" applyFont="1"/>
    <xf numFmtId="0" fontId="12" fillId="0" borderId="19" xfId="4" applyFont="1" applyBorder="1"/>
    <xf numFmtId="0" fontId="12" fillId="0" borderId="38" xfId="0" applyFont="1" applyBorder="1" applyAlignment="1">
      <alignment horizontal="left" vertical="center"/>
    </xf>
    <xf numFmtId="170" fontId="12" fillId="0" borderId="0" xfId="2" applyNumberFormat="1" applyFont="1" applyBorder="1" applyAlignment="1">
      <alignment horizontal="center"/>
    </xf>
    <xf numFmtId="3" fontId="12" fillId="0" borderId="0" xfId="2" applyNumberFormat="1" applyFont="1" applyBorder="1" applyAlignment="1">
      <alignment horizontal="center"/>
    </xf>
    <xf numFmtId="4" fontId="12" fillId="0" borderId="0" xfId="2" applyNumberFormat="1" applyFont="1" applyBorder="1" applyAlignment="1">
      <alignment horizontal="center"/>
    </xf>
    <xf numFmtId="3" fontId="12" fillId="0" borderId="0" xfId="2" applyNumberFormat="1" applyFont="1" applyFill="1" applyBorder="1" applyAlignment="1">
      <alignment horizontal="center"/>
    </xf>
    <xf numFmtId="171" fontId="12" fillId="0" borderId="19" xfId="2" applyNumberFormat="1" applyFont="1" applyFill="1" applyBorder="1"/>
    <xf numFmtId="171" fontId="34" fillId="0" borderId="0" xfId="13" applyNumberFormat="1" applyFont="1" applyFill="1" applyBorder="1" applyAlignment="1">
      <alignment horizontal="left" vertical="center"/>
    </xf>
    <xf numFmtId="0" fontId="12" fillId="0" borderId="0" xfId="12" applyFont="1" applyAlignment="1">
      <alignment horizontal="left" vertical="center"/>
    </xf>
    <xf numFmtId="0" fontId="12" fillId="0" borderId="18" xfId="12" applyFont="1" applyBorder="1">
      <alignment vertical="top"/>
    </xf>
    <xf numFmtId="0" fontId="12" fillId="0" borderId="0" xfId="12" applyFont="1">
      <alignment vertical="top"/>
    </xf>
    <xf numFmtId="4" fontId="12" fillId="0" borderId="19" xfId="14" applyNumberFormat="1" applyFont="1" applyBorder="1" applyAlignment="1">
      <alignment horizontal="center" vertical="center"/>
    </xf>
    <xf numFmtId="0" fontId="12" fillId="0" borderId="18" xfId="12" applyFont="1" applyBorder="1" applyAlignment="1">
      <alignment horizontal="left" vertical="center"/>
    </xf>
    <xf numFmtId="4" fontId="12" fillId="0" borderId="19" xfId="14" applyNumberFormat="1" applyFont="1" applyBorder="1" applyAlignment="1">
      <alignment horizontal="left" vertical="center"/>
    </xf>
    <xf numFmtId="4" fontId="23" fillId="0" borderId="0" xfId="0" applyNumberFormat="1" applyFont="1" applyAlignment="1">
      <alignment horizontal="center"/>
    </xf>
    <xf numFmtId="9" fontId="23" fillId="0" borderId="0" xfId="14" applyFont="1" applyFill="1" applyBorder="1" applyAlignment="1">
      <alignment horizontal="center"/>
    </xf>
    <xf numFmtId="171" fontId="33" fillId="0" borderId="0" xfId="13" applyNumberFormat="1" applyFont="1" applyFill="1" applyBorder="1" applyAlignment="1">
      <alignment horizontal="right" vertical="top"/>
    </xf>
    <xf numFmtId="1" fontId="8" fillId="0" borderId="0" xfId="2" applyNumberFormat="1" applyFont="1" applyFill="1" applyBorder="1" applyAlignment="1">
      <alignment horizontal="center" vertical="center"/>
    </xf>
    <xf numFmtId="0" fontId="12" fillId="0" borderId="0" xfId="12" applyFont="1" applyAlignment="1">
      <alignment horizontal="right" vertical="center"/>
    </xf>
    <xf numFmtId="9" fontId="34" fillId="0" borderId="0" xfId="14" applyFont="1" applyFill="1" applyBorder="1" applyAlignment="1">
      <alignment vertical="top"/>
    </xf>
    <xf numFmtId="171" fontId="34" fillId="0" borderId="0" xfId="13" applyNumberFormat="1" applyFont="1" applyFill="1" applyBorder="1" applyAlignment="1">
      <alignment vertical="top"/>
    </xf>
    <xf numFmtId="171" fontId="34" fillId="0" borderId="0" xfId="13" applyNumberFormat="1" applyFont="1" applyFill="1" applyBorder="1" applyAlignment="1">
      <alignment horizontal="right" vertical="top"/>
    </xf>
    <xf numFmtId="2" fontId="12" fillId="0" borderId="0" xfId="14" applyNumberFormat="1" applyFont="1" applyBorder="1" applyAlignment="1">
      <alignment horizontal="center" vertical="center"/>
    </xf>
    <xf numFmtId="9" fontId="12" fillId="0" borderId="0" xfId="14" applyFont="1" applyFill="1" applyBorder="1" applyAlignment="1">
      <alignment vertical="top"/>
    </xf>
    <xf numFmtId="171" fontId="12" fillId="0" borderId="0" xfId="13" applyNumberFormat="1" applyFont="1" applyFill="1" applyBorder="1" applyAlignment="1">
      <alignment vertical="top"/>
    </xf>
    <xf numFmtId="171" fontId="12" fillId="0" borderId="0" xfId="13" applyNumberFormat="1" applyFont="1" applyFill="1" applyBorder="1" applyAlignment="1">
      <alignment horizontal="right" vertical="top"/>
    </xf>
    <xf numFmtId="1" fontId="8" fillId="0" borderId="0" xfId="14" applyNumberFormat="1" applyFont="1" applyFill="1" applyBorder="1" applyAlignment="1">
      <alignment horizontal="center" vertical="center"/>
    </xf>
    <xf numFmtId="0" fontId="23" fillId="4" borderId="18" xfId="8" applyFont="1" applyFill="1" applyBorder="1" applyAlignment="1">
      <alignment horizontal="left"/>
    </xf>
    <xf numFmtId="0" fontId="37" fillId="0" borderId="0" xfId="0" applyFont="1" applyAlignment="1">
      <alignment horizontal="center" vertical="center"/>
    </xf>
    <xf numFmtId="49" fontId="12" fillId="0" borderId="0" xfId="8" applyNumberFormat="1" applyFont="1" applyAlignment="1">
      <alignment vertical="center"/>
    </xf>
    <xf numFmtId="3" fontId="12" fillId="0" borderId="0" xfId="8" applyNumberFormat="1" applyFont="1" applyAlignment="1">
      <alignment vertical="center"/>
    </xf>
    <xf numFmtId="49" fontId="12" fillId="0" borderId="0" xfId="8" applyNumberFormat="1" applyFont="1" applyAlignment="1">
      <alignment vertical="center" wrapText="1"/>
    </xf>
    <xf numFmtId="172" fontId="12" fillId="0" borderId="0" xfId="8" applyNumberFormat="1" applyFont="1" applyAlignment="1">
      <alignment vertical="center"/>
    </xf>
    <xf numFmtId="49" fontId="31" fillId="0" borderId="0" xfId="8" applyNumberFormat="1" applyFont="1" applyAlignment="1">
      <alignment vertical="center"/>
    </xf>
    <xf numFmtId="173" fontId="12" fillId="0" borderId="0" xfId="8" applyNumberFormat="1" applyFont="1" applyAlignment="1">
      <alignment vertical="center"/>
    </xf>
    <xf numFmtId="49" fontId="12" fillId="0" borderId="18" xfId="8" applyNumberFormat="1" applyFont="1" applyBorder="1"/>
    <xf numFmtId="49" fontId="12" fillId="0" borderId="0" xfId="8" applyNumberFormat="1" applyFont="1"/>
    <xf numFmtId="3" fontId="12" fillId="0" borderId="0" xfId="8" applyNumberFormat="1" applyFont="1"/>
    <xf numFmtId="172" fontId="12" fillId="0" borderId="0" xfId="8" applyNumberFormat="1" applyFont="1"/>
    <xf numFmtId="9" fontId="39" fillId="5" borderId="19" xfId="3" applyFont="1" applyFill="1" applyBorder="1" applyAlignment="1">
      <alignment horizontal="left"/>
    </xf>
    <xf numFmtId="49" fontId="25" fillId="0" borderId="0" xfId="6" applyNumberFormat="1" applyFont="1" applyFill="1" applyBorder="1" applyAlignment="1" applyProtection="1"/>
    <xf numFmtId="173" fontId="12" fillId="0" borderId="0" xfId="8" applyNumberFormat="1" applyFont="1"/>
    <xf numFmtId="173" fontId="12" fillId="4" borderId="0" xfId="8" applyNumberFormat="1" applyFont="1" applyFill="1"/>
    <xf numFmtId="9" fontId="23" fillId="5" borderId="0" xfId="9" applyFont="1" applyFill="1" applyBorder="1" applyAlignment="1">
      <alignment horizontal="center"/>
    </xf>
    <xf numFmtId="174" fontId="8" fillId="0" borderId="0" xfId="8" applyNumberFormat="1" applyFont="1"/>
    <xf numFmtId="3" fontId="8" fillId="0" borderId="0" xfId="8" applyNumberFormat="1" applyFont="1"/>
    <xf numFmtId="9" fontId="8" fillId="0" borderId="0" xfId="9" applyFont="1" applyFill="1" applyBorder="1"/>
    <xf numFmtId="0" fontId="37" fillId="0" borderId="0" xfId="0" applyFont="1" applyAlignment="1">
      <alignment horizontal="center"/>
    </xf>
    <xf numFmtId="0" fontId="28" fillId="0" borderId="0" xfId="0" applyFont="1" applyAlignment="1">
      <alignment horizontal="center"/>
    </xf>
    <xf numFmtId="49" fontId="12" fillId="4" borderId="18" xfId="8" applyNumberFormat="1" applyFont="1" applyFill="1" applyBorder="1" applyAlignment="1">
      <alignment vertical="center"/>
    </xf>
    <xf numFmtId="49" fontId="12" fillId="4" borderId="0" xfId="8" applyNumberFormat="1" applyFont="1" applyFill="1" applyAlignment="1">
      <alignment vertical="center"/>
    </xf>
    <xf numFmtId="3" fontId="12" fillId="4" borderId="0" xfId="8" applyNumberFormat="1" applyFont="1" applyFill="1" applyAlignment="1">
      <alignment vertical="center"/>
    </xf>
    <xf numFmtId="4" fontId="12" fillId="4" borderId="0" xfId="8" applyNumberFormat="1" applyFont="1" applyFill="1" applyAlignment="1">
      <alignment vertical="center"/>
    </xf>
    <xf numFmtId="49" fontId="12" fillId="4" borderId="0" xfId="8" applyNumberFormat="1" applyFont="1" applyFill="1" applyAlignment="1">
      <alignment vertical="center" wrapText="1"/>
    </xf>
    <xf numFmtId="172" fontId="12" fillId="4" borderId="0" xfId="8" applyNumberFormat="1" applyFont="1" applyFill="1" applyAlignment="1">
      <alignment vertical="center"/>
    </xf>
    <xf numFmtId="4" fontId="31" fillId="4" borderId="0" xfId="8" applyNumberFormat="1" applyFont="1" applyFill="1" applyAlignment="1">
      <alignment horizontal="right" vertical="center" indent="2"/>
    </xf>
    <xf numFmtId="4" fontId="12" fillId="4" borderId="0" xfId="8" applyNumberFormat="1" applyFont="1" applyFill="1" applyAlignment="1">
      <alignment horizontal="right" vertical="center" indent="2"/>
    </xf>
    <xf numFmtId="49" fontId="12" fillId="4" borderId="18" xfId="8" applyNumberFormat="1" applyFont="1" applyFill="1" applyBorder="1"/>
    <xf numFmtId="49" fontId="12" fillId="4" borderId="0" xfId="8" applyNumberFormat="1" applyFont="1" applyFill="1"/>
    <xf numFmtId="3" fontId="12" fillId="4" borderId="0" xfId="8" applyNumberFormat="1" applyFont="1" applyFill="1"/>
    <xf numFmtId="172" fontId="12" fillId="4" borderId="0" xfId="8" applyNumberFormat="1" applyFont="1" applyFill="1"/>
    <xf numFmtId="9" fontId="39" fillId="0" borderId="0" xfId="3" applyFont="1" applyFill="1" applyBorder="1" applyAlignment="1">
      <alignment horizontal="left"/>
    </xf>
    <xf numFmtId="4" fontId="12" fillId="0" borderId="16" xfId="0" applyNumberFormat="1" applyFont="1" applyBorder="1"/>
    <xf numFmtId="4" fontId="26" fillId="0" borderId="0" xfId="0" applyNumberFormat="1" applyFont="1" applyAlignment="1">
      <alignment horizontal="left" vertical="top" wrapText="1"/>
    </xf>
    <xf numFmtId="4" fontId="26" fillId="0" borderId="19" xfId="0" applyNumberFormat="1" applyFont="1" applyBorder="1" applyAlignment="1">
      <alignment horizontal="left" vertical="top" wrapText="1"/>
    </xf>
    <xf numFmtId="4" fontId="12" fillId="0" borderId="20" xfId="0" applyNumberFormat="1" applyFont="1" applyBorder="1" applyAlignment="1">
      <alignment horizontal="left" vertical="top"/>
    </xf>
    <xf numFmtId="4" fontId="26" fillId="0" borderId="21" xfId="0" applyNumberFormat="1" applyFont="1" applyBorder="1" applyAlignment="1">
      <alignment horizontal="left" vertical="top" wrapText="1"/>
    </xf>
    <xf numFmtId="4" fontId="26" fillId="0" borderId="22" xfId="0" applyNumberFormat="1" applyFont="1" applyBorder="1" applyAlignment="1">
      <alignment horizontal="left" vertical="top" wrapText="1"/>
    </xf>
    <xf numFmtId="0" fontId="28" fillId="0" borderId="0" xfId="0" applyFont="1" applyAlignment="1">
      <alignment horizontal="center" vertical="center" wrapText="1"/>
    </xf>
    <xf numFmtId="0" fontId="28" fillId="0" borderId="0" xfId="0" applyFont="1" applyAlignment="1">
      <alignment horizontal="center" vertical="center"/>
    </xf>
    <xf numFmtId="4" fontId="31" fillId="0" borderId="0" xfId="8" applyNumberFormat="1" applyFont="1" applyAlignment="1">
      <alignment horizontal="right" vertical="center" indent="2"/>
    </xf>
    <xf numFmtId="4" fontId="12" fillId="0" borderId="0" xfId="8" applyNumberFormat="1" applyFont="1" applyAlignment="1">
      <alignment horizontal="right" vertical="center" indent="2"/>
    </xf>
    <xf numFmtId="49" fontId="12" fillId="0" borderId="18" xfId="8" applyNumberFormat="1" applyFont="1" applyBorder="1" applyAlignment="1">
      <alignment vertical="center"/>
    </xf>
    <xf numFmtId="173" fontId="8" fillId="0" borderId="0" xfId="8" applyNumberFormat="1" applyFont="1"/>
    <xf numFmtId="4" fontId="8" fillId="0" borderId="0" xfId="8" applyNumberFormat="1" applyFont="1" applyAlignment="1">
      <alignment horizontal="right" indent="2"/>
    </xf>
    <xf numFmtId="49" fontId="23" fillId="0" borderId="18" xfId="0" applyNumberFormat="1" applyFont="1" applyBorder="1" applyAlignment="1">
      <alignment horizontal="left"/>
    </xf>
    <xf numFmtId="164" fontId="12" fillId="0" borderId="0" xfId="13" applyFont="1" applyFill="1" applyBorder="1"/>
    <xf numFmtId="14" fontId="12" fillId="0" borderId="0" xfId="0" applyNumberFormat="1" applyFont="1" applyAlignment="1">
      <alignment horizontal="center" vertical="center"/>
    </xf>
    <xf numFmtId="0" fontId="26" fillId="0" borderId="0" xfId="6" quotePrefix="1" applyFont="1" applyFill="1" applyBorder="1" applyAlignment="1" applyProtection="1"/>
    <xf numFmtId="0" fontId="31" fillId="0" borderId="18" xfId="0" applyFont="1" applyBorder="1" applyAlignment="1">
      <alignment horizontal="left"/>
    </xf>
    <xf numFmtId="0" fontId="31" fillId="0" borderId="0" xfId="0" applyFont="1" applyAlignment="1">
      <alignment horizontal="left"/>
    </xf>
    <xf numFmtId="4" fontId="19" fillId="0" borderId="18" xfId="0" applyNumberFormat="1" applyFont="1" applyBorder="1" applyAlignment="1">
      <alignment horizontal="left" vertical="top"/>
    </xf>
    <xf numFmtId="3" fontId="12" fillId="0" borderId="0" xfId="0" applyNumberFormat="1" applyFont="1" applyAlignment="1">
      <alignment horizontal="right" vertical="top" indent="5"/>
    </xf>
    <xf numFmtId="4" fontId="19" fillId="0" borderId="0" xfId="0" applyNumberFormat="1" applyFont="1" applyAlignment="1">
      <alignment horizontal="right" vertical="top" indent="5"/>
    </xf>
    <xf numFmtId="3" fontId="12" fillId="0" borderId="0" xfId="0" applyNumberFormat="1" applyFont="1" applyAlignment="1">
      <alignment horizontal="right" indent="5"/>
    </xf>
    <xf numFmtId="4" fontId="12" fillId="0" borderId="0" xfId="0" applyNumberFormat="1" applyFont="1" applyAlignment="1">
      <alignment horizontal="right" vertical="top"/>
    </xf>
    <xf numFmtId="4" fontId="19" fillId="0" borderId="0" xfId="0" applyNumberFormat="1" applyFont="1" applyAlignment="1">
      <alignment horizontal="left" vertical="top"/>
    </xf>
    <xf numFmtId="3" fontId="8" fillId="0" borderId="0" xfId="0" applyNumberFormat="1" applyFont="1" applyAlignment="1">
      <alignment horizontal="right" indent="5"/>
    </xf>
    <xf numFmtId="4" fontId="26" fillId="0" borderId="0" xfId="0" applyNumberFormat="1" applyFont="1" applyAlignment="1">
      <alignment wrapText="1"/>
    </xf>
    <xf numFmtId="0" fontId="32" fillId="0" borderId="18" xfId="4" applyFont="1" applyBorder="1" applyAlignment="1">
      <alignment horizontal="left"/>
    </xf>
    <xf numFmtId="0" fontId="12" fillId="0" borderId="0" xfId="4" applyFont="1" applyAlignment="1">
      <alignment horizontal="right" vertical="top"/>
    </xf>
    <xf numFmtId="0" fontId="12" fillId="0" borderId="0" xfId="4" applyFont="1" applyAlignment="1">
      <alignment horizontal="right"/>
    </xf>
    <xf numFmtId="0" fontId="8" fillId="0" borderId="18" xfId="4" applyFont="1" applyBorder="1" applyAlignment="1">
      <alignment horizontal="left"/>
    </xf>
    <xf numFmtId="0" fontId="17" fillId="0" borderId="0" xfId="4" applyFont="1" applyAlignment="1">
      <alignment horizontal="right"/>
    </xf>
    <xf numFmtId="0" fontId="12" fillId="0" borderId="18" xfId="4" applyFont="1" applyBorder="1" applyAlignment="1">
      <alignment horizontal="left"/>
    </xf>
    <xf numFmtId="49" fontId="12" fillId="0" borderId="18" xfId="0" applyNumberFormat="1" applyFont="1" applyBorder="1"/>
    <xf numFmtId="165" fontId="12" fillId="0" borderId="0" xfId="2" applyNumberFormat="1" applyFont="1" applyFill="1" applyBorder="1" applyAlignment="1">
      <alignment horizontal="center" vertical="center"/>
    </xf>
    <xf numFmtId="165" fontId="12" fillId="0" borderId="0" xfId="4" applyNumberFormat="1" applyFont="1" applyAlignment="1">
      <alignment horizontal="center" vertical="center"/>
    </xf>
    <xf numFmtId="0" fontId="28" fillId="0" borderId="0" xfId="0" applyFont="1" applyAlignment="1">
      <alignment vertical="center"/>
    </xf>
    <xf numFmtId="0" fontId="28" fillId="0" borderId="19" xfId="0" applyFont="1" applyBorder="1" applyAlignment="1">
      <alignment vertical="center"/>
    </xf>
    <xf numFmtId="17" fontId="12" fillId="0" borderId="76" xfId="0" applyNumberFormat="1" applyFont="1" applyBorder="1" applyAlignment="1">
      <alignment horizontal="right" vertical="center"/>
    </xf>
    <xf numFmtId="0" fontId="12" fillId="0" borderId="80" xfId="0" applyFont="1" applyBorder="1" applyAlignment="1">
      <alignment horizontal="left" vertical="center"/>
    </xf>
    <xf numFmtId="3" fontId="8" fillId="0" borderId="0" xfId="13" applyNumberFormat="1" applyFont="1" applyFill="1" applyBorder="1" applyAlignment="1">
      <alignment horizontal="right"/>
    </xf>
    <xf numFmtId="3" fontId="12" fillId="0" borderId="0" xfId="13" applyNumberFormat="1" applyFont="1" applyFill="1" applyBorder="1" applyAlignment="1">
      <alignment horizontal="right" indent="5"/>
    </xf>
    <xf numFmtId="0" fontId="12" fillId="0" borderId="2" xfId="4" applyFont="1" applyBorder="1"/>
    <xf numFmtId="0" fontId="25" fillId="0" borderId="0" xfId="6" applyFont="1" applyFill="1" applyBorder="1" applyAlignment="1" applyProtection="1">
      <alignment horizontal="center" vertical="center"/>
    </xf>
    <xf numFmtId="0" fontId="12" fillId="0" borderId="105" xfId="0" applyFont="1" applyBorder="1" applyAlignment="1">
      <alignment horizontal="left" vertical="center"/>
    </xf>
    <xf numFmtId="0" fontId="12" fillId="0" borderId="99" xfId="0" quotePrefix="1" applyFont="1" applyBorder="1" applyAlignment="1">
      <alignment horizontal="left" vertical="center"/>
    </xf>
    <xf numFmtId="0" fontId="12" fillId="0" borderId="52" xfId="0" applyFont="1" applyBorder="1" applyAlignment="1">
      <alignment horizontal="left" vertical="center"/>
    </xf>
    <xf numFmtId="0" fontId="12" fillId="0" borderId="99" xfId="0" applyFont="1" applyBorder="1" applyAlignment="1">
      <alignment horizontal="left" vertical="center"/>
    </xf>
    <xf numFmtId="0" fontId="12" fillId="0" borderId="99" xfId="0" applyFont="1" applyBorder="1" applyAlignment="1">
      <alignment horizontal="left"/>
    </xf>
    <xf numFmtId="0" fontId="12" fillId="0" borderId="102" xfId="0" quotePrefix="1" applyFont="1" applyBorder="1" applyAlignment="1">
      <alignment horizontal="left"/>
    </xf>
    <xf numFmtId="0" fontId="8" fillId="0" borderId="42" xfId="0" applyFont="1" applyBorder="1"/>
    <xf numFmtId="170" fontId="8" fillId="0" borderId="106" xfId="2" applyNumberFormat="1" applyFont="1" applyFill="1" applyBorder="1" applyAlignment="1">
      <alignment horizontal="center"/>
    </xf>
    <xf numFmtId="170" fontId="12" fillId="0" borderId="0" xfId="2" applyNumberFormat="1" applyFont="1" applyFill="1" applyBorder="1" applyAlignment="1">
      <alignment horizontal="center"/>
    </xf>
    <xf numFmtId="0" fontId="8" fillId="0" borderId="0" xfId="12" applyFont="1" applyAlignment="1">
      <alignment vertical="center"/>
    </xf>
    <xf numFmtId="3" fontId="33" fillId="0" borderId="0" xfId="13" applyNumberFormat="1" applyFont="1" applyFill="1" applyBorder="1" applyAlignment="1">
      <alignment horizontal="right" vertical="center" indent="2"/>
    </xf>
    <xf numFmtId="170" fontId="8" fillId="0" borderId="0" xfId="2" applyNumberFormat="1" applyFont="1" applyBorder="1" applyAlignment="1">
      <alignment horizontal="center"/>
    </xf>
    <xf numFmtId="3" fontId="33" fillId="3" borderId="0" xfId="13" applyNumberFormat="1" applyFont="1" applyFill="1" applyBorder="1" applyAlignment="1">
      <alignment horizontal="right" vertical="center" indent="2"/>
    </xf>
    <xf numFmtId="171" fontId="33" fillId="0" borderId="0" xfId="13" applyNumberFormat="1" applyFont="1" applyFill="1" applyBorder="1" applyAlignment="1">
      <alignment horizontal="left" vertical="center"/>
    </xf>
    <xf numFmtId="171" fontId="8" fillId="0" borderId="19" xfId="2" applyNumberFormat="1" applyFont="1" applyFill="1" applyBorder="1"/>
    <xf numFmtId="0" fontId="17" fillId="0" borderId="0" xfId="12" applyFont="1" applyAlignment="1">
      <alignment horizontal="center" vertical="top" wrapText="1"/>
    </xf>
    <xf numFmtId="0" fontId="17" fillId="0" borderId="0" xfId="12" applyFont="1" applyAlignment="1">
      <alignment horizontal="center" vertical="top"/>
    </xf>
    <xf numFmtId="171" fontId="33" fillId="0" borderId="0" xfId="13" applyNumberFormat="1" applyFont="1" applyFill="1" applyBorder="1" applyAlignment="1">
      <alignment vertical="top"/>
    </xf>
    <xf numFmtId="0" fontId="8" fillId="0" borderId="18" xfId="12" applyFont="1" applyBorder="1" applyAlignment="1">
      <alignment horizontal="left" vertical="center"/>
    </xf>
    <xf numFmtId="9" fontId="23" fillId="0" borderId="0" xfId="0" applyNumberFormat="1" applyFont="1" applyAlignment="1">
      <alignment horizontal="right" indent="2"/>
    </xf>
    <xf numFmtId="4" fontId="12" fillId="0" borderId="0" xfId="14" applyNumberFormat="1" applyFont="1" applyFill="1" applyBorder="1" applyAlignment="1">
      <alignment horizontal="left" vertical="center"/>
    </xf>
    <xf numFmtId="4" fontId="12" fillId="0" borderId="0" xfId="14" applyNumberFormat="1" applyFont="1" applyBorder="1" applyAlignment="1">
      <alignment horizontal="left" vertical="center"/>
    </xf>
    <xf numFmtId="171" fontId="8" fillId="0" borderId="0" xfId="13" applyNumberFormat="1" applyFont="1" applyFill="1" applyBorder="1" applyAlignment="1">
      <alignment horizontal="right" vertical="top"/>
    </xf>
    <xf numFmtId="0" fontId="40" fillId="0" borderId="0" xfId="0" applyFont="1" applyAlignment="1" applyProtection="1">
      <alignment vertical="center"/>
      <protection locked="0"/>
    </xf>
    <xf numFmtId="0" fontId="40" fillId="0" borderId="0" xfId="0" applyFont="1" applyProtection="1">
      <protection locked="0"/>
    </xf>
    <xf numFmtId="0" fontId="41" fillId="0" borderId="0" xfId="0" applyFont="1" applyAlignment="1" applyProtection="1">
      <alignment horizontal="center" vertical="center"/>
      <protection locked="0"/>
    </xf>
    <xf numFmtId="0" fontId="42" fillId="0" borderId="0" xfId="0" applyFont="1" applyAlignment="1" applyProtection="1">
      <alignment horizontal="center" vertical="center"/>
      <protection locked="0"/>
    </xf>
    <xf numFmtId="0" fontId="41" fillId="0" borderId="0" xfId="0" applyFont="1" applyProtection="1">
      <protection locked="0"/>
    </xf>
    <xf numFmtId="0" fontId="12" fillId="0" borderId="16" xfId="0" applyFont="1" applyBorder="1" applyProtection="1">
      <protection locked="0"/>
    </xf>
    <xf numFmtId="0" fontId="12" fillId="0" borderId="21" xfId="0" applyFont="1" applyBorder="1" applyProtection="1">
      <protection locked="0"/>
    </xf>
    <xf numFmtId="0" fontId="8" fillId="5" borderId="0" xfId="0" applyFont="1" applyFill="1"/>
    <xf numFmtId="3" fontId="12" fillId="0" borderId="24" xfId="0" applyNumberFormat="1" applyFont="1" applyBorder="1" applyAlignment="1">
      <alignment horizontal="right" vertical="center"/>
    </xf>
    <xf numFmtId="3" fontId="12" fillId="0" borderId="3" xfId="0" applyNumberFormat="1" applyFont="1" applyBorder="1" applyAlignment="1">
      <alignment horizontal="right" vertical="center"/>
    </xf>
    <xf numFmtId="3" fontId="12" fillId="0" borderId="54" xfId="0" applyNumberFormat="1" applyFont="1" applyBorder="1" applyAlignment="1">
      <alignment horizontal="right" vertical="center"/>
    </xf>
    <xf numFmtId="3" fontId="12" fillId="0" borderId="0" xfId="0" applyNumberFormat="1" applyFont="1" applyAlignment="1">
      <alignment horizontal="right" vertical="center"/>
    </xf>
    <xf numFmtId="3" fontId="12" fillId="0" borderId="6" xfId="0" applyNumberFormat="1" applyFont="1" applyBorder="1" applyAlignment="1">
      <alignment horizontal="right" vertical="center"/>
    </xf>
    <xf numFmtId="3" fontId="8" fillId="5" borderId="24" xfId="0" applyNumberFormat="1" applyFont="1" applyFill="1" applyBorder="1" applyAlignment="1">
      <alignment horizontal="right" vertical="center"/>
    </xf>
    <xf numFmtId="3" fontId="8" fillId="0" borderId="54" xfId="0" applyNumberFormat="1" applyFont="1" applyBorder="1" applyAlignment="1">
      <alignment horizontal="right" vertical="center"/>
    </xf>
    <xf numFmtId="3" fontId="8" fillId="5" borderId="53" xfId="0" applyNumberFormat="1" applyFont="1" applyFill="1" applyBorder="1" applyAlignment="1">
      <alignment horizontal="right" vertical="center"/>
    </xf>
    <xf numFmtId="3" fontId="8" fillId="0" borderId="24" xfId="0" applyNumberFormat="1" applyFont="1" applyBorder="1" applyAlignment="1">
      <alignment horizontal="right" vertical="center"/>
    </xf>
    <xf numFmtId="0" fontId="8" fillId="0" borderId="1" xfId="0" applyFont="1" applyBorder="1"/>
    <xf numFmtId="0" fontId="8" fillId="0" borderId="7" xfId="0" applyFont="1" applyBorder="1"/>
    <xf numFmtId="0" fontId="8" fillId="0" borderId="10" xfId="0" applyFont="1" applyBorder="1"/>
    <xf numFmtId="0" fontId="12" fillId="0" borderId="0" xfId="0" applyFont="1" applyAlignment="1" applyProtection="1">
      <alignment horizontal="center"/>
      <protection locked="0"/>
    </xf>
    <xf numFmtId="168" fontId="12" fillId="0" borderId="53" xfId="0" applyNumberFormat="1" applyFont="1" applyBorder="1"/>
    <xf numFmtId="165" fontId="12" fillId="0" borderId="35" xfId="2" applyNumberFormat="1" applyFont="1" applyFill="1" applyBorder="1" applyAlignment="1">
      <alignment horizontal="center"/>
    </xf>
    <xf numFmtId="165" fontId="12" fillId="0" borderId="4" xfId="2" applyNumberFormat="1" applyFont="1" applyFill="1" applyBorder="1" applyAlignment="1">
      <alignment horizontal="center"/>
    </xf>
    <xf numFmtId="165" fontId="12" fillId="0" borderId="53" xfId="2" applyNumberFormat="1" applyFont="1" applyFill="1" applyBorder="1" applyAlignment="1">
      <alignment horizontal="center"/>
    </xf>
    <xf numFmtId="0" fontId="8" fillId="5" borderId="4" xfId="0" applyFont="1" applyFill="1" applyBorder="1"/>
    <xf numFmtId="165" fontId="12" fillId="0" borderId="24" xfId="2" applyNumberFormat="1" applyFont="1" applyFill="1" applyBorder="1" applyAlignment="1">
      <alignment horizontal="center" vertical="center"/>
    </xf>
    <xf numFmtId="3" fontId="8" fillId="5" borderId="109" xfId="0" applyNumberFormat="1" applyFont="1" applyFill="1" applyBorder="1" applyAlignment="1">
      <alignment horizontal="right" vertical="center"/>
    </xf>
    <xf numFmtId="0" fontId="12" fillId="0" borderId="35" xfId="0" applyFont="1" applyBorder="1"/>
    <xf numFmtId="0" fontId="12" fillId="0" borderId="15" xfId="0" applyFont="1" applyBorder="1" applyProtection="1">
      <protection locked="0"/>
    </xf>
    <xf numFmtId="0" fontId="12" fillId="0" borderId="17" xfId="0" applyFont="1" applyBorder="1" applyProtection="1">
      <protection locked="0"/>
    </xf>
    <xf numFmtId="0" fontId="12" fillId="0" borderId="19" xfId="0" applyFont="1" applyBorder="1" applyProtection="1">
      <protection locked="0"/>
    </xf>
    <xf numFmtId="0" fontId="12" fillId="0" borderId="18" xfId="0" applyFont="1" applyBorder="1" applyProtection="1">
      <protection locked="0"/>
    </xf>
    <xf numFmtId="0" fontId="12" fillId="0" borderId="18" xfId="0" applyFont="1" applyBorder="1" applyAlignment="1" applyProtection="1">
      <alignment horizontal="center"/>
      <protection locked="0"/>
    </xf>
    <xf numFmtId="0" fontId="12" fillId="0" borderId="19" xfId="0" applyFont="1" applyBorder="1" applyAlignment="1" applyProtection="1">
      <alignment horizontal="center"/>
      <protection locked="0"/>
    </xf>
    <xf numFmtId="0" fontId="12" fillId="0" borderId="18" xfId="0" applyFont="1" applyBorder="1" applyAlignment="1" applyProtection="1">
      <alignment vertical="center"/>
      <protection locked="0"/>
    </xf>
    <xf numFmtId="0" fontId="12" fillId="0" borderId="19" xfId="0" applyFont="1" applyBorder="1" applyAlignment="1" applyProtection="1">
      <alignment vertical="center"/>
      <protection locked="0"/>
    </xf>
    <xf numFmtId="0" fontId="12" fillId="0" borderId="20" xfId="0" applyFont="1" applyBorder="1" applyProtection="1">
      <protection locked="0"/>
    </xf>
    <xf numFmtId="0" fontId="12" fillId="0" borderId="22" xfId="0" applyFont="1" applyBorder="1" applyProtection="1">
      <protection locked="0"/>
    </xf>
    <xf numFmtId="0" fontId="12" fillId="0" borderId="0" xfId="1" applyFont="1" applyAlignment="1">
      <alignment horizontal="right"/>
    </xf>
    <xf numFmtId="0" fontId="12" fillId="4" borderId="0" xfId="1" applyFont="1" applyFill="1" applyAlignment="1">
      <alignment horizontal="right"/>
    </xf>
    <xf numFmtId="0" fontId="12" fillId="0" borderId="7" xfId="0" applyFont="1" applyBorder="1" applyProtection="1">
      <protection locked="0"/>
    </xf>
    <xf numFmtId="0" fontId="12" fillId="0" borderId="0" xfId="1" applyFont="1"/>
    <xf numFmtId="9" fontId="19" fillId="0" borderId="0" xfId="3" applyFont="1" applyFill="1" applyBorder="1"/>
    <xf numFmtId="0" fontId="12" fillId="0" borderId="0" xfId="1" applyFont="1" applyAlignment="1">
      <alignment wrapText="1"/>
    </xf>
    <xf numFmtId="0" fontId="12" fillId="0" borderId="7" xfId="1" applyFont="1" applyBorder="1" applyAlignment="1">
      <alignment horizontal="right"/>
    </xf>
    <xf numFmtId="0" fontId="12" fillId="0" borderId="18" xfId="1" applyFont="1" applyBorder="1"/>
    <xf numFmtId="10" fontId="12" fillId="0" borderId="0" xfId="0" applyNumberFormat="1" applyFont="1" applyAlignment="1">
      <alignment horizontal="right"/>
    </xf>
    <xf numFmtId="0" fontId="8" fillId="0" borderId="0" xfId="0" applyFont="1" applyAlignment="1">
      <alignment horizontal="right"/>
    </xf>
    <xf numFmtId="0" fontId="23" fillId="0" borderId="0" xfId="0" applyFont="1" applyAlignment="1">
      <alignment horizontal="left"/>
    </xf>
    <xf numFmtId="0" fontId="8" fillId="0" borderId="20" xfId="0" applyFont="1" applyBorder="1" applyAlignment="1">
      <alignment horizontal="right"/>
    </xf>
    <xf numFmtId="3" fontId="8" fillId="0" borderId="21" xfId="0" applyNumberFormat="1" applyFont="1" applyBorder="1" applyAlignment="1">
      <alignment horizontal="right" indent="2"/>
    </xf>
    <xf numFmtId="166" fontId="8" fillId="0" borderId="21" xfId="0" applyNumberFormat="1" applyFont="1" applyBorder="1" applyAlignment="1">
      <alignment horizontal="center"/>
    </xf>
    <xf numFmtId="3" fontId="8" fillId="0" borderId="21" xfId="0" applyNumberFormat="1" applyFont="1" applyBorder="1" applyAlignment="1">
      <alignment horizontal="center"/>
    </xf>
    <xf numFmtId="4" fontId="12" fillId="0" borderId="21" xfId="0" applyNumberFormat="1" applyFont="1" applyBorder="1"/>
    <xf numFmtId="0" fontId="8" fillId="0" borderId="15" xfId="0" applyFont="1" applyBorder="1" applyAlignment="1">
      <alignment horizontal="right"/>
    </xf>
    <xf numFmtId="3" fontId="8" fillId="0" borderId="16" xfId="0" applyNumberFormat="1" applyFont="1" applyBorder="1" applyAlignment="1">
      <alignment horizontal="right" indent="2"/>
    </xf>
    <xf numFmtId="166" fontId="8" fillId="0" borderId="16" xfId="0" applyNumberFormat="1" applyFont="1" applyBorder="1" applyAlignment="1">
      <alignment horizontal="center"/>
    </xf>
    <xf numFmtId="3" fontId="8" fillId="0" borderId="16" xfId="0" applyNumberFormat="1" applyFont="1" applyBorder="1" applyAlignment="1">
      <alignment horizontal="center"/>
    </xf>
    <xf numFmtId="165" fontId="12" fillId="0" borderId="0" xfId="2" applyNumberFormat="1" applyFont="1" applyFill="1" applyBorder="1"/>
    <xf numFmtId="165" fontId="12" fillId="0" borderId="0" xfId="2" applyNumberFormat="1" applyFont="1" applyFill="1" applyBorder="1" applyProtection="1">
      <protection locked="0"/>
    </xf>
    <xf numFmtId="165" fontId="23" fillId="0" borderId="0" xfId="2" applyNumberFormat="1" applyFont="1" applyFill="1" applyBorder="1"/>
    <xf numFmtId="165" fontId="23" fillId="0" borderId="0" xfId="2" applyNumberFormat="1" applyFont="1" applyFill="1" applyBorder="1" applyAlignment="1">
      <alignment horizontal="right" vertical="center" indent="2"/>
    </xf>
    <xf numFmtId="174" fontId="8" fillId="0" borderId="0" xfId="8" applyNumberFormat="1" applyFont="1" applyAlignment="1">
      <alignment horizontal="right"/>
    </xf>
    <xf numFmtId="174" fontId="23" fillId="0" borderId="0" xfId="8" applyNumberFormat="1" applyFont="1" applyAlignment="1">
      <alignment horizontal="right"/>
    </xf>
    <xf numFmtId="4" fontId="26" fillId="0" borderId="18" xfId="0" applyNumberFormat="1" applyFont="1" applyBorder="1" applyAlignment="1">
      <alignment horizontal="left" wrapText="1"/>
    </xf>
    <xf numFmtId="165" fontId="12" fillId="0" borderId="0" xfId="2" applyNumberFormat="1" applyFont="1" applyFill="1" applyBorder="1" applyAlignment="1">
      <alignment horizontal="left" vertical="center"/>
    </xf>
    <xf numFmtId="165" fontId="12" fillId="0" borderId="0" xfId="2" applyNumberFormat="1" applyFont="1" applyBorder="1" applyAlignment="1">
      <alignment horizontal="center" vertical="center"/>
    </xf>
    <xf numFmtId="171" fontId="12" fillId="0" borderId="0" xfId="2" applyNumberFormat="1" applyFont="1" applyFill="1" applyBorder="1"/>
    <xf numFmtId="4" fontId="12" fillId="0" borderId="0" xfId="14" applyNumberFormat="1" applyFont="1" applyBorder="1" applyAlignment="1">
      <alignment horizontal="center" vertical="center"/>
    </xf>
    <xf numFmtId="0" fontId="20" fillId="0" borderId="0" xfId="0" quotePrefix="1" applyFont="1"/>
    <xf numFmtId="0" fontId="20" fillId="0" borderId="18" xfId="15" applyFont="1" applyBorder="1"/>
    <xf numFmtId="0" fontId="5" fillId="0" borderId="15" xfId="0" applyFont="1" applyBorder="1" applyProtection="1">
      <protection locked="0"/>
    </xf>
    <xf numFmtId="0" fontId="5" fillId="0" borderId="16" xfId="0" applyFont="1" applyBorder="1" applyProtection="1">
      <protection locked="0"/>
    </xf>
    <xf numFmtId="0" fontId="5" fillId="0" borderId="17" xfId="0" applyFont="1" applyBorder="1" applyProtection="1">
      <protection locked="0"/>
    </xf>
    <xf numFmtId="0" fontId="12" fillId="0" borderId="18" xfId="0" quotePrefix="1" applyFont="1" applyBorder="1" applyAlignment="1">
      <alignment horizontal="left" indent="1"/>
    </xf>
    <xf numFmtId="165" fontId="12" fillId="0" borderId="49" xfId="2" applyNumberFormat="1" applyFont="1" applyFill="1" applyBorder="1" applyAlignment="1">
      <alignment horizontal="right" indent="2"/>
    </xf>
    <xf numFmtId="0" fontId="12" fillId="0" borderId="87" xfId="0" applyFont="1" applyBorder="1"/>
    <xf numFmtId="165" fontId="12" fillId="0" borderId="47" xfId="2" applyNumberFormat="1" applyFont="1" applyFill="1" applyBorder="1" applyAlignment="1">
      <alignment horizontal="right" indent="2"/>
    </xf>
    <xf numFmtId="0" fontId="12" fillId="0" borderId="77" xfId="0" applyFont="1" applyBorder="1"/>
    <xf numFmtId="165" fontId="12" fillId="0" borderId="101" xfId="2" applyNumberFormat="1" applyFont="1" applyFill="1" applyBorder="1" applyAlignment="1">
      <alignment horizontal="right" indent="2"/>
    </xf>
    <xf numFmtId="0" fontId="12" fillId="0" borderId="82" xfId="0" applyFont="1" applyBorder="1"/>
    <xf numFmtId="0" fontId="8" fillId="5" borderId="8" xfId="0" applyFont="1" applyFill="1" applyBorder="1"/>
    <xf numFmtId="3" fontId="8" fillId="5" borderId="9" xfId="0" applyNumberFormat="1" applyFont="1" applyFill="1" applyBorder="1" applyAlignment="1">
      <alignment horizontal="right" indent="2"/>
    </xf>
    <xf numFmtId="0" fontId="8" fillId="5" borderId="9" xfId="0" applyFont="1" applyFill="1" applyBorder="1"/>
    <xf numFmtId="3" fontId="8" fillId="5" borderId="10" xfId="0" applyNumberFormat="1" applyFont="1" applyFill="1" applyBorder="1" applyAlignment="1">
      <alignment horizontal="right" indent="2"/>
    </xf>
    <xf numFmtId="0" fontId="12" fillId="0" borderId="112" xfId="0" applyFont="1" applyBorder="1"/>
    <xf numFmtId="0" fontId="12" fillId="0" borderId="92" xfId="0" applyFont="1" applyBorder="1"/>
    <xf numFmtId="0" fontId="12" fillId="0" borderId="95" xfId="0" applyFont="1" applyBorder="1"/>
    <xf numFmtId="0" fontId="17" fillId="5" borderId="11" xfId="0" applyFont="1" applyFill="1" applyBorder="1" applyAlignment="1">
      <alignment horizontal="center" vertical="center"/>
    </xf>
    <xf numFmtId="4" fontId="23" fillId="0" borderId="18" xfId="0" applyNumberFormat="1" applyFont="1" applyBorder="1"/>
    <xf numFmtId="173" fontId="12" fillId="0" borderId="19" xfId="8" applyNumberFormat="1" applyFont="1" applyBorder="1"/>
    <xf numFmtId="49" fontId="12" fillId="0" borderId="20" xfId="8" applyNumberFormat="1" applyFont="1" applyBorder="1"/>
    <xf numFmtId="49" fontId="12" fillId="0" borderId="21" xfId="8" applyNumberFormat="1" applyFont="1" applyBorder="1"/>
    <xf numFmtId="3" fontId="12" fillId="0" borderId="21" xfId="8" applyNumberFormat="1" applyFont="1" applyBorder="1"/>
    <xf numFmtId="174" fontId="8" fillId="0" borderId="21" xfId="8" applyNumberFormat="1" applyFont="1" applyBorder="1"/>
    <xf numFmtId="3" fontId="8" fillId="0" borderId="21" xfId="8" applyNumberFormat="1" applyFont="1" applyBorder="1"/>
    <xf numFmtId="9" fontId="8" fillId="0" borderId="21" xfId="9" applyFont="1" applyFill="1" applyBorder="1"/>
    <xf numFmtId="172" fontId="12" fillId="0" borderId="21" xfId="8" applyNumberFormat="1" applyFont="1" applyBorder="1"/>
    <xf numFmtId="49" fontId="12" fillId="0" borderId="15" xfId="8" applyNumberFormat="1" applyFont="1" applyBorder="1"/>
    <xf numFmtId="49" fontId="12" fillId="0" borderId="16" xfId="8" applyNumberFormat="1" applyFont="1" applyBorder="1"/>
    <xf numFmtId="3" fontId="12" fillId="0" borderId="16" xfId="8" applyNumberFormat="1" applyFont="1" applyBorder="1"/>
    <xf numFmtId="174" fontId="8" fillId="0" borderId="16" xfId="8" applyNumberFormat="1" applyFont="1" applyBorder="1"/>
    <xf numFmtId="3" fontId="8" fillId="0" borderId="16" xfId="8" applyNumberFormat="1" applyFont="1" applyBorder="1"/>
    <xf numFmtId="9" fontId="8" fillId="0" borderId="16" xfId="9" applyFont="1" applyFill="1" applyBorder="1"/>
    <xf numFmtId="172" fontId="12" fillId="0" borderId="16" xfId="8" applyNumberFormat="1" applyFont="1" applyBorder="1"/>
    <xf numFmtId="4" fontId="12" fillId="0" borderId="19" xfId="0" applyNumberFormat="1" applyFont="1" applyBorder="1"/>
    <xf numFmtId="0" fontId="45" fillId="0" borderId="0" xfId="0" applyFont="1" applyAlignment="1" applyProtection="1">
      <alignment vertical="center"/>
      <protection locked="0"/>
    </xf>
    <xf numFmtId="0" fontId="45" fillId="0" borderId="0" xfId="0" applyFont="1" applyProtection="1">
      <protection locked="0"/>
    </xf>
    <xf numFmtId="0" fontId="46" fillId="0" borderId="0" xfId="0" applyFont="1" applyAlignment="1" applyProtection="1">
      <alignment horizontal="center" vertical="center"/>
      <protection locked="0"/>
    </xf>
    <xf numFmtId="0" fontId="46" fillId="0" borderId="0" xfId="0" applyFont="1" applyProtection="1">
      <protection locked="0"/>
    </xf>
    <xf numFmtId="0" fontId="46" fillId="0" borderId="0" xfId="0" applyFont="1" applyAlignment="1" applyProtection="1">
      <alignment vertical="center"/>
      <protection locked="0"/>
    </xf>
    <xf numFmtId="0" fontId="20" fillId="0" borderId="18" xfId="0" quotePrefix="1" applyFont="1" applyBorder="1"/>
    <xf numFmtId="0" fontId="19" fillId="0" borderId="18" xfId="0" applyFont="1" applyBorder="1" applyAlignment="1">
      <alignment horizontal="left" indent="1"/>
    </xf>
    <xf numFmtId="0" fontId="19" fillId="0" borderId="18" xfId="0" quotePrefix="1" applyFont="1" applyBorder="1" applyAlignment="1">
      <alignment horizontal="left" indent="1"/>
    </xf>
    <xf numFmtId="0" fontId="12" fillId="0" borderId="18" xfId="0" applyFont="1" applyBorder="1" applyAlignment="1">
      <alignment vertical="center" wrapText="1"/>
    </xf>
    <xf numFmtId="0" fontId="12" fillId="0" borderId="0" xfId="0" applyFont="1" applyAlignment="1">
      <alignment vertical="center" wrapText="1"/>
    </xf>
    <xf numFmtId="0" fontId="12" fillId="0" borderId="19" xfId="0" applyFont="1" applyBorder="1" applyAlignment="1">
      <alignment vertical="center" wrapText="1"/>
    </xf>
    <xf numFmtId="0" fontId="26" fillId="0" borderId="18" xfId="0" applyFont="1" applyBorder="1"/>
    <xf numFmtId="0" fontId="8" fillId="0" borderId="18" xfId="0" quotePrefix="1" applyFont="1" applyBorder="1"/>
    <xf numFmtId="0" fontId="12" fillId="0" borderId="18" xfId="0" quotePrefix="1" applyFont="1" applyBorder="1"/>
    <xf numFmtId="0" fontId="12" fillId="0" borderId="0" xfId="0" applyFont="1" applyAlignment="1">
      <alignment horizontal="left"/>
    </xf>
    <xf numFmtId="0" fontId="20" fillId="0" borderId="18" xfId="0" applyFont="1" applyBorder="1"/>
    <xf numFmtId="0" fontId="12" fillId="0" borderId="0" xfId="0" applyFont="1" applyAlignment="1">
      <alignment horizontal="left" vertical="top" wrapText="1" indent="2"/>
    </xf>
    <xf numFmtId="0" fontId="12" fillId="0" borderId="20" xfId="0" applyFont="1" applyBorder="1"/>
    <xf numFmtId="0" fontId="12" fillId="0" borderId="21" xfId="0" applyFont="1" applyBorder="1"/>
    <xf numFmtId="0" fontId="37" fillId="0" borderId="21" xfId="0" applyFont="1" applyBorder="1" applyAlignment="1">
      <alignment horizontal="center" vertical="center"/>
    </xf>
    <xf numFmtId="0" fontId="12" fillId="0" borderId="15" xfId="0" applyFont="1" applyBorder="1"/>
    <xf numFmtId="0" fontId="12" fillId="0" borderId="16" xfId="0" applyFont="1" applyBorder="1"/>
    <xf numFmtId="0" fontId="37" fillId="0" borderId="16" xfId="0" applyFont="1" applyBorder="1" applyAlignment="1">
      <alignment horizontal="center" vertical="center"/>
    </xf>
    <xf numFmtId="0" fontId="38" fillId="0" borderId="0" xfId="0" applyFont="1"/>
    <xf numFmtId="165" fontId="8" fillId="5" borderId="0" xfId="2" applyNumberFormat="1" applyFont="1" applyFill="1" applyBorder="1" applyAlignment="1">
      <alignment horizontal="right" indent="2"/>
    </xf>
    <xf numFmtId="165" fontId="8" fillId="5" borderId="0" xfId="2" applyNumberFormat="1" applyFont="1" applyFill="1" applyBorder="1" applyAlignment="1"/>
    <xf numFmtId="4" fontId="12" fillId="4" borderId="19" xfId="8" applyNumberFormat="1" applyFont="1" applyFill="1" applyBorder="1" applyAlignment="1">
      <alignment horizontal="right" vertical="center" indent="2"/>
    </xf>
    <xf numFmtId="165" fontId="8" fillId="5" borderId="19" xfId="2" applyNumberFormat="1" applyFont="1" applyFill="1" applyBorder="1" applyAlignment="1">
      <alignment horizontal="right" indent="2"/>
    </xf>
    <xf numFmtId="0" fontId="12" fillId="0" borderId="0" xfId="0" quotePrefix="1" applyFont="1"/>
    <xf numFmtId="49" fontId="12" fillId="0" borderId="19" xfId="8" applyNumberFormat="1" applyFont="1" applyBorder="1"/>
    <xf numFmtId="49" fontId="12" fillId="0" borderId="22" xfId="8" applyNumberFormat="1" applyFont="1" applyBorder="1"/>
    <xf numFmtId="0" fontId="12" fillId="0" borderId="0" xfId="0" applyFont="1" applyAlignment="1">
      <alignment horizontal="right" wrapText="1"/>
    </xf>
    <xf numFmtId="0" fontId="12" fillId="0" borderId="0" xfId="0" applyFont="1" applyAlignment="1" applyProtection="1">
      <alignment horizontal="right"/>
      <protection locked="0"/>
    </xf>
    <xf numFmtId="165" fontId="12" fillId="0" borderId="0" xfId="2" applyNumberFormat="1" applyFont="1" applyFill="1" applyBorder="1" applyAlignment="1">
      <alignment vertical="center"/>
    </xf>
    <xf numFmtId="165" fontId="8" fillId="0" borderId="0" xfId="2" applyNumberFormat="1" applyFont="1" applyFill="1" applyBorder="1" applyAlignment="1">
      <alignment horizontal="right" indent="2"/>
    </xf>
    <xf numFmtId="9" fontId="23" fillId="5" borderId="0" xfId="3" applyFont="1" applyFill="1" applyBorder="1" applyAlignment="1">
      <alignment horizontal="center"/>
    </xf>
    <xf numFmtId="0" fontId="31" fillId="0" borderId="86" xfId="0" applyFont="1" applyBorder="1" applyAlignment="1">
      <alignment horizontal="center" vertical="center"/>
    </xf>
    <xf numFmtId="0" fontId="31" fillId="0" borderId="76" xfId="0" applyFont="1" applyBorder="1" applyAlignment="1">
      <alignment horizontal="center" vertical="center"/>
    </xf>
    <xf numFmtId="0" fontId="25" fillId="0" borderId="81" xfId="6" quotePrefix="1" applyFont="1" applyFill="1" applyBorder="1" applyAlignment="1" applyProtection="1">
      <alignment horizontal="center" vertical="center"/>
    </xf>
    <xf numFmtId="4" fontId="12" fillId="0" borderId="0" xfId="0" applyNumberFormat="1" applyFont="1" applyAlignment="1">
      <alignment horizontal="left" vertical="top"/>
    </xf>
    <xf numFmtId="49" fontId="12" fillId="0" borderId="17" xfId="8" applyNumberFormat="1" applyFont="1" applyBorder="1"/>
    <xf numFmtId="0" fontId="28" fillId="0" borderId="19" xfId="0" applyFont="1" applyBorder="1" applyAlignment="1">
      <alignment horizontal="center"/>
    </xf>
    <xf numFmtId="165" fontId="12" fillId="0" borderId="19" xfId="2" applyNumberFormat="1" applyFont="1" applyFill="1" applyBorder="1" applyAlignment="1">
      <alignment vertical="center"/>
    </xf>
    <xf numFmtId="174" fontId="23" fillId="0" borderId="0" xfId="8" applyNumberFormat="1" applyFont="1"/>
    <xf numFmtId="1" fontId="12" fillId="0" borderId="86" xfId="0" applyNumberFormat="1" applyFont="1" applyBorder="1" applyAlignment="1">
      <alignment horizontal="left" vertical="center"/>
    </xf>
    <xf numFmtId="14" fontId="12" fillId="0" borderId="86" xfId="0" applyNumberFormat="1" applyFont="1" applyBorder="1" applyAlignment="1">
      <alignment horizontal="right" vertical="center"/>
    </xf>
    <xf numFmtId="165" fontId="12" fillId="0" borderId="86" xfId="2" applyNumberFormat="1" applyFont="1" applyFill="1" applyBorder="1" applyAlignment="1">
      <alignment horizontal="right" indent="3"/>
    </xf>
    <xf numFmtId="165" fontId="12" fillId="0" borderId="86" xfId="2" applyNumberFormat="1" applyFont="1" applyFill="1" applyBorder="1" applyAlignment="1">
      <alignment horizontal="center" vertical="center"/>
    </xf>
    <xf numFmtId="165" fontId="12" fillId="0" borderId="86" xfId="13" applyNumberFormat="1" applyFont="1" applyFill="1" applyBorder="1" applyAlignment="1">
      <alignment horizontal="center" vertical="center"/>
    </xf>
    <xf numFmtId="1" fontId="12" fillId="0" borderId="76" xfId="0" applyNumberFormat="1" applyFont="1" applyBorder="1" applyAlignment="1">
      <alignment horizontal="left" vertical="center"/>
    </xf>
    <xf numFmtId="14" fontId="12" fillId="0" borderId="76" xfId="0" applyNumberFormat="1" applyFont="1" applyBorder="1" applyAlignment="1">
      <alignment horizontal="right" vertical="center"/>
    </xf>
    <xf numFmtId="165" fontId="12" fillId="0" borderId="76" xfId="2" applyNumberFormat="1" applyFont="1" applyFill="1" applyBorder="1" applyAlignment="1">
      <alignment horizontal="right" indent="3"/>
    </xf>
    <xf numFmtId="165" fontId="12" fillId="0" borderId="76" xfId="2" applyNumberFormat="1" applyFont="1" applyFill="1" applyBorder="1" applyAlignment="1">
      <alignment horizontal="center" vertical="center"/>
    </xf>
    <xf numFmtId="165" fontId="12" fillId="0" borderId="76" xfId="13" applyNumberFormat="1" applyFont="1" applyFill="1" applyBorder="1" applyAlignment="1">
      <alignment horizontal="center" vertical="center"/>
    </xf>
    <xf numFmtId="165" fontId="12" fillId="0" borderId="76" xfId="2" applyNumberFormat="1" applyFont="1" applyFill="1" applyBorder="1" applyAlignment="1">
      <alignment horizontal="right" vertical="center" indent="3"/>
    </xf>
    <xf numFmtId="14" fontId="12" fillId="0" borderId="76" xfId="0" applyNumberFormat="1" applyFont="1" applyBorder="1" applyAlignment="1">
      <alignment horizontal="right" vertical="center" wrapText="1"/>
    </xf>
    <xf numFmtId="165" fontId="12" fillId="0" borderId="76" xfId="2" applyNumberFormat="1" applyFont="1" applyFill="1" applyBorder="1" applyAlignment="1">
      <alignment horizontal="center" vertical="center" wrapText="1"/>
    </xf>
    <xf numFmtId="1" fontId="12" fillId="0" borderId="81" xfId="0" applyNumberFormat="1" applyFont="1" applyBorder="1" applyAlignment="1">
      <alignment horizontal="left" vertical="center"/>
    </xf>
    <xf numFmtId="14" fontId="12" fillId="0" borderId="81" xfId="0" applyNumberFormat="1" applyFont="1" applyBorder="1" applyAlignment="1">
      <alignment horizontal="right" vertical="center"/>
    </xf>
    <xf numFmtId="165" fontId="12" fillId="0" borderId="81" xfId="2" applyNumberFormat="1" applyFont="1" applyFill="1" applyBorder="1" applyAlignment="1">
      <alignment horizontal="right" indent="3"/>
    </xf>
    <xf numFmtId="165" fontId="12" fillId="0" borderId="81" xfId="2" applyNumberFormat="1" applyFont="1" applyFill="1" applyBorder="1" applyAlignment="1">
      <alignment horizontal="center" vertical="center"/>
    </xf>
    <xf numFmtId="165" fontId="12" fillId="0" borderId="81" xfId="13" applyNumberFormat="1" applyFont="1" applyFill="1" applyBorder="1" applyAlignment="1">
      <alignment horizontal="center" vertical="center"/>
    </xf>
    <xf numFmtId="0" fontId="17" fillId="5" borderId="110" xfId="7" applyFont="1" applyFill="1" applyBorder="1" applyAlignment="1">
      <alignment horizontal="center" vertical="center"/>
    </xf>
    <xf numFmtId="0" fontId="44" fillId="0" borderId="117" xfId="0" applyFont="1" applyBorder="1" applyAlignment="1">
      <alignment horizontal="center" vertical="center" wrapText="1"/>
    </xf>
    <xf numFmtId="0" fontId="44" fillId="0" borderId="57" xfId="0" applyFont="1" applyBorder="1" applyAlignment="1">
      <alignment horizontal="center" vertical="center"/>
    </xf>
    <xf numFmtId="0" fontId="44" fillId="0" borderId="103" xfId="0" applyFont="1" applyBorder="1" applyAlignment="1">
      <alignment horizontal="center" vertical="center"/>
    </xf>
    <xf numFmtId="0" fontId="22" fillId="0" borderId="20" xfId="0" applyFont="1" applyBorder="1"/>
    <xf numFmtId="0" fontId="22" fillId="0" borderId="21" xfId="0" applyFont="1" applyBorder="1" applyAlignment="1">
      <alignment horizontal="center" vertical="center"/>
    </xf>
    <xf numFmtId="164" fontId="22" fillId="0" borderId="21" xfId="13" applyFont="1" applyFill="1" applyBorder="1"/>
    <xf numFmtId="14" fontId="22" fillId="0" borderId="21" xfId="0" applyNumberFormat="1" applyFont="1" applyBorder="1" applyAlignment="1">
      <alignment horizontal="center" vertical="center"/>
    </xf>
    <xf numFmtId="0" fontId="30" fillId="0" borderId="21" xfId="6" quotePrefix="1" applyFont="1" applyFill="1" applyBorder="1" applyAlignment="1" applyProtection="1"/>
    <xf numFmtId="0" fontId="22" fillId="0" borderId="30" xfId="0" applyFont="1" applyBorder="1"/>
    <xf numFmtId="0" fontId="5" fillId="0" borderId="21" xfId="0" applyFont="1" applyBorder="1" applyProtection="1">
      <protection locked="0"/>
    </xf>
    <xf numFmtId="0" fontId="5" fillId="0" borderId="22" xfId="0" applyFont="1" applyBorder="1" applyProtection="1">
      <protection locked="0"/>
    </xf>
    <xf numFmtId="3" fontId="19" fillId="0" borderId="0" xfId="0" applyNumberFormat="1" applyFont="1" applyAlignment="1">
      <alignment horizontal="right" vertical="top"/>
    </xf>
    <xf numFmtId="4" fontId="8" fillId="5" borderId="11" xfId="0" applyNumberFormat="1" applyFont="1" applyFill="1" applyBorder="1" applyAlignment="1">
      <alignment horizontal="center" vertical="center" wrapText="1"/>
    </xf>
    <xf numFmtId="165" fontId="8" fillId="5" borderId="0" xfId="2" applyNumberFormat="1" applyFont="1" applyFill="1" applyBorder="1" applyAlignment="1">
      <alignment horizontal="right" indent="5"/>
    </xf>
    <xf numFmtId="4" fontId="8" fillId="5" borderId="110" xfId="0" applyNumberFormat="1" applyFont="1" applyFill="1" applyBorder="1" applyAlignment="1">
      <alignment horizontal="center" vertical="center" wrapText="1"/>
    </xf>
    <xf numFmtId="165" fontId="8" fillId="5" borderId="110" xfId="2" applyNumberFormat="1" applyFont="1" applyFill="1" applyBorder="1" applyAlignment="1">
      <alignment horizontal="right" vertical="top" indent="5"/>
    </xf>
    <xf numFmtId="4" fontId="26" fillId="0" borderId="18" xfId="0" applyNumberFormat="1" applyFont="1" applyBorder="1" applyAlignment="1">
      <alignment horizontal="left" vertical="center"/>
    </xf>
    <xf numFmtId="49" fontId="12" fillId="0" borderId="20" xfId="0" applyNumberFormat="1" applyFont="1" applyBorder="1"/>
    <xf numFmtId="165" fontId="12" fillId="0" borderId="21" xfId="2" applyNumberFormat="1" applyFont="1" applyFill="1" applyBorder="1" applyAlignment="1">
      <alignment horizontal="center" vertical="center"/>
    </xf>
    <xf numFmtId="165" fontId="12" fillId="0" borderId="21" xfId="4" applyNumberFormat="1" applyFont="1" applyBorder="1" applyAlignment="1">
      <alignment horizontal="center" vertical="center"/>
    </xf>
    <xf numFmtId="0" fontId="25" fillId="0" borderId="21" xfId="6" applyFont="1" applyFill="1" applyBorder="1" applyAlignment="1" applyProtection="1">
      <alignment horizontal="center" vertical="center"/>
    </xf>
    <xf numFmtId="0" fontId="12" fillId="0" borderId="21" xfId="4" applyFont="1" applyBorder="1"/>
    <xf numFmtId="0" fontId="12" fillId="0" borderId="30" xfId="4" applyFont="1" applyBorder="1"/>
    <xf numFmtId="0" fontId="12" fillId="0" borderId="22" xfId="4" applyFont="1" applyBorder="1"/>
    <xf numFmtId="0" fontId="12" fillId="0" borderId="16" xfId="4" applyFont="1" applyBorder="1"/>
    <xf numFmtId="0" fontId="12" fillId="0" borderId="70" xfId="0" applyFont="1" applyBorder="1" applyAlignment="1">
      <alignment horizontal="left" vertical="center"/>
    </xf>
    <xf numFmtId="17" fontId="12" fillId="0" borderId="71" xfId="0" applyNumberFormat="1" applyFont="1" applyBorder="1" applyAlignment="1">
      <alignment horizontal="right" vertical="center"/>
    </xf>
    <xf numFmtId="17" fontId="12" fillId="0" borderId="6" xfId="0" applyNumberFormat="1" applyFont="1" applyBorder="1" applyAlignment="1">
      <alignment horizontal="right" vertical="center"/>
    </xf>
    <xf numFmtId="0" fontId="12" fillId="0" borderId="81" xfId="0" applyFont="1" applyBorder="1" applyAlignment="1">
      <alignment horizontal="left" vertical="center"/>
    </xf>
    <xf numFmtId="17" fontId="12" fillId="0" borderId="86" xfId="0" applyNumberFormat="1" applyFont="1" applyBorder="1" applyAlignment="1">
      <alignment horizontal="right" vertical="center"/>
    </xf>
    <xf numFmtId="17" fontId="12" fillId="0" borderId="81" xfId="0" applyNumberFormat="1" applyFont="1" applyBorder="1" applyAlignment="1">
      <alignment horizontal="right" vertical="center"/>
    </xf>
    <xf numFmtId="0" fontId="12" fillId="0" borderId="56" xfId="0" applyFont="1" applyBorder="1" applyAlignment="1">
      <alignment horizontal="left" vertical="center"/>
    </xf>
    <xf numFmtId="0" fontId="12" fillId="0" borderId="52" xfId="0" applyFont="1" applyBorder="1" applyAlignment="1">
      <alignment horizontal="left"/>
    </xf>
    <xf numFmtId="49" fontId="12" fillId="0" borderId="100" xfId="0" applyNumberFormat="1" applyFont="1" applyBorder="1" applyAlignment="1">
      <alignment horizontal="left"/>
    </xf>
    <xf numFmtId="165" fontId="12" fillId="0" borderId="45" xfId="2" applyNumberFormat="1" applyFont="1" applyFill="1" applyBorder="1" applyAlignment="1">
      <alignment horizontal="right" indent="2"/>
    </xf>
    <xf numFmtId="165" fontId="12" fillId="0" borderId="105" xfId="2" applyNumberFormat="1" applyFont="1" applyFill="1" applyBorder="1" applyAlignment="1">
      <alignment horizontal="right" vertical="center" indent="2"/>
    </xf>
    <xf numFmtId="165" fontId="12" fillId="0" borderId="45" xfId="2" applyNumberFormat="1" applyFont="1" applyFill="1" applyBorder="1" applyAlignment="1">
      <alignment horizontal="right" vertical="center" indent="2"/>
    </xf>
    <xf numFmtId="165" fontId="12" fillId="0" borderId="46" xfId="2" applyNumberFormat="1" applyFont="1" applyFill="1" applyBorder="1" applyAlignment="1">
      <alignment horizontal="right" indent="2"/>
    </xf>
    <xf numFmtId="165" fontId="12" fillId="0" borderId="99" xfId="2" applyNumberFormat="1" applyFont="1" applyFill="1" applyBorder="1" applyAlignment="1">
      <alignment horizontal="right" vertical="center" indent="2"/>
    </xf>
    <xf numFmtId="165" fontId="12" fillId="0" borderId="46" xfId="2" applyNumberFormat="1" applyFont="1" applyFill="1" applyBorder="1" applyAlignment="1">
      <alignment horizontal="right" vertical="center" indent="2"/>
    </xf>
    <xf numFmtId="165" fontId="12" fillId="0" borderId="55" xfId="2" applyNumberFormat="1" applyFont="1" applyFill="1" applyBorder="1" applyAlignment="1">
      <alignment horizontal="right" indent="2"/>
    </xf>
    <xf numFmtId="165" fontId="12" fillId="0" borderId="102" xfId="2" applyNumberFormat="1" applyFont="1" applyFill="1" applyBorder="1" applyAlignment="1">
      <alignment horizontal="right" vertical="center" indent="2"/>
    </xf>
    <xf numFmtId="165" fontId="34" fillId="0" borderId="0" xfId="2" applyNumberFormat="1" applyFont="1" applyFill="1" applyBorder="1" applyAlignment="1">
      <alignment horizontal="right" vertical="center"/>
    </xf>
    <xf numFmtId="165" fontId="12" fillId="0" borderId="105" xfId="2" applyNumberFormat="1" applyFont="1" applyFill="1" applyBorder="1" applyAlignment="1">
      <alignment horizontal="right" vertical="center"/>
    </xf>
    <xf numFmtId="165" fontId="12" fillId="0" borderId="99" xfId="2" applyNumberFormat="1" applyFont="1" applyFill="1" applyBorder="1" applyAlignment="1">
      <alignment horizontal="right" vertical="center"/>
    </xf>
    <xf numFmtId="165" fontId="12" fillId="0" borderId="99" xfId="2" applyNumberFormat="1" applyFont="1" applyFill="1" applyBorder="1" applyAlignment="1">
      <alignment horizontal="right"/>
    </xf>
    <xf numFmtId="165" fontId="12" fillId="0" borderId="102" xfId="2" applyNumberFormat="1" applyFont="1" applyFill="1" applyBorder="1" applyAlignment="1">
      <alignment horizontal="right"/>
    </xf>
    <xf numFmtId="3" fontId="8" fillId="0" borderId="11" xfId="2" applyNumberFormat="1" applyFont="1" applyFill="1" applyBorder="1" applyAlignment="1">
      <alignment horizontal="center"/>
    </xf>
    <xf numFmtId="171" fontId="12" fillId="0" borderId="92" xfId="2" applyNumberFormat="1" applyFont="1" applyFill="1" applyBorder="1" applyAlignment="1">
      <alignment horizontal="center"/>
    </xf>
    <xf numFmtId="0" fontId="12" fillId="0" borderId="92" xfId="0" applyFont="1" applyBorder="1" applyAlignment="1">
      <alignment horizontal="center"/>
    </xf>
    <xf numFmtId="0" fontId="13" fillId="0" borderId="119" xfId="0" applyFont="1" applyBorder="1" applyAlignment="1" applyProtection="1">
      <alignment horizontal="left" vertical="center"/>
      <protection locked="0"/>
    </xf>
    <xf numFmtId="14" fontId="13" fillId="0" borderId="120" xfId="0" applyNumberFormat="1" applyFont="1" applyBorder="1" applyAlignment="1" applyProtection="1">
      <alignment horizontal="left" vertical="center"/>
      <protection locked="0"/>
    </xf>
    <xf numFmtId="0" fontId="17" fillId="5" borderId="11" xfId="0" applyFont="1" applyFill="1" applyBorder="1" applyAlignment="1">
      <alignment horizontal="center" vertical="center" wrapText="1"/>
    </xf>
    <xf numFmtId="0" fontId="12" fillId="0" borderId="0" xfId="0" applyFont="1" applyAlignment="1" applyProtection="1">
      <alignment horizontal="center" vertical="center" wrapText="1"/>
      <protection locked="0"/>
    </xf>
    <xf numFmtId="0" fontId="8" fillId="5" borderId="104" xfId="0" applyFont="1" applyFill="1" applyBorder="1" applyAlignment="1">
      <alignment horizontal="center" vertical="center" wrapText="1"/>
    </xf>
    <xf numFmtId="14" fontId="8" fillId="5" borderId="97" xfId="0" applyNumberFormat="1" applyFont="1" applyFill="1" applyBorder="1" applyAlignment="1">
      <alignment horizontal="center" vertical="center" wrapText="1"/>
    </xf>
    <xf numFmtId="14" fontId="8" fillId="5" borderId="98" xfId="0" applyNumberFormat="1" applyFont="1" applyFill="1" applyBorder="1" applyAlignment="1">
      <alignment horizontal="center" vertical="center" wrapText="1"/>
    </xf>
    <xf numFmtId="14" fontId="8" fillId="5" borderId="104" xfId="0" applyNumberFormat="1" applyFont="1" applyFill="1" applyBorder="1" applyAlignment="1">
      <alignment horizontal="center" vertical="center" wrapText="1"/>
    </xf>
    <xf numFmtId="0" fontId="8" fillId="5" borderId="97" xfId="0" applyFont="1" applyFill="1" applyBorder="1" applyAlignment="1">
      <alignment horizontal="center" vertical="center" wrapText="1"/>
    </xf>
    <xf numFmtId="0" fontId="12" fillId="0" borderId="0" xfId="0" applyFont="1" applyAlignment="1" applyProtection="1">
      <alignment wrapText="1"/>
      <protection locked="0"/>
    </xf>
    <xf numFmtId="0" fontId="47" fillId="0" borderId="0" xfId="0" applyFont="1" applyAlignment="1" applyProtection="1">
      <alignment horizontal="center"/>
      <protection locked="0"/>
    </xf>
    <xf numFmtId="0" fontId="48" fillId="0" borderId="0" xfId="0" applyFont="1" applyAlignment="1" applyProtection="1">
      <alignment horizontal="center"/>
      <protection locked="0"/>
    </xf>
    <xf numFmtId="0" fontId="49" fillId="0" borderId="0" xfId="0" applyFont="1" applyAlignment="1" applyProtection="1">
      <alignment horizontal="center"/>
      <protection locked="0"/>
    </xf>
    <xf numFmtId="0" fontId="50" fillId="0" borderId="0" xfId="0" applyFont="1" applyAlignment="1" applyProtection="1">
      <alignment horizontal="center"/>
      <protection locked="0"/>
    </xf>
    <xf numFmtId="0" fontId="17" fillId="0" borderId="2" xfId="0" applyFont="1" applyBorder="1" applyAlignment="1">
      <alignment horizontal="center"/>
    </xf>
    <xf numFmtId="165" fontId="12" fillId="0" borderId="77" xfId="2" applyNumberFormat="1" applyFont="1" applyFill="1" applyBorder="1" applyAlignment="1">
      <alignment horizontal="center" vertical="center"/>
    </xf>
    <xf numFmtId="165" fontId="12" fillId="0" borderId="83" xfId="2" applyNumberFormat="1" applyFont="1" applyFill="1" applyBorder="1" applyAlignment="1">
      <alignment horizontal="center"/>
    </xf>
    <xf numFmtId="165" fontId="12" fillId="0" borderId="78" xfId="2" applyNumberFormat="1" applyFont="1" applyFill="1" applyBorder="1" applyAlignment="1">
      <alignment horizontal="center"/>
    </xf>
    <xf numFmtId="0" fontId="17" fillId="0" borderId="2" xfId="0" applyFont="1" applyBorder="1"/>
    <xf numFmtId="9" fontId="12" fillId="5" borderId="44" xfId="2" applyNumberFormat="1" applyFont="1" applyFill="1" applyBorder="1" applyAlignment="1">
      <alignment horizontal="right" indent="2"/>
    </xf>
    <xf numFmtId="9" fontId="12" fillId="5" borderId="105" xfId="2" applyNumberFormat="1" applyFont="1" applyFill="1" applyBorder="1" applyAlignment="1">
      <alignment horizontal="right" indent="2"/>
    </xf>
    <xf numFmtId="9" fontId="12" fillId="5" borderId="47" xfId="2" applyNumberFormat="1" applyFont="1" applyFill="1" applyBorder="1" applyAlignment="1">
      <alignment horizontal="right" indent="2"/>
    </xf>
    <xf numFmtId="9" fontId="12" fillId="5" borderId="99" xfId="2" applyNumberFormat="1" applyFont="1" applyFill="1" applyBorder="1" applyAlignment="1">
      <alignment horizontal="right" indent="2"/>
    </xf>
    <xf numFmtId="9" fontId="12" fillId="5" borderId="101" xfId="2" applyNumberFormat="1" applyFont="1" applyFill="1" applyBorder="1" applyAlignment="1">
      <alignment horizontal="right" indent="2"/>
    </xf>
    <xf numFmtId="9" fontId="12" fillId="5" borderId="102" xfId="2" applyNumberFormat="1" applyFont="1" applyFill="1" applyBorder="1" applyAlignment="1">
      <alignment horizontal="right" indent="2"/>
    </xf>
    <xf numFmtId="3" fontId="12" fillId="5" borderId="45" xfId="2" applyNumberFormat="1" applyFont="1" applyFill="1" applyBorder="1" applyAlignment="1">
      <alignment horizontal="right" indent="2"/>
    </xf>
    <xf numFmtId="3" fontId="12" fillId="5" borderId="46" xfId="2" applyNumberFormat="1" applyFont="1" applyFill="1" applyBorder="1" applyAlignment="1">
      <alignment horizontal="right" indent="2"/>
    </xf>
    <xf numFmtId="3" fontId="12" fillId="5" borderId="55" xfId="2" applyNumberFormat="1" applyFont="1" applyFill="1" applyBorder="1" applyAlignment="1">
      <alignment horizontal="right" indent="2"/>
    </xf>
    <xf numFmtId="3" fontId="8" fillId="5" borderId="11" xfId="2" applyNumberFormat="1" applyFont="1" applyFill="1" applyBorder="1" applyAlignment="1">
      <alignment horizontal="right" indent="2"/>
    </xf>
    <xf numFmtId="165" fontId="8" fillId="5" borderId="106" xfId="2" applyNumberFormat="1" applyFont="1" applyFill="1" applyBorder="1" applyAlignment="1">
      <alignment horizontal="right"/>
    </xf>
    <xf numFmtId="165" fontId="8" fillId="5" borderId="43" xfId="2" applyNumberFormat="1" applyFont="1" applyFill="1" applyBorder="1" applyAlignment="1">
      <alignment horizontal="right" indent="2"/>
    </xf>
    <xf numFmtId="165" fontId="8" fillId="5" borderId="106" xfId="2" applyNumberFormat="1" applyFont="1" applyFill="1" applyBorder="1" applyAlignment="1">
      <alignment horizontal="right" indent="2"/>
    </xf>
    <xf numFmtId="165" fontId="12" fillId="5" borderId="0" xfId="2" applyNumberFormat="1" applyFont="1" applyFill="1" applyBorder="1" applyAlignment="1">
      <alignment horizontal="center"/>
    </xf>
    <xf numFmtId="15" fontId="8" fillId="5" borderId="11" xfId="0" applyNumberFormat="1" applyFont="1" applyFill="1" applyBorder="1" applyAlignment="1">
      <alignment horizontal="center" vertical="center"/>
    </xf>
    <xf numFmtId="0" fontId="12" fillId="0" borderId="58" xfId="0" applyFont="1" applyBorder="1"/>
    <xf numFmtId="0" fontId="12" fillId="0" borderId="48" xfId="0" applyFont="1" applyBorder="1"/>
    <xf numFmtId="0" fontId="12" fillId="0" borderId="50" xfId="0" applyFont="1" applyBorder="1"/>
    <xf numFmtId="0" fontId="12" fillId="0" borderId="114" xfId="0" applyFont="1" applyBorder="1"/>
    <xf numFmtId="0" fontId="12" fillId="0" borderId="113" xfId="0" applyFont="1" applyBorder="1"/>
    <xf numFmtId="0" fontId="12" fillId="0" borderId="111" xfId="0" applyFont="1" applyBorder="1"/>
    <xf numFmtId="0" fontId="8" fillId="5" borderId="11" xfId="7" applyFont="1" applyFill="1" applyBorder="1" applyAlignment="1">
      <alignment horizontal="center" vertical="center" wrapText="1"/>
    </xf>
    <xf numFmtId="0" fontId="12" fillId="0" borderId="9" xfId="0" applyFont="1" applyBorder="1" applyAlignment="1" applyProtection="1">
      <alignment vertical="center"/>
      <protection locked="0"/>
    </xf>
    <xf numFmtId="0" fontId="12" fillId="0" borderId="53" xfId="0" applyFont="1" applyBorder="1" applyAlignment="1">
      <alignment horizontal="left" vertical="center" wrapText="1"/>
    </xf>
    <xf numFmtId="0" fontId="12" fillId="0" borderId="54" xfId="0" applyFont="1" applyBorder="1" applyAlignment="1">
      <alignment horizontal="left" vertical="center" wrapText="1"/>
    </xf>
    <xf numFmtId="169" fontId="12" fillId="5" borderId="76" xfId="1" applyNumberFormat="1" applyFont="1" applyFill="1" applyBorder="1" applyAlignment="1">
      <alignment horizontal="right" vertical="center"/>
    </xf>
    <xf numFmtId="169" fontId="12" fillId="5" borderId="11" xfId="1" applyNumberFormat="1" applyFont="1" applyFill="1" applyBorder="1" applyAlignment="1">
      <alignment horizontal="right" vertical="center"/>
    </xf>
    <xf numFmtId="9" fontId="12" fillId="5" borderId="11" xfId="3" applyFont="1" applyFill="1" applyBorder="1" applyAlignment="1">
      <alignment horizontal="right"/>
    </xf>
    <xf numFmtId="9" fontId="19" fillId="5" borderId="11" xfId="3" applyFont="1" applyFill="1" applyBorder="1"/>
    <xf numFmtId="169" fontId="8" fillId="5" borderId="11" xfId="4" applyNumberFormat="1" applyFont="1" applyFill="1" applyBorder="1" applyAlignment="1">
      <alignment horizontal="right"/>
    </xf>
    <xf numFmtId="0" fontId="17" fillId="0" borderId="0" xfId="0" applyFont="1" applyProtection="1">
      <protection locked="0"/>
    </xf>
    <xf numFmtId="9" fontId="12" fillId="0" borderId="86" xfId="3" applyFont="1" applyFill="1" applyBorder="1" applyAlignment="1">
      <alignment horizontal="center"/>
    </xf>
    <xf numFmtId="9" fontId="12" fillId="0" borderId="76" xfId="3" applyFont="1" applyFill="1" applyBorder="1" applyAlignment="1">
      <alignment horizontal="center"/>
    </xf>
    <xf numFmtId="9" fontId="12" fillId="0" borderId="81" xfId="3" applyFont="1" applyFill="1" applyBorder="1" applyAlignment="1">
      <alignment horizontal="center"/>
    </xf>
    <xf numFmtId="165" fontId="12" fillId="0" borderId="88" xfId="2" applyNumberFormat="1" applyFont="1" applyFill="1" applyBorder="1" applyAlignment="1">
      <alignment horizontal="center"/>
    </xf>
    <xf numFmtId="165" fontId="12" fillId="0" borderId="87" xfId="2" applyNumberFormat="1" applyFont="1" applyFill="1" applyBorder="1" applyAlignment="1">
      <alignment horizontal="center"/>
    </xf>
    <xf numFmtId="9" fontId="12" fillId="0" borderId="89" xfId="3" applyFont="1" applyFill="1" applyBorder="1" applyAlignment="1">
      <alignment horizontal="center"/>
    </xf>
    <xf numFmtId="165" fontId="12" fillId="0" borderId="87" xfId="2" applyNumberFormat="1" applyFont="1" applyFill="1" applyBorder="1" applyAlignment="1">
      <alignment horizontal="center" vertical="center"/>
    </xf>
    <xf numFmtId="9" fontId="12" fillId="0" borderId="89" xfId="14" applyFont="1" applyFill="1" applyBorder="1" applyAlignment="1">
      <alignment horizontal="center" vertical="center"/>
    </xf>
    <xf numFmtId="0" fontId="12" fillId="0" borderId="88" xfId="0" applyFont="1" applyBorder="1" applyAlignment="1" applyProtection="1">
      <alignment horizontal="center"/>
      <protection locked="0"/>
    </xf>
    <xf numFmtId="0" fontId="12" fillId="0" borderId="87" xfId="0" applyFont="1" applyBorder="1" applyAlignment="1" applyProtection="1">
      <alignment horizontal="center"/>
      <protection locked="0"/>
    </xf>
    <xf numFmtId="0" fontId="12" fillId="0" borderId="89" xfId="0" applyFont="1" applyBorder="1" applyAlignment="1" applyProtection="1">
      <alignment horizontal="center"/>
      <protection locked="0"/>
    </xf>
    <xf numFmtId="165" fontId="12" fillId="0" borderId="77" xfId="2" applyNumberFormat="1" applyFont="1" applyFill="1" applyBorder="1" applyAlignment="1">
      <alignment horizontal="center"/>
    </xf>
    <xf numFmtId="9" fontId="12" fillId="0" borderId="79" xfId="3" applyFont="1" applyFill="1" applyBorder="1" applyAlignment="1">
      <alignment horizontal="center"/>
    </xf>
    <xf numFmtId="9" fontId="12" fillId="0" borderId="79" xfId="14" applyFont="1" applyFill="1" applyBorder="1" applyAlignment="1">
      <alignment horizontal="center" vertical="center"/>
    </xf>
    <xf numFmtId="0" fontId="12" fillId="0" borderId="78" xfId="0" applyFont="1" applyBorder="1" applyAlignment="1" applyProtection="1">
      <alignment horizontal="center"/>
      <protection locked="0"/>
    </xf>
    <xf numFmtId="0" fontId="12" fillId="0" borderId="77" xfId="0" applyFont="1" applyBorder="1" applyAlignment="1" applyProtection="1">
      <alignment horizontal="center"/>
      <protection locked="0"/>
    </xf>
    <xf numFmtId="0" fontId="12" fillId="0" borderId="79" xfId="0" applyFont="1" applyBorder="1" applyAlignment="1" applyProtection="1">
      <alignment horizontal="center"/>
      <protection locked="0"/>
    </xf>
    <xf numFmtId="165" fontId="12" fillId="0" borderId="82" xfId="2" applyNumberFormat="1" applyFont="1" applyFill="1" applyBorder="1" applyAlignment="1">
      <alignment horizontal="center"/>
    </xf>
    <xf numFmtId="9" fontId="12" fillId="0" borderId="84" xfId="3" applyFont="1" applyFill="1" applyBorder="1" applyAlignment="1">
      <alignment horizontal="center"/>
    </xf>
    <xf numFmtId="165" fontId="12" fillId="0" borderId="82" xfId="2" applyNumberFormat="1" applyFont="1" applyFill="1" applyBorder="1" applyAlignment="1" applyProtection="1">
      <alignment horizontal="center" vertical="center"/>
    </xf>
    <xf numFmtId="165" fontId="12" fillId="0" borderId="82" xfId="2" applyNumberFormat="1" applyFont="1" applyFill="1" applyBorder="1" applyAlignment="1">
      <alignment horizontal="center" vertical="center"/>
    </xf>
    <xf numFmtId="9" fontId="12" fillId="0" borderId="84" xfId="14" applyFont="1" applyFill="1" applyBorder="1" applyAlignment="1">
      <alignment horizontal="center" vertical="center"/>
    </xf>
    <xf numFmtId="0" fontId="12" fillId="0" borderId="83" xfId="0" applyFont="1" applyBorder="1" applyAlignment="1" applyProtection="1">
      <alignment horizontal="center"/>
      <protection locked="0"/>
    </xf>
    <xf numFmtId="0" fontId="12" fillId="0" borderId="82" xfId="0" applyFont="1" applyBorder="1" applyAlignment="1" applyProtection="1">
      <alignment horizontal="center"/>
      <protection locked="0"/>
    </xf>
    <xf numFmtId="0" fontId="12" fillId="0" borderId="84" xfId="0" applyFont="1" applyBorder="1" applyAlignment="1" applyProtection="1">
      <alignment horizontal="center"/>
      <protection locked="0"/>
    </xf>
    <xf numFmtId="165" fontId="8" fillId="5" borderId="104" xfId="2" applyNumberFormat="1" applyFont="1" applyFill="1" applyBorder="1" applyAlignment="1">
      <alignment horizontal="center" vertical="top"/>
    </xf>
    <xf numFmtId="165" fontId="8" fillId="5" borderId="97" xfId="2" applyNumberFormat="1" applyFont="1" applyFill="1" applyBorder="1" applyAlignment="1">
      <alignment horizontal="center" vertical="top"/>
    </xf>
    <xf numFmtId="9" fontId="8" fillId="5" borderId="98" xfId="3" applyFont="1" applyFill="1" applyBorder="1" applyAlignment="1">
      <alignment horizontal="center" vertical="top"/>
    </xf>
    <xf numFmtId="9" fontId="8" fillId="5" borderId="98" xfId="14" applyFont="1" applyFill="1" applyBorder="1" applyAlignment="1">
      <alignment horizontal="center" vertical="top"/>
    </xf>
    <xf numFmtId="9" fontId="8" fillId="5" borderId="11" xfId="3" applyFont="1" applyFill="1" applyBorder="1" applyAlignment="1">
      <alignment horizontal="center" vertical="top"/>
    </xf>
    <xf numFmtId="169" fontId="8" fillId="5" borderId="8" xfId="1" applyNumberFormat="1" applyFont="1" applyFill="1" applyBorder="1" applyAlignment="1">
      <alignment vertical="center"/>
    </xf>
    <xf numFmtId="165" fontId="19" fillId="5" borderId="11" xfId="2" applyNumberFormat="1" applyFont="1" applyFill="1" applyBorder="1" applyAlignment="1"/>
    <xf numFmtId="9" fontId="23" fillId="5" borderId="11" xfId="3" applyFont="1" applyFill="1" applyBorder="1" applyAlignment="1" applyProtection="1">
      <alignment horizontal="center" vertical="center"/>
    </xf>
    <xf numFmtId="0" fontId="8" fillId="5" borderId="8" xfId="0" applyFont="1" applyFill="1" applyBorder="1" applyAlignment="1">
      <alignment vertical="center"/>
    </xf>
    <xf numFmtId="0" fontId="12" fillId="0" borderId="78" xfId="0" applyFont="1" applyBorder="1" applyAlignment="1">
      <alignment vertical="center"/>
    </xf>
    <xf numFmtId="0" fontId="12" fillId="0" borderId="83" xfId="0" applyFont="1" applyBorder="1" applyAlignment="1">
      <alignment vertical="center"/>
    </xf>
    <xf numFmtId="0" fontId="12" fillId="0" borderId="88" xfId="0" applyFont="1" applyBorder="1" applyAlignment="1">
      <alignment vertical="center"/>
    </xf>
    <xf numFmtId="0" fontId="12" fillId="0" borderId="0" xfId="0" applyFont="1" applyAlignment="1">
      <alignment vertical="center"/>
    </xf>
    <xf numFmtId="165" fontId="12" fillId="5" borderId="78" xfId="2" applyNumberFormat="1" applyFont="1" applyFill="1" applyBorder="1" applyAlignment="1"/>
    <xf numFmtId="165" fontId="12" fillId="5" borderId="83" xfId="2" applyNumberFormat="1" applyFont="1" applyFill="1" applyBorder="1" applyAlignment="1"/>
    <xf numFmtId="165" fontId="12" fillId="5" borderId="88" xfId="2" applyNumberFormat="1" applyFont="1" applyFill="1" applyBorder="1" applyAlignment="1"/>
    <xf numFmtId="165" fontId="12" fillId="5" borderId="79" xfId="2" applyNumberFormat="1" applyFont="1" applyFill="1" applyBorder="1" applyAlignment="1"/>
    <xf numFmtId="165" fontId="12" fillId="5" borderId="84" xfId="2" applyNumberFormat="1" applyFont="1" applyFill="1" applyBorder="1" applyAlignment="1"/>
    <xf numFmtId="165" fontId="12" fillId="5" borderId="89" xfId="2" applyNumberFormat="1" applyFont="1" applyFill="1" applyBorder="1" applyAlignment="1"/>
    <xf numFmtId="10" fontId="8" fillId="5" borderId="11" xfId="0" applyNumberFormat="1" applyFont="1" applyFill="1" applyBorder="1" applyAlignment="1">
      <alignment horizontal="center" vertical="center" wrapText="1"/>
    </xf>
    <xf numFmtId="165" fontId="12" fillId="0" borderId="86" xfId="2" applyNumberFormat="1" applyFont="1" applyFill="1" applyBorder="1" applyAlignment="1">
      <alignment vertical="center"/>
    </xf>
    <xf numFmtId="165" fontId="12" fillId="0" borderId="76" xfId="2" applyNumberFormat="1" applyFont="1" applyFill="1" applyBorder="1" applyAlignment="1">
      <alignment vertical="center"/>
    </xf>
    <xf numFmtId="165" fontId="12" fillId="0" borderId="81" xfId="2" applyNumberFormat="1" applyFont="1" applyFill="1" applyBorder="1" applyAlignment="1">
      <alignment vertical="center"/>
    </xf>
    <xf numFmtId="165" fontId="8" fillId="5" borderId="11" xfId="2" applyNumberFormat="1" applyFont="1" applyFill="1" applyBorder="1" applyAlignment="1"/>
    <xf numFmtId="165" fontId="23" fillId="5" borderId="0" xfId="2" applyNumberFormat="1" applyFont="1" applyFill="1" applyBorder="1" applyAlignment="1"/>
    <xf numFmtId="165" fontId="12" fillId="0" borderId="0" xfId="2" applyNumberFormat="1" applyFont="1" applyFill="1" applyBorder="1" applyAlignment="1"/>
    <xf numFmtId="165" fontId="12" fillId="5" borderId="0" xfId="2" applyNumberFormat="1" applyFont="1" applyFill="1" applyBorder="1" applyAlignment="1"/>
    <xf numFmtId="165" fontId="12" fillId="5" borderId="9" xfId="2" applyNumberFormat="1" applyFont="1" applyFill="1" applyBorder="1" applyAlignment="1"/>
    <xf numFmtId="165" fontId="12" fillId="5" borderId="0" xfId="0" applyNumberFormat="1" applyFont="1" applyFill="1"/>
    <xf numFmtId="165" fontId="23" fillId="5" borderId="0" xfId="2" applyNumberFormat="1" applyFont="1" applyFill="1" applyBorder="1" applyAlignment="1">
      <alignment vertical="center"/>
    </xf>
    <xf numFmtId="165" fontId="12" fillId="5" borderId="7" xfId="2" applyNumberFormat="1" applyFont="1" applyFill="1" applyBorder="1" applyAlignment="1"/>
    <xf numFmtId="15" fontId="8" fillId="5" borderId="8" xfId="0" applyNumberFormat="1" applyFont="1" applyFill="1" applyBorder="1" applyAlignment="1">
      <alignment horizontal="center" vertical="center"/>
    </xf>
    <xf numFmtId="165" fontId="12" fillId="5" borderId="7" xfId="0" applyNumberFormat="1" applyFont="1" applyFill="1" applyBorder="1"/>
    <xf numFmtId="165" fontId="12" fillId="0" borderId="0" xfId="2" applyNumberFormat="1" applyFont="1" applyFill="1" applyBorder="1" applyAlignment="1" applyProtection="1">
      <protection locked="0"/>
    </xf>
    <xf numFmtId="165" fontId="12" fillId="5" borderId="0" xfId="2" applyNumberFormat="1" applyFont="1" applyFill="1" applyBorder="1" applyAlignment="1" applyProtection="1">
      <protection locked="0"/>
    </xf>
    <xf numFmtId="165" fontId="12" fillId="5" borderId="0" xfId="0" applyNumberFormat="1" applyFont="1" applyFill="1" applyProtection="1">
      <protection locked="0"/>
    </xf>
    <xf numFmtId="165" fontId="19" fillId="5" borderId="0" xfId="2" applyNumberFormat="1" applyFont="1" applyFill="1" applyBorder="1" applyAlignment="1"/>
    <xf numFmtId="165" fontId="19" fillId="5" borderId="9" xfId="2" applyNumberFormat="1" applyFont="1" applyFill="1" applyBorder="1" applyAlignment="1"/>
    <xf numFmtId="165" fontId="23" fillId="5" borderId="11" xfId="2" applyNumberFormat="1" applyFont="1" applyFill="1" applyBorder="1" applyAlignment="1"/>
    <xf numFmtId="165" fontId="8" fillId="0" borderId="11" xfId="2" applyNumberFormat="1" applyFont="1" applyFill="1" applyBorder="1" applyAlignment="1">
      <alignment vertical="top"/>
    </xf>
    <xf numFmtId="165" fontId="8" fillId="5" borderId="11" xfId="2" applyNumberFormat="1" applyFont="1" applyFill="1" applyBorder="1" applyAlignment="1">
      <alignment vertical="center"/>
    </xf>
    <xf numFmtId="0" fontId="8" fillId="5" borderId="37" xfId="0" applyFont="1" applyFill="1" applyBorder="1" applyAlignment="1">
      <alignment vertical="center"/>
    </xf>
    <xf numFmtId="0" fontId="28" fillId="5" borderId="11" xfId="0" applyFont="1" applyFill="1" applyBorder="1" applyAlignment="1">
      <alignment vertical="center" wrapText="1"/>
    </xf>
    <xf numFmtId="3" fontId="12" fillId="0" borderId="19" xfId="8" applyNumberFormat="1" applyFont="1" applyBorder="1"/>
    <xf numFmtId="9" fontId="39" fillId="5" borderId="0" xfId="3" applyFont="1" applyFill="1" applyBorder="1" applyAlignment="1">
      <alignment horizontal="left"/>
    </xf>
    <xf numFmtId="14" fontId="12" fillId="0" borderId="86" xfId="0" applyNumberFormat="1" applyFont="1" applyBorder="1" applyAlignment="1">
      <alignment vertical="center"/>
    </xf>
    <xf numFmtId="14" fontId="12" fillId="0" borderId="76" xfId="0" applyNumberFormat="1" applyFont="1" applyBorder="1" applyAlignment="1">
      <alignment vertical="center"/>
    </xf>
    <xf numFmtId="14" fontId="12" fillId="0" borderId="81" xfId="0" applyNumberFormat="1" applyFont="1" applyBorder="1" applyAlignment="1">
      <alignment vertical="center"/>
    </xf>
    <xf numFmtId="0" fontId="8" fillId="5" borderId="11" xfId="0" applyFont="1" applyFill="1" applyBorder="1" applyAlignment="1">
      <alignment horizontal="center" vertical="center" wrapText="1"/>
    </xf>
    <xf numFmtId="165" fontId="8" fillId="3" borderId="0" xfId="2" applyNumberFormat="1" applyFont="1" applyFill="1" applyBorder="1" applyAlignment="1">
      <alignment horizontal="right" vertical="top"/>
    </xf>
    <xf numFmtId="165" fontId="8" fillId="0" borderId="0" xfId="2" applyNumberFormat="1" applyFont="1" applyBorder="1" applyAlignment="1">
      <alignment horizontal="right" vertical="center"/>
    </xf>
    <xf numFmtId="165" fontId="8" fillId="0" borderId="0" xfId="2" applyNumberFormat="1" applyFont="1" applyFill="1" applyBorder="1" applyAlignment="1">
      <alignment horizontal="right" vertical="top"/>
    </xf>
    <xf numFmtId="0" fontId="26" fillId="0" borderId="15" xfId="4" applyFont="1" applyBorder="1"/>
    <xf numFmtId="0" fontId="26" fillId="0" borderId="16" xfId="4" applyFont="1" applyBorder="1"/>
    <xf numFmtId="0" fontId="5" fillId="0" borderId="18" xfId="0" applyFont="1" applyBorder="1" applyProtection="1">
      <protection locked="0"/>
    </xf>
    <xf numFmtId="0" fontId="5" fillId="0" borderId="121" xfId="0" applyFont="1" applyBorder="1" applyProtection="1">
      <protection locked="0"/>
    </xf>
    <xf numFmtId="0" fontId="5" fillId="0" borderId="20" xfId="0" applyFont="1" applyBorder="1" applyProtection="1">
      <protection locked="0"/>
    </xf>
    <xf numFmtId="0" fontId="28" fillId="5" borderId="38" xfId="0" applyFont="1" applyFill="1" applyBorder="1" applyAlignment="1">
      <alignment horizontal="center" vertical="center"/>
    </xf>
    <xf numFmtId="0" fontId="28" fillId="5" borderId="24" xfId="0" applyFont="1" applyFill="1" applyBorder="1" applyAlignment="1">
      <alignment horizontal="center" vertical="center"/>
    </xf>
    <xf numFmtId="0" fontId="28" fillId="5" borderId="35" xfId="0" applyFont="1" applyFill="1" applyBorder="1" applyAlignment="1">
      <alignment horizontal="center" vertical="center"/>
    </xf>
    <xf numFmtId="0" fontId="28" fillId="5" borderId="3" xfId="0" applyFont="1" applyFill="1" applyBorder="1" applyAlignment="1">
      <alignment horizontal="center" vertical="center"/>
    </xf>
    <xf numFmtId="0" fontId="17" fillId="5" borderId="3" xfId="0" applyFont="1" applyFill="1" applyBorder="1" applyAlignment="1">
      <alignment horizontal="center" vertical="center"/>
    </xf>
    <xf numFmtId="0" fontId="28" fillId="5" borderId="122" xfId="0" applyFont="1" applyFill="1" applyBorder="1" applyAlignment="1">
      <alignment horizontal="center" vertical="center"/>
    </xf>
    <xf numFmtId="0" fontId="1" fillId="0" borderId="85" xfId="0" applyFont="1" applyBorder="1" applyAlignment="1">
      <alignment vertical="center"/>
    </xf>
    <xf numFmtId="0" fontId="1" fillId="0" borderId="87" xfId="0" applyFont="1" applyBorder="1" applyAlignment="1">
      <alignment vertical="center"/>
    </xf>
    <xf numFmtId="4" fontId="1" fillId="0" borderId="86" xfId="0" applyNumberFormat="1" applyFont="1" applyBorder="1" applyAlignment="1">
      <alignment vertical="center"/>
    </xf>
    <xf numFmtId="3" fontId="1" fillId="0" borderId="115" xfId="0" applyNumberFormat="1" applyFont="1" applyBorder="1" applyAlignment="1">
      <alignment horizontal="right" vertical="center"/>
    </xf>
    <xf numFmtId="4" fontId="1" fillId="0" borderId="88" xfId="0" applyNumberFormat="1" applyFont="1" applyBorder="1" applyAlignment="1">
      <alignment vertical="center"/>
    </xf>
    <xf numFmtId="14" fontId="1" fillId="0" borderId="116" xfId="0" applyNumberFormat="1" applyFont="1" applyBorder="1" applyAlignment="1">
      <alignment horizontal="center" vertical="center"/>
    </xf>
    <xf numFmtId="1" fontId="1" fillId="0" borderId="89" xfId="0" applyNumberFormat="1" applyFont="1" applyBorder="1" applyAlignment="1">
      <alignment horizontal="right" vertical="center"/>
    </xf>
    <xf numFmtId="0" fontId="31" fillId="0" borderId="89" xfId="0" applyFont="1" applyBorder="1" applyAlignment="1">
      <alignment horizontal="center" vertical="center"/>
    </xf>
    <xf numFmtId="4" fontId="1" fillId="0" borderId="115" xfId="0" applyNumberFormat="1" applyFont="1" applyBorder="1" applyAlignment="1">
      <alignment horizontal="right" vertical="center"/>
    </xf>
    <xf numFmtId="4" fontId="1" fillId="0" borderId="116" xfId="0" applyNumberFormat="1" applyFont="1" applyBorder="1" applyAlignment="1">
      <alignment horizontal="right" vertical="center"/>
    </xf>
    <xf numFmtId="3" fontId="1" fillId="0" borderId="112" xfId="0" applyNumberFormat="1" applyFont="1" applyBorder="1" applyAlignment="1">
      <alignment horizontal="right" vertical="center"/>
    </xf>
    <xf numFmtId="0" fontId="1" fillId="0" borderId="75" xfId="0" applyFont="1" applyBorder="1" applyAlignment="1">
      <alignment vertical="center"/>
    </xf>
    <xf numFmtId="0" fontId="1" fillId="0" borderId="77" xfId="0" applyFont="1" applyBorder="1" applyAlignment="1">
      <alignment vertical="center"/>
    </xf>
    <xf numFmtId="4" fontId="1" fillId="0" borderId="76" xfId="0" applyNumberFormat="1" applyFont="1" applyBorder="1" applyAlignment="1">
      <alignment vertical="center"/>
    </xf>
    <xf numFmtId="3" fontId="1" fillId="0" borderId="90" xfId="0" applyNumberFormat="1" applyFont="1" applyBorder="1" applyAlignment="1">
      <alignment horizontal="right" vertical="center"/>
    </xf>
    <xf numFmtId="4" fontId="1" fillId="0" borderId="78" xfId="0" applyNumberFormat="1" applyFont="1" applyBorder="1" applyAlignment="1">
      <alignment vertical="center"/>
    </xf>
    <xf numFmtId="14" fontId="1" fillId="0" borderId="91" xfId="0" applyNumberFormat="1" applyFont="1" applyBorder="1" applyAlignment="1">
      <alignment horizontal="center" vertical="center"/>
    </xf>
    <xf numFmtId="1" fontId="1" fillId="0" borderId="79" xfId="0" applyNumberFormat="1" applyFont="1" applyBorder="1" applyAlignment="1">
      <alignment horizontal="right" vertical="center"/>
    </xf>
    <xf numFmtId="0" fontId="31" fillId="0" borderId="79" xfId="0" applyFont="1" applyBorder="1" applyAlignment="1">
      <alignment horizontal="center" vertical="center"/>
    </xf>
    <xf numFmtId="4" fontId="1" fillId="0" borderId="90" xfId="0" applyNumberFormat="1" applyFont="1" applyBorder="1" applyAlignment="1">
      <alignment horizontal="right" vertical="center"/>
    </xf>
    <xf numFmtId="4" fontId="1" fillId="0" borderId="91" xfId="0" applyNumberFormat="1" applyFont="1" applyBorder="1" applyAlignment="1">
      <alignment horizontal="right" vertical="center"/>
    </xf>
    <xf numFmtId="3" fontId="1" fillId="0" borderId="92" xfId="0" applyNumberFormat="1" applyFont="1" applyBorder="1" applyAlignment="1">
      <alignment horizontal="right" vertical="center"/>
    </xf>
    <xf numFmtId="0" fontId="1" fillId="0" borderId="80" xfId="0" applyFont="1" applyBorder="1" applyAlignment="1">
      <alignment vertical="center"/>
    </xf>
    <xf numFmtId="0" fontId="1" fillId="0" borderId="82" xfId="0" applyFont="1" applyBorder="1" applyAlignment="1">
      <alignment vertical="center"/>
    </xf>
    <xf numFmtId="4" fontId="1" fillId="0" borderId="81" xfId="0" applyNumberFormat="1" applyFont="1" applyBorder="1" applyAlignment="1">
      <alignment vertical="center"/>
    </xf>
    <xf numFmtId="3" fontId="1" fillId="0" borderId="93" xfId="0" applyNumberFormat="1" applyFont="1" applyBorder="1" applyAlignment="1">
      <alignment horizontal="right" vertical="center"/>
    </xf>
    <xf numFmtId="4" fontId="1" fillId="0" borderId="83" xfId="0" applyNumberFormat="1" applyFont="1" applyBorder="1" applyAlignment="1">
      <alignment vertical="center"/>
    </xf>
    <xf numFmtId="14" fontId="1" fillId="0" borderId="94" xfId="0" applyNumberFormat="1" applyFont="1" applyBorder="1" applyAlignment="1">
      <alignment horizontal="center" vertical="center"/>
    </xf>
    <xf numFmtId="1" fontId="1" fillId="0" borderId="84" xfId="0" applyNumberFormat="1" applyFont="1" applyBorder="1" applyAlignment="1">
      <alignment horizontal="right" vertical="center"/>
    </xf>
    <xf numFmtId="0" fontId="25" fillId="0" borderId="84" xfId="6" quotePrefix="1" applyFont="1" applyFill="1" applyBorder="1" applyAlignment="1" applyProtection="1">
      <alignment horizontal="center" vertical="center"/>
    </xf>
    <xf numFmtId="4" fontId="1" fillId="0" borderId="93" xfId="0" applyNumberFormat="1" applyFont="1" applyBorder="1" applyAlignment="1">
      <alignment horizontal="right" vertical="center"/>
    </xf>
    <xf numFmtId="4" fontId="1" fillId="0" borderId="94" xfId="0" applyNumberFormat="1" applyFont="1" applyBorder="1" applyAlignment="1">
      <alignment horizontal="right" vertical="center"/>
    </xf>
    <xf numFmtId="3" fontId="1" fillId="0" borderId="95" xfId="0" applyNumberFormat="1" applyFont="1" applyBorder="1" applyAlignment="1">
      <alignment horizontal="right" vertical="center"/>
    </xf>
    <xf numFmtId="0" fontId="1" fillId="0" borderId="0" xfId="0" applyFont="1"/>
    <xf numFmtId="2" fontId="12" fillId="0" borderId="19" xfId="8" applyNumberFormat="1" applyFont="1" applyBorder="1" applyAlignment="1">
      <alignment vertical="center"/>
    </xf>
    <xf numFmtId="3" fontId="8" fillId="5" borderId="0" xfId="8" applyNumberFormat="1" applyFont="1" applyFill="1" applyAlignment="1">
      <alignment horizontal="right" indent="2"/>
    </xf>
    <xf numFmtId="3" fontId="8" fillId="5" borderId="110" xfId="8" applyNumberFormat="1" applyFont="1" applyFill="1" applyBorder="1" applyAlignment="1">
      <alignment horizontal="right" indent="2"/>
    </xf>
    <xf numFmtId="3" fontId="8" fillId="0" borderId="0" xfId="8" applyNumberFormat="1" applyFont="1" applyAlignment="1">
      <alignment horizontal="right" indent="2"/>
    </xf>
    <xf numFmtId="165" fontId="39" fillId="5" borderId="110" xfId="2" applyNumberFormat="1" applyFont="1" applyFill="1" applyBorder="1" applyAlignment="1">
      <alignment horizontal="center" vertical="center"/>
    </xf>
    <xf numFmtId="0" fontId="1" fillId="0" borderId="21" xfId="0" applyFont="1" applyBorder="1"/>
    <xf numFmtId="173" fontId="12" fillId="0" borderId="21" xfId="8" applyNumberFormat="1" applyFont="1" applyBorder="1"/>
    <xf numFmtId="173" fontId="12" fillId="0" borderId="22" xfId="8" applyNumberFormat="1" applyFont="1" applyBorder="1"/>
    <xf numFmtId="0" fontId="8" fillId="5" borderId="29" xfId="0" applyFont="1" applyFill="1" applyBorder="1" applyAlignment="1">
      <alignment horizontal="center" vertical="center"/>
    </xf>
    <xf numFmtId="10" fontId="12" fillId="0" borderId="57" xfId="3" applyNumberFormat="1" applyFont="1" applyFill="1" applyBorder="1" applyAlignment="1">
      <alignment horizontal="center"/>
    </xf>
    <xf numFmtId="14" fontId="8" fillId="5" borderId="3" xfId="10" applyNumberFormat="1" applyFont="1" applyFill="1" applyBorder="1" applyAlignment="1" applyProtection="1">
      <alignment horizontal="center" vertical="center" wrapText="1"/>
      <protection hidden="1"/>
    </xf>
    <xf numFmtId="14" fontId="8" fillId="5" borderId="6" xfId="10" applyNumberFormat="1" applyFont="1" applyFill="1" applyBorder="1" applyAlignment="1" applyProtection="1">
      <alignment horizontal="center" vertical="center" wrapText="1"/>
      <protection hidden="1"/>
    </xf>
    <xf numFmtId="14" fontId="8" fillId="5" borderId="11" xfId="10" applyNumberFormat="1" applyFont="1" applyFill="1" applyBorder="1" applyAlignment="1" applyProtection="1">
      <alignment horizontal="center" vertical="center" wrapText="1"/>
      <protection hidden="1"/>
    </xf>
    <xf numFmtId="14" fontId="8" fillId="5" borderId="35" xfId="10" applyNumberFormat="1" applyFont="1" applyFill="1" applyBorder="1" applyAlignment="1" applyProtection="1">
      <alignment horizontal="center" vertical="center" wrapText="1"/>
      <protection hidden="1"/>
    </xf>
    <xf numFmtId="14" fontId="8" fillId="5" borderId="1" xfId="10" applyNumberFormat="1" applyFont="1" applyFill="1" applyBorder="1" applyAlignment="1" applyProtection="1">
      <alignment horizontal="center" vertical="center" wrapText="1"/>
      <protection hidden="1"/>
    </xf>
    <xf numFmtId="14" fontId="8" fillId="5" borderId="4" xfId="10" applyNumberFormat="1" applyFont="1" applyFill="1" applyBorder="1" applyAlignment="1" applyProtection="1">
      <alignment horizontal="center" vertical="center" wrapText="1"/>
      <protection hidden="1"/>
    </xf>
    <xf numFmtId="14" fontId="8" fillId="5" borderId="5" xfId="10" applyNumberFormat="1" applyFont="1" applyFill="1" applyBorder="1" applyAlignment="1" applyProtection="1">
      <alignment horizontal="center" vertical="center" wrapText="1"/>
      <protection hidden="1"/>
    </xf>
    <xf numFmtId="0" fontId="8" fillId="5" borderId="11" xfId="0" applyFont="1" applyFill="1" applyBorder="1" applyAlignment="1">
      <alignment horizontal="center" vertical="center"/>
    </xf>
    <xf numFmtId="0" fontId="12" fillId="0" borderId="0" xfId="0" applyFont="1" applyAlignment="1">
      <alignment wrapText="1"/>
    </xf>
    <xf numFmtId="0" fontId="12" fillId="0" borderId="18" xfId="0" applyFont="1" applyBorder="1" applyAlignment="1">
      <alignment horizontal="left" vertical="top" wrapText="1"/>
    </xf>
    <xf numFmtId="0" fontId="12" fillId="0" borderId="0" xfId="0" applyFont="1" applyAlignment="1">
      <alignment horizontal="left" vertical="top" wrapText="1"/>
    </xf>
    <xf numFmtId="0" fontId="8" fillId="5" borderId="8" xfId="0" applyFont="1" applyFill="1" applyBorder="1" applyAlignment="1">
      <alignment horizontal="center" vertical="center"/>
    </xf>
    <xf numFmtId="0" fontId="8" fillId="5" borderId="9" xfId="0" applyFont="1" applyFill="1" applyBorder="1" applyAlignment="1">
      <alignment horizontal="center" vertical="center"/>
    </xf>
    <xf numFmtId="0" fontId="28" fillId="5" borderId="8" xfId="0" applyFont="1" applyFill="1" applyBorder="1" applyAlignment="1">
      <alignment horizontal="center" vertical="center" wrapText="1"/>
    </xf>
    <xf numFmtId="0" fontId="28" fillId="5" borderId="54" xfId="0" applyFont="1" applyFill="1" applyBorder="1" applyAlignment="1">
      <alignment horizontal="center" vertical="center"/>
    </xf>
    <xf numFmtId="0" fontId="28" fillId="5" borderId="11" xfId="0" applyFont="1" applyFill="1" applyBorder="1" applyAlignment="1">
      <alignment horizontal="center" vertical="center" wrapText="1"/>
    </xf>
    <xf numFmtId="0" fontId="28" fillId="5" borderId="11" xfId="0" applyFont="1" applyFill="1" applyBorder="1" applyAlignment="1">
      <alignment horizontal="center" vertical="center"/>
    </xf>
    <xf numFmtId="0" fontId="28" fillId="5" borderId="110" xfId="0" applyFont="1" applyFill="1" applyBorder="1" applyAlignment="1">
      <alignment horizontal="center" vertical="center"/>
    </xf>
    <xf numFmtId="0" fontId="28" fillId="5" borderId="37" xfId="0" applyFont="1" applyFill="1" applyBorder="1" applyAlignment="1">
      <alignment horizontal="center" vertical="center"/>
    </xf>
    <xf numFmtId="0" fontId="12" fillId="0" borderId="0" xfId="0" applyFont="1" applyAlignment="1">
      <alignment vertical="top" wrapText="1"/>
    </xf>
    <xf numFmtId="0" fontId="12" fillId="0" borderId="18" xfId="0" quotePrefix="1" applyFont="1" applyBorder="1" applyAlignment="1">
      <alignment horizontal="left" vertical="top" wrapText="1"/>
    </xf>
    <xf numFmtId="0" fontId="12" fillId="0" borderId="18" xfId="0" applyFont="1" applyBorder="1" applyAlignment="1">
      <alignment wrapText="1"/>
    </xf>
    <xf numFmtId="173" fontId="8" fillId="0" borderId="0" xfId="8" applyNumberFormat="1" applyFont="1" applyAlignment="1">
      <alignment horizontal="right" vertical="center"/>
    </xf>
    <xf numFmtId="0" fontId="12" fillId="0" borderId="81" xfId="0" applyFont="1" applyBorder="1" applyAlignment="1">
      <alignment horizontal="left" vertical="center" wrapText="1"/>
    </xf>
    <xf numFmtId="4" fontId="26" fillId="0" borderId="0" xfId="0" applyNumberFormat="1" applyFont="1" applyAlignment="1">
      <alignment horizontal="left" wrapText="1"/>
    </xf>
    <xf numFmtId="4" fontId="26" fillId="0" borderId="18" xfId="0" applyNumberFormat="1" applyFont="1" applyBorder="1" applyAlignment="1">
      <alignment horizontal="left" vertical="top"/>
    </xf>
    <xf numFmtId="4" fontId="26" fillId="0" borderId="0" xfId="0" quotePrefix="1" applyNumberFormat="1" applyFont="1" applyAlignment="1">
      <alignment horizontal="left" vertical="top"/>
    </xf>
    <xf numFmtId="0" fontId="12" fillId="0" borderId="18" xfId="4" applyFont="1" applyBorder="1" applyAlignment="1">
      <alignment horizontal="left" vertical="top" wrapText="1"/>
    </xf>
    <xf numFmtId="0" fontId="12" fillId="0" borderId="0" xfId="4" applyFont="1" applyAlignment="1">
      <alignment horizontal="left" vertical="top" wrapText="1"/>
    </xf>
    <xf numFmtId="0" fontId="14" fillId="0" borderId="0" xfId="0" applyFont="1" applyAlignment="1" applyProtection="1">
      <alignment horizontal="center" vertical="center"/>
      <protection locked="0"/>
    </xf>
    <xf numFmtId="0" fontId="12" fillId="0" borderId="23" xfId="0" applyFont="1" applyBorder="1" applyAlignment="1" applyProtection="1">
      <alignment vertical="center" wrapText="1"/>
      <protection locked="0"/>
    </xf>
    <xf numFmtId="0" fontId="12" fillId="0" borderId="14" xfId="0" applyFont="1" applyBorder="1" applyAlignment="1" applyProtection="1">
      <alignment vertical="center" wrapText="1"/>
      <protection locked="0"/>
    </xf>
    <xf numFmtId="165" fontId="12" fillId="0" borderId="23" xfId="2" applyNumberFormat="1" applyFont="1" applyFill="1" applyBorder="1" applyAlignment="1" applyProtection="1">
      <alignment vertical="center" wrapText="1"/>
      <protection locked="0"/>
    </xf>
    <xf numFmtId="165" fontId="12" fillId="0" borderId="14" xfId="2" applyNumberFormat="1" applyFont="1" applyFill="1" applyBorder="1" applyAlignment="1" applyProtection="1">
      <alignment vertical="center" wrapText="1"/>
      <protection locked="0"/>
    </xf>
    <xf numFmtId="0" fontId="12" fillId="0" borderId="9" xfId="0" applyFont="1" applyBorder="1" applyAlignment="1" applyProtection="1">
      <alignment vertical="center" wrapText="1"/>
      <protection locked="0"/>
    </xf>
    <xf numFmtId="0" fontId="12" fillId="0" borderId="9" xfId="0" applyFont="1" applyBorder="1" applyAlignment="1" applyProtection="1">
      <alignment horizontal="left" vertical="center"/>
      <protection locked="0"/>
    </xf>
    <xf numFmtId="0" fontId="12" fillId="0" borderId="9" xfId="0" applyFont="1" applyBorder="1" applyAlignment="1" applyProtection="1">
      <alignment horizontal="left" vertical="center" wrapText="1"/>
      <protection locked="0"/>
    </xf>
    <xf numFmtId="0" fontId="12" fillId="0" borderId="30" xfId="0" applyFont="1" applyBorder="1" applyAlignment="1" applyProtection="1">
      <alignment horizontal="left" vertical="center"/>
      <protection locked="0"/>
    </xf>
    <xf numFmtId="0" fontId="1" fillId="0" borderId="16" xfId="0" applyFont="1" applyBorder="1"/>
    <xf numFmtId="173" fontId="12" fillId="0" borderId="16" xfId="8" applyNumberFormat="1" applyFont="1" applyBorder="1"/>
    <xf numFmtId="173" fontId="12" fillId="0" borderId="17" xfId="8" applyNumberFormat="1" applyFont="1" applyBorder="1"/>
    <xf numFmtId="4" fontId="26" fillId="0" borderId="18" xfId="0" applyNumberFormat="1" applyFont="1" applyBorder="1" applyAlignment="1">
      <alignment vertical="top" wrapText="1"/>
    </xf>
    <xf numFmtId="4" fontId="26" fillId="0" borderId="0" xfId="0" applyNumberFormat="1" applyFont="1" applyAlignment="1">
      <alignment vertical="top" wrapText="1"/>
    </xf>
    <xf numFmtId="4" fontId="26" fillId="0" borderId="19" xfId="0" applyNumberFormat="1" applyFont="1" applyBorder="1" applyAlignment="1">
      <alignment vertical="top" wrapText="1"/>
    </xf>
    <xf numFmtId="4" fontId="26" fillId="0" borderId="20" xfId="0" applyNumberFormat="1" applyFont="1" applyBorder="1" applyAlignment="1">
      <alignment horizontal="center"/>
    </xf>
    <xf numFmtId="4" fontId="26" fillId="0" borderId="21" xfId="0" applyNumberFormat="1" applyFont="1" applyBorder="1" applyAlignment="1">
      <alignment horizontal="center"/>
    </xf>
    <xf numFmtId="4" fontId="26" fillId="0" borderId="22" xfId="0" applyNumberFormat="1" applyFont="1" applyBorder="1" applyAlignment="1">
      <alignment horizontal="center"/>
    </xf>
    <xf numFmtId="4" fontId="26" fillId="0" borderId="18" xfId="0" applyNumberFormat="1" applyFont="1" applyBorder="1" applyAlignment="1">
      <alignment horizontal="center"/>
    </xf>
    <xf numFmtId="4" fontId="26" fillId="0" borderId="0" xfId="0" applyNumberFormat="1" applyFont="1" applyAlignment="1">
      <alignment horizontal="center"/>
    </xf>
    <xf numFmtId="0" fontId="1" fillId="0" borderId="18" xfId="0" applyFont="1" applyBorder="1"/>
    <xf numFmtId="0" fontId="1" fillId="0" borderId="5" xfId="0" applyFont="1" applyBorder="1"/>
    <xf numFmtId="0" fontId="1" fillId="0" borderId="19" xfId="0" applyFont="1" applyBorder="1"/>
    <xf numFmtId="0" fontId="1" fillId="0" borderId="0" xfId="0" applyFont="1" applyAlignment="1">
      <alignment horizontal="center" vertical="center"/>
    </xf>
    <xf numFmtId="0" fontId="1" fillId="0" borderId="85" xfId="0" applyFont="1" applyBorder="1" applyAlignment="1">
      <alignment horizontal="left" vertical="center"/>
    </xf>
    <xf numFmtId="3" fontId="1" fillId="0" borderId="86" xfId="13" applyNumberFormat="1" applyFont="1" applyBorder="1" applyAlignment="1">
      <alignment horizontal="left" vertical="center" indent="2"/>
    </xf>
    <xf numFmtId="165" fontId="1" fillId="0" borderId="86" xfId="2" applyNumberFormat="1" applyFont="1" applyBorder="1" applyAlignment="1"/>
    <xf numFmtId="165" fontId="1" fillId="0" borderId="86" xfId="2" applyNumberFormat="1" applyFont="1" applyBorder="1" applyAlignment="1">
      <alignment horizontal="right" indent="2"/>
    </xf>
    <xf numFmtId="175" fontId="1" fillId="0" borderId="86" xfId="2" applyNumberFormat="1" applyFont="1" applyFill="1" applyBorder="1" applyAlignment="1">
      <alignment horizontal="right" indent="2"/>
    </xf>
    <xf numFmtId="165" fontId="1" fillId="0" borderId="86" xfId="2" applyNumberFormat="1" applyFont="1" applyFill="1" applyBorder="1" applyAlignment="1">
      <alignment horizontal="center"/>
    </xf>
    <xf numFmtId="14" fontId="1" fillId="0" borderId="86" xfId="0" applyNumberFormat="1" applyFont="1" applyBorder="1" applyAlignment="1">
      <alignment horizontal="right"/>
    </xf>
    <xf numFmtId="0" fontId="1" fillId="0" borderId="86" xfId="0" applyFont="1" applyBorder="1" applyAlignment="1">
      <alignment horizontal="left" vertical="center"/>
    </xf>
    <xf numFmtId="165" fontId="1" fillId="0" borderId="86" xfId="2" applyNumberFormat="1" applyFont="1" applyFill="1" applyBorder="1" applyAlignment="1">
      <alignment horizontal="right" indent="2"/>
    </xf>
    <xf numFmtId="165" fontId="1" fillId="0" borderId="86" xfId="2" applyNumberFormat="1" applyFont="1" applyFill="1" applyBorder="1" applyAlignment="1"/>
    <xf numFmtId="165" fontId="1" fillId="0" borderId="117" xfId="2" applyNumberFormat="1" applyFont="1" applyFill="1" applyBorder="1" applyAlignment="1">
      <alignment horizontal="right" indent="2"/>
    </xf>
    <xf numFmtId="0" fontId="1" fillId="0" borderId="75" xfId="0" applyFont="1" applyBorder="1" applyAlignment="1">
      <alignment horizontal="left" vertical="center"/>
    </xf>
    <xf numFmtId="3" fontId="1" fillId="0" borderId="76" xfId="13" applyNumberFormat="1" applyFont="1" applyFill="1" applyBorder="1" applyAlignment="1">
      <alignment horizontal="left" vertical="center" indent="2"/>
    </xf>
    <xf numFmtId="165" fontId="1" fillId="0" borderId="76" xfId="2" applyNumberFormat="1" applyFont="1" applyFill="1" applyBorder="1" applyAlignment="1"/>
    <xf numFmtId="165" fontId="1" fillId="0" borderId="76" xfId="2" applyNumberFormat="1" applyFont="1" applyFill="1" applyBorder="1" applyAlignment="1">
      <alignment horizontal="right" indent="2"/>
    </xf>
    <xf numFmtId="175" fontId="1" fillId="0" borderId="76" xfId="2" applyNumberFormat="1" applyFont="1" applyFill="1" applyBorder="1" applyAlignment="1">
      <alignment horizontal="right" indent="2"/>
    </xf>
    <xf numFmtId="165" fontId="1" fillId="0" borderId="76" xfId="2" applyNumberFormat="1" applyFont="1" applyFill="1" applyBorder="1" applyAlignment="1">
      <alignment horizontal="center"/>
    </xf>
    <xf numFmtId="14" fontId="1" fillId="0" borderId="76" xfId="0" applyNumberFormat="1" applyFont="1" applyBorder="1" applyAlignment="1">
      <alignment horizontal="right"/>
    </xf>
    <xf numFmtId="0" fontId="1" fillId="0" borderId="76" xfId="0" applyFont="1" applyBorder="1" applyAlignment="1">
      <alignment horizontal="left" vertical="center"/>
    </xf>
    <xf numFmtId="165" fontId="1" fillId="0" borderId="57" xfId="2" applyNumberFormat="1" applyFont="1" applyFill="1" applyBorder="1" applyAlignment="1">
      <alignment horizontal="right" indent="2"/>
    </xf>
    <xf numFmtId="0" fontId="1" fillId="0" borderId="80" xfId="0" applyFont="1" applyBorder="1" applyAlignment="1">
      <alignment horizontal="left" vertical="center"/>
    </xf>
    <xf numFmtId="3" fontId="1" fillId="0" borderId="81" xfId="13" applyNumberFormat="1" applyFont="1" applyFill="1" applyBorder="1" applyAlignment="1">
      <alignment horizontal="left" vertical="center" indent="2"/>
    </xf>
    <xf numFmtId="165" fontId="1" fillId="0" borderId="81" xfId="2" applyNumberFormat="1" applyFont="1" applyFill="1" applyBorder="1" applyAlignment="1"/>
    <xf numFmtId="165" fontId="1" fillId="0" borderId="81" xfId="2" applyNumberFormat="1" applyFont="1" applyFill="1" applyBorder="1" applyAlignment="1">
      <alignment horizontal="right" indent="2"/>
    </xf>
    <xf numFmtId="175" fontId="1" fillId="0" borderId="81" xfId="2" applyNumberFormat="1" applyFont="1" applyFill="1" applyBorder="1" applyAlignment="1">
      <alignment horizontal="right" indent="2"/>
    </xf>
    <xf numFmtId="165" fontId="1" fillId="0" borderId="81" xfId="2" applyNumberFormat="1" applyFont="1" applyFill="1" applyBorder="1" applyAlignment="1">
      <alignment horizontal="center"/>
    </xf>
    <xf numFmtId="14" fontId="1" fillId="0" borderId="81" xfId="0" applyNumberFormat="1" applyFont="1" applyBorder="1" applyAlignment="1">
      <alignment horizontal="right"/>
    </xf>
    <xf numFmtId="0" fontId="1" fillId="0" borderId="81" xfId="0" applyFont="1" applyBorder="1" applyAlignment="1">
      <alignment horizontal="left" vertical="center"/>
    </xf>
    <xf numFmtId="165" fontId="1" fillId="0" borderId="103" xfId="2" applyNumberFormat="1" applyFont="1" applyFill="1" applyBorder="1" applyAlignment="1">
      <alignment horizontal="right" indent="2"/>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0" borderId="19" xfId="0" applyFont="1" applyBorder="1" applyAlignment="1">
      <alignment horizontal="center" vertical="center" wrapText="1"/>
    </xf>
    <xf numFmtId="4" fontId="1" fillId="0" borderId="0" xfId="0" applyNumberFormat="1" applyFont="1" applyAlignment="1">
      <alignment horizontal="center" vertical="center" wrapText="1"/>
    </xf>
    <xf numFmtId="0" fontId="1" fillId="0" borderId="0" xfId="0" applyFont="1" applyAlignment="1">
      <alignment horizontal="center" vertical="center" wrapText="1"/>
    </xf>
    <xf numFmtId="0" fontId="1" fillId="0" borderId="86" xfId="0" applyFont="1" applyBorder="1" applyAlignment="1">
      <alignment vertical="center"/>
    </xf>
    <xf numFmtId="175" fontId="1" fillId="0" borderId="86" xfId="2" applyNumberFormat="1" applyFont="1" applyFill="1" applyBorder="1" applyAlignment="1">
      <alignment horizontal="right" vertical="center" indent="2"/>
    </xf>
    <xf numFmtId="175" fontId="1" fillId="0" borderId="86" xfId="2" applyNumberFormat="1" applyFont="1" applyFill="1" applyBorder="1" applyAlignment="1"/>
    <xf numFmtId="14" fontId="1" fillId="0" borderId="86" xfId="0" applyNumberFormat="1" applyFont="1" applyBorder="1" applyAlignment="1">
      <alignment horizontal="right" vertical="center"/>
    </xf>
    <xf numFmtId="0" fontId="1" fillId="0" borderId="86" xfId="3" applyNumberFormat="1" applyFont="1" applyFill="1" applyBorder="1" applyAlignment="1">
      <alignment horizontal="right" indent="2"/>
    </xf>
    <xf numFmtId="4" fontId="1" fillId="0" borderId="0" xfId="0" applyNumberFormat="1" applyFont="1"/>
    <xf numFmtId="4" fontId="1" fillId="0" borderId="0" xfId="0" applyNumberFormat="1" applyFont="1" applyAlignment="1">
      <alignment horizontal="right" indent="2"/>
    </xf>
    <xf numFmtId="0" fontId="1" fillId="0" borderId="76" xfId="0" applyFont="1" applyBorder="1" applyAlignment="1">
      <alignment vertical="center"/>
    </xf>
    <xf numFmtId="175" fontId="1" fillId="0" borderId="76" xfId="2" applyNumberFormat="1" applyFont="1" applyFill="1" applyBorder="1" applyAlignment="1">
      <alignment horizontal="right" vertical="center" indent="2"/>
    </xf>
    <xf numFmtId="175" fontId="1" fillId="0" borderId="76" xfId="2" applyNumberFormat="1" applyFont="1" applyFill="1" applyBorder="1" applyAlignment="1"/>
    <xf numFmtId="14" fontId="1" fillId="0" borderId="76" xfId="0" applyNumberFormat="1" applyFont="1" applyBorder="1" applyAlignment="1">
      <alignment horizontal="right" vertical="center"/>
    </xf>
    <xf numFmtId="9" fontId="1" fillId="0" borderId="76" xfId="3" applyFont="1" applyFill="1" applyBorder="1" applyAlignment="1">
      <alignment horizontal="right" indent="2"/>
    </xf>
    <xf numFmtId="0" fontId="1" fillId="0" borderId="81" xfId="0" applyFont="1" applyBorder="1" applyAlignment="1">
      <alignment vertical="center"/>
    </xf>
    <xf numFmtId="175" fontId="1" fillId="0" borderId="81" xfId="2" applyNumberFormat="1" applyFont="1" applyFill="1" applyBorder="1" applyAlignment="1">
      <alignment horizontal="right" vertical="center" indent="2"/>
    </xf>
    <xf numFmtId="175" fontId="1" fillId="0" borderId="81" xfId="2" applyNumberFormat="1" applyFont="1" applyFill="1" applyBorder="1" applyAlignment="1"/>
    <xf numFmtId="14" fontId="1" fillId="0" borderId="81" xfId="0" applyNumberFormat="1" applyFont="1" applyBorder="1" applyAlignment="1">
      <alignment horizontal="right" vertical="center"/>
    </xf>
    <xf numFmtId="9" fontId="1" fillId="0" borderId="81" xfId="3" applyFont="1" applyFill="1" applyBorder="1" applyAlignment="1">
      <alignment horizontal="right" indent="2"/>
    </xf>
    <xf numFmtId="165" fontId="1" fillId="0" borderId="0" xfId="2" applyNumberFormat="1" applyFont="1" applyFill="1" applyBorder="1"/>
    <xf numFmtId="0" fontId="1" fillId="0" borderId="71" xfId="0" applyFont="1" applyBorder="1" applyAlignment="1">
      <alignment horizontal="left" vertical="center" wrapText="1"/>
    </xf>
    <xf numFmtId="165" fontId="1" fillId="0" borderId="74" xfId="2" applyNumberFormat="1" applyFont="1" applyFill="1" applyBorder="1" applyAlignment="1">
      <alignment horizontal="right" vertical="center"/>
    </xf>
    <xf numFmtId="165" fontId="1" fillId="0" borderId="71" xfId="2" applyNumberFormat="1" applyFont="1" applyFill="1" applyBorder="1" applyAlignment="1">
      <alignment horizontal="right" vertical="center"/>
    </xf>
    <xf numFmtId="9" fontId="1" fillId="5" borderId="71" xfId="3" applyFont="1" applyFill="1" applyBorder="1" applyAlignment="1">
      <alignment horizontal="right" vertical="center"/>
    </xf>
    <xf numFmtId="165" fontId="1" fillId="0" borderId="71" xfId="2" applyNumberFormat="1" applyFont="1" applyFill="1" applyBorder="1" applyAlignment="1">
      <alignment vertical="center"/>
    </xf>
    <xf numFmtId="0" fontId="1" fillId="0" borderId="24" xfId="0" applyFont="1" applyBorder="1" applyAlignment="1">
      <alignment horizontal="left" vertical="center" wrapText="1"/>
    </xf>
    <xf numFmtId="165" fontId="1" fillId="0" borderId="72" xfId="2" applyNumberFormat="1" applyFont="1" applyFill="1" applyBorder="1" applyAlignment="1">
      <alignment horizontal="right" vertical="center"/>
    </xf>
    <xf numFmtId="165" fontId="1" fillId="0" borderId="76" xfId="2" applyNumberFormat="1" applyFont="1" applyFill="1" applyBorder="1" applyAlignment="1">
      <alignment horizontal="right" vertical="center"/>
    </xf>
    <xf numFmtId="9" fontId="1" fillId="5" borderId="76" xfId="3" applyFont="1" applyFill="1" applyBorder="1" applyAlignment="1">
      <alignment horizontal="right" vertical="center"/>
    </xf>
    <xf numFmtId="165" fontId="1" fillId="0" borderId="76" xfId="2" applyNumberFormat="1" applyFont="1" applyFill="1" applyBorder="1" applyAlignment="1">
      <alignment horizontal="left" vertical="center"/>
    </xf>
    <xf numFmtId="0" fontId="1" fillId="0" borderId="81" xfId="0" applyFont="1" applyBorder="1" applyAlignment="1">
      <alignment horizontal="left" vertical="center" wrapText="1"/>
    </xf>
    <xf numFmtId="165" fontId="1" fillId="0" borderId="5" xfId="2" applyNumberFormat="1" applyFont="1" applyFill="1" applyBorder="1" applyAlignment="1">
      <alignment horizontal="right" vertical="center"/>
    </xf>
    <xf numFmtId="165" fontId="1" fillId="0" borderId="6" xfId="2" applyNumberFormat="1" applyFont="1" applyFill="1" applyBorder="1" applyAlignment="1">
      <alignment horizontal="right" vertical="center"/>
    </xf>
    <xf numFmtId="9" fontId="1" fillId="5" borderId="6" xfId="3" applyFont="1" applyFill="1" applyBorder="1" applyAlignment="1">
      <alignment horizontal="right" vertical="center"/>
    </xf>
    <xf numFmtId="165" fontId="1" fillId="0" borderId="6" xfId="2" applyNumberFormat="1" applyFont="1" applyFill="1" applyBorder="1" applyAlignment="1">
      <alignment vertical="center"/>
    </xf>
    <xf numFmtId="0" fontId="1" fillId="0" borderId="86" xfId="0" applyFont="1" applyBorder="1" applyAlignment="1">
      <alignment horizontal="left" vertical="center" wrapText="1"/>
    </xf>
    <xf numFmtId="165" fontId="1" fillId="0" borderId="86" xfId="2" applyNumberFormat="1" applyFont="1" applyFill="1" applyBorder="1" applyAlignment="1">
      <alignment horizontal="center" vertical="center"/>
    </xf>
    <xf numFmtId="165" fontId="1" fillId="0" borderId="86" xfId="2" applyNumberFormat="1" applyFont="1" applyFill="1" applyBorder="1" applyAlignment="1">
      <alignment horizontal="right" vertical="center"/>
    </xf>
    <xf numFmtId="9" fontId="1" fillId="5" borderId="86" xfId="3" applyFont="1" applyFill="1" applyBorder="1" applyAlignment="1">
      <alignment horizontal="right" vertical="center"/>
    </xf>
    <xf numFmtId="165" fontId="1" fillId="0" borderId="86" xfId="2" applyNumberFormat="1" applyFont="1" applyFill="1" applyBorder="1" applyAlignment="1">
      <alignment vertical="center"/>
    </xf>
    <xf numFmtId="9" fontId="1" fillId="5" borderId="86" xfId="3" applyFont="1" applyFill="1" applyBorder="1" applyAlignment="1">
      <alignment vertical="center"/>
    </xf>
    <xf numFmtId="0" fontId="1" fillId="0" borderId="76" xfId="0" applyFont="1" applyBorder="1" applyAlignment="1">
      <alignment horizontal="left" vertical="center" wrapText="1"/>
    </xf>
    <xf numFmtId="165" fontId="1" fillId="0" borderId="76" xfId="2" applyNumberFormat="1" applyFont="1" applyFill="1" applyBorder="1" applyAlignment="1">
      <alignment horizontal="center" vertical="center"/>
    </xf>
    <xf numFmtId="9" fontId="1" fillId="5" borderId="76" xfId="3" applyFont="1" applyFill="1" applyBorder="1" applyAlignment="1">
      <alignment vertical="center"/>
    </xf>
    <xf numFmtId="165" fontId="1" fillId="0" borderId="81" xfId="2" applyNumberFormat="1" applyFont="1" applyFill="1" applyBorder="1" applyAlignment="1">
      <alignment horizontal="center" vertical="center"/>
    </xf>
    <xf numFmtId="165" fontId="1" fillId="0" borderId="81" xfId="2" applyNumberFormat="1" applyFont="1" applyFill="1" applyBorder="1" applyAlignment="1">
      <alignment horizontal="right" vertical="center"/>
    </xf>
    <xf numFmtId="9" fontId="1" fillId="5" borderId="81" xfId="3" applyFont="1" applyFill="1" applyBorder="1" applyAlignment="1">
      <alignment horizontal="right" vertical="center"/>
    </xf>
    <xf numFmtId="165" fontId="1" fillId="0" borderId="81" xfId="2" applyNumberFormat="1" applyFont="1" applyFill="1" applyBorder="1" applyAlignment="1">
      <alignment vertical="center"/>
    </xf>
    <xf numFmtId="9" fontId="1" fillId="5" borderId="81" xfId="3" applyFont="1" applyFill="1" applyBorder="1" applyAlignment="1">
      <alignment vertical="center"/>
    </xf>
    <xf numFmtId="4" fontId="23" fillId="3" borderId="0" xfId="0" applyNumberFormat="1" applyFont="1" applyFill="1" applyAlignment="1">
      <alignment horizontal="right"/>
    </xf>
    <xf numFmtId="0" fontId="8" fillId="0" borderId="0" xfId="12" applyFont="1" applyAlignment="1">
      <alignment horizontal="right" vertical="top"/>
    </xf>
    <xf numFmtId="0" fontId="8" fillId="0" borderId="0" xfId="12" applyFont="1" applyAlignment="1">
      <alignment horizontal="right" vertical="center"/>
    </xf>
    <xf numFmtId="0" fontId="12" fillId="0" borderId="78" xfId="0" applyFont="1" applyBorder="1" applyAlignment="1">
      <alignment horizontal="left" vertical="center"/>
    </xf>
    <xf numFmtId="0" fontId="37" fillId="0" borderId="18" xfId="0" applyFont="1" applyBorder="1" applyAlignment="1">
      <alignment horizontal="center" vertical="top" wrapText="1"/>
    </xf>
    <xf numFmtId="0" fontId="37" fillId="0" borderId="0" xfId="0" applyFont="1" applyAlignment="1">
      <alignment horizontal="center" vertical="top" wrapText="1"/>
    </xf>
    <xf numFmtId="0" fontId="8" fillId="5" borderId="109" xfId="0" applyFont="1" applyFill="1" applyBorder="1" applyAlignment="1">
      <alignment vertical="center"/>
    </xf>
    <xf numFmtId="165" fontId="12" fillId="0" borderId="3" xfId="2" applyNumberFormat="1" applyFont="1" applyFill="1" applyBorder="1" applyAlignment="1">
      <alignment horizontal="center" vertical="center"/>
    </xf>
    <xf numFmtId="165" fontId="12" fillId="0" borderId="6" xfId="2" applyNumberFormat="1" applyFont="1" applyFill="1" applyBorder="1" applyAlignment="1">
      <alignment horizontal="center" vertical="center"/>
    </xf>
    <xf numFmtId="0" fontId="8" fillId="5" borderId="86" xfId="1" applyFont="1" applyFill="1" applyBorder="1" applyAlignment="1">
      <alignment horizontal="left" vertical="center"/>
    </xf>
    <xf numFmtId="169" fontId="8" fillId="4" borderId="86" xfId="1" applyNumberFormat="1" applyFont="1" applyFill="1" applyBorder="1" applyAlignment="1">
      <alignment horizontal="right" vertical="center"/>
    </xf>
    <xf numFmtId="9" fontId="19" fillId="5" borderId="86" xfId="3" applyFont="1" applyFill="1" applyBorder="1" applyAlignment="1" applyProtection="1">
      <alignment horizontal="right" vertical="center"/>
    </xf>
    <xf numFmtId="0" fontId="8" fillId="5" borderId="76" xfId="1" applyFont="1" applyFill="1" applyBorder="1" applyAlignment="1">
      <alignment horizontal="left" vertical="center"/>
    </xf>
    <xf numFmtId="169" fontId="12" fillId="4" borderId="76" xfId="1" applyNumberFormat="1" applyFont="1" applyFill="1" applyBorder="1" applyAlignment="1">
      <alignment horizontal="right"/>
    </xf>
    <xf numFmtId="9" fontId="19" fillId="5" borderId="76" xfId="3" applyFont="1" applyFill="1" applyBorder="1" applyAlignment="1" applyProtection="1">
      <alignment horizontal="right" vertical="center"/>
    </xf>
    <xf numFmtId="0" fontId="8" fillId="5" borderId="81" xfId="1" applyFont="1" applyFill="1" applyBorder="1" applyAlignment="1">
      <alignment horizontal="left" vertical="center"/>
    </xf>
    <xf numFmtId="169" fontId="8" fillId="4" borderId="81" xfId="1" applyNumberFormat="1" applyFont="1" applyFill="1" applyBorder="1" applyAlignment="1">
      <alignment horizontal="right" vertical="center"/>
    </xf>
    <xf numFmtId="3" fontId="12" fillId="0" borderId="86" xfId="4" applyNumberFormat="1" applyFont="1" applyBorder="1"/>
    <xf numFmtId="9" fontId="19" fillId="5" borderId="86" xfId="3" applyFont="1" applyFill="1" applyBorder="1" applyAlignment="1">
      <alignment horizontal="center"/>
    </xf>
    <xf numFmtId="169" fontId="12" fillId="5" borderId="86" xfId="1" applyNumberFormat="1" applyFont="1" applyFill="1" applyBorder="1" applyAlignment="1">
      <alignment horizontal="right" vertical="center"/>
    </xf>
    <xf numFmtId="169" fontId="12" fillId="0" borderId="86" xfId="1" applyNumberFormat="1" applyFont="1" applyBorder="1" applyAlignment="1">
      <alignment horizontal="right" vertical="center"/>
    </xf>
    <xf numFmtId="169" fontId="12" fillId="5" borderId="86" xfId="4" applyNumberFormat="1" applyFont="1" applyFill="1" applyBorder="1" applyAlignment="1">
      <alignment horizontal="right"/>
    </xf>
    <xf numFmtId="9" fontId="12" fillId="5" borderId="86" xfId="3" applyFont="1" applyFill="1" applyBorder="1" applyAlignment="1">
      <alignment horizontal="right"/>
    </xf>
    <xf numFmtId="3" fontId="12" fillId="0" borderId="81" xfId="4" applyNumberFormat="1" applyFont="1" applyBorder="1"/>
    <xf numFmtId="9" fontId="19" fillId="5" borderId="81" xfId="3" applyFont="1" applyFill="1" applyBorder="1" applyAlignment="1">
      <alignment horizontal="center"/>
    </xf>
    <xf numFmtId="169" fontId="12" fillId="5" borderId="81" xfId="1" applyNumberFormat="1" applyFont="1" applyFill="1" applyBorder="1" applyAlignment="1">
      <alignment horizontal="right" vertical="center"/>
    </xf>
    <xf numFmtId="169" fontId="12" fillId="0" borderId="81" xfId="1" applyNumberFormat="1" applyFont="1" applyBorder="1" applyAlignment="1">
      <alignment horizontal="right" vertical="center"/>
    </xf>
    <xf numFmtId="169" fontId="12" fillId="5" borderId="81" xfId="4" applyNumberFormat="1" applyFont="1" applyFill="1" applyBorder="1" applyAlignment="1">
      <alignment horizontal="right"/>
    </xf>
    <xf numFmtId="9" fontId="12" fillId="5" borderId="81" xfId="3" applyFont="1" applyFill="1" applyBorder="1" applyAlignment="1">
      <alignment horizontal="right"/>
    </xf>
    <xf numFmtId="165" fontId="19" fillId="4" borderId="86" xfId="2" applyNumberFormat="1" applyFont="1" applyFill="1" applyBorder="1" applyAlignment="1"/>
    <xf numFmtId="9" fontId="19" fillId="5" borderId="86" xfId="3" applyFont="1" applyFill="1" applyBorder="1"/>
    <xf numFmtId="169" fontId="8" fillId="5" borderId="86" xfId="4" applyNumberFormat="1" applyFont="1" applyFill="1" applyBorder="1" applyAlignment="1">
      <alignment horizontal="right"/>
    </xf>
    <xf numFmtId="3" fontId="12" fillId="0" borderId="76" xfId="1" applyNumberFormat="1" applyFont="1" applyBorder="1" applyAlignment="1">
      <alignment vertical="center"/>
    </xf>
    <xf numFmtId="9" fontId="19" fillId="5" borderId="76" xfId="3" applyFont="1" applyFill="1" applyBorder="1" applyAlignment="1">
      <alignment horizontal="center"/>
    </xf>
    <xf numFmtId="169" fontId="12" fillId="5" borderId="76" xfId="4" applyNumberFormat="1" applyFont="1" applyFill="1" applyBorder="1" applyAlignment="1">
      <alignment horizontal="right"/>
    </xf>
    <xf numFmtId="9" fontId="12" fillId="5" borderId="76" xfId="3" applyFont="1" applyFill="1" applyBorder="1" applyAlignment="1">
      <alignment horizontal="right"/>
    </xf>
    <xf numFmtId="169" fontId="8" fillId="0" borderId="81" xfId="1" applyNumberFormat="1" applyFont="1" applyBorder="1" applyAlignment="1">
      <alignment horizontal="right" vertical="center"/>
    </xf>
    <xf numFmtId="169" fontId="8" fillId="5" borderId="81" xfId="4" applyNumberFormat="1" applyFont="1" applyFill="1" applyBorder="1" applyAlignment="1">
      <alignment horizontal="right"/>
    </xf>
    <xf numFmtId="9" fontId="43" fillId="0" borderId="71" xfId="3" applyFont="1" applyFill="1" applyBorder="1" applyAlignment="1" applyProtection="1">
      <alignment horizontal="right" vertical="center"/>
    </xf>
    <xf numFmtId="9" fontId="43" fillId="0" borderId="76" xfId="3" applyFont="1" applyFill="1" applyBorder="1" applyAlignment="1" applyProtection="1">
      <alignment horizontal="right" vertical="center"/>
    </xf>
    <xf numFmtId="0" fontId="8" fillId="0" borderId="0" xfId="1" applyFont="1" applyAlignment="1">
      <alignment horizontal="center" vertical="center"/>
    </xf>
    <xf numFmtId="0" fontId="8" fillId="4" borderId="0" xfId="1" applyFont="1" applyFill="1"/>
    <xf numFmtId="169" fontId="12" fillId="4" borderId="0" xfId="1" applyNumberFormat="1" applyFont="1" applyFill="1" applyAlignment="1">
      <alignment horizontal="center"/>
    </xf>
    <xf numFmtId="169" fontId="12" fillId="4" borderId="0" xfId="1" applyNumberFormat="1" applyFont="1" applyFill="1" applyAlignment="1">
      <alignment horizontal="right" vertical="center"/>
    </xf>
    <xf numFmtId="9" fontId="17" fillId="4" borderId="0" xfId="3" applyFont="1" applyFill="1" applyBorder="1" applyAlignment="1" applyProtection="1">
      <alignment horizontal="right" vertical="center"/>
    </xf>
    <xf numFmtId="169" fontId="8" fillId="4" borderId="0" xfId="1" applyNumberFormat="1" applyFont="1" applyFill="1" applyAlignment="1">
      <alignment horizontal="right" vertical="center"/>
    </xf>
    <xf numFmtId="9" fontId="19" fillId="4" borderId="0" xfId="3" applyFont="1" applyFill="1" applyBorder="1" applyAlignment="1" applyProtection="1">
      <alignment horizontal="right" vertical="center"/>
    </xf>
    <xf numFmtId="9" fontId="19" fillId="4" borderId="0" xfId="3" applyFont="1" applyFill="1" applyBorder="1" applyAlignment="1" applyProtection="1">
      <alignment horizontal="center" vertical="center"/>
    </xf>
    <xf numFmtId="169" fontId="8" fillId="5" borderId="8" xfId="1" applyNumberFormat="1" applyFont="1" applyFill="1" applyBorder="1" applyAlignment="1">
      <alignment horizontal="right" vertical="center"/>
    </xf>
    <xf numFmtId="169" fontId="44" fillId="4" borderId="86" xfId="1" applyNumberFormat="1" applyFont="1" applyFill="1" applyBorder="1" applyAlignment="1">
      <alignment horizontal="right" vertical="center"/>
    </xf>
    <xf numFmtId="169" fontId="44" fillId="4" borderId="76" xfId="1" applyNumberFormat="1" applyFont="1" applyFill="1" applyBorder="1" applyAlignment="1">
      <alignment horizontal="right" vertical="center"/>
    </xf>
    <xf numFmtId="169" fontId="17" fillId="4" borderId="81" xfId="1" applyNumberFormat="1" applyFont="1" applyFill="1" applyBorder="1" applyAlignment="1">
      <alignment horizontal="right" vertical="center"/>
    </xf>
    <xf numFmtId="169" fontId="17" fillId="4" borderId="71" xfId="1" applyNumberFormat="1" applyFont="1" applyFill="1" applyBorder="1" applyAlignment="1">
      <alignment horizontal="right" vertical="center"/>
    </xf>
    <xf numFmtId="169" fontId="8" fillId="0" borderId="0" xfId="1" applyNumberFormat="1" applyFont="1" applyAlignment="1">
      <alignment horizontal="center"/>
    </xf>
    <xf numFmtId="0" fontId="12" fillId="0" borderId="70" xfId="1" applyFont="1" applyBorder="1" applyAlignment="1">
      <alignment horizontal="left" vertical="center"/>
    </xf>
    <xf numFmtId="0" fontId="12" fillId="0" borderId="75" xfId="1" applyFont="1" applyBorder="1" applyAlignment="1">
      <alignment horizontal="left" vertical="center"/>
    </xf>
    <xf numFmtId="0" fontId="26" fillId="0" borderId="18" xfId="4" applyFont="1" applyBorder="1"/>
    <xf numFmtId="0" fontId="26" fillId="0" borderId="0" xfId="4" applyFont="1"/>
    <xf numFmtId="0" fontId="12" fillId="0" borderId="78" xfId="0" applyFont="1" applyBorder="1" applyProtection="1">
      <protection locked="0"/>
    </xf>
    <xf numFmtId="165" fontId="12" fillId="0" borderId="70" xfId="2" applyNumberFormat="1" applyFont="1" applyBorder="1" applyAlignment="1" applyProtection="1">
      <alignment vertical="center"/>
      <protection locked="0"/>
    </xf>
    <xf numFmtId="165" fontId="12" fillId="0" borderId="71" xfId="2" applyNumberFormat="1" applyFont="1" applyBorder="1" applyAlignment="1" applyProtection="1">
      <alignment vertical="center"/>
      <protection locked="0"/>
    </xf>
    <xf numFmtId="165" fontId="12" fillId="0" borderId="75" xfId="2" applyNumberFormat="1" applyFont="1" applyBorder="1" applyAlignment="1" applyProtection="1">
      <alignment vertical="center"/>
      <protection locked="0"/>
    </xf>
    <xf numFmtId="165" fontId="12" fillId="0" borderId="76" xfId="2" applyNumberFormat="1" applyFont="1" applyBorder="1" applyAlignment="1" applyProtection="1">
      <alignment vertical="center"/>
      <protection locked="0"/>
    </xf>
    <xf numFmtId="165" fontId="12" fillId="0" borderId="75" xfId="2" applyNumberFormat="1" applyFont="1" applyFill="1" applyBorder="1" applyAlignment="1" applyProtection="1">
      <alignment vertical="center"/>
      <protection locked="0"/>
    </xf>
    <xf numFmtId="165" fontId="12" fillId="0" borderId="76" xfId="2" applyNumberFormat="1" applyFont="1" applyFill="1" applyBorder="1" applyAlignment="1" applyProtection="1">
      <alignment vertical="center"/>
      <protection locked="0"/>
    </xf>
    <xf numFmtId="165" fontId="12" fillId="0" borderId="135" xfId="2" applyNumberFormat="1" applyFont="1" applyBorder="1" applyAlignment="1" applyProtection="1">
      <alignment vertical="center"/>
      <protection locked="0"/>
    </xf>
    <xf numFmtId="165" fontId="12" fillId="0" borderId="136" xfId="2" applyNumberFormat="1" applyFont="1" applyBorder="1" applyAlignment="1" applyProtection="1">
      <alignment vertical="center"/>
      <protection locked="0"/>
    </xf>
    <xf numFmtId="0" fontId="12" fillId="0" borderId="73" xfId="0" applyFont="1" applyBorder="1" applyAlignment="1">
      <alignment horizontal="left" vertical="center"/>
    </xf>
    <xf numFmtId="0" fontId="12" fillId="0" borderId="118" xfId="0" applyFont="1" applyBorder="1" applyAlignment="1" applyProtection="1">
      <alignment horizontal="left" vertical="center"/>
      <protection locked="0"/>
    </xf>
    <xf numFmtId="0" fontId="12" fillId="0" borderId="75" xfId="0" applyFont="1" applyBorder="1" applyAlignment="1">
      <alignment horizontal="left" vertical="center"/>
    </xf>
    <xf numFmtId="0" fontId="12" fillId="0" borderId="92" xfId="0" applyFont="1" applyBorder="1" applyAlignment="1" applyProtection="1">
      <alignment horizontal="left" vertical="center"/>
      <protection locked="0"/>
    </xf>
    <xf numFmtId="0" fontId="12" fillId="0" borderId="135" xfId="0" applyFont="1" applyBorder="1" applyAlignment="1">
      <alignment horizontal="left" vertical="center"/>
    </xf>
    <xf numFmtId="0" fontId="12" fillId="0" borderId="138" xfId="0" applyFont="1" applyBorder="1" applyAlignment="1">
      <alignment horizontal="left" vertical="center"/>
    </xf>
    <xf numFmtId="0" fontId="12" fillId="0" borderId="139" xfId="0" applyFont="1" applyBorder="1" applyAlignment="1" applyProtection="1">
      <alignment horizontal="left" vertical="center"/>
      <protection locked="0"/>
    </xf>
    <xf numFmtId="0" fontId="12" fillId="0" borderId="140" xfId="0" applyFont="1" applyBorder="1" applyAlignment="1" applyProtection="1">
      <alignment horizontal="left" vertical="center"/>
      <protection locked="0"/>
    </xf>
    <xf numFmtId="0" fontId="12" fillId="0" borderId="57" xfId="0" applyFont="1" applyBorder="1" applyAlignment="1" applyProtection="1">
      <alignment horizontal="left" vertical="center"/>
      <protection locked="0"/>
    </xf>
    <xf numFmtId="0" fontId="12" fillId="0" borderId="137" xfId="0" applyFont="1" applyBorder="1" applyAlignment="1" applyProtection="1">
      <alignment horizontal="left" vertical="center"/>
      <protection locked="0"/>
    </xf>
    <xf numFmtId="164" fontId="12" fillId="0" borderId="134" xfId="2" applyFont="1" applyBorder="1" applyAlignment="1" applyProtection="1">
      <alignment vertical="center"/>
      <protection locked="0"/>
    </xf>
    <xf numFmtId="164" fontId="12" fillId="0" borderId="57" xfId="2" applyFont="1" applyBorder="1" applyAlignment="1" applyProtection="1">
      <alignment vertical="center"/>
      <protection locked="0"/>
    </xf>
    <xf numFmtId="164" fontId="12" fillId="0" borderId="57" xfId="2" applyFont="1" applyFill="1" applyBorder="1" applyAlignment="1" applyProtection="1">
      <alignment vertical="center"/>
      <protection locked="0"/>
    </xf>
    <xf numFmtId="164" fontId="12" fillId="0" borderId="137" xfId="2" applyFont="1" applyBorder="1" applyAlignment="1" applyProtection="1">
      <alignment vertical="center"/>
      <protection locked="0"/>
    </xf>
    <xf numFmtId="0" fontId="12" fillId="5" borderId="132" xfId="0" applyFont="1" applyFill="1" applyBorder="1" applyAlignment="1" applyProtection="1">
      <alignment vertical="center"/>
      <protection locked="0"/>
    </xf>
    <xf numFmtId="0" fontId="12" fillId="5" borderId="70" xfId="0" applyFont="1" applyFill="1" applyBorder="1" applyAlignment="1" applyProtection="1">
      <alignment vertical="center"/>
      <protection locked="0"/>
    </xf>
    <xf numFmtId="0" fontId="12" fillId="5" borderId="141" xfId="0" applyFont="1" applyFill="1" applyBorder="1" applyAlignment="1" applyProtection="1">
      <alignment vertical="center"/>
      <protection locked="0"/>
    </xf>
    <xf numFmtId="165" fontId="12" fillId="5" borderId="133" xfId="2" applyNumberFormat="1" applyFont="1" applyFill="1" applyBorder="1" applyAlignment="1" applyProtection="1">
      <alignment vertical="center"/>
      <protection locked="0"/>
    </xf>
    <xf numFmtId="165" fontId="12" fillId="5" borderId="71" xfId="2" applyNumberFormat="1" applyFont="1" applyFill="1" applyBorder="1" applyAlignment="1" applyProtection="1">
      <alignment vertical="center"/>
      <protection locked="0"/>
    </xf>
    <xf numFmtId="165" fontId="12" fillId="5" borderId="142" xfId="2" applyNumberFormat="1" applyFont="1" applyFill="1" applyBorder="1" applyAlignment="1" applyProtection="1">
      <alignment vertical="center"/>
      <protection locked="0"/>
    </xf>
    <xf numFmtId="165" fontId="12" fillId="5" borderId="136" xfId="2" applyNumberFormat="1" applyFont="1" applyFill="1" applyBorder="1" applyAlignment="1" applyProtection="1">
      <alignment vertical="center"/>
      <protection locked="0"/>
    </xf>
    <xf numFmtId="165" fontId="12" fillId="5" borderId="70" xfId="2" applyNumberFormat="1" applyFont="1" applyFill="1" applyBorder="1" applyAlignment="1" applyProtection="1">
      <alignment vertical="center"/>
      <protection locked="0"/>
    </xf>
    <xf numFmtId="165" fontId="12" fillId="5" borderId="135" xfId="2" applyNumberFormat="1" applyFont="1" applyFill="1" applyBorder="1" applyAlignment="1" applyProtection="1">
      <alignment vertical="center"/>
      <protection locked="0"/>
    </xf>
    <xf numFmtId="3" fontId="1" fillId="0" borderId="86" xfId="13" applyNumberFormat="1" applyFont="1" applyFill="1" applyBorder="1" applyAlignment="1">
      <alignment horizontal="center" vertical="center"/>
    </xf>
    <xf numFmtId="3" fontId="1" fillId="0" borderId="76" xfId="13" applyNumberFormat="1" applyFont="1" applyFill="1" applyBorder="1" applyAlignment="1">
      <alignment horizontal="center" vertical="center"/>
    </xf>
    <xf numFmtId="3" fontId="1" fillId="0" borderId="81" xfId="13" applyNumberFormat="1" applyFont="1" applyFill="1" applyBorder="1" applyAlignment="1">
      <alignment horizontal="center" vertical="center"/>
    </xf>
    <xf numFmtId="9" fontId="1" fillId="0" borderId="86" xfId="3" applyFont="1" applyFill="1" applyBorder="1" applyAlignment="1">
      <alignment horizontal="right" vertical="center"/>
    </xf>
    <xf numFmtId="9" fontId="1" fillId="0" borderId="76" xfId="3" applyFont="1" applyFill="1" applyBorder="1" applyAlignment="1">
      <alignment horizontal="right" vertical="center"/>
    </xf>
    <xf numFmtId="9" fontId="1" fillId="0" borderId="81" xfId="3" applyFont="1" applyFill="1" applyBorder="1" applyAlignment="1">
      <alignment horizontal="right" vertical="center"/>
    </xf>
    <xf numFmtId="0" fontId="28" fillId="0" borderId="0" xfId="0" applyFont="1"/>
    <xf numFmtId="1" fontId="12" fillId="0" borderId="89" xfId="0" applyNumberFormat="1" applyFont="1" applyBorder="1" applyAlignment="1">
      <alignment horizontal="left" vertical="center"/>
    </xf>
    <xf numFmtId="1" fontId="12" fillId="0" borderId="79" xfId="0" applyNumberFormat="1" applyFont="1" applyBorder="1" applyAlignment="1">
      <alignment horizontal="left" vertical="center"/>
    </xf>
    <xf numFmtId="1" fontId="12" fillId="0" borderId="84" xfId="0" applyNumberFormat="1" applyFont="1" applyBorder="1" applyAlignment="1">
      <alignment horizontal="left" vertical="center"/>
    </xf>
    <xf numFmtId="170" fontId="8" fillId="0" borderId="0" xfId="2" applyNumberFormat="1" applyFont="1" applyBorder="1" applyAlignment="1">
      <alignment horizontal="right"/>
    </xf>
    <xf numFmtId="0" fontId="12" fillId="0" borderId="72" xfId="0" applyFont="1" applyBorder="1" applyProtection="1">
      <protection locked="0"/>
    </xf>
    <xf numFmtId="0" fontId="12" fillId="0" borderId="74" xfId="0" applyFont="1" applyBorder="1" applyProtection="1">
      <protection locked="0"/>
    </xf>
    <xf numFmtId="0" fontId="12" fillId="0" borderId="77" xfId="0" applyFont="1" applyBorder="1" applyProtection="1">
      <protection locked="0"/>
    </xf>
    <xf numFmtId="0" fontId="12" fillId="0" borderId="79" xfId="0" applyFont="1" applyBorder="1" applyProtection="1">
      <protection locked="0"/>
    </xf>
    <xf numFmtId="0" fontId="12" fillId="0" borderId="145" xfId="0" applyFont="1" applyBorder="1" applyProtection="1">
      <protection locked="0"/>
    </xf>
    <xf numFmtId="0" fontId="12" fillId="0" borderId="146" xfId="0" applyFont="1" applyBorder="1" applyProtection="1">
      <protection locked="0"/>
    </xf>
    <xf numFmtId="0" fontId="12" fillId="0" borderId="9" xfId="0" applyFont="1" applyBorder="1" applyProtection="1">
      <protection locked="0"/>
    </xf>
    <xf numFmtId="0" fontId="12" fillId="0" borderId="10" xfId="0" applyFont="1" applyBorder="1" applyProtection="1">
      <protection locked="0"/>
    </xf>
    <xf numFmtId="0" fontId="12" fillId="0" borderId="88" xfId="0" applyFont="1" applyBorder="1" applyProtection="1">
      <protection locked="0"/>
    </xf>
    <xf numFmtId="0" fontId="12" fillId="0" borderId="87" xfId="0" applyFont="1" applyBorder="1" applyProtection="1">
      <protection locked="0"/>
    </xf>
    <xf numFmtId="171" fontId="12" fillId="0" borderId="112" xfId="2" applyNumberFormat="1" applyFont="1" applyFill="1" applyBorder="1"/>
    <xf numFmtId="0" fontId="12" fillId="0" borderId="147" xfId="0" applyFont="1" applyBorder="1" applyProtection="1">
      <protection locked="0"/>
    </xf>
    <xf numFmtId="171" fontId="12" fillId="0" borderId="148" xfId="2" applyNumberFormat="1" applyFont="1" applyFill="1" applyBorder="1" applyAlignment="1">
      <alignment horizontal="center"/>
    </xf>
    <xf numFmtId="0" fontId="12" fillId="0" borderId="8" xfId="0" applyFont="1" applyBorder="1" applyProtection="1">
      <protection locked="0"/>
    </xf>
    <xf numFmtId="171" fontId="8" fillId="0" borderId="29" xfId="2" applyNumberFormat="1" applyFont="1" applyFill="1" applyBorder="1"/>
    <xf numFmtId="3" fontId="12" fillId="0" borderId="72" xfId="2" applyNumberFormat="1" applyFont="1" applyFill="1" applyBorder="1" applyAlignment="1">
      <alignment horizontal="right" vertical="center" indent="2"/>
    </xf>
    <xf numFmtId="3" fontId="12" fillId="0" borderId="77" xfId="2" applyNumberFormat="1" applyFont="1" applyFill="1" applyBorder="1" applyAlignment="1">
      <alignment horizontal="right" vertical="center" indent="2"/>
    </xf>
    <xf numFmtId="3" fontId="12" fillId="0" borderId="77" xfId="2" applyNumberFormat="1" applyFont="1" applyFill="1" applyBorder="1" applyAlignment="1">
      <alignment horizontal="right" indent="2"/>
    </xf>
    <xf numFmtId="3" fontId="12" fillId="0" borderId="145" xfId="2" applyNumberFormat="1" applyFont="1" applyFill="1" applyBorder="1" applyAlignment="1">
      <alignment horizontal="right" indent="2"/>
    </xf>
    <xf numFmtId="3" fontId="8" fillId="0" borderId="9" xfId="2" applyNumberFormat="1" applyFont="1" applyFill="1" applyBorder="1" applyAlignment="1">
      <alignment horizontal="right" indent="2"/>
    </xf>
    <xf numFmtId="3" fontId="12" fillId="0" borderId="71" xfId="2" applyNumberFormat="1" applyFont="1" applyFill="1" applyBorder="1" applyAlignment="1">
      <alignment horizontal="right" vertical="center" indent="2"/>
    </xf>
    <xf numFmtId="3" fontId="12" fillId="0" borderId="24" xfId="2" applyNumberFormat="1" applyFont="1" applyFill="1" applyBorder="1" applyAlignment="1">
      <alignment horizontal="right" vertical="center" indent="2"/>
    </xf>
    <xf numFmtId="0" fontId="23" fillId="5" borderId="0" xfId="0" applyFont="1" applyFill="1" applyAlignment="1">
      <alignment horizontal="right" indent="2"/>
    </xf>
    <xf numFmtId="0" fontId="8" fillId="0" borderId="128" xfId="0" applyFont="1" applyBorder="1" applyAlignment="1" applyProtection="1">
      <alignment horizontal="center"/>
      <protection locked="0"/>
    </xf>
    <xf numFmtId="0" fontId="12" fillId="0" borderId="39" xfId="0" applyFont="1" applyBorder="1" applyAlignment="1" applyProtection="1">
      <alignment horizontal="center" vertical="center"/>
      <protection locked="0"/>
    </xf>
    <xf numFmtId="0" fontId="12" fillId="0" borderId="149" xfId="0" applyFont="1" applyBorder="1" applyAlignment="1" applyProtection="1">
      <alignment horizontal="center" vertical="center"/>
      <protection locked="0"/>
    </xf>
    <xf numFmtId="0" fontId="12" fillId="0" borderId="40" xfId="0" applyFont="1" applyBorder="1" applyAlignment="1" applyProtection="1">
      <alignment horizontal="center" vertical="center"/>
      <protection locked="0"/>
    </xf>
    <xf numFmtId="0" fontId="52" fillId="5" borderId="129" xfId="0" applyFont="1" applyFill="1" applyBorder="1" applyAlignment="1">
      <alignment horizontal="center" vertical="center" wrapText="1"/>
    </xf>
    <xf numFmtId="0" fontId="52" fillId="5" borderId="14" xfId="0" applyFont="1" applyFill="1" applyBorder="1" applyAlignment="1">
      <alignment horizontal="center" vertical="center" wrapText="1"/>
    </xf>
    <xf numFmtId="0" fontId="52" fillId="5" borderId="128" xfId="0" applyFont="1" applyFill="1" applyBorder="1" applyAlignment="1">
      <alignment horizontal="center" vertical="center" wrapText="1"/>
    </xf>
    <xf numFmtId="0" fontId="57" fillId="5" borderId="129" xfId="0" applyFont="1" applyFill="1" applyBorder="1" applyAlignment="1">
      <alignment horizontal="center" vertical="center" wrapText="1"/>
    </xf>
    <xf numFmtId="0" fontId="58" fillId="6" borderId="130" xfId="0" applyFont="1" applyFill="1" applyBorder="1" applyAlignment="1">
      <alignment horizontal="center" vertical="center" wrapText="1"/>
    </xf>
    <xf numFmtId="0" fontId="52" fillId="5" borderId="130" xfId="0" applyFont="1" applyFill="1" applyBorder="1" applyAlignment="1">
      <alignment horizontal="center" vertical="center" wrapText="1"/>
    </xf>
    <xf numFmtId="0" fontId="52" fillId="5" borderId="32" xfId="0" applyFont="1" applyFill="1" applyBorder="1" applyAlignment="1">
      <alignment horizontal="center" vertical="center"/>
    </xf>
    <xf numFmtId="0" fontId="58" fillId="6" borderId="129" xfId="0" applyFont="1" applyFill="1" applyBorder="1" applyAlignment="1">
      <alignment horizontal="center" vertical="center" wrapText="1"/>
    </xf>
    <xf numFmtId="0" fontId="59" fillId="5" borderId="130" xfId="0" applyFont="1" applyFill="1" applyBorder="1" applyAlignment="1">
      <alignment horizontal="center" vertical="center" wrapText="1"/>
    </xf>
    <xf numFmtId="0" fontId="52" fillId="5" borderId="131" xfId="0" applyFont="1" applyFill="1" applyBorder="1" applyAlignment="1">
      <alignment horizontal="center" vertical="center" wrapText="1"/>
    </xf>
    <xf numFmtId="0" fontId="28" fillId="4" borderId="0" xfId="0" applyFont="1" applyFill="1" applyAlignment="1">
      <alignment horizontal="center" vertical="center"/>
    </xf>
    <xf numFmtId="0" fontId="60" fillId="5" borderId="37" xfId="0" applyFont="1" applyFill="1" applyBorder="1" applyAlignment="1">
      <alignment horizontal="center" vertical="center" wrapText="1"/>
    </xf>
    <xf numFmtId="0" fontId="60" fillId="5" borderId="11" xfId="0" applyFont="1" applyFill="1" applyBorder="1" applyAlignment="1">
      <alignment horizontal="center" vertical="center" wrapText="1"/>
    </xf>
    <xf numFmtId="9" fontId="60" fillId="5" borderId="11" xfId="14" applyFont="1" applyFill="1" applyBorder="1" applyAlignment="1">
      <alignment horizontal="center" vertical="center" wrapText="1"/>
    </xf>
    <xf numFmtId="0" fontId="61" fillId="0" borderId="0" xfId="0" applyFont="1" applyProtection="1">
      <protection locked="0"/>
    </xf>
    <xf numFmtId="0" fontId="60" fillId="5" borderId="96" xfId="0" applyFont="1" applyFill="1" applyBorder="1" applyAlignment="1">
      <alignment horizontal="center" vertical="center" wrapText="1"/>
    </xf>
    <xf numFmtId="0" fontId="59" fillId="5" borderId="98" xfId="0" applyFont="1" applyFill="1" applyBorder="1" applyAlignment="1">
      <alignment horizontal="center" vertical="center"/>
    </xf>
    <xf numFmtId="0" fontId="60" fillId="5" borderId="104" xfId="0" applyFont="1" applyFill="1" applyBorder="1" applyAlignment="1">
      <alignment horizontal="center" vertical="center" wrapText="1"/>
    </xf>
    <xf numFmtId="0" fontId="60" fillId="5" borderId="98" xfId="0" applyFont="1" applyFill="1" applyBorder="1" applyAlignment="1">
      <alignment horizontal="center" vertical="center" wrapText="1"/>
    </xf>
    <xf numFmtId="0" fontId="60" fillId="5" borderId="97" xfId="0" applyFont="1" applyFill="1" applyBorder="1" applyAlignment="1">
      <alignment horizontal="center" vertical="center" wrapText="1"/>
    </xf>
    <xf numFmtId="14" fontId="19" fillId="0" borderId="40" xfId="0" applyNumberFormat="1" applyFont="1" applyBorder="1" applyAlignment="1" applyProtection="1">
      <alignment horizontal="center" vertical="center"/>
      <protection locked="0"/>
    </xf>
    <xf numFmtId="0" fontId="8" fillId="0" borderId="13" xfId="0" applyFont="1" applyBorder="1" applyAlignment="1" applyProtection="1">
      <alignment horizontal="center" wrapText="1"/>
      <protection locked="0"/>
    </xf>
    <xf numFmtId="0" fontId="8" fillId="0" borderId="14" xfId="0" applyFont="1" applyBorder="1" applyAlignment="1" applyProtection="1">
      <alignment horizontal="center" wrapText="1"/>
      <protection locked="0"/>
    </xf>
    <xf numFmtId="0" fontId="8" fillId="0" borderId="32" xfId="0" applyFont="1" applyBorder="1" applyAlignment="1" applyProtection="1">
      <alignment horizontal="left" vertical="center" wrapText="1" indent="3"/>
      <protection locked="0"/>
    </xf>
    <xf numFmtId="0" fontId="8" fillId="0" borderId="13" xfId="0" applyFont="1" applyBorder="1" applyAlignment="1" applyProtection="1">
      <alignment horizontal="left" vertical="center" wrapText="1" indent="3"/>
      <protection locked="0"/>
    </xf>
    <xf numFmtId="14" fontId="16" fillId="0" borderId="18" xfId="0" applyNumberFormat="1" applyFont="1" applyBorder="1" applyAlignment="1" applyProtection="1">
      <alignment horizontal="center" vertical="center"/>
      <protection locked="0"/>
    </xf>
    <xf numFmtId="14" fontId="16" fillId="0" borderId="0" xfId="0" applyNumberFormat="1" applyFont="1" applyAlignment="1" applyProtection="1">
      <alignment horizontal="center" vertical="center"/>
      <protection locked="0"/>
    </xf>
    <xf numFmtId="14" fontId="16" fillId="0" borderId="19" xfId="0" applyNumberFormat="1" applyFont="1" applyBorder="1" applyAlignment="1" applyProtection="1">
      <alignment horizontal="center" vertical="center"/>
      <protection locked="0"/>
    </xf>
    <xf numFmtId="14" fontId="16" fillId="0" borderId="20" xfId="0" applyNumberFormat="1" applyFont="1" applyBorder="1" applyAlignment="1" applyProtection="1">
      <alignment horizontal="center" vertical="center"/>
      <protection locked="0"/>
    </xf>
    <xf numFmtId="14" fontId="16" fillId="0" borderId="21" xfId="0" applyNumberFormat="1" applyFont="1" applyBorder="1" applyAlignment="1" applyProtection="1">
      <alignment horizontal="center" vertical="center"/>
      <protection locked="0"/>
    </xf>
    <xf numFmtId="14" fontId="16" fillId="0" borderId="22" xfId="0" applyNumberFormat="1" applyFont="1" applyBorder="1" applyAlignment="1" applyProtection="1">
      <alignment horizontal="center" vertical="center"/>
      <protection locked="0"/>
    </xf>
    <xf numFmtId="0" fontId="8" fillId="0" borderId="12" xfId="0" applyFont="1" applyBorder="1" applyAlignment="1" applyProtection="1">
      <alignment horizontal="left" vertical="center" wrapText="1" indent="2"/>
      <protection locked="0"/>
    </xf>
    <xf numFmtId="0" fontId="8" fillId="0" borderId="13" xfId="0" applyFont="1" applyBorder="1" applyAlignment="1" applyProtection="1">
      <alignment horizontal="left" vertical="center" wrapText="1" indent="2"/>
      <protection locked="0"/>
    </xf>
    <xf numFmtId="0" fontId="8" fillId="0" borderId="12" xfId="0" applyFont="1" applyBorder="1" applyAlignment="1" applyProtection="1">
      <alignment horizontal="center" vertical="center" wrapText="1"/>
      <protection locked="0"/>
    </xf>
    <xf numFmtId="0" fontId="8" fillId="0" borderId="13" xfId="0" applyFont="1" applyBorder="1" applyAlignment="1" applyProtection="1">
      <alignment horizontal="center" vertical="center" wrapText="1"/>
      <protection locked="0"/>
    </xf>
    <xf numFmtId="0" fontId="8" fillId="0" borderId="12" xfId="0" applyFont="1" applyBorder="1" applyAlignment="1" applyProtection="1">
      <alignment horizontal="center" vertical="center"/>
      <protection locked="0"/>
    </xf>
    <xf numFmtId="0" fontId="8" fillId="0" borderId="31" xfId="0" applyFont="1" applyBorder="1" applyAlignment="1" applyProtection="1">
      <alignment horizontal="center" vertical="center"/>
      <protection locked="0"/>
    </xf>
    <xf numFmtId="49" fontId="18" fillId="0" borderId="15" xfId="0" applyNumberFormat="1" applyFont="1" applyBorder="1" applyAlignment="1" applyProtection="1">
      <alignment horizontal="center" vertical="center"/>
      <protection locked="0"/>
    </xf>
    <xf numFmtId="49" fontId="18" fillId="0" borderId="16" xfId="0" applyNumberFormat="1" applyFont="1" applyBorder="1" applyAlignment="1" applyProtection="1">
      <alignment horizontal="center" vertical="center"/>
      <protection locked="0"/>
    </xf>
    <xf numFmtId="49" fontId="18" fillId="0" borderId="17" xfId="0" applyNumberFormat="1" applyFont="1" applyBorder="1" applyAlignment="1" applyProtection="1">
      <alignment horizontal="center" vertical="center"/>
      <protection locked="0"/>
    </xf>
    <xf numFmtId="49" fontId="18" fillId="0" borderId="20" xfId="0" applyNumberFormat="1" applyFont="1" applyBorder="1" applyAlignment="1" applyProtection="1">
      <alignment horizontal="center" vertical="center"/>
      <protection locked="0"/>
    </xf>
    <xf numFmtId="49" fontId="18" fillId="0" borderId="21" xfId="0" applyNumberFormat="1" applyFont="1" applyBorder="1" applyAlignment="1" applyProtection="1">
      <alignment horizontal="center" vertical="center"/>
      <protection locked="0"/>
    </xf>
    <xf numFmtId="49" fontId="18" fillId="0" borderId="22" xfId="0" applyNumberFormat="1" applyFont="1" applyBorder="1" applyAlignment="1" applyProtection="1">
      <alignment horizontal="center" vertical="center"/>
      <protection locked="0"/>
    </xf>
    <xf numFmtId="0" fontId="6" fillId="0" borderId="16" xfId="0" applyFont="1" applyBorder="1" applyAlignment="1" applyProtection="1">
      <alignment horizontal="center" vertical="center"/>
      <protection locked="0"/>
    </xf>
    <xf numFmtId="0" fontId="6" fillId="0" borderId="17" xfId="0" applyFont="1" applyBorder="1" applyAlignment="1" applyProtection="1">
      <alignment horizontal="center" vertical="center"/>
      <protection locked="0"/>
    </xf>
    <xf numFmtId="0" fontId="14" fillId="0" borderId="21" xfId="0" applyFont="1" applyBorder="1" applyAlignment="1" applyProtection="1">
      <alignment horizontal="center" vertical="center"/>
      <protection locked="0"/>
    </xf>
    <xf numFmtId="0" fontId="14" fillId="0" borderId="22" xfId="0" applyFont="1" applyBorder="1" applyAlignment="1" applyProtection="1">
      <alignment horizontal="center" vertical="center"/>
      <protection locked="0"/>
    </xf>
    <xf numFmtId="0" fontId="17" fillId="0" borderId="28" xfId="0" applyFont="1" applyBorder="1" applyAlignment="1" applyProtection="1">
      <alignment horizontal="center" vertical="center"/>
      <protection locked="0"/>
    </xf>
    <xf numFmtId="0" fontId="17" fillId="0" borderId="10" xfId="0" applyFont="1" applyBorder="1" applyAlignment="1" applyProtection="1">
      <alignment horizontal="center" vertical="center"/>
      <protection locked="0"/>
    </xf>
    <xf numFmtId="0" fontId="51" fillId="0" borderId="9" xfId="6" applyFont="1" applyFill="1" applyBorder="1" applyAlignment="1" applyProtection="1">
      <alignment horizontal="left" vertical="center"/>
      <protection locked="0"/>
    </xf>
    <xf numFmtId="0" fontId="51" fillId="0" borderId="29" xfId="6" applyFont="1" applyFill="1" applyBorder="1" applyAlignment="1" applyProtection="1">
      <alignment horizontal="left" vertical="center"/>
      <protection locked="0"/>
    </xf>
    <xf numFmtId="0" fontId="8" fillId="0" borderId="25" xfId="0" applyFont="1" applyBorder="1" applyAlignment="1" applyProtection="1">
      <alignment horizontal="center"/>
      <protection locked="0"/>
    </xf>
    <xf numFmtId="0" fontId="8" fillId="0" borderId="26" xfId="0" applyFont="1" applyBorder="1" applyAlignment="1" applyProtection="1">
      <alignment horizontal="center"/>
      <protection locked="0"/>
    </xf>
    <xf numFmtId="0" fontId="8" fillId="0" borderId="27" xfId="0" applyFont="1" applyBorder="1" applyAlignment="1" applyProtection="1">
      <alignment horizontal="center"/>
      <protection locked="0"/>
    </xf>
    <xf numFmtId="0" fontId="8" fillId="0" borderId="25" xfId="0" applyFont="1" applyBorder="1" applyAlignment="1" applyProtection="1">
      <alignment horizontal="left"/>
      <protection locked="0"/>
    </xf>
    <xf numFmtId="0" fontId="8" fillId="0" borderId="26" xfId="0" applyFont="1" applyBorder="1" applyAlignment="1" applyProtection="1">
      <alignment horizontal="left"/>
      <protection locked="0"/>
    </xf>
    <xf numFmtId="0" fontId="8" fillId="0" borderId="27" xfId="0" applyFont="1" applyBorder="1" applyAlignment="1" applyProtection="1">
      <alignment horizontal="left"/>
      <protection locked="0"/>
    </xf>
    <xf numFmtId="0" fontId="14" fillId="0" borderId="15" xfId="0" applyFont="1" applyBorder="1" applyAlignment="1" applyProtection="1">
      <alignment horizontal="left" vertical="top"/>
      <protection locked="0"/>
    </xf>
    <xf numFmtId="0" fontId="14" fillId="0" borderId="16" xfId="0" applyFont="1" applyBorder="1" applyAlignment="1" applyProtection="1">
      <alignment horizontal="left" vertical="top"/>
      <protection locked="0"/>
    </xf>
    <xf numFmtId="0" fontId="14" fillId="0" borderId="17" xfId="0" applyFont="1" applyBorder="1" applyAlignment="1" applyProtection="1">
      <alignment horizontal="left" vertical="top"/>
      <protection locked="0"/>
    </xf>
    <xf numFmtId="0" fontId="14" fillId="0" borderId="18" xfId="0" applyFont="1" applyBorder="1" applyAlignment="1" applyProtection="1">
      <alignment horizontal="left" vertical="top"/>
      <protection locked="0"/>
    </xf>
    <xf numFmtId="0" fontId="14" fillId="0" borderId="0" xfId="0" applyFont="1" applyAlignment="1" applyProtection="1">
      <alignment horizontal="left" vertical="top"/>
      <protection locked="0"/>
    </xf>
    <xf numFmtId="0" fontId="14" fillId="0" borderId="19" xfId="0" applyFont="1" applyBorder="1" applyAlignment="1" applyProtection="1">
      <alignment horizontal="left" vertical="top"/>
      <protection locked="0"/>
    </xf>
    <xf numFmtId="0" fontId="14" fillId="0" borderId="20" xfId="0" applyFont="1" applyBorder="1" applyAlignment="1" applyProtection="1">
      <alignment horizontal="left" vertical="top"/>
      <protection locked="0"/>
    </xf>
    <xf numFmtId="0" fontId="14" fillId="0" borderId="21" xfId="0" applyFont="1" applyBorder="1" applyAlignment="1" applyProtection="1">
      <alignment horizontal="left" vertical="top"/>
      <protection locked="0"/>
    </xf>
    <xf numFmtId="0" fontId="14" fillId="0" borderId="22" xfId="0" applyFont="1" applyBorder="1" applyAlignment="1" applyProtection="1">
      <alignment horizontal="left" vertical="top"/>
      <protection locked="0"/>
    </xf>
    <xf numFmtId="0" fontId="17" fillId="0" borderId="107" xfId="0" applyFont="1" applyBorder="1" applyAlignment="1" applyProtection="1">
      <alignment horizontal="center" vertical="center"/>
      <protection locked="0"/>
    </xf>
    <xf numFmtId="0" fontId="17" fillId="0" borderId="33" xfId="0" applyFont="1" applyBorder="1" applyAlignment="1" applyProtection="1">
      <alignment horizontal="center" vertical="center"/>
      <protection locked="0"/>
    </xf>
    <xf numFmtId="0" fontId="52" fillId="0" borderId="30" xfId="0" applyFont="1" applyBorder="1" applyAlignment="1" applyProtection="1">
      <alignment horizontal="left" vertical="center"/>
      <protection locked="0"/>
    </xf>
    <xf numFmtId="0" fontId="52" fillId="0" borderId="108" xfId="0" applyFont="1" applyBorder="1" applyAlignment="1" applyProtection="1">
      <alignment horizontal="left" vertical="center"/>
      <protection locked="0"/>
    </xf>
    <xf numFmtId="14" fontId="15" fillId="0" borderId="18" xfId="0" applyNumberFormat="1" applyFont="1" applyBorder="1" applyAlignment="1" applyProtection="1">
      <alignment horizontal="center" vertical="center"/>
      <protection locked="0"/>
    </xf>
    <xf numFmtId="0" fontId="0" fillId="0" borderId="0" xfId="0"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17" fillId="0" borderId="25" xfId="0" applyFont="1" applyBorder="1" applyAlignment="1" applyProtection="1">
      <alignment horizontal="center" vertical="center"/>
      <protection locked="0"/>
    </xf>
    <xf numFmtId="0" fontId="17" fillId="0" borderId="34" xfId="0" applyFont="1" applyBorder="1" applyAlignment="1" applyProtection="1">
      <alignment horizontal="center" vertical="center"/>
      <protection locked="0"/>
    </xf>
    <xf numFmtId="0" fontId="51" fillId="0" borderId="26" xfId="6" applyFont="1" applyFill="1" applyBorder="1" applyAlignment="1" applyProtection="1">
      <alignment horizontal="left" vertical="center"/>
      <protection locked="0"/>
    </xf>
    <xf numFmtId="0" fontId="51" fillId="0" borderId="27" xfId="6" applyFont="1" applyFill="1" applyBorder="1" applyAlignment="1" applyProtection="1">
      <alignment horizontal="left" vertical="center"/>
      <protection locked="0"/>
    </xf>
    <xf numFmtId="0" fontId="51" fillId="0" borderId="7" xfId="6" applyFont="1" applyFill="1" applyBorder="1" applyAlignment="1" applyProtection="1">
      <alignment horizontal="left" vertical="center"/>
      <protection locked="0"/>
    </xf>
    <xf numFmtId="0" fontId="51" fillId="0" borderId="121" xfId="6" applyFont="1" applyFill="1" applyBorder="1" applyAlignment="1" applyProtection="1">
      <alignment horizontal="left" vertical="center"/>
      <protection locked="0"/>
    </xf>
    <xf numFmtId="0" fontId="25" fillId="0" borderId="13" xfId="6" applyFont="1" applyBorder="1" applyAlignment="1" applyProtection="1">
      <alignment horizontal="center" vertical="center"/>
      <protection locked="0"/>
    </xf>
    <xf numFmtId="4" fontId="17" fillId="0" borderId="11" xfId="0" applyNumberFormat="1" applyFont="1" applyBorder="1" applyAlignment="1">
      <alignment horizontal="center"/>
    </xf>
    <xf numFmtId="165" fontId="12" fillId="0" borderId="23" xfId="2" applyNumberFormat="1" applyFont="1" applyFill="1" applyBorder="1" applyAlignment="1" applyProtection="1">
      <alignment horizontal="center" vertical="center" wrapText="1"/>
      <protection locked="0"/>
    </xf>
    <xf numFmtId="165" fontId="12" fillId="0" borderId="14" xfId="2" applyNumberFormat="1" applyFont="1" applyFill="1" applyBorder="1" applyAlignment="1" applyProtection="1">
      <alignment horizontal="center" vertical="center" wrapText="1"/>
      <protection locked="0"/>
    </xf>
    <xf numFmtId="0" fontId="20" fillId="0" borderId="12" xfId="0" applyFont="1" applyBorder="1" applyAlignment="1" applyProtection="1">
      <alignment horizontal="left" vertical="top" wrapText="1"/>
      <protection locked="0"/>
    </xf>
    <xf numFmtId="0" fontId="12" fillId="0" borderId="13" xfId="0" applyFont="1" applyBorder="1" applyAlignment="1" applyProtection="1">
      <alignment horizontal="left" vertical="top"/>
      <protection locked="0"/>
    </xf>
    <xf numFmtId="0" fontId="12" fillId="0" borderId="14" xfId="0" applyFont="1" applyBorder="1" applyAlignment="1" applyProtection="1">
      <alignment horizontal="left" vertical="top"/>
      <protection locked="0"/>
    </xf>
    <xf numFmtId="0" fontId="12" fillId="0" borderId="20" xfId="0" applyFont="1" applyBorder="1" applyAlignment="1" applyProtection="1">
      <alignment horizontal="left" vertical="top" wrapText="1"/>
      <protection locked="0"/>
    </xf>
    <xf numFmtId="0" fontId="12" fillId="0" borderId="21" xfId="0" applyFont="1" applyBorder="1" applyAlignment="1" applyProtection="1">
      <alignment horizontal="left" vertical="top"/>
      <protection locked="0"/>
    </xf>
    <xf numFmtId="0" fontId="12" fillId="0" borderId="22" xfId="0" applyFont="1" applyBorder="1" applyAlignment="1" applyProtection="1">
      <alignment horizontal="left" vertical="top"/>
      <protection locked="0"/>
    </xf>
    <xf numFmtId="0" fontId="12" fillId="0" borderId="23" xfId="0" applyFont="1" applyBorder="1" applyAlignment="1" applyProtection="1">
      <alignment horizontal="center" vertical="center" wrapText="1"/>
      <protection locked="0"/>
    </xf>
    <xf numFmtId="0" fontId="12" fillId="0" borderId="14" xfId="0" applyFont="1" applyBorder="1" applyAlignment="1" applyProtection="1">
      <alignment horizontal="center" vertical="center" wrapText="1"/>
      <protection locked="0"/>
    </xf>
    <xf numFmtId="14" fontId="15" fillId="0" borderId="15" xfId="0" applyNumberFormat="1" applyFont="1" applyBorder="1" applyAlignment="1" applyProtection="1">
      <alignment horizontal="center" vertical="center"/>
      <protection locked="0"/>
    </xf>
    <xf numFmtId="14" fontId="15" fillId="0" borderId="16" xfId="0" applyNumberFormat="1" applyFont="1" applyBorder="1" applyAlignment="1" applyProtection="1">
      <alignment horizontal="center" vertical="center"/>
      <protection locked="0"/>
    </xf>
    <xf numFmtId="14" fontId="15" fillId="0" borderId="17" xfId="0" applyNumberFormat="1" applyFont="1" applyBorder="1" applyAlignment="1" applyProtection="1">
      <alignment horizontal="center" vertical="center"/>
      <protection locked="0"/>
    </xf>
    <xf numFmtId="14" fontId="15" fillId="0" borderId="20" xfId="0" applyNumberFormat="1" applyFont="1" applyBorder="1" applyAlignment="1" applyProtection="1">
      <alignment horizontal="center" vertical="center"/>
      <protection locked="0"/>
    </xf>
    <xf numFmtId="14" fontId="15" fillId="0" borderId="21" xfId="0" applyNumberFormat="1" applyFont="1" applyBorder="1" applyAlignment="1" applyProtection="1">
      <alignment horizontal="center" vertical="center"/>
      <protection locked="0"/>
    </xf>
    <xf numFmtId="14" fontId="15" fillId="0" borderId="22" xfId="0" applyNumberFormat="1" applyFont="1" applyBorder="1" applyAlignment="1" applyProtection="1">
      <alignment horizontal="center" vertical="center"/>
      <protection locked="0"/>
    </xf>
    <xf numFmtId="0" fontId="12" fillId="0" borderId="15" xfId="0" applyFont="1" applyBorder="1" applyAlignment="1" applyProtection="1">
      <alignment horizontal="center" vertical="center"/>
      <protection locked="0"/>
    </xf>
    <xf numFmtId="0" fontId="12" fillId="0" borderId="17" xfId="0" applyFont="1" applyBorder="1" applyAlignment="1" applyProtection="1">
      <alignment horizontal="center" vertical="center"/>
      <protection locked="0"/>
    </xf>
    <xf numFmtId="14" fontId="19" fillId="0" borderId="20" xfId="0" applyNumberFormat="1" applyFont="1" applyBorder="1" applyAlignment="1" applyProtection="1">
      <alignment horizontal="center" vertical="center"/>
      <protection locked="0"/>
    </xf>
    <xf numFmtId="0" fontId="19" fillId="0" borderId="22" xfId="0" applyFont="1" applyBorder="1" applyAlignment="1" applyProtection="1">
      <alignment horizontal="center" vertical="center"/>
      <protection locked="0"/>
    </xf>
    <xf numFmtId="0" fontId="8" fillId="0" borderId="0" xfId="0" applyFont="1" applyAlignment="1">
      <alignment horizontal="left"/>
    </xf>
    <xf numFmtId="0" fontId="8" fillId="0" borderId="0" xfId="0" applyFont="1" applyAlignment="1">
      <alignment wrapText="1"/>
    </xf>
    <xf numFmtId="0" fontId="20" fillId="0" borderId="0" xfId="0" applyFont="1" applyAlignment="1">
      <alignment wrapText="1"/>
    </xf>
    <xf numFmtId="14" fontId="8" fillId="5" borderId="3" xfId="10" applyNumberFormat="1" applyFont="1" applyFill="1" applyBorder="1" applyAlignment="1" applyProtection="1">
      <alignment horizontal="center" vertical="center" wrapText="1"/>
      <protection hidden="1"/>
    </xf>
    <xf numFmtId="14" fontId="8" fillId="5" borderId="6" xfId="10" applyNumberFormat="1" applyFont="1" applyFill="1" applyBorder="1" applyAlignment="1" applyProtection="1">
      <alignment horizontal="center" vertical="center" wrapText="1"/>
      <protection hidden="1"/>
    </xf>
    <xf numFmtId="14" fontId="8" fillId="5" borderId="11" xfId="10" applyNumberFormat="1" applyFont="1" applyFill="1" applyBorder="1" applyAlignment="1" applyProtection="1">
      <alignment horizontal="center" vertical="center" wrapText="1"/>
      <protection hidden="1"/>
    </xf>
    <xf numFmtId="0" fontId="12" fillId="0" borderId="4" xfId="0" applyFont="1" applyBorder="1" applyAlignment="1">
      <alignment horizontal="left" vertical="center" wrapText="1"/>
    </xf>
    <xf numFmtId="0" fontId="12" fillId="0" borderId="5" xfId="0" applyFont="1" applyBorder="1" applyAlignment="1">
      <alignment horizontal="left" vertical="center" wrapText="1"/>
    </xf>
    <xf numFmtId="0" fontId="12" fillId="0" borderId="35" xfId="0" applyFont="1" applyBorder="1" applyAlignment="1">
      <alignment horizontal="left" vertical="center" wrapText="1"/>
    </xf>
    <xf numFmtId="0" fontId="12" fillId="0" borderId="1" xfId="0" applyFont="1" applyBorder="1" applyAlignment="1">
      <alignment horizontal="left" vertical="center" wrapText="1"/>
    </xf>
    <xf numFmtId="14" fontId="8" fillId="5" borderId="35" xfId="10" applyNumberFormat="1" applyFont="1" applyFill="1" applyBorder="1" applyAlignment="1" applyProtection="1">
      <alignment horizontal="center" vertical="center" wrapText="1"/>
      <protection hidden="1"/>
    </xf>
    <xf numFmtId="14" fontId="8" fillId="5" borderId="1" xfId="10" applyNumberFormat="1" applyFont="1" applyFill="1" applyBorder="1" applyAlignment="1" applyProtection="1">
      <alignment horizontal="center" vertical="center" wrapText="1"/>
      <protection hidden="1"/>
    </xf>
    <xf numFmtId="14" fontId="8" fillId="5" borderId="4" xfId="10" applyNumberFormat="1" applyFont="1" applyFill="1" applyBorder="1" applyAlignment="1" applyProtection="1">
      <alignment horizontal="center" vertical="center" wrapText="1"/>
      <protection hidden="1"/>
    </xf>
    <xf numFmtId="14" fontId="8" fillId="5" borderId="5" xfId="10" applyNumberFormat="1" applyFont="1" applyFill="1" applyBorder="1" applyAlignment="1" applyProtection="1">
      <alignment horizontal="center" vertical="center" wrapText="1"/>
      <protection hidden="1"/>
    </xf>
    <xf numFmtId="0" fontId="8" fillId="5" borderId="126" xfId="0" applyFont="1" applyFill="1" applyBorder="1" applyAlignment="1">
      <alignment horizontal="right" vertical="center"/>
    </xf>
    <xf numFmtId="0" fontId="8" fillId="5" borderId="127" xfId="0" applyFont="1" applyFill="1" applyBorder="1" applyAlignment="1">
      <alignment horizontal="right" vertical="center"/>
    </xf>
    <xf numFmtId="0" fontId="12" fillId="0" borderId="28" xfId="0" applyFont="1" applyBorder="1" applyAlignment="1" applyProtection="1">
      <alignment horizontal="left" vertical="top"/>
      <protection locked="0"/>
    </xf>
    <xf numFmtId="0" fontId="12" fillId="0" borderId="9" xfId="0" applyFont="1" applyBorder="1" applyAlignment="1" applyProtection="1">
      <alignment horizontal="left" vertical="top"/>
      <protection locked="0"/>
    </xf>
    <xf numFmtId="0" fontId="12" fillId="0" borderId="29" xfId="0" applyFont="1" applyBorder="1" applyAlignment="1" applyProtection="1">
      <alignment horizontal="left" vertical="top"/>
      <protection locked="0"/>
    </xf>
    <xf numFmtId="0" fontId="8" fillId="5" borderId="59" xfId="1" applyFont="1" applyFill="1" applyBorder="1" applyAlignment="1">
      <alignment horizontal="right" vertical="center"/>
    </xf>
    <xf numFmtId="0" fontId="8" fillId="5" borderId="51" xfId="1" applyFont="1" applyFill="1" applyBorder="1" applyAlignment="1">
      <alignment horizontal="right" vertical="center"/>
    </xf>
    <xf numFmtId="0" fontId="8" fillId="5" borderId="8" xfId="1" applyFont="1" applyFill="1" applyBorder="1" applyAlignment="1">
      <alignment horizontal="center"/>
    </xf>
    <xf numFmtId="0" fontId="8" fillId="5" borderId="10" xfId="1" applyFont="1" applyFill="1" applyBorder="1" applyAlignment="1">
      <alignment horizontal="center"/>
    </xf>
    <xf numFmtId="0" fontId="8" fillId="4" borderId="0" xfId="1" applyFont="1" applyFill="1" applyAlignment="1">
      <alignment horizontal="center" vertical="center"/>
    </xf>
    <xf numFmtId="9" fontId="23" fillId="5" borderId="3" xfId="3" applyFont="1" applyFill="1" applyBorder="1" applyAlignment="1">
      <alignment horizontal="center" vertical="center" wrapText="1"/>
    </xf>
    <xf numFmtId="9" fontId="23" fillId="5" borderId="6" xfId="3" applyFont="1" applyFill="1" applyBorder="1" applyAlignment="1">
      <alignment horizontal="center" vertical="center" wrapText="1"/>
    </xf>
    <xf numFmtId="0" fontId="8" fillId="5" borderId="3" xfId="1" applyFont="1" applyFill="1" applyBorder="1" applyAlignment="1">
      <alignment horizontal="center" vertical="center" wrapText="1"/>
    </xf>
    <xf numFmtId="0" fontId="8" fillId="5" borderId="6" xfId="1" applyFont="1" applyFill="1" applyBorder="1" applyAlignment="1">
      <alignment horizontal="center" vertical="center" wrapText="1"/>
    </xf>
    <xf numFmtId="0" fontId="8" fillId="5" borderId="6" xfId="1" applyFont="1" applyFill="1" applyBorder="1" applyAlignment="1">
      <alignment horizontal="center" vertical="center"/>
    </xf>
    <xf numFmtId="0" fontId="8" fillId="5" borderId="3" xfId="1" applyFont="1" applyFill="1" applyBorder="1" applyAlignment="1">
      <alignment horizontal="left" vertical="center" wrapText="1"/>
    </xf>
    <xf numFmtId="0" fontId="8" fillId="5" borderId="6" xfId="1" applyFont="1" applyFill="1" applyBorder="1" applyAlignment="1">
      <alignment horizontal="left" vertical="center" wrapText="1"/>
    </xf>
    <xf numFmtId="0" fontId="17" fillId="4" borderId="3" xfId="1" applyFont="1" applyFill="1" applyBorder="1" applyAlignment="1">
      <alignment horizontal="center" vertical="center"/>
    </xf>
    <xf numFmtId="0" fontId="17" fillId="4" borderId="6" xfId="1" applyFont="1" applyFill="1" applyBorder="1" applyAlignment="1">
      <alignment horizontal="center" vertical="center"/>
    </xf>
    <xf numFmtId="0" fontId="12" fillId="0" borderId="0" xfId="0" applyFont="1" applyAlignment="1">
      <alignment horizontal="left"/>
    </xf>
    <xf numFmtId="0" fontId="23" fillId="5" borderId="0" xfId="0" applyFont="1" applyFill="1" applyAlignment="1">
      <alignment horizontal="left"/>
    </xf>
    <xf numFmtId="0" fontId="19" fillId="0" borderId="28" xfId="0" applyFont="1" applyBorder="1" applyAlignment="1" applyProtection="1">
      <alignment horizontal="left" vertical="top"/>
      <protection locked="0"/>
    </xf>
    <xf numFmtId="0" fontId="19" fillId="0" borderId="9" xfId="0" applyFont="1" applyBorder="1" applyAlignment="1" applyProtection="1">
      <alignment horizontal="left" vertical="top"/>
      <protection locked="0"/>
    </xf>
    <xf numFmtId="0" fontId="19" fillId="0" borderId="29" xfId="0" applyFont="1" applyBorder="1" applyAlignment="1" applyProtection="1">
      <alignment horizontal="left" vertical="top"/>
      <protection locked="0"/>
    </xf>
    <xf numFmtId="0" fontId="8" fillId="5" borderId="11" xfId="0" applyFont="1" applyFill="1" applyBorder="1" applyAlignment="1">
      <alignment horizontal="center" vertical="center"/>
    </xf>
    <xf numFmtId="0" fontId="8" fillId="5" borderId="12" xfId="0" applyFont="1" applyFill="1" applyBorder="1" applyAlignment="1" applyProtection="1">
      <alignment horizontal="center"/>
      <protection locked="0"/>
    </xf>
    <xf numFmtId="0" fontId="8" fillId="5" borderId="13" xfId="0" applyFont="1" applyFill="1" applyBorder="1" applyAlignment="1" applyProtection="1">
      <alignment horizontal="center"/>
      <protection locked="0"/>
    </xf>
    <xf numFmtId="0" fontId="8" fillId="5" borderId="14" xfId="0" applyFont="1" applyFill="1" applyBorder="1" applyAlignment="1" applyProtection="1">
      <alignment horizontal="center"/>
      <protection locked="0"/>
    </xf>
    <xf numFmtId="0" fontId="26" fillId="0" borderId="8" xfId="4" applyFont="1" applyBorder="1"/>
    <xf numFmtId="0" fontId="26" fillId="0" borderId="10" xfId="4" applyFont="1" applyBorder="1"/>
    <xf numFmtId="0" fontId="17" fillId="0" borderId="0" xfId="4" applyFont="1" applyAlignment="1">
      <alignment horizontal="center"/>
    </xf>
    <xf numFmtId="0" fontId="52" fillId="5" borderId="130" xfId="0" applyFont="1" applyFill="1" applyBorder="1" applyAlignment="1">
      <alignment horizontal="center" vertical="center" wrapText="1"/>
    </xf>
    <xf numFmtId="0" fontId="52" fillId="5" borderId="131" xfId="0" applyFont="1" applyFill="1" applyBorder="1" applyAlignment="1">
      <alignment horizontal="center" vertical="center" wrapText="1"/>
    </xf>
    <xf numFmtId="0" fontId="8" fillId="5" borderId="12" xfId="4" applyFont="1" applyFill="1" applyBorder="1" applyAlignment="1">
      <alignment horizontal="center"/>
    </xf>
    <xf numFmtId="0" fontId="8" fillId="5" borderId="13" xfId="4" applyFont="1" applyFill="1" applyBorder="1" applyAlignment="1">
      <alignment horizontal="center"/>
    </xf>
    <xf numFmtId="0" fontId="8" fillId="5" borderId="14" xfId="4" applyFont="1" applyFill="1" applyBorder="1" applyAlignment="1">
      <alignment horizontal="center"/>
    </xf>
    <xf numFmtId="0" fontId="26" fillId="0" borderId="18" xfId="0" applyFont="1" applyBorder="1" applyAlignment="1">
      <alignment horizontal="left" wrapText="1"/>
    </xf>
    <xf numFmtId="0" fontId="12" fillId="0" borderId="0" xfId="0" applyFont="1" applyAlignment="1">
      <alignment wrapText="1"/>
    </xf>
    <xf numFmtId="0" fontId="12" fillId="0" borderId="18" xfId="0" applyFont="1" applyBorder="1" applyAlignment="1">
      <alignment horizontal="left" vertical="top" wrapText="1"/>
    </xf>
    <xf numFmtId="0" fontId="12" fillId="0" borderId="0" xfId="0" applyFont="1" applyAlignment="1">
      <alignment horizontal="left" vertical="top" wrapText="1"/>
    </xf>
    <xf numFmtId="0" fontId="12" fillId="0" borderId="19" xfId="0" applyFont="1" applyBorder="1" applyAlignment="1">
      <alignment horizontal="left" vertical="top" wrapText="1"/>
    </xf>
    <xf numFmtId="0" fontId="37" fillId="0" borderId="0" xfId="0" applyFont="1" applyAlignment="1">
      <alignment horizontal="center" vertical="center"/>
    </xf>
    <xf numFmtId="0" fontId="8" fillId="5" borderId="8" xfId="0" applyFont="1" applyFill="1" applyBorder="1" applyAlignment="1">
      <alignment horizontal="center" vertical="center"/>
    </xf>
    <xf numFmtId="0" fontId="8" fillId="5" borderId="9" xfId="0" applyFont="1" applyFill="1" applyBorder="1" applyAlignment="1">
      <alignment horizontal="center" vertical="center"/>
    </xf>
    <xf numFmtId="0" fontId="8" fillId="5" borderId="10" xfId="0" applyFont="1" applyFill="1" applyBorder="1" applyAlignment="1">
      <alignment horizontal="center" vertical="center"/>
    </xf>
    <xf numFmtId="0" fontId="12" fillId="0" borderId="88" xfId="0" applyFont="1" applyBorder="1" applyAlignment="1">
      <alignment horizontal="left" vertical="center"/>
    </xf>
    <xf numFmtId="0" fontId="12" fillId="0" borderId="87" xfId="0" applyFont="1" applyBorder="1" applyAlignment="1">
      <alignment horizontal="left" vertical="center"/>
    </xf>
    <xf numFmtId="0" fontId="12" fillId="0" borderId="123" xfId="0" applyFont="1" applyBorder="1" applyAlignment="1">
      <alignment horizontal="left" vertical="center"/>
    </xf>
    <xf numFmtId="0" fontId="12" fillId="0" borderId="78" xfId="0" applyFont="1" applyBorder="1" applyAlignment="1">
      <alignment horizontal="left" vertical="center"/>
    </xf>
    <xf numFmtId="0" fontId="12" fillId="0" borderId="77" xfId="0" applyFont="1" applyBorder="1" applyAlignment="1">
      <alignment horizontal="left" vertical="center"/>
    </xf>
    <xf numFmtId="0" fontId="12" fillId="0" borderId="124" xfId="0" applyFont="1" applyBorder="1" applyAlignment="1">
      <alignment horizontal="left" vertical="center"/>
    </xf>
    <xf numFmtId="0" fontId="12" fillId="0" borderId="83" xfId="0" applyFont="1" applyBorder="1" applyAlignment="1">
      <alignment horizontal="left" vertical="center"/>
    </xf>
    <xf numFmtId="0" fontId="12" fillId="0" borderId="82" xfId="0" applyFont="1" applyBorder="1" applyAlignment="1">
      <alignment horizontal="left" vertical="center"/>
    </xf>
    <xf numFmtId="0" fontId="12" fillId="0" borderId="125" xfId="0" applyFont="1" applyBorder="1" applyAlignment="1">
      <alignment horizontal="left" vertical="center"/>
    </xf>
    <xf numFmtId="0" fontId="28" fillId="5" borderId="28" xfId="0" applyFont="1" applyFill="1" applyBorder="1" applyAlignment="1">
      <alignment horizontal="center" vertical="center"/>
    </xf>
    <xf numFmtId="0" fontId="28" fillId="5" borderId="9" xfId="0" applyFont="1" applyFill="1" applyBorder="1" applyAlignment="1">
      <alignment horizontal="center" vertical="center"/>
    </xf>
    <xf numFmtId="0" fontId="28" fillId="5" borderId="10" xfId="0" applyFont="1" applyFill="1" applyBorder="1" applyAlignment="1">
      <alignment horizontal="center" vertical="center"/>
    </xf>
    <xf numFmtId="0" fontId="28" fillId="5" borderId="8" xfId="0" applyFont="1" applyFill="1" applyBorder="1" applyAlignment="1">
      <alignment horizontal="center" vertical="center" wrapText="1"/>
    </xf>
    <xf numFmtId="0" fontId="28" fillId="5" borderId="9" xfId="0" applyFont="1" applyFill="1" applyBorder="1" applyAlignment="1">
      <alignment horizontal="center" vertical="center" wrapText="1"/>
    </xf>
    <xf numFmtId="0" fontId="28" fillId="5" borderId="10" xfId="0" applyFont="1" applyFill="1" applyBorder="1" applyAlignment="1">
      <alignment horizontal="center" vertical="center" wrapText="1"/>
    </xf>
    <xf numFmtId="0" fontId="28" fillId="5" borderId="8" xfId="0" applyFont="1" applyFill="1" applyBorder="1" applyAlignment="1">
      <alignment horizontal="center" vertical="center"/>
    </xf>
    <xf numFmtId="0" fontId="28" fillId="5" borderId="29" xfId="0" applyFont="1" applyFill="1" applyBorder="1" applyAlignment="1">
      <alignment horizontal="center" vertical="center"/>
    </xf>
    <xf numFmtId="0" fontId="28" fillId="5" borderId="53" xfId="0" applyFont="1" applyFill="1" applyBorder="1" applyAlignment="1">
      <alignment horizontal="center" vertical="center"/>
    </xf>
    <xf numFmtId="0" fontId="28" fillId="5" borderId="0" xfId="0" applyFont="1" applyFill="1" applyAlignment="1">
      <alignment horizontal="center" vertical="center"/>
    </xf>
    <xf numFmtId="0" fontId="28" fillId="5" borderId="54" xfId="0" applyFont="1" applyFill="1" applyBorder="1" applyAlignment="1">
      <alignment horizontal="center" vertical="center"/>
    </xf>
    <xf numFmtId="0" fontId="1" fillId="0" borderId="88" xfId="0" applyFont="1" applyBorder="1" applyAlignment="1">
      <alignment horizontal="left" vertical="center"/>
    </xf>
    <xf numFmtId="0" fontId="1" fillId="0" borderId="87" xfId="0" applyFont="1" applyBorder="1" applyAlignment="1">
      <alignment horizontal="left" vertical="center"/>
    </xf>
    <xf numFmtId="0" fontId="1" fillId="0" borderId="78" xfId="0" applyFont="1" applyBorder="1" applyAlignment="1">
      <alignment horizontal="left" vertical="center"/>
    </xf>
    <xf numFmtId="0" fontId="1" fillId="0" borderId="77" xfId="0" applyFont="1" applyBorder="1" applyAlignment="1">
      <alignment horizontal="left" vertical="center"/>
    </xf>
    <xf numFmtId="0" fontId="1" fillId="0" borderId="83" xfId="0" applyFont="1" applyBorder="1" applyAlignment="1">
      <alignment horizontal="left" vertical="center"/>
    </xf>
    <xf numFmtId="0" fontId="1" fillId="0" borderId="82" xfId="0" applyFont="1" applyBorder="1" applyAlignment="1">
      <alignment horizontal="left" vertical="center"/>
    </xf>
    <xf numFmtId="173" fontId="8" fillId="4" borderId="0" xfId="8" applyNumberFormat="1" applyFont="1" applyFill="1" applyAlignment="1">
      <alignment horizontal="right" vertical="center"/>
    </xf>
    <xf numFmtId="0" fontId="28" fillId="5" borderId="11" xfId="0" applyFont="1" applyFill="1" applyBorder="1" applyAlignment="1">
      <alignment horizontal="center" vertical="center" wrapText="1"/>
    </xf>
    <xf numFmtId="0" fontId="28" fillId="0" borderId="11" xfId="0" applyFont="1" applyBorder="1" applyAlignment="1">
      <alignment horizontal="center" vertical="center"/>
    </xf>
    <xf numFmtId="0" fontId="28" fillId="5" borderId="11" xfId="0" applyFont="1" applyFill="1" applyBorder="1" applyAlignment="1">
      <alignment horizontal="center" vertical="center"/>
    </xf>
    <xf numFmtId="0" fontId="28" fillId="5" borderId="110" xfId="0" applyFont="1" applyFill="1" applyBorder="1" applyAlignment="1">
      <alignment horizontal="center" vertical="center"/>
    </xf>
    <xf numFmtId="0" fontId="28" fillId="5" borderId="37" xfId="0" applyFont="1" applyFill="1" applyBorder="1" applyAlignment="1">
      <alignment horizontal="center" vertical="center"/>
    </xf>
    <xf numFmtId="0" fontId="12" fillId="0" borderId="18" xfId="0" applyFont="1" applyBorder="1" applyAlignment="1">
      <alignment horizontal="left" vertical="center" wrapText="1"/>
    </xf>
    <xf numFmtId="0" fontId="12" fillId="0" borderId="0" xfId="0" applyFont="1" applyAlignment="1">
      <alignment horizontal="left" vertical="center" wrapText="1"/>
    </xf>
    <xf numFmtId="0" fontId="12" fillId="0" borderId="19" xfId="0" applyFont="1" applyBorder="1" applyAlignment="1">
      <alignment horizontal="left" vertical="center" wrapText="1"/>
    </xf>
    <xf numFmtId="0" fontId="37" fillId="0" borderId="39" xfId="0" applyFont="1" applyBorder="1" applyAlignment="1">
      <alignment horizontal="center" vertical="center"/>
    </xf>
    <xf numFmtId="0" fontId="37" fillId="0" borderId="41" xfId="0" applyFont="1" applyBorder="1" applyAlignment="1">
      <alignment horizontal="center" vertical="center"/>
    </xf>
    <xf numFmtId="0" fontId="37" fillId="0" borderId="40" xfId="0" applyFont="1" applyBorder="1" applyAlignment="1">
      <alignment horizontal="center" vertical="center"/>
    </xf>
    <xf numFmtId="0" fontId="23" fillId="0" borderId="0" xfId="0" applyFont="1" applyAlignment="1">
      <alignment horizontal="left"/>
    </xf>
    <xf numFmtId="0" fontId="8" fillId="0" borderId="18" xfId="0" applyFont="1" applyBorder="1" applyAlignment="1">
      <alignment horizontal="center"/>
    </xf>
    <xf numFmtId="0" fontId="8" fillId="0" borderId="0" xfId="0" applyFont="1" applyAlignment="1">
      <alignment horizontal="center"/>
    </xf>
    <xf numFmtId="0" fontId="12" fillId="0" borderId="41" xfId="0" applyFont="1" applyBorder="1" applyAlignment="1">
      <alignment horizontal="center"/>
    </xf>
    <xf numFmtId="0" fontId="12" fillId="0" borderId="40" xfId="0" applyFont="1" applyBorder="1" applyAlignment="1">
      <alignment horizontal="center"/>
    </xf>
    <xf numFmtId="0" fontId="12" fillId="0" borderId="18" xfId="0" applyFont="1" applyBorder="1" applyAlignment="1">
      <alignment vertical="top" wrapText="1"/>
    </xf>
    <xf numFmtId="0" fontId="12" fillId="0" borderId="0" xfId="0" applyFont="1" applyAlignment="1">
      <alignment vertical="top" wrapText="1"/>
    </xf>
    <xf numFmtId="0" fontId="37" fillId="0" borderId="39" xfId="0" applyFont="1" applyBorder="1" applyAlignment="1">
      <alignment horizontal="center" vertical="center" wrapText="1"/>
    </xf>
    <xf numFmtId="0" fontId="12" fillId="0" borderId="41" xfId="0" applyFont="1" applyBorder="1" applyAlignment="1">
      <alignment horizontal="center" vertical="center" wrapText="1"/>
    </xf>
    <xf numFmtId="0" fontId="12" fillId="0" borderId="40" xfId="0" applyFont="1" applyBorder="1" applyAlignment="1">
      <alignment horizontal="center" vertical="center" wrapText="1"/>
    </xf>
    <xf numFmtId="0" fontId="8" fillId="0" borderId="0" xfId="0" applyFont="1" applyAlignment="1">
      <alignment horizontal="center" vertical="center" wrapText="1"/>
    </xf>
    <xf numFmtId="0" fontId="37" fillId="0" borderId="41"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18" xfId="0" applyFont="1" applyBorder="1" applyAlignment="1">
      <alignment horizontal="center" vertical="top" wrapText="1"/>
    </xf>
    <xf numFmtId="0" fontId="37" fillId="0" borderId="0" xfId="0" applyFont="1" applyAlignment="1">
      <alignment horizontal="center" vertical="top" wrapText="1"/>
    </xf>
    <xf numFmtId="0" fontId="12" fillId="0" borderId="18" xfId="0" quotePrefix="1" applyFont="1" applyBorder="1" applyAlignment="1">
      <alignment horizontal="left" vertical="top" wrapText="1"/>
    </xf>
    <xf numFmtId="0" fontId="12" fillId="0" borderId="0" xfId="0" quotePrefix="1" applyFont="1" applyAlignment="1">
      <alignment horizontal="left" vertical="top" wrapText="1"/>
    </xf>
    <xf numFmtId="0" fontId="12" fillId="0" borderId="18" xfId="0" applyFont="1" applyBorder="1" applyAlignment="1">
      <alignment wrapText="1"/>
    </xf>
    <xf numFmtId="0" fontId="1" fillId="0" borderId="18" xfId="0" applyFont="1" applyBorder="1" applyAlignment="1">
      <alignment horizontal="left" vertical="top" wrapText="1"/>
    </xf>
    <xf numFmtId="0" fontId="1" fillId="0" borderId="0" xfId="0" applyFont="1" applyAlignment="1">
      <alignment horizontal="left" vertical="top" wrapText="1"/>
    </xf>
    <xf numFmtId="0" fontId="12" fillId="0" borderId="0" xfId="0" applyFont="1" applyAlignment="1">
      <alignment horizontal="center"/>
    </xf>
    <xf numFmtId="173" fontId="8" fillId="0" borderId="0" xfId="8" applyNumberFormat="1" applyFont="1" applyAlignment="1">
      <alignment horizontal="right" vertical="center"/>
    </xf>
    <xf numFmtId="0" fontId="28" fillId="0" borderId="8" xfId="0" applyFont="1" applyBorder="1" applyAlignment="1">
      <alignment horizontal="center" vertical="center"/>
    </xf>
    <xf numFmtId="0" fontId="28" fillId="0" borderId="9" xfId="0" applyFont="1" applyBorder="1" applyAlignment="1">
      <alignment horizontal="center" vertical="center"/>
    </xf>
    <xf numFmtId="0" fontId="28" fillId="0" borderId="10" xfId="0" applyFont="1" applyBorder="1" applyAlignment="1">
      <alignment horizontal="center" vertical="center"/>
    </xf>
    <xf numFmtId="0" fontId="8" fillId="0" borderId="59" xfId="0" applyFont="1" applyBorder="1" applyAlignment="1" applyProtection="1">
      <alignment vertical="center" wrapText="1"/>
      <protection locked="0"/>
    </xf>
    <xf numFmtId="0" fontId="8" fillId="0" borderId="38" xfId="0" applyFont="1" applyBorder="1" applyAlignment="1" applyProtection="1">
      <alignment vertical="center" wrapText="1"/>
      <protection locked="0"/>
    </xf>
    <xf numFmtId="0" fontId="8" fillId="0" borderId="51" xfId="0" applyFont="1" applyBorder="1" applyAlignment="1" applyProtection="1">
      <alignment vertical="center" wrapText="1"/>
      <protection locked="0"/>
    </xf>
    <xf numFmtId="0" fontId="8" fillId="0" borderId="143" xfId="0" applyFont="1" applyBorder="1" applyAlignment="1" applyProtection="1">
      <alignment vertical="center" wrapText="1"/>
      <protection locked="0"/>
    </xf>
    <xf numFmtId="0" fontId="8" fillId="0" borderId="18" xfId="0" applyFont="1" applyBorder="1" applyAlignment="1" applyProtection="1">
      <alignment vertical="center" wrapText="1"/>
      <protection locked="0"/>
    </xf>
    <xf numFmtId="0" fontId="8" fillId="0" borderId="144" xfId="0" applyFont="1" applyBorder="1" applyAlignment="1" applyProtection="1">
      <alignment vertical="center" wrapText="1"/>
      <protection locked="0"/>
    </xf>
    <xf numFmtId="0" fontId="12" fillId="0" borderId="76" xfId="0" applyFont="1" applyBorder="1" applyAlignment="1">
      <alignment horizontal="left" vertical="center" wrapText="1"/>
    </xf>
    <xf numFmtId="0" fontId="12" fillId="0" borderId="81" xfId="0" applyFont="1" applyBorder="1" applyAlignment="1">
      <alignment horizontal="left" vertical="center" wrapText="1"/>
    </xf>
    <xf numFmtId="0" fontId="8" fillId="5" borderId="11" xfId="7" applyFont="1" applyFill="1" applyBorder="1" applyAlignment="1">
      <alignment horizontal="center" vertical="center"/>
    </xf>
    <xf numFmtId="0" fontId="12" fillId="0" borderId="86" xfId="0" applyFont="1" applyBorder="1" applyAlignment="1">
      <alignment horizontal="left" vertical="center" wrapText="1"/>
    </xf>
    <xf numFmtId="0" fontId="12" fillId="0" borderId="83" xfId="0" applyFont="1" applyBorder="1" applyAlignment="1">
      <alignment horizontal="center" vertical="center"/>
    </xf>
    <xf numFmtId="0" fontId="12" fillId="0" borderId="82" xfId="0" applyFont="1" applyBorder="1" applyAlignment="1">
      <alignment horizontal="center" vertical="center"/>
    </xf>
    <xf numFmtId="0" fontId="12" fillId="0" borderId="95" xfId="0" applyFont="1" applyBorder="1" applyAlignment="1">
      <alignment horizontal="center" vertical="center"/>
    </xf>
    <xf numFmtId="0" fontId="12" fillId="0" borderId="78" xfId="0" applyFont="1" applyBorder="1" applyAlignment="1">
      <alignment horizontal="center" vertical="center"/>
    </xf>
    <xf numFmtId="0" fontId="12" fillId="0" borderId="77" xfId="0" applyFont="1" applyBorder="1" applyAlignment="1">
      <alignment horizontal="center" vertical="center"/>
    </xf>
    <xf numFmtId="0" fontId="12" fillId="0" borderId="92" xfId="0" applyFont="1" applyBorder="1" applyAlignment="1">
      <alignment horizontal="center" vertical="center"/>
    </xf>
    <xf numFmtId="0" fontId="12" fillId="0" borderId="88" xfId="0" applyFont="1" applyBorder="1" applyAlignment="1">
      <alignment horizontal="center" vertical="center" wrapText="1"/>
    </xf>
    <xf numFmtId="0" fontId="12" fillId="0" borderId="87" xfId="0" applyFont="1" applyBorder="1" applyAlignment="1">
      <alignment horizontal="center" vertical="center" wrapText="1"/>
    </xf>
    <xf numFmtId="0" fontId="12" fillId="0" borderId="112" xfId="0" applyFont="1" applyBorder="1" applyAlignment="1">
      <alignment horizontal="center" vertical="center" wrapText="1"/>
    </xf>
    <xf numFmtId="0" fontId="60" fillId="5" borderId="11" xfId="0" applyFont="1" applyFill="1" applyBorder="1" applyAlignment="1">
      <alignment horizontal="center" vertical="center" wrapText="1"/>
    </xf>
    <xf numFmtId="0" fontId="60" fillId="5" borderId="110" xfId="0" applyFont="1" applyFill="1" applyBorder="1" applyAlignment="1">
      <alignment horizontal="center" vertical="center" wrapText="1"/>
    </xf>
    <xf numFmtId="0" fontId="60" fillId="5" borderId="8" xfId="0" applyFont="1" applyFill="1" applyBorder="1" applyAlignment="1">
      <alignment horizontal="center" vertical="center" wrapText="1"/>
    </xf>
    <xf numFmtId="0" fontId="60" fillId="5" borderId="9" xfId="0" applyFont="1" applyFill="1" applyBorder="1" applyAlignment="1">
      <alignment horizontal="center" vertical="center" wrapText="1"/>
    </xf>
    <xf numFmtId="0" fontId="60" fillId="5" borderId="29" xfId="0" applyFont="1" applyFill="1" applyBorder="1" applyAlignment="1">
      <alignment horizontal="center" vertical="center" wrapText="1"/>
    </xf>
    <xf numFmtId="9" fontId="1" fillId="4" borderId="88" xfId="3" applyFont="1" applyFill="1" applyBorder="1" applyAlignment="1">
      <alignment horizontal="left" vertical="center"/>
    </xf>
    <xf numFmtId="9" fontId="1" fillId="4" borderId="87" xfId="3" applyFont="1" applyFill="1" applyBorder="1" applyAlignment="1">
      <alignment horizontal="left" vertical="center"/>
    </xf>
    <xf numFmtId="9" fontId="1" fillId="4" borderId="112" xfId="3" applyFont="1" applyFill="1" applyBorder="1" applyAlignment="1">
      <alignment horizontal="left" vertical="center"/>
    </xf>
    <xf numFmtId="9" fontId="1" fillId="4" borderId="78" xfId="3" applyFont="1" applyFill="1" applyBorder="1" applyAlignment="1">
      <alignment horizontal="left" vertical="center"/>
    </xf>
    <xf numFmtId="9" fontId="1" fillId="4" borderId="77" xfId="3" applyFont="1" applyFill="1" applyBorder="1" applyAlignment="1">
      <alignment horizontal="left" vertical="center"/>
    </xf>
    <xf numFmtId="9" fontId="1" fillId="4" borderId="92" xfId="3" applyFont="1" applyFill="1" applyBorder="1" applyAlignment="1">
      <alignment horizontal="left" vertical="center"/>
    </xf>
    <xf numFmtId="9" fontId="1" fillId="4" borderId="83" xfId="3" applyFont="1" applyFill="1" applyBorder="1" applyAlignment="1">
      <alignment horizontal="left" vertical="center"/>
    </xf>
    <xf numFmtId="9" fontId="1" fillId="4" borderId="82" xfId="3" applyFont="1" applyFill="1" applyBorder="1" applyAlignment="1">
      <alignment horizontal="left" vertical="center"/>
    </xf>
    <xf numFmtId="9" fontId="1" fillId="4" borderId="95" xfId="3" applyFont="1" applyFill="1" applyBorder="1" applyAlignment="1">
      <alignment horizontal="left" vertical="center"/>
    </xf>
    <xf numFmtId="4" fontId="12" fillId="0" borderId="111" xfId="0" applyNumberFormat="1" applyFont="1" applyBorder="1" applyAlignment="1">
      <alignment horizontal="left"/>
    </xf>
    <xf numFmtId="4" fontId="12" fillId="0" borderId="89" xfId="0" applyNumberFormat="1" applyFont="1" applyBorder="1" applyAlignment="1">
      <alignment horizontal="left"/>
    </xf>
    <xf numFmtId="0" fontId="12" fillId="0" borderId="114" xfId="0" applyFont="1" applyBorder="1" applyAlignment="1">
      <alignment horizontal="left"/>
    </xf>
    <xf numFmtId="0" fontId="12" fillId="0" borderId="84" xfId="0" applyFont="1" applyBorder="1" applyAlignment="1">
      <alignment horizontal="left"/>
    </xf>
    <xf numFmtId="0" fontId="28" fillId="5" borderId="35" xfId="0" applyFont="1" applyFill="1" applyBorder="1" applyAlignment="1">
      <alignment horizontal="center" vertical="center" wrapText="1"/>
    </xf>
    <xf numFmtId="0" fontId="28" fillId="5" borderId="2" xfId="0" applyFont="1" applyFill="1" applyBorder="1" applyAlignment="1">
      <alignment horizontal="center" vertical="center"/>
    </xf>
    <xf numFmtId="0" fontId="28" fillId="5" borderId="1" xfId="0" applyFont="1" applyFill="1" applyBorder="1" applyAlignment="1">
      <alignment horizontal="center" vertical="center"/>
    </xf>
    <xf numFmtId="165" fontId="8" fillId="5" borderId="8" xfId="4" applyNumberFormat="1" applyFont="1" applyFill="1" applyBorder="1" applyAlignment="1">
      <alignment horizontal="center" vertical="center"/>
    </xf>
    <xf numFmtId="165" fontId="8" fillId="5" borderId="9" xfId="4" applyNumberFormat="1" applyFont="1" applyFill="1" applyBorder="1" applyAlignment="1">
      <alignment horizontal="center" vertical="center"/>
    </xf>
    <xf numFmtId="165" fontId="8" fillId="5" borderId="10" xfId="4" applyNumberFormat="1" applyFont="1" applyFill="1" applyBorder="1" applyAlignment="1">
      <alignment horizontal="center" vertical="center"/>
    </xf>
    <xf numFmtId="0" fontId="8" fillId="5" borderId="37" xfId="0" applyFont="1" applyFill="1" applyBorder="1" applyAlignment="1">
      <alignment horizontal="left" vertical="center" wrapText="1"/>
    </xf>
    <xf numFmtId="0" fontId="8" fillId="5" borderId="11" xfId="0" applyFont="1" applyFill="1" applyBorder="1" applyAlignment="1">
      <alignment horizontal="left" vertical="center" wrapText="1"/>
    </xf>
    <xf numFmtId="0" fontId="8" fillId="5" borderId="8" xfId="4" applyFont="1" applyFill="1" applyBorder="1" applyAlignment="1">
      <alignment horizontal="center" vertical="center"/>
    </xf>
    <xf numFmtId="0" fontId="8" fillId="5" borderId="9" xfId="4" applyFont="1" applyFill="1" applyBorder="1" applyAlignment="1">
      <alignment horizontal="center" vertical="center"/>
    </xf>
    <xf numFmtId="0" fontId="8" fillId="5" borderId="10" xfId="4" applyFont="1" applyFill="1" applyBorder="1" applyAlignment="1">
      <alignment horizontal="center" vertical="center"/>
    </xf>
    <xf numFmtId="4" fontId="26" fillId="0" borderId="0" xfId="0" applyNumberFormat="1" applyFont="1" applyAlignment="1">
      <alignment horizontal="left" wrapText="1"/>
    </xf>
    <xf numFmtId="4" fontId="8" fillId="5" borderId="37" xfId="0" applyNumberFormat="1" applyFont="1" applyFill="1" applyBorder="1" applyAlignment="1">
      <alignment horizontal="right" vertical="top"/>
    </xf>
    <xf numFmtId="4" fontId="8" fillId="5" borderId="11" xfId="0" applyNumberFormat="1" applyFont="1" applyFill="1" applyBorder="1" applyAlignment="1">
      <alignment horizontal="right" vertical="top"/>
    </xf>
    <xf numFmtId="4" fontId="12" fillId="0" borderId="18" xfId="0" applyNumberFormat="1" applyFont="1" applyBorder="1" applyAlignment="1">
      <alignment horizontal="left" wrapText="1"/>
    </xf>
    <xf numFmtId="4" fontId="12" fillId="0" borderId="0" xfId="0" applyNumberFormat="1" applyFont="1" applyAlignment="1">
      <alignment horizontal="left" wrapText="1"/>
    </xf>
    <xf numFmtId="4" fontId="26" fillId="0" borderId="18" xfId="0" applyNumberFormat="1" applyFont="1" applyBorder="1" applyAlignment="1">
      <alignment horizontal="left" vertical="top"/>
    </xf>
    <xf numFmtId="4" fontId="26" fillId="0" borderId="0" xfId="0" quotePrefix="1" applyNumberFormat="1" applyFont="1" applyAlignment="1">
      <alignment horizontal="left" vertical="top"/>
    </xf>
    <xf numFmtId="0" fontId="8" fillId="5" borderId="8" xfId="0" applyFont="1" applyFill="1" applyBorder="1" applyAlignment="1" applyProtection="1">
      <alignment horizontal="center" vertical="center" wrapText="1"/>
      <protection locked="0"/>
    </xf>
    <xf numFmtId="0" fontId="8" fillId="5" borderId="9" xfId="0" applyFont="1" applyFill="1" applyBorder="1" applyAlignment="1" applyProtection="1">
      <alignment horizontal="center" vertical="center" wrapText="1"/>
      <protection locked="0"/>
    </xf>
    <xf numFmtId="0" fontId="8" fillId="5" borderId="10" xfId="0" applyFont="1" applyFill="1" applyBorder="1" applyAlignment="1" applyProtection="1">
      <alignment horizontal="center" vertical="center" wrapText="1"/>
      <protection locked="0"/>
    </xf>
    <xf numFmtId="0" fontId="12" fillId="5" borderId="8" xfId="0" applyFont="1" applyFill="1" applyBorder="1" applyAlignment="1" applyProtection="1">
      <alignment horizontal="center"/>
      <protection locked="0"/>
    </xf>
    <xf numFmtId="0" fontId="12" fillId="5" borderId="9" xfId="0" applyFont="1" applyFill="1" applyBorder="1" applyAlignment="1" applyProtection="1">
      <alignment horizontal="center"/>
      <protection locked="0"/>
    </xf>
    <xf numFmtId="0" fontId="12" fillId="5" borderId="10" xfId="0" applyFont="1" applyFill="1" applyBorder="1" applyAlignment="1" applyProtection="1">
      <alignment horizontal="center"/>
      <protection locked="0"/>
    </xf>
    <xf numFmtId="0" fontId="12" fillId="0" borderId="18" xfId="4" applyFont="1" applyBorder="1" applyAlignment="1">
      <alignment horizontal="left" vertical="top" wrapText="1"/>
    </xf>
    <xf numFmtId="0" fontId="12" fillId="0" borderId="0" xfId="4" applyFont="1" applyAlignment="1">
      <alignment horizontal="left" vertical="top" wrapText="1"/>
    </xf>
    <xf numFmtId="0" fontId="12" fillId="0" borderId="19" xfId="4" applyFont="1" applyBorder="1" applyAlignment="1">
      <alignment horizontal="left" vertical="top" wrapText="1"/>
    </xf>
    <xf numFmtId="0" fontId="12" fillId="0" borderId="113" xfId="0" applyFont="1" applyBorder="1" applyAlignment="1">
      <alignment horizontal="left"/>
    </xf>
    <xf numFmtId="0" fontId="12" fillId="0" borderId="79" xfId="0" applyFont="1" applyBorder="1" applyAlignment="1">
      <alignment horizontal="left"/>
    </xf>
    <xf numFmtId="4" fontId="12" fillId="0" borderId="113" xfId="0" applyNumberFormat="1" applyFont="1" applyBorder="1" applyAlignment="1">
      <alignment horizontal="left"/>
    </xf>
    <xf numFmtId="4" fontId="12" fillId="0" borderId="79" xfId="0" applyNumberFormat="1" applyFont="1" applyBorder="1" applyAlignment="1">
      <alignment horizontal="left"/>
    </xf>
    <xf numFmtId="0" fontId="60" fillId="5" borderId="8" xfId="0" applyFont="1" applyFill="1" applyBorder="1" applyAlignment="1">
      <alignment horizontal="center" vertical="center"/>
    </xf>
    <xf numFmtId="0" fontId="60" fillId="5" borderId="9" xfId="0" applyFont="1" applyFill="1" applyBorder="1" applyAlignment="1">
      <alignment horizontal="center" vertical="center"/>
    </xf>
    <xf numFmtId="0" fontId="60" fillId="5" borderId="29" xfId="0" applyFont="1" applyFill="1" applyBorder="1" applyAlignment="1">
      <alignment horizontal="center" vertical="center"/>
    </xf>
    <xf numFmtId="0" fontId="60" fillId="5" borderId="10" xfId="0" applyFont="1" applyFill="1" applyBorder="1" applyAlignment="1">
      <alignment horizontal="center" vertical="center" wrapText="1"/>
    </xf>
    <xf numFmtId="0" fontId="51" fillId="7" borderId="9" xfId="6" applyFont="1" applyFill="1" applyBorder="1" applyAlignment="1" applyProtection="1">
      <alignment horizontal="left" vertical="center"/>
      <protection locked="0"/>
    </xf>
    <xf numFmtId="0" fontId="51" fillId="7" borderId="29" xfId="6" applyFont="1" applyFill="1" applyBorder="1" applyAlignment="1" applyProtection="1">
      <alignment horizontal="left" vertical="center"/>
      <protection locked="0"/>
    </xf>
    <xf numFmtId="0" fontId="51" fillId="7" borderId="9" xfId="6" quotePrefix="1" applyFont="1" applyFill="1" applyBorder="1" applyAlignment="1" applyProtection="1">
      <alignment horizontal="left" vertical="center"/>
      <protection locked="0"/>
    </xf>
  </cellXfs>
  <cellStyles count="16">
    <cellStyle name="Lien hypertexte" xfId="6" builtinId="8"/>
    <cellStyle name="Milliers" xfId="2" builtinId="3"/>
    <cellStyle name="Milliers 2" xfId="13" xr:uid="{00000000-0005-0000-0000-000002000000}"/>
    <cellStyle name="NiveauLigne_1" xfId="1" builtinId="1" iLevel="0"/>
    <cellStyle name="Normal" xfId="0" builtinId="0"/>
    <cellStyle name="Normal 2" xfId="4" xr:uid="{00000000-0005-0000-0000-000005000000}"/>
    <cellStyle name="Normal 2 2" xfId="12" xr:uid="{00000000-0005-0000-0000-000006000000}"/>
    <cellStyle name="Normal 4" xfId="8" xr:uid="{00000000-0005-0000-0000-000007000000}"/>
    <cellStyle name="Normal_(08-12) - E - Clients - Novembal" xfId="7" xr:uid="{00000000-0005-0000-0000-000008000000}"/>
    <cellStyle name="Normal_Analyse_Etats_Financiers" xfId="11" xr:uid="{00000000-0005-0000-0000-000009000000}"/>
    <cellStyle name="Normal_dépréciaition stock" xfId="15" xr:uid="{00000000-0005-0000-0000-00000A000000}"/>
    <cellStyle name="Normal_Projet Lead RA 3" xfId="10" xr:uid="{00000000-0005-0000-0000-00000B000000}"/>
    <cellStyle name="Pourcentage" xfId="3" builtinId="5"/>
    <cellStyle name="Pourcentage 2" xfId="14" xr:uid="{00000000-0005-0000-0000-00000D000000}"/>
    <cellStyle name="Pourcentage 3" xfId="9" xr:uid="{00000000-0005-0000-0000-00000E000000}"/>
    <cellStyle name="Texte de fond" xfId="5" xr:uid="{00000000-0005-0000-0000-00000F000000}"/>
  </cellStyles>
  <dxfs count="0"/>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5</xdr:col>
      <xdr:colOff>59531</xdr:colOff>
      <xdr:row>26</xdr:row>
      <xdr:rowOff>42862</xdr:rowOff>
    </xdr:from>
    <xdr:to>
      <xdr:col>6</xdr:col>
      <xdr:colOff>657224</xdr:colOff>
      <xdr:row>43</xdr:row>
      <xdr:rowOff>119063</xdr:rowOff>
    </xdr:to>
    <xdr:sp macro="" textlink="">
      <xdr:nvSpPr>
        <xdr:cNvPr id="4" name="Line 8">
          <a:extLst>
            <a:ext uri="{FF2B5EF4-FFF2-40B4-BE49-F238E27FC236}">
              <a16:creationId xmlns:a16="http://schemas.microsoft.com/office/drawing/2014/main" id="{369B811B-EEA0-4B50-819B-AF8D2E698CC5}"/>
            </a:ext>
          </a:extLst>
        </xdr:cNvPr>
        <xdr:cNvSpPr>
          <a:spLocks noChangeShapeType="1"/>
        </xdr:cNvSpPr>
      </xdr:nvSpPr>
      <xdr:spPr bwMode="auto">
        <a:xfrm flipH="1">
          <a:off x="5843111" y="4805362"/>
          <a:ext cx="1458753" cy="3093721"/>
        </a:xfrm>
        <a:prstGeom prst="line">
          <a:avLst/>
        </a:prstGeom>
        <a:noFill/>
        <a:ln w="9525">
          <a:solidFill>
            <a:srgbClr val="000000"/>
          </a:solidFill>
          <a:round/>
          <a:headEnd type="triangle" w="med" len="med"/>
          <a:tailEnd type="triangle" w="med" len="me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vdclyo\Collaborateurs\CHA\CAC%20-%20Dossier%20annuel%20201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firex1.sharepoint.com/sites/meca-parts/Documents%20partages/2017/G%20-%20CONTROLES%20SUBSTANTIFS/2017_S_Stock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de Garde"/>
      <sheetName val="Dossier Annuel"/>
      <sheetName val="Programme de travail"/>
      <sheetName val="Seuils de signification"/>
      <sheetName val="Quest Lutte contre blanchiment"/>
      <sheetName val="Quest Maintien mission"/>
      <sheetName val="Quest Fin de mission"/>
      <sheetName val="Quest Evènements post."/>
      <sheetName val="Quest Continuité exploi"/>
      <sheetName val="Quest Fraudes"/>
      <sheetName val="Quest Text légaux"/>
      <sheetName val="Quest Expert compt."/>
      <sheetName val="Quest Dirigeant"/>
      <sheetName val="Prépa. Décalration act."/>
      <sheetName val="Contrôle Annexe"/>
      <sheetName val="Contrôle Juridique (SAS)"/>
      <sheetName val="Contrôle Juridique (SA)"/>
      <sheetName val="Synthèse des ajustements"/>
      <sheetName val="B synth"/>
      <sheetName val="b10 quest"/>
      <sheetName val="B20"/>
      <sheetName val="B30"/>
      <sheetName val="B 40"/>
      <sheetName val="B 50"/>
      <sheetName val="B 60"/>
      <sheetName val="C synth"/>
      <sheetName val="C 10"/>
      <sheetName val="C 20"/>
      <sheetName val="D synth"/>
      <sheetName val="D.10 quest"/>
      <sheetName val="D15"/>
      <sheetName val="D 20"/>
      <sheetName val="D 30"/>
      <sheetName val="D 40"/>
      <sheetName val="D 50 "/>
      <sheetName val="D 55"/>
      <sheetName val="D60"/>
      <sheetName val="E synthèse"/>
      <sheetName val="E10 quest"/>
      <sheetName val="E 20"/>
      <sheetName val="E 30"/>
      <sheetName val="E 35"/>
      <sheetName val="E 40"/>
      <sheetName val="E 50"/>
      <sheetName val="E 60"/>
      <sheetName val="E 70"/>
      <sheetName val="E 75"/>
      <sheetName val="E80"/>
      <sheetName val="E85"/>
      <sheetName val="E 90"/>
      <sheetName val="F synthèse"/>
      <sheetName val="F10 quest"/>
      <sheetName val="F 20"/>
      <sheetName val="F 30"/>
      <sheetName val="F 40"/>
      <sheetName val="F50"/>
      <sheetName val="F60"/>
      <sheetName val="G synthèse"/>
      <sheetName val="H synthèse"/>
      <sheetName val="H10 quest"/>
      <sheetName val=" J synthèse"/>
      <sheetName val="K synthèse"/>
      <sheetName val="K 10"/>
      <sheetName val="L synthèse"/>
      <sheetName val="M synthèse"/>
      <sheetName val="M.10 quest"/>
      <sheetName val="M 20"/>
      <sheetName val="M 30"/>
      <sheetName val="M 35"/>
      <sheetName val="M 40"/>
      <sheetName val="M 50"/>
      <sheetName val="M 60"/>
      <sheetName val="M 65"/>
      <sheetName val="M70"/>
      <sheetName val="M75"/>
      <sheetName val="N synthèse"/>
      <sheetName val="N.10 quest"/>
      <sheetName val="N 01"/>
      <sheetName val="N 20"/>
      <sheetName val="N 30"/>
      <sheetName val="N 40"/>
      <sheetName val="N 50"/>
      <sheetName val="N 60"/>
      <sheetName val="P synth"/>
      <sheetName val="P10 quest"/>
      <sheetName val="P 20"/>
      <sheetName val="P 301"/>
      <sheetName val="P 302"/>
      <sheetName val="P 40"/>
      <sheetName val="P 50"/>
      <sheetName val="P 55"/>
      <sheetName val="P 60"/>
      <sheetName val="P 70"/>
      <sheetName val="P 80"/>
      <sheetName val="S synth"/>
      <sheetName val="T synth"/>
      <sheetName val="Tableau pour NDS"/>
      <sheetName val="BILAN ACTIF"/>
      <sheetName val="BILAN PASSIF"/>
      <sheetName val="SI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ow r="24">
          <cell r="F24">
            <v>0</v>
          </cell>
          <cell r="H24">
            <v>0</v>
          </cell>
        </row>
        <row r="29">
          <cell r="F29">
            <v>0</v>
          </cell>
          <cell r="H29">
            <v>0</v>
          </cell>
        </row>
        <row r="34">
          <cell r="F34">
            <v>0</v>
          </cell>
          <cell r="H34">
            <v>0</v>
          </cell>
        </row>
        <row r="54">
          <cell r="F54">
            <v>0</v>
          </cell>
          <cell r="H54">
            <v>0</v>
          </cell>
        </row>
        <row r="56">
          <cell r="F56" t="str">
            <v>#DC{£AED=1}</v>
          </cell>
          <cell r="H56" t="str">
            <v>#DC{£AED_1=1}</v>
          </cell>
        </row>
        <row r="58">
          <cell r="F58" t="e">
            <v>#VALUE!</v>
          </cell>
          <cell r="H58" t="e">
            <v>#VALUE!</v>
          </cell>
        </row>
      </sheetData>
      <sheetData sheetId="99">
        <row r="8">
          <cell r="B8" t="str">
            <v>#DC{£DS1=1}</v>
          </cell>
          <cell r="D8" t="str">
            <v>#DC{£DS1_1=1}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 Synthèse"/>
      <sheetName val="Questionnaire"/>
      <sheetName val="S100 Tableau var stocks"/>
      <sheetName val="S200 Rappro états stock-compta"/>
      <sheetName val="S300 Rotation stocks"/>
      <sheetName val="S400 Réconciliation IP"/>
      <sheetName val="S510 Valo MP"/>
      <sheetName val="S511 Contrôle var PU MP"/>
      <sheetName val="S512 Test détail valo MP"/>
      <sheetName val="S520 Valo EC"/>
      <sheetName val="S530 Valo PF"/>
      <sheetName val="S600 Cut-off"/>
      <sheetName val="S700 Dépréciation stocks"/>
      <sheetName val="S710 Dép N-1 et dénouement"/>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W38"/>
  <sheetViews>
    <sheetView showGridLines="0" tabSelected="1" zoomScale="90" zoomScaleNormal="90" workbookViewId="0">
      <selection activeCell="D40" sqref="D40"/>
    </sheetView>
  </sheetViews>
  <sheetFormatPr baseColWidth="10" defaultColWidth="11.42578125" defaultRowHeight="15.75" x14ac:dyDescent="0.25"/>
  <cols>
    <col min="1" max="12" width="14.7109375" style="257" customWidth="1"/>
    <col min="13" max="13" width="23.7109375" style="257" customWidth="1"/>
    <col min="14" max="15" width="14.7109375" style="257" customWidth="1"/>
    <col min="16" max="16" width="4.7109375" style="257" customWidth="1"/>
    <col min="17" max="17" width="11.42578125" style="257" hidden="1" customWidth="1"/>
    <col min="18" max="16384" width="11.42578125" style="257"/>
  </cols>
  <sheetData>
    <row r="1" spans="1:23" s="256" customFormat="1" ht="15" customHeight="1" x14ac:dyDescent="0.2">
      <c r="A1" s="10"/>
      <c r="B1" s="11"/>
      <c r="C1" s="11"/>
      <c r="D1" s="990" t="s">
        <v>0</v>
      </c>
      <c r="E1" s="991"/>
      <c r="F1" s="991"/>
      <c r="G1" s="991"/>
      <c r="H1" s="991"/>
      <c r="I1" s="991"/>
      <c r="J1" s="991"/>
      <c r="K1" s="991"/>
      <c r="L1" s="991"/>
      <c r="M1" s="992"/>
      <c r="N1" s="11"/>
      <c r="O1" s="12"/>
      <c r="P1" s="1"/>
      <c r="Q1" s="27" t="s">
        <v>1</v>
      </c>
      <c r="R1" s="1"/>
      <c r="S1" s="1"/>
      <c r="T1" s="1"/>
      <c r="U1" s="1"/>
      <c r="V1" s="1"/>
      <c r="W1" s="1"/>
    </row>
    <row r="2" spans="1:23" s="256" customFormat="1" ht="15" customHeight="1" thickBot="1" x14ac:dyDescent="0.25">
      <c r="A2" s="13"/>
      <c r="B2" s="14"/>
      <c r="C2" s="14"/>
      <c r="D2" s="993"/>
      <c r="E2" s="994"/>
      <c r="F2" s="994"/>
      <c r="G2" s="994"/>
      <c r="H2" s="994"/>
      <c r="I2" s="994"/>
      <c r="J2" s="994"/>
      <c r="K2" s="994"/>
      <c r="L2" s="994"/>
      <c r="M2" s="995"/>
      <c r="N2" s="14"/>
      <c r="O2" s="15"/>
      <c r="P2" s="1"/>
      <c r="Q2" s="27" t="s">
        <v>2</v>
      </c>
      <c r="R2" s="1"/>
      <c r="S2" s="1"/>
      <c r="T2" s="1"/>
      <c r="U2" s="1"/>
      <c r="V2" s="1"/>
      <c r="W2" s="1"/>
    </row>
    <row r="3" spans="1:23" ht="15" customHeight="1" x14ac:dyDescent="0.25">
      <c r="A3" s="945" t="s">
        <v>3</v>
      </c>
      <c r="B3" s="946"/>
      <c r="C3" s="946"/>
      <c r="D3" s="946"/>
      <c r="E3" s="946"/>
      <c r="F3" s="946"/>
      <c r="G3" s="946"/>
      <c r="H3" s="946"/>
      <c r="I3" s="946"/>
      <c r="J3" s="946"/>
      <c r="K3" s="946"/>
      <c r="L3" s="946"/>
      <c r="M3" s="946"/>
      <c r="N3" s="946"/>
      <c r="O3" s="947"/>
      <c r="P3" s="7"/>
      <c r="Q3" s="28"/>
      <c r="R3" s="7"/>
      <c r="S3" s="7"/>
      <c r="T3" s="3"/>
      <c r="U3" s="7"/>
      <c r="V3" s="5"/>
      <c r="W3" s="6"/>
    </row>
    <row r="4" spans="1:23" ht="15" customHeight="1" x14ac:dyDescent="0.25">
      <c r="A4" s="945"/>
      <c r="B4" s="946"/>
      <c r="C4" s="946"/>
      <c r="D4" s="946"/>
      <c r="E4" s="946"/>
      <c r="F4" s="946"/>
      <c r="G4" s="946"/>
      <c r="H4" s="946"/>
      <c r="I4" s="946"/>
      <c r="J4" s="946"/>
      <c r="K4" s="946"/>
      <c r="L4" s="946"/>
      <c r="M4" s="946"/>
      <c r="N4" s="946"/>
      <c r="O4" s="947"/>
      <c r="P4" s="7"/>
      <c r="Q4" s="27" t="s">
        <v>4</v>
      </c>
      <c r="R4" s="2"/>
      <c r="S4" s="7"/>
      <c r="T4" s="3"/>
      <c r="U4" s="7"/>
      <c r="V4" s="5"/>
      <c r="W4" s="6"/>
    </row>
    <row r="5" spans="1:23" ht="15" customHeight="1" thickBot="1" x14ac:dyDescent="0.3">
      <c r="A5" s="948"/>
      <c r="B5" s="949"/>
      <c r="C5" s="949"/>
      <c r="D5" s="949"/>
      <c r="E5" s="949"/>
      <c r="F5" s="949"/>
      <c r="G5" s="949"/>
      <c r="H5" s="949"/>
      <c r="I5" s="949"/>
      <c r="J5" s="949"/>
      <c r="K5" s="949"/>
      <c r="L5" s="949"/>
      <c r="M5" s="949"/>
      <c r="N5" s="949"/>
      <c r="O5" s="950"/>
      <c r="P5" s="7"/>
      <c r="Q5" s="27" t="s">
        <v>5</v>
      </c>
      <c r="R5" s="7"/>
      <c r="S5" s="8"/>
      <c r="T5" s="4"/>
      <c r="U5" s="23"/>
      <c r="V5" s="23"/>
      <c r="W5" s="23"/>
    </row>
    <row r="6" spans="1:23" ht="15" customHeight="1" x14ac:dyDescent="0.25">
      <c r="A6" s="17" t="s">
        <v>6</v>
      </c>
      <c r="B6" s="476" t="s">
        <v>392</v>
      </c>
      <c r="C6" s="17" t="s">
        <v>7</v>
      </c>
      <c r="D6" s="476"/>
      <c r="E6" s="957" t="s">
        <v>8</v>
      </c>
      <c r="F6" s="958"/>
      <c r="G6" s="958"/>
      <c r="H6" s="958"/>
      <c r="I6" s="958"/>
      <c r="J6" s="958"/>
      <c r="K6" s="958"/>
      <c r="L6" s="959"/>
      <c r="M6" s="917" t="s">
        <v>9</v>
      </c>
      <c r="N6" s="963" t="s">
        <v>10</v>
      </c>
      <c r="O6" s="964"/>
      <c r="P6" s="7"/>
      <c r="Q6" s="28" t="s">
        <v>11</v>
      </c>
      <c r="R6" s="9"/>
      <c r="S6" s="7"/>
      <c r="T6" s="1"/>
      <c r="U6" s="1"/>
      <c r="V6" s="7"/>
      <c r="W6" s="7"/>
    </row>
    <row r="7" spans="1:23" ht="15" customHeight="1" thickBot="1" x14ac:dyDescent="0.3">
      <c r="A7" s="18" t="s">
        <v>12</v>
      </c>
      <c r="B7" s="477"/>
      <c r="C7" s="18" t="s">
        <v>12</v>
      </c>
      <c r="D7" s="477"/>
      <c r="E7" s="960"/>
      <c r="F7" s="961"/>
      <c r="G7" s="961"/>
      <c r="H7" s="961"/>
      <c r="I7" s="961"/>
      <c r="J7" s="961"/>
      <c r="K7" s="961"/>
      <c r="L7" s="962"/>
      <c r="M7" s="940" t="s">
        <v>13</v>
      </c>
      <c r="N7" s="965" t="s">
        <v>14</v>
      </c>
      <c r="O7" s="966"/>
      <c r="P7" s="7"/>
      <c r="Q7" s="27" t="s">
        <v>15</v>
      </c>
      <c r="R7" s="7"/>
      <c r="S7" s="7"/>
      <c r="T7" s="7"/>
      <c r="U7" s="7"/>
      <c r="V7" s="7"/>
      <c r="W7" s="7"/>
    </row>
    <row r="8" spans="1:23" ht="21" customHeight="1" thickBot="1" x14ac:dyDescent="0.3">
      <c r="A8" s="19"/>
      <c r="B8" s="16"/>
      <c r="C8" s="20"/>
      <c r="D8" s="20"/>
      <c r="E8" s="21"/>
      <c r="F8" s="21"/>
      <c r="G8" s="21"/>
      <c r="H8" s="21"/>
      <c r="I8" s="21"/>
      <c r="J8" s="21"/>
      <c r="K8" s="21"/>
      <c r="L8" s="21"/>
      <c r="M8" s="22"/>
      <c r="N8" s="687"/>
      <c r="O8" s="687"/>
      <c r="P8" s="7"/>
      <c r="Q8" s="27" t="s">
        <v>16</v>
      </c>
      <c r="R8" s="7"/>
      <c r="S8" s="7"/>
      <c r="T8" s="7"/>
      <c r="U8" s="7"/>
      <c r="V8" s="7"/>
      <c r="W8" s="7"/>
    </row>
    <row r="9" spans="1:23" s="258" customFormat="1" ht="31.5" customHeight="1" thickBot="1" x14ac:dyDescent="0.3">
      <c r="A9" s="951" t="s">
        <v>17</v>
      </c>
      <c r="B9" s="952"/>
      <c r="C9" s="952"/>
      <c r="D9" s="688" t="s">
        <v>5</v>
      </c>
      <c r="E9" s="689"/>
      <c r="F9" s="953" t="s">
        <v>18</v>
      </c>
      <c r="G9" s="954"/>
      <c r="H9" s="954"/>
      <c r="I9" s="954"/>
      <c r="J9" s="690"/>
      <c r="K9" s="691"/>
      <c r="L9" s="953" t="s">
        <v>19</v>
      </c>
      <c r="M9" s="954"/>
      <c r="N9" s="688" t="s">
        <v>16</v>
      </c>
      <c r="O9" s="689"/>
      <c r="P9" s="20"/>
      <c r="Q9" s="28" t="s">
        <v>20</v>
      </c>
      <c r="R9" s="20"/>
      <c r="S9" s="20"/>
      <c r="T9" s="20"/>
      <c r="U9" s="20"/>
      <c r="V9" s="20"/>
      <c r="W9" s="20"/>
    </row>
    <row r="10" spans="1:23" s="259" customFormat="1" ht="21" customHeight="1" thickBot="1" x14ac:dyDescent="0.25">
      <c r="A10" s="24"/>
      <c r="B10" s="24"/>
      <c r="C10" s="24"/>
      <c r="D10" s="24"/>
      <c r="E10" s="24"/>
      <c r="F10" s="24"/>
      <c r="G10" s="24"/>
      <c r="H10" s="24"/>
      <c r="I10" s="24"/>
      <c r="J10" s="24"/>
      <c r="K10" s="24"/>
      <c r="L10" s="24"/>
      <c r="M10" s="24"/>
      <c r="N10" s="24"/>
      <c r="O10" s="24"/>
      <c r="P10" s="26"/>
      <c r="Q10" s="26"/>
      <c r="R10" s="26"/>
      <c r="S10" s="26"/>
      <c r="T10" s="26"/>
      <c r="U10" s="26"/>
      <c r="V10" s="26"/>
      <c r="W10" s="26"/>
    </row>
    <row r="11" spans="1:23" ht="15" customHeight="1" thickBot="1" x14ac:dyDescent="0.3">
      <c r="A11" s="955" t="s">
        <v>21</v>
      </c>
      <c r="B11" s="956"/>
      <c r="C11" s="943" t="s">
        <v>22</v>
      </c>
      <c r="D11" s="944"/>
      <c r="E11" s="944"/>
      <c r="F11" s="944"/>
      <c r="G11" s="944"/>
      <c r="H11" s="944"/>
      <c r="I11" s="944"/>
      <c r="J11" s="944"/>
      <c r="K11" s="944"/>
      <c r="L11" s="944"/>
      <c r="M11" s="916" t="s">
        <v>23</v>
      </c>
      <c r="N11" s="941" t="s">
        <v>24</v>
      </c>
      <c r="O11" s="942"/>
      <c r="P11" s="7"/>
      <c r="Q11" s="7"/>
      <c r="R11" s="7"/>
      <c r="S11" s="7"/>
      <c r="T11" s="7"/>
      <c r="U11" s="7"/>
      <c r="V11" s="7"/>
      <c r="W11" s="7"/>
    </row>
    <row r="12" spans="1:23" s="256" customFormat="1" ht="15" customHeight="1" x14ac:dyDescent="0.25">
      <c r="A12" s="996" t="s">
        <v>25</v>
      </c>
      <c r="B12" s="997"/>
      <c r="C12" s="517" t="s">
        <v>26</v>
      </c>
      <c r="D12" s="692"/>
      <c r="E12" s="692"/>
      <c r="F12" s="692"/>
      <c r="G12" s="692"/>
      <c r="H12" s="692"/>
      <c r="I12" s="692"/>
      <c r="J12" s="692"/>
      <c r="K12" s="692"/>
      <c r="L12" s="692"/>
      <c r="M12" s="917" t="s">
        <v>1</v>
      </c>
      <c r="N12" s="998" t="s">
        <v>27</v>
      </c>
      <c r="O12" s="999"/>
      <c r="P12" s="486"/>
      <c r="Q12" s="7"/>
      <c r="R12" s="7"/>
      <c r="S12" s="1"/>
      <c r="T12" s="1"/>
      <c r="U12" s="1"/>
      <c r="V12" s="1"/>
      <c r="W12" s="1"/>
    </row>
    <row r="13" spans="1:23" s="256" customFormat="1" ht="15" customHeight="1" x14ac:dyDescent="0.2">
      <c r="A13" s="967" t="s">
        <v>28</v>
      </c>
      <c r="B13" s="968"/>
      <c r="C13" s="517" t="s">
        <v>29</v>
      </c>
      <c r="D13" s="692"/>
      <c r="E13" s="692"/>
      <c r="F13" s="692"/>
      <c r="G13" s="692"/>
      <c r="H13" s="692"/>
      <c r="I13" s="692"/>
      <c r="J13" s="692"/>
      <c r="K13" s="692"/>
      <c r="L13" s="692"/>
      <c r="M13" s="918" t="s">
        <v>1</v>
      </c>
      <c r="N13" s="1000" t="s">
        <v>30</v>
      </c>
      <c r="O13" s="1001"/>
      <c r="P13" s="487"/>
      <c r="Q13" s="1"/>
      <c r="R13" s="1"/>
      <c r="S13" s="1"/>
      <c r="T13" s="1"/>
      <c r="U13" s="1"/>
      <c r="V13" s="1"/>
      <c r="W13" s="1"/>
    </row>
    <row r="14" spans="1:23" s="256" customFormat="1" ht="15" customHeight="1" x14ac:dyDescent="0.25">
      <c r="A14" s="967" t="s">
        <v>31</v>
      </c>
      <c r="B14" s="968"/>
      <c r="C14" s="693" t="s">
        <v>32</v>
      </c>
      <c r="D14" s="694"/>
      <c r="E14" s="694"/>
      <c r="F14" s="694"/>
      <c r="G14" s="694"/>
      <c r="H14" s="694"/>
      <c r="I14" s="694"/>
      <c r="J14" s="694"/>
      <c r="K14" s="694"/>
      <c r="L14" s="694"/>
      <c r="M14" s="918" t="s">
        <v>1</v>
      </c>
      <c r="N14" s="969" t="s">
        <v>33</v>
      </c>
      <c r="O14" s="970"/>
      <c r="P14" s="488"/>
      <c r="Q14" s="1"/>
      <c r="R14" s="1"/>
      <c r="S14" s="1"/>
      <c r="T14" s="1"/>
      <c r="U14" s="1"/>
      <c r="V14" s="1"/>
      <c r="W14" s="1"/>
    </row>
    <row r="15" spans="1:23" s="256" customFormat="1" ht="15" customHeight="1" x14ac:dyDescent="0.2">
      <c r="A15" s="967" t="s">
        <v>34</v>
      </c>
      <c r="B15" s="968"/>
      <c r="C15" s="517" t="s">
        <v>35</v>
      </c>
      <c r="D15" s="692"/>
      <c r="E15" s="692"/>
      <c r="F15" s="692"/>
      <c r="G15" s="692"/>
      <c r="H15" s="692"/>
      <c r="I15" s="692"/>
      <c r="J15" s="692"/>
      <c r="K15" s="692"/>
      <c r="L15" s="692"/>
      <c r="M15" s="918" t="s">
        <v>1</v>
      </c>
      <c r="N15" s="969" t="s">
        <v>36</v>
      </c>
      <c r="O15" s="970"/>
      <c r="P15" s="487"/>
      <c r="Q15" s="1"/>
      <c r="R15" s="1"/>
      <c r="S15" s="1"/>
      <c r="T15" s="1"/>
      <c r="U15" s="1"/>
      <c r="V15" s="1"/>
      <c r="W15" s="1"/>
    </row>
    <row r="16" spans="1:23" s="256" customFormat="1" ht="15" customHeight="1" x14ac:dyDescent="0.2">
      <c r="A16" s="967" t="s">
        <v>37</v>
      </c>
      <c r="B16" s="968"/>
      <c r="C16" s="693" t="s">
        <v>38</v>
      </c>
      <c r="D16" s="694"/>
      <c r="E16" s="694"/>
      <c r="F16" s="694"/>
      <c r="G16" s="694"/>
      <c r="H16" s="694"/>
      <c r="I16" s="694"/>
      <c r="J16" s="694"/>
      <c r="K16" s="694"/>
      <c r="L16" s="694"/>
      <c r="M16" s="918" t="s">
        <v>1</v>
      </c>
      <c r="N16" s="969" t="s">
        <v>39</v>
      </c>
      <c r="O16" s="970"/>
      <c r="P16" s="489"/>
      <c r="Q16" s="1"/>
      <c r="R16" s="1"/>
      <c r="S16" s="1"/>
      <c r="T16" s="1"/>
      <c r="U16" s="1"/>
      <c r="V16" s="1"/>
      <c r="W16" s="1"/>
    </row>
    <row r="17" spans="1:18" s="256" customFormat="1" ht="15" customHeight="1" x14ac:dyDescent="0.2">
      <c r="A17" s="967"/>
      <c r="B17" s="968"/>
      <c r="C17" s="693" t="s">
        <v>41</v>
      </c>
      <c r="D17" s="694"/>
      <c r="E17" s="694"/>
      <c r="F17" s="694"/>
      <c r="G17" s="694"/>
      <c r="H17" s="694"/>
      <c r="I17" s="694"/>
      <c r="J17" s="694"/>
      <c r="K17" s="694"/>
      <c r="L17" s="694"/>
      <c r="M17" s="918" t="s">
        <v>2</v>
      </c>
      <c r="N17" s="1218" t="s">
        <v>42</v>
      </c>
      <c r="O17" s="1219"/>
      <c r="P17" s="489"/>
      <c r="Q17" s="1"/>
      <c r="R17" s="1"/>
    </row>
    <row r="18" spans="1:18" s="256" customFormat="1" ht="15" customHeight="1" x14ac:dyDescent="0.2">
      <c r="A18" s="967" t="s">
        <v>43</v>
      </c>
      <c r="B18" s="968"/>
      <c r="C18" s="693" t="s">
        <v>44</v>
      </c>
      <c r="D18" s="694"/>
      <c r="E18" s="694"/>
      <c r="F18" s="694"/>
      <c r="G18" s="694"/>
      <c r="H18" s="694"/>
      <c r="I18" s="694"/>
      <c r="J18" s="694"/>
      <c r="K18" s="694"/>
      <c r="L18" s="694"/>
      <c r="M18" s="918" t="s">
        <v>1</v>
      </c>
      <c r="N18" s="969" t="s">
        <v>45</v>
      </c>
      <c r="O18" s="970"/>
      <c r="P18" s="487"/>
      <c r="Q18" s="1"/>
      <c r="R18" s="1"/>
    </row>
    <row r="19" spans="1:18" s="256" customFormat="1" ht="15" customHeight="1" x14ac:dyDescent="0.2">
      <c r="A19" s="967" t="s">
        <v>46</v>
      </c>
      <c r="B19" s="968"/>
      <c r="C19" s="693" t="s">
        <v>47</v>
      </c>
      <c r="D19" s="694"/>
      <c r="E19" s="694"/>
      <c r="F19" s="694"/>
      <c r="G19" s="694"/>
      <c r="H19" s="694"/>
      <c r="I19" s="694"/>
      <c r="J19" s="694"/>
      <c r="K19" s="694"/>
      <c r="L19" s="694"/>
      <c r="M19" s="918" t="s">
        <v>1</v>
      </c>
      <c r="N19" s="969" t="s">
        <v>48</v>
      </c>
      <c r="O19" s="970"/>
      <c r="P19" s="1"/>
      <c r="Q19" s="1"/>
      <c r="R19" s="1"/>
    </row>
    <row r="20" spans="1:18" s="256" customFormat="1" ht="15" customHeight="1" x14ac:dyDescent="0.2">
      <c r="A20" s="967" t="s">
        <v>49</v>
      </c>
      <c r="B20" s="968"/>
      <c r="C20" s="693" t="s">
        <v>50</v>
      </c>
      <c r="D20" s="694"/>
      <c r="E20" s="694"/>
      <c r="F20" s="694"/>
      <c r="G20" s="694"/>
      <c r="H20" s="694"/>
      <c r="I20" s="694"/>
      <c r="J20" s="694"/>
      <c r="K20" s="694"/>
      <c r="L20" s="694"/>
      <c r="M20" s="918" t="s">
        <v>1</v>
      </c>
      <c r="N20" s="969" t="s">
        <v>51</v>
      </c>
      <c r="O20" s="970"/>
      <c r="P20" s="1"/>
      <c r="Q20" s="1"/>
      <c r="R20" s="1"/>
    </row>
    <row r="21" spans="1:18" s="256" customFormat="1" ht="15" customHeight="1" x14ac:dyDescent="0.2">
      <c r="A21" s="967"/>
      <c r="B21" s="968"/>
      <c r="C21" s="517" t="s">
        <v>53</v>
      </c>
      <c r="D21" s="692"/>
      <c r="E21" s="692"/>
      <c r="F21" s="692"/>
      <c r="G21" s="692"/>
      <c r="H21" s="692"/>
      <c r="I21" s="692"/>
      <c r="J21" s="692"/>
      <c r="K21" s="692"/>
      <c r="L21" s="692"/>
      <c r="M21" s="918" t="s">
        <v>2</v>
      </c>
      <c r="N21" s="1220" t="s">
        <v>54</v>
      </c>
      <c r="O21" s="1219"/>
      <c r="P21" s="1"/>
      <c r="Q21" s="1"/>
      <c r="R21" s="1"/>
    </row>
    <row r="22" spans="1:18" s="256" customFormat="1" ht="15" customHeight="1" x14ac:dyDescent="0.2">
      <c r="A22" s="967" t="s">
        <v>55</v>
      </c>
      <c r="B22" s="968"/>
      <c r="C22" s="517" t="s">
        <v>56</v>
      </c>
      <c r="D22" s="692"/>
      <c r="E22" s="692"/>
      <c r="F22" s="692"/>
      <c r="G22" s="692"/>
      <c r="H22" s="692"/>
      <c r="I22" s="692"/>
      <c r="J22" s="692"/>
      <c r="K22" s="692"/>
      <c r="L22" s="692"/>
      <c r="M22" s="918" t="s">
        <v>1</v>
      </c>
      <c r="N22" s="969" t="s">
        <v>57</v>
      </c>
      <c r="O22" s="970"/>
      <c r="P22" s="1"/>
      <c r="Q22" s="1"/>
      <c r="R22" s="1"/>
    </row>
    <row r="23" spans="1:18" s="256" customFormat="1" ht="15" customHeight="1" x14ac:dyDescent="0.2">
      <c r="A23" s="967"/>
      <c r="B23" s="968"/>
      <c r="C23" s="517" t="s">
        <v>59</v>
      </c>
      <c r="D23" s="692"/>
      <c r="E23" s="692"/>
      <c r="F23" s="692"/>
      <c r="G23" s="692"/>
      <c r="H23" s="692"/>
      <c r="I23" s="692"/>
      <c r="J23" s="692"/>
      <c r="K23" s="692"/>
      <c r="L23" s="692"/>
      <c r="M23" s="918" t="s">
        <v>2</v>
      </c>
      <c r="N23" s="1218" t="s">
        <v>60</v>
      </c>
      <c r="O23" s="1219"/>
      <c r="P23" s="1"/>
      <c r="Q23" s="1"/>
      <c r="R23" s="1"/>
    </row>
    <row r="24" spans="1:18" s="256" customFormat="1" ht="15" customHeight="1" thickBot="1" x14ac:dyDescent="0.25">
      <c r="A24" s="986"/>
      <c r="B24" s="987"/>
      <c r="C24" s="695"/>
      <c r="D24" s="695"/>
      <c r="E24" s="695"/>
      <c r="F24" s="695"/>
      <c r="G24" s="695"/>
      <c r="H24" s="695"/>
      <c r="I24" s="695"/>
      <c r="J24" s="695"/>
      <c r="K24" s="695"/>
      <c r="L24" s="695"/>
      <c r="M24" s="919"/>
      <c r="N24" s="988"/>
      <c r="O24" s="989"/>
      <c r="P24" s="1"/>
      <c r="Q24" s="1"/>
      <c r="R24" s="1"/>
    </row>
    <row r="25" spans="1:18" s="260" customFormat="1" ht="21" customHeight="1" thickBot="1" x14ac:dyDescent="0.3">
      <c r="A25" s="25"/>
      <c r="B25" s="25"/>
      <c r="C25" s="25"/>
      <c r="D25" s="25"/>
      <c r="E25" s="25"/>
      <c r="F25" s="25"/>
      <c r="G25" s="25"/>
      <c r="H25" s="25"/>
      <c r="I25" s="25"/>
      <c r="J25" s="25"/>
      <c r="K25" s="25"/>
      <c r="L25" s="25"/>
      <c r="M25" s="25"/>
      <c r="N25" s="25"/>
      <c r="O25" s="25"/>
      <c r="P25" s="25"/>
      <c r="Q25" s="25"/>
      <c r="R25" s="25"/>
    </row>
    <row r="26" spans="1:18" s="25" customFormat="1" thickBot="1" x14ac:dyDescent="0.3">
      <c r="A26" s="974" t="s">
        <v>61</v>
      </c>
      <c r="B26" s="975"/>
      <c r="C26" s="975"/>
      <c r="D26" s="975"/>
      <c r="E26" s="975"/>
      <c r="F26" s="975"/>
      <c r="G26" s="975"/>
      <c r="H26" s="975"/>
      <c r="I26" s="975"/>
      <c r="J26" s="975"/>
      <c r="K26" s="975"/>
      <c r="L26" s="975"/>
      <c r="M26" s="975"/>
      <c r="N26" s="975"/>
      <c r="O26" s="976"/>
    </row>
    <row r="27" spans="1:18" s="7" customFormat="1" ht="9.9499999999999993" customHeight="1" x14ac:dyDescent="0.25">
      <c r="A27" s="977" t="s">
        <v>393</v>
      </c>
      <c r="B27" s="978"/>
      <c r="C27" s="978"/>
      <c r="D27" s="978"/>
      <c r="E27" s="978"/>
      <c r="F27" s="978"/>
      <c r="G27" s="978"/>
      <c r="H27" s="978"/>
      <c r="I27" s="978"/>
      <c r="J27" s="978"/>
      <c r="K27" s="978"/>
      <c r="L27" s="978"/>
      <c r="M27" s="978"/>
      <c r="N27" s="978"/>
      <c r="O27" s="979"/>
    </row>
    <row r="28" spans="1:18" s="7" customFormat="1" ht="9.9499999999999993" customHeight="1" x14ac:dyDescent="0.25">
      <c r="A28" s="980"/>
      <c r="B28" s="981"/>
      <c r="C28" s="981"/>
      <c r="D28" s="981"/>
      <c r="E28" s="981"/>
      <c r="F28" s="981"/>
      <c r="G28" s="981"/>
      <c r="H28" s="981"/>
      <c r="I28" s="981"/>
      <c r="J28" s="981"/>
      <c r="K28" s="981"/>
      <c r="L28" s="981"/>
      <c r="M28" s="981"/>
      <c r="N28" s="981"/>
      <c r="O28" s="982"/>
    </row>
    <row r="29" spans="1:18" s="7" customFormat="1" ht="9.9499999999999993" customHeight="1" x14ac:dyDescent="0.25">
      <c r="A29" s="980"/>
      <c r="B29" s="981"/>
      <c r="C29" s="981"/>
      <c r="D29" s="981"/>
      <c r="E29" s="981"/>
      <c r="F29" s="981"/>
      <c r="G29" s="981"/>
      <c r="H29" s="981"/>
      <c r="I29" s="981"/>
      <c r="J29" s="981"/>
      <c r="K29" s="981"/>
      <c r="L29" s="981"/>
      <c r="M29" s="981"/>
      <c r="N29" s="981"/>
      <c r="O29" s="982"/>
    </row>
    <row r="30" spans="1:18" s="7" customFormat="1" ht="9.9499999999999993" customHeight="1" x14ac:dyDescent="0.25">
      <c r="A30" s="980"/>
      <c r="B30" s="981"/>
      <c r="C30" s="981"/>
      <c r="D30" s="981"/>
      <c r="E30" s="981"/>
      <c r="F30" s="981"/>
      <c r="G30" s="981"/>
      <c r="H30" s="981"/>
      <c r="I30" s="981"/>
      <c r="J30" s="981"/>
      <c r="K30" s="981"/>
      <c r="L30" s="981"/>
      <c r="M30" s="981"/>
      <c r="N30" s="981"/>
      <c r="O30" s="982"/>
    </row>
    <row r="31" spans="1:18" s="7" customFormat="1" ht="9.9499999999999993" customHeight="1" thickBot="1" x14ac:dyDescent="0.3">
      <c r="A31" s="983"/>
      <c r="B31" s="984"/>
      <c r="C31" s="984"/>
      <c r="D31" s="984"/>
      <c r="E31" s="984"/>
      <c r="F31" s="984"/>
      <c r="G31" s="984"/>
      <c r="H31" s="984"/>
      <c r="I31" s="984"/>
      <c r="J31" s="984"/>
      <c r="K31" s="984"/>
      <c r="L31" s="984"/>
      <c r="M31" s="984"/>
      <c r="N31" s="984"/>
      <c r="O31" s="985"/>
    </row>
    <row r="32" spans="1:18" s="260" customFormat="1" ht="21" customHeight="1" thickBot="1" x14ac:dyDescent="0.3">
      <c r="A32" s="25"/>
      <c r="B32" s="25"/>
      <c r="C32" s="25"/>
      <c r="D32" s="25"/>
      <c r="E32" s="25"/>
      <c r="F32" s="25"/>
      <c r="G32" s="25"/>
      <c r="H32" s="25"/>
      <c r="I32" s="25"/>
      <c r="J32" s="25"/>
      <c r="K32" s="25"/>
      <c r="L32" s="25"/>
      <c r="M32" s="25"/>
      <c r="N32" s="25"/>
      <c r="O32" s="25"/>
      <c r="P32" s="25"/>
      <c r="Q32" s="25"/>
      <c r="R32" s="25"/>
    </row>
    <row r="33" spans="1:18" s="260" customFormat="1" thickBot="1" x14ac:dyDescent="0.3">
      <c r="A33" s="971" t="s">
        <v>62</v>
      </c>
      <c r="B33" s="972"/>
      <c r="C33" s="972"/>
      <c r="D33" s="972"/>
      <c r="E33" s="972"/>
      <c r="F33" s="972"/>
      <c r="G33" s="972"/>
      <c r="H33" s="972"/>
      <c r="I33" s="972"/>
      <c r="J33" s="972"/>
      <c r="K33" s="972"/>
      <c r="L33" s="972"/>
      <c r="M33" s="972"/>
      <c r="N33" s="972"/>
      <c r="O33" s="973"/>
      <c r="P33" s="25"/>
      <c r="Q33" s="25"/>
      <c r="R33" s="25"/>
    </row>
    <row r="34" spans="1:18" s="7" customFormat="1" ht="9.9499999999999993" customHeight="1" x14ac:dyDescent="0.25">
      <c r="A34" s="977"/>
      <c r="B34" s="978"/>
      <c r="C34" s="978"/>
      <c r="D34" s="978"/>
      <c r="E34" s="978"/>
      <c r="F34" s="978"/>
      <c r="G34" s="978"/>
      <c r="H34" s="978"/>
      <c r="I34" s="978"/>
      <c r="J34" s="978"/>
      <c r="K34" s="978"/>
      <c r="L34" s="978"/>
      <c r="M34" s="978"/>
      <c r="N34" s="978"/>
      <c r="O34" s="979"/>
    </row>
    <row r="35" spans="1:18" s="7" customFormat="1" ht="9.9499999999999993" customHeight="1" x14ac:dyDescent="0.25">
      <c r="A35" s="980"/>
      <c r="B35" s="981"/>
      <c r="C35" s="981"/>
      <c r="D35" s="981"/>
      <c r="E35" s="981"/>
      <c r="F35" s="981"/>
      <c r="G35" s="981"/>
      <c r="H35" s="981"/>
      <c r="I35" s="981"/>
      <c r="J35" s="981"/>
      <c r="K35" s="981"/>
      <c r="L35" s="981"/>
      <c r="M35" s="981"/>
      <c r="N35" s="981"/>
      <c r="O35" s="982"/>
    </row>
    <row r="36" spans="1:18" s="7" customFormat="1" ht="9.9499999999999993" customHeight="1" x14ac:dyDescent="0.25">
      <c r="A36" s="980"/>
      <c r="B36" s="981"/>
      <c r="C36" s="981"/>
      <c r="D36" s="981"/>
      <c r="E36" s="981"/>
      <c r="F36" s="981"/>
      <c r="G36" s="981"/>
      <c r="H36" s="981"/>
      <c r="I36" s="981"/>
      <c r="J36" s="981"/>
      <c r="K36" s="981"/>
      <c r="L36" s="981"/>
      <c r="M36" s="981"/>
      <c r="N36" s="981"/>
      <c r="O36" s="982"/>
    </row>
    <row r="37" spans="1:18" s="7" customFormat="1" ht="9.9499999999999993" customHeight="1" x14ac:dyDescent="0.25">
      <c r="A37" s="980"/>
      <c r="B37" s="981"/>
      <c r="C37" s="981"/>
      <c r="D37" s="981"/>
      <c r="E37" s="981"/>
      <c r="F37" s="981"/>
      <c r="G37" s="981"/>
      <c r="H37" s="981"/>
      <c r="I37" s="981"/>
      <c r="J37" s="981"/>
      <c r="K37" s="981"/>
      <c r="L37" s="981"/>
      <c r="M37" s="981"/>
      <c r="N37" s="981"/>
      <c r="O37" s="982"/>
    </row>
    <row r="38" spans="1:18" s="7" customFormat="1" ht="9.9499999999999993" customHeight="1" thickBot="1" x14ac:dyDescent="0.3">
      <c r="A38" s="983"/>
      <c r="B38" s="984"/>
      <c r="C38" s="984"/>
      <c r="D38" s="984"/>
      <c r="E38" s="984"/>
      <c r="F38" s="984"/>
      <c r="G38" s="984"/>
      <c r="H38" s="984"/>
      <c r="I38" s="984"/>
      <c r="J38" s="984"/>
      <c r="K38" s="984"/>
      <c r="L38" s="984"/>
      <c r="M38" s="984"/>
      <c r="N38" s="984"/>
      <c r="O38" s="985"/>
    </row>
  </sheetData>
  <sheetProtection formatCells="0" formatColumns="0" formatRows="0" insertColumns="0" insertRows="0" insertHyperlinks="0" deleteColumns="0" deleteRows="0" sort="0" autoFilter="0" pivotTables="0"/>
  <mergeCells count="41">
    <mergeCell ref="D1:M2"/>
    <mergeCell ref="A12:B12"/>
    <mergeCell ref="A13:B13"/>
    <mergeCell ref="N14:O14"/>
    <mergeCell ref="N17:O17"/>
    <mergeCell ref="N15:O15"/>
    <mergeCell ref="A14:B14"/>
    <mergeCell ref="N12:O12"/>
    <mergeCell ref="N13:O13"/>
    <mergeCell ref="N16:O16"/>
    <mergeCell ref="A16:B16"/>
    <mergeCell ref="A17:B17"/>
    <mergeCell ref="A26:O26"/>
    <mergeCell ref="A27:O31"/>
    <mergeCell ref="N20:O20"/>
    <mergeCell ref="N19:O19"/>
    <mergeCell ref="A20:B20"/>
    <mergeCell ref="A19:B19"/>
    <mergeCell ref="A21:B21"/>
    <mergeCell ref="A24:B24"/>
    <mergeCell ref="N24:O24"/>
    <mergeCell ref="N22:O22"/>
    <mergeCell ref="A23:B23"/>
    <mergeCell ref="A22:B22"/>
    <mergeCell ref="N23:O23"/>
    <mergeCell ref="A34:O38"/>
    <mergeCell ref="N11:O11"/>
    <mergeCell ref="C11:L11"/>
    <mergeCell ref="A3:O5"/>
    <mergeCell ref="A9:C9"/>
    <mergeCell ref="F9:I9"/>
    <mergeCell ref="A11:B11"/>
    <mergeCell ref="E6:L7"/>
    <mergeCell ref="N6:O6"/>
    <mergeCell ref="N7:O7"/>
    <mergeCell ref="L9:M9"/>
    <mergeCell ref="A18:B18"/>
    <mergeCell ref="A15:B15"/>
    <mergeCell ref="N18:O18"/>
    <mergeCell ref="A33:O33"/>
    <mergeCell ref="N21:O21"/>
  </mergeCells>
  <dataValidations count="3">
    <dataValidation type="list" showInputMessage="1" showErrorMessage="1" sqref="D9:E9" xr:uid="{00000000-0002-0000-0000-000000000000}">
      <formula1>RAS</formula1>
    </dataValidation>
    <dataValidation type="list" allowBlank="1" showInputMessage="1" showErrorMessage="1" sqref="N9:O9" xr:uid="{00000000-0002-0000-0000-000001000000}">
      <formula1>Diligences</formula1>
    </dataValidation>
    <dataValidation type="list" allowBlank="1" showInputMessage="1" showErrorMessage="1" sqref="M12:M24" xr:uid="{00000000-0002-0000-0000-000002000000}">
      <formula1>Etat</formula1>
    </dataValidation>
  </dataValidations>
  <hyperlinks>
    <hyperlink ref="N12:O12" location="'S100 Tableau var stocks'!A1" display="S100 Tableau var stocks" xr:uid="{00000000-0004-0000-0000-000000000000}"/>
    <hyperlink ref="N13:O13" location="'S200 Rappro états stock-compta'!A1" display="S200 Rappro états stock-compta" xr:uid="{00000000-0004-0000-0000-000001000000}"/>
    <hyperlink ref="N14:O14" location="'S300 Rotation stocks'!A1" display="S300 Rotation stocks" xr:uid="{00000000-0004-0000-0000-000002000000}"/>
    <hyperlink ref="N15:O15" location="'S400 Réconciliation IP'!A1" display="S400 Réconciliation IP" xr:uid="{00000000-0004-0000-0000-000003000000}"/>
    <hyperlink ref="N16:O16" location="'S510 Valo MP'!A1" display="S510 Valo MP" xr:uid="{00000000-0004-0000-0000-000004000000}"/>
    <hyperlink ref="N17:O17" location="'S511 Contrôle var PU MP'!A1" display="S511 Contrôle var PU MP" xr:uid="{00000000-0004-0000-0000-000005000000}"/>
    <hyperlink ref="N18:O18" location="'S512 Test détail valo MP'!A1" display="S512 Test détail valo MP" xr:uid="{00000000-0004-0000-0000-000006000000}"/>
    <hyperlink ref="N19:O19" location="'S520 Valo EC'!A1" display="S520 Valo EC" xr:uid="{00000000-0004-0000-0000-000007000000}"/>
    <hyperlink ref="N20:O20" location="'S530 Valo PF'!A1" display="S530 Valo PF" xr:uid="{00000000-0004-0000-0000-000008000000}"/>
    <hyperlink ref="N21:O21" location="'S600 Cut-off'!A1" display="S600 Cut-off" xr:uid="{00000000-0004-0000-0000-000009000000}"/>
    <hyperlink ref="N22:O22" location="'S700 Dépréciation stocks'!A1" display="S700 Dépréciation stocks" xr:uid="{00000000-0004-0000-0000-00000A000000}"/>
    <hyperlink ref="N23:O23" location="'S710 Dép N-1 et dénouement'!A1" display="S710 Dép N-1 et dénouement" xr:uid="{00000000-0004-0000-0000-00000B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U50"/>
  <sheetViews>
    <sheetView showGridLines="0" topLeftCell="F1" zoomScale="85" zoomScaleNormal="85" workbookViewId="0">
      <selection activeCell="R19" sqref="R19"/>
    </sheetView>
  </sheetViews>
  <sheetFormatPr baseColWidth="10" defaultColWidth="11.42578125" defaultRowHeight="15" x14ac:dyDescent="0.25"/>
  <cols>
    <col min="1" max="2" width="14.7109375" style="25" customWidth="1"/>
    <col min="3" max="3" width="21.7109375" style="25" customWidth="1"/>
    <col min="4" max="4" width="14.7109375" style="25" customWidth="1"/>
    <col min="5" max="5" width="15.5703125" style="25" customWidth="1"/>
    <col min="6" max="16" width="14.7109375" style="25" customWidth="1"/>
    <col min="17" max="16384" width="11.42578125" style="25"/>
  </cols>
  <sheetData>
    <row r="1" spans="1:21" s="33" customFormat="1" ht="15" customHeight="1" x14ac:dyDescent="0.2">
      <c r="A1" s="10"/>
      <c r="B1" s="11"/>
      <c r="C1" s="11"/>
      <c r="D1" s="1014" t="str">
        <f>'S Synthèse'!D1:M2</f>
        <v>#NomClient</v>
      </c>
      <c r="E1" s="1015"/>
      <c r="F1" s="1015"/>
      <c r="G1" s="1015"/>
      <c r="H1" s="1015"/>
      <c r="I1" s="1015"/>
      <c r="J1" s="1015"/>
      <c r="K1" s="1015"/>
      <c r="L1" s="1015"/>
      <c r="M1" s="1016"/>
      <c r="N1" s="11"/>
      <c r="O1" s="11"/>
      <c r="P1" s="12"/>
    </row>
    <row r="2" spans="1:21" s="33" customFormat="1" ht="15" customHeight="1" thickBot="1" x14ac:dyDescent="0.25">
      <c r="A2" s="13"/>
      <c r="B2" s="14"/>
      <c r="C2" s="14"/>
      <c r="D2" s="1017"/>
      <c r="E2" s="1018"/>
      <c r="F2" s="1018"/>
      <c r="G2" s="1018"/>
      <c r="H2" s="1018"/>
      <c r="I2" s="1018"/>
      <c r="J2" s="1018"/>
      <c r="K2" s="1018"/>
      <c r="L2" s="1018"/>
      <c r="M2" s="1019"/>
      <c r="N2" s="14"/>
      <c r="O2" s="14"/>
      <c r="P2" s="15"/>
    </row>
    <row r="3" spans="1:21" ht="15" customHeight="1" x14ac:dyDescent="0.25">
      <c r="A3" s="945" t="s">
        <v>3</v>
      </c>
      <c r="B3" s="946"/>
      <c r="C3" s="946"/>
      <c r="D3" s="946"/>
      <c r="E3" s="946"/>
      <c r="F3" s="946"/>
      <c r="G3" s="946"/>
      <c r="H3" s="946"/>
      <c r="I3" s="946"/>
      <c r="J3" s="946"/>
      <c r="K3" s="946"/>
      <c r="L3" s="946"/>
      <c r="M3" s="946"/>
      <c r="N3" s="946"/>
      <c r="O3" s="946"/>
      <c r="P3" s="947"/>
      <c r="R3" s="3"/>
      <c r="T3" s="5"/>
      <c r="U3" s="5"/>
    </row>
    <row r="4" spans="1:21" ht="15" customHeight="1" x14ac:dyDescent="0.25">
      <c r="A4" s="945"/>
      <c r="B4" s="946"/>
      <c r="C4" s="946"/>
      <c r="D4" s="946"/>
      <c r="E4" s="946"/>
      <c r="F4" s="946"/>
      <c r="G4" s="946"/>
      <c r="H4" s="946"/>
      <c r="I4" s="946"/>
      <c r="J4" s="946"/>
      <c r="K4" s="946"/>
      <c r="L4" s="946"/>
      <c r="M4" s="946"/>
      <c r="N4" s="946"/>
      <c r="O4" s="946"/>
      <c r="P4" s="947"/>
      <c r="R4" s="3"/>
      <c r="T4" s="5"/>
      <c r="U4" s="5"/>
    </row>
    <row r="5" spans="1:21" ht="15" customHeight="1" thickBot="1" x14ac:dyDescent="0.3">
      <c r="A5" s="948"/>
      <c r="B5" s="949"/>
      <c r="C5" s="949"/>
      <c r="D5" s="949"/>
      <c r="E5" s="949"/>
      <c r="F5" s="949"/>
      <c r="G5" s="949"/>
      <c r="H5" s="949"/>
      <c r="I5" s="949"/>
      <c r="J5" s="949"/>
      <c r="K5" s="949"/>
      <c r="L5" s="949"/>
      <c r="M5" s="949"/>
      <c r="N5" s="949"/>
      <c r="O5" s="949"/>
      <c r="P5" s="950"/>
      <c r="Q5" s="3"/>
      <c r="R5" s="34"/>
      <c r="S5" s="35"/>
      <c r="T5" s="35"/>
      <c r="U5" s="35"/>
    </row>
    <row r="6" spans="1:21" ht="15" customHeight="1" x14ac:dyDescent="0.25">
      <c r="A6" s="17" t="s">
        <v>6</v>
      </c>
      <c r="B6" s="476" t="str">
        <f>'S Synthèse'!B6</f>
        <v>BRA</v>
      </c>
      <c r="C6" s="17" t="s">
        <v>7</v>
      </c>
      <c r="D6" s="476">
        <f>'S Synthèse'!D6</f>
        <v>0</v>
      </c>
      <c r="E6" s="957" t="s">
        <v>65</v>
      </c>
      <c r="F6" s="958"/>
      <c r="G6" s="958"/>
      <c r="H6" s="958"/>
      <c r="I6" s="958"/>
      <c r="J6" s="958"/>
      <c r="K6" s="958"/>
      <c r="L6" s="959"/>
      <c r="M6" s="1020" t="s">
        <v>9</v>
      </c>
      <c r="N6" s="1021"/>
      <c r="O6" s="963" t="s">
        <v>10</v>
      </c>
      <c r="P6" s="964"/>
      <c r="R6" s="33"/>
      <c r="S6" s="33"/>
    </row>
    <row r="7" spans="1:21" ht="15" customHeight="1" thickBot="1" x14ac:dyDescent="0.3">
      <c r="A7" s="18" t="s">
        <v>12</v>
      </c>
      <c r="B7" s="477">
        <f>'S Synthèse'!B7</f>
        <v>0</v>
      </c>
      <c r="C7" s="18" t="s">
        <v>12</v>
      </c>
      <c r="D7" s="477">
        <f>'S Synthèse'!D7</f>
        <v>0</v>
      </c>
      <c r="E7" s="960"/>
      <c r="F7" s="961"/>
      <c r="G7" s="961"/>
      <c r="H7" s="961"/>
      <c r="I7" s="961"/>
      <c r="J7" s="961"/>
      <c r="K7" s="961"/>
      <c r="L7" s="962"/>
      <c r="M7" s="1022" t="str">
        <f>'S Synthèse'!M7:M7</f>
        <v>#DateClôture</v>
      </c>
      <c r="N7" s="1023"/>
      <c r="O7" s="965" t="s">
        <v>25</v>
      </c>
      <c r="P7" s="966"/>
    </row>
    <row r="8" spans="1:21" ht="21" customHeight="1" thickBot="1" x14ac:dyDescent="0.3">
      <c r="A8" s="19"/>
      <c r="B8" s="36"/>
      <c r="C8" s="20"/>
      <c r="D8" s="20"/>
      <c r="E8" s="37"/>
      <c r="F8" s="37"/>
      <c r="G8" s="37"/>
      <c r="H8" s="37"/>
      <c r="I8" s="37"/>
      <c r="J8" s="37"/>
      <c r="K8" s="37"/>
      <c r="L8" s="37"/>
      <c r="M8" s="22"/>
      <c r="N8" s="20"/>
      <c r="O8" s="1002" t="s">
        <v>63</v>
      </c>
      <c r="P8" s="1002"/>
    </row>
    <row r="9" spans="1:21" s="20" customFormat="1" ht="31.5" customHeight="1" thickBot="1" x14ac:dyDescent="0.25">
      <c r="A9" s="951" t="s">
        <v>17</v>
      </c>
      <c r="B9" s="952"/>
      <c r="C9" s="952"/>
      <c r="D9" s="1012" t="str">
        <f>'S Synthèse'!D9:E9</f>
        <v>Modéré</v>
      </c>
      <c r="E9" s="1013"/>
      <c r="F9" s="953" t="s">
        <v>18</v>
      </c>
      <c r="G9" s="954"/>
      <c r="H9" s="954"/>
      <c r="I9" s="954"/>
      <c r="J9" s="1004">
        <f>'S Synthèse'!J9:K9</f>
        <v>0</v>
      </c>
      <c r="K9" s="1005"/>
      <c r="L9" s="953" t="s">
        <v>19</v>
      </c>
      <c r="M9" s="954"/>
      <c r="N9" s="954"/>
      <c r="O9" s="1012" t="str">
        <f>'S Synthèse'!N9</f>
        <v>PE</v>
      </c>
      <c r="P9" s="1013"/>
    </row>
    <row r="10" spans="1:21" s="20" customFormat="1" ht="21" customHeight="1" thickBot="1" x14ac:dyDescent="0.25">
      <c r="A10" s="24"/>
      <c r="B10" s="24"/>
      <c r="C10" s="24"/>
      <c r="D10" s="24"/>
      <c r="E10" s="24"/>
      <c r="F10" s="24"/>
      <c r="G10" s="24"/>
      <c r="H10" s="24"/>
      <c r="I10" s="24"/>
      <c r="J10" s="24"/>
      <c r="K10" s="24"/>
      <c r="L10" s="24"/>
      <c r="M10" s="24"/>
      <c r="N10" s="24"/>
      <c r="O10" s="24"/>
      <c r="P10" s="24"/>
    </row>
    <row r="11" spans="1:21" ht="104.45" customHeight="1" thickBot="1" x14ac:dyDescent="0.3">
      <c r="A11" s="1006" t="s">
        <v>66</v>
      </c>
      <c r="B11" s="1007"/>
      <c r="C11" s="1007"/>
      <c r="D11" s="1007"/>
      <c r="E11" s="1007"/>
      <c r="F11" s="1007"/>
      <c r="G11" s="1007"/>
      <c r="H11" s="1007"/>
      <c r="I11" s="1007"/>
      <c r="J11" s="1007"/>
      <c r="K11" s="1007"/>
      <c r="L11" s="1007"/>
      <c r="M11" s="1007"/>
      <c r="N11" s="1007"/>
      <c r="O11" s="1007"/>
      <c r="P11" s="1008"/>
    </row>
    <row r="12" spans="1:21" ht="9" customHeight="1" thickBot="1" x14ac:dyDescent="0.3"/>
    <row r="13" spans="1:21" x14ac:dyDescent="0.25">
      <c r="A13" s="974" t="s">
        <v>67</v>
      </c>
      <c r="B13" s="975"/>
      <c r="C13" s="975"/>
      <c r="D13" s="975"/>
      <c r="E13" s="975"/>
      <c r="F13" s="975"/>
      <c r="G13" s="975"/>
      <c r="H13" s="975"/>
      <c r="I13" s="975"/>
      <c r="J13" s="975"/>
      <c r="K13" s="975"/>
      <c r="L13" s="975"/>
      <c r="M13" s="975"/>
      <c r="N13" s="975"/>
      <c r="O13" s="975"/>
      <c r="P13" s="976"/>
    </row>
    <row r="14" spans="1:21" ht="60" customHeight="1" thickBot="1" x14ac:dyDescent="0.3">
      <c r="A14" s="1009"/>
      <c r="B14" s="1010"/>
      <c r="C14" s="1010"/>
      <c r="D14" s="1010"/>
      <c r="E14" s="1010"/>
      <c r="F14" s="1010"/>
      <c r="G14" s="1010"/>
      <c r="H14" s="1010"/>
      <c r="I14" s="1010"/>
      <c r="J14" s="1010"/>
      <c r="K14" s="1010"/>
      <c r="L14" s="1010"/>
      <c r="M14" s="1010"/>
      <c r="N14" s="1010"/>
      <c r="O14" s="1010"/>
      <c r="P14" s="1011"/>
    </row>
    <row r="15" spans="1:21" ht="15.75" thickBot="1" x14ac:dyDescent="0.3"/>
    <row r="16" spans="1:21" x14ac:dyDescent="0.25">
      <c r="A16" s="285"/>
      <c r="B16" s="261"/>
      <c r="C16" s="261"/>
      <c r="D16" s="261"/>
      <c r="E16" s="261"/>
      <c r="F16" s="261"/>
      <c r="G16" s="261"/>
      <c r="H16" s="261"/>
      <c r="I16" s="261"/>
      <c r="J16" s="261"/>
      <c r="K16" s="261"/>
      <c r="L16" s="261"/>
      <c r="M16" s="261"/>
      <c r="N16" s="261"/>
      <c r="O16" s="261"/>
      <c r="P16" s="286"/>
    </row>
    <row r="17" spans="1:16" x14ac:dyDescent="0.25">
      <c r="A17" s="29" t="s">
        <v>68</v>
      </c>
      <c r="C17" s="45"/>
      <c r="D17" s="40"/>
      <c r="E17" s="40"/>
      <c r="F17" s="40"/>
      <c r="G17" s="40"/>
      <c r="H17" s="40"/>
      <c r="I17" s="40"/>
      <c r="J17" s="40"/>
      <c r="K17" s="40"/>
      <c r="L17" s="40"/>
      <c r="M17" s="40"/>
      <c r="P17" s="287"/>
    </row>
    <row r="18" spans="1:16" x14ac:dyDescent="0.25">
      <c r="A18" s="288"/>
      <c r="B18" s="45"/>
      <c r="C18" s="45"/>
      <c r="D18" s="40"/>
      <c r="E18" s="40"/>
      <c r="F18" s="40"/>
      <c r="G18" s="40"/>
      <c r="H18" s="40"/>
      <c r="I18" s="40"/>
      <c r="J18" s="40"/>
      <c r="K18" s="40"/>
      <c r="L18" s="40"/>
      <c r="M18" s="40"/>
      <c r="P18" s="287"/>
    </row>
    <row r="19" spans="1:16" x14ac:dyDescent="0.25">
      <c r="A19" s="288"/>
      <c r="B19" s="40"/>
      <c r="C19" s="40"/>
      <c r="D19" s="40"/>
      <c r="E19" s="40"/>
      <c r="F19" s="40"/>
      <c r="G19" s="40"/>
      <c r="H19" s="40"/>
      <c r="I19" s="40"/>
      <c r="J19" s="1003" t="s">
        <v>69</v>
      </c>
      <c r="K19" s="1003"/>
      <c r="L19" s="40"/>
      <c r="M19" s="40"/>
      <c r="P19" s="287"/>
    </row>
    <row r="20" spans="1:16" s="276" customFormat="1" ht="30" x14ac:dyDescent="0.25">
      <c r="A20" s="289"/>
      <c r="B20" s="1027" t="s">
        <v>70</v>
      </c>
      <c r="C20" s="1034" t="s">
        <v>71</v>
      </c>
      <c r="D20" s="1035"/>
      <c r="E20" s="658" t="s">
        <v>72</v>
      </c>
      <c r="F20" s="658" t="s">
        <v>72</v>
      </c>
      <c r="G20" s="1027" t="s">
        <v>73</v>
      </c>
      <c r="H20" s="31"/>
      <c r="I20" s="661" t="s">
        <v>74</v>
      </c>
      <c r="J20" s="1029" t="s">
        <v>75</v>
      </c>
      <c r="K20" s="1029" t="s">
        <v>76</v>
      </c>
      <c r="L20" s="662" t="s">
        <v>74</v>
      </c>
      <c r="M20" s="47"/>
      <c r="N20" s="46" t="s">
        <v>77</v>
      </c>
      <c r="P20" s="290"/>
    </row>
    <row r="21" spans="1:16" s="276" customFormat="1" x14ac:dyDescent="0.25">
      <c r="A21" s="289"/>
      <c r="B21" s="1028"/>
      <c r="C21" s="1036"/>
      <c r="D21" s="1037"/>
      <c r="E21" s="659" t="s">
        <v>78</v>
      </c>
      <c r="F21" s="659" t="s">
        <v>79</v>
      </c>
      <c r="G21" s="1028"/>
      <c r="H21" s="31"/>
      <c r="I21" s="663" t="str">
        <f>+F21</f>
        <v>31/12/N-1</v>
      </c>
      <c r="J21" s="1029"/>
      <c r="K21" s="1029"/>
      <c r="L21" s="664" t="str">
        <f>+E21</f>
        <v>31/12/N</v>
      </c>
      <c r="M21" s="47"/>
      <c r="N21" s="48" t="str">
        <f>+E21</f>
        <v>31/12/N</v>
      </c>
      <c r="P21" s="290"/>
    </row>
    <row r="22" spans="1:16" s="33" customFormat="1" ht="16.5" customHeight="1" x14ac:dyDescent="0.2">
      <c r="A22" s="291"/>
      <c r="B22" s="799"/>
      <c r="C22" s="1032" t="s">
        <v>80</v>
      </c>
      <c r="D22" s="1033"/>
      <c r="E22" s="265"/>
      <c r="F22" s="265"/>
      <c r="G22" s="265">
        <f>E22-F22</f>
        <v>0</v>
      </c>
      <c r="H22" s="266"/>
      <c r="I22" s="265"/>
      <c r="J22" s="265"/>
      <c r="K22" s="265"/>
      <c r="L22" s="265">
        <f>+I22+J22-K22</f>
        <v>0</v>
      </c>
      <c r="M22" s="267"/>
      <c r="N22" s="265">
        <f>+E22-L22</f>
        <v>0</v>
      </c>
      <c r="P22" s="292"/>
    </row>
    <row r="23" spans="1:16" s="33" customFormat="1" ht="16.5" customHeight="1" x14ac:dyDescent="0.2">
      <c r="A23" s="291"/>
      <c r="B23" s="282"/>
      <c r="C23" s="518" t="s">
        <v>81</v>
      </c>
      <c r="D23" s="519"/>
      <c r="E23" s="264"/>
      <c r="F23" s="264"/>
      <c r="G23" s="264">
        <f t="shared" ref="G23:G25" si="0">E23-F23</f>
        <v>0</v>
      </c>
      <c r="H23" s="266"/>
      <c r="I23" s="264"/>
      <c r="J23" s="264"/>
      <c r="K23" s="264"/>
      <c r="L23" s="264">
        <f t="shared" ref="L23:L25" si="1">+I23+J23-K23</f>
        <v>0</v>
      </c>
      <c r="M23" s="267"/>
      <c r="N23" s="264">
        <f t="shared" ref="N23:N25" si="2">+E23-L23</f>
        <v>0</v>
      </c>
      <c r="P23" s="292"/>
    </row>
    <row r="24" spans="1:16" s="33" customFormat="1" ht="16.5" customHeight="1" x14ac:dyDescent="0.2">
      <c r="A24" s="291"/>
      <c r="B24" s="282"/>
      <c r="C24" s="518" t="s">
        <v>82</v>
      </c>
      <c r="D24" s="519"/>
      <c r="E24" s="264"/>
      <c r="F24" s="264"/>
      <c r="G24" s="264">
        <f t="shared" si="0"/>
        <v>0</v>
      </c>
      <c r="H24" s="266"/>
      <c r="I24" s="264"/>
      <c r="J24" s="264"/>
      <c r="K24" s="264"/>
      <c r="L24" s="264">
        <f t="shared" si="1"/>
        <v>0</v>
      </c>
      <c r="M24" s="267"/>
      <c r="N24" s="264">
        <f t="shared" si="2"/>
        <v>0</v>
      </c>
      <c r="P24" s="292"/>
    </row>
    <row r="25" spans="1:16" s="33" customFormat="1" x14ac:dyDescent="0.2">
      <c r="A25" s="291"/>
      <c r="B25" s="800"/>
      <c r="C25" s="1030" t="s">
        <v>83</v>
      </c>
      <c r="D25" s="1031"/>
      <c r="E25" s="268"/>
      <c r="F25" s="268"/>
      <c r="G25" s="268">
        <f t="shared" si="0"/>
        <v>0</v>
      </c>
      <c r="H25" s="266"/>
      <c r="I25" s="268"/>
      <c r="J25" s="268"/>
      <c r="K25" s="268"/>
      <c r="L25" s="268">
        <f t="shared" si="1"/>
        <v>0</v>
      </c>
      <c r="M25" s="267"/>
      <c r="N25" s="268">
        <f t="shared" si="2"/>
        <v>0</v>
      </c>
      <c r="P25" s="292"/>
    </row>
    <row r="26" spans="1:16" s="33" customFormat="1" ht="15.75" thickBot="1" x14ac:dyDescent="0.25">
      <c r="A26" s="291"/>
      <c r="B26" s="798"/>
      <c r="C26" s="1038" t="s">
        <v>84</v>
      </c>
      <c r="D26" s="1039"/>
      <c r="E26" s="283">
        <f>SUM(E22:E25)</f>
        <v>0</v>
      </c>
      <c r="F26" s="283">
        <f>SUM(F22:F25)</f>
        <v>0</v>
      </c>
      <c r="G26" s="283">
        <f>SUM(G22:G25)</f>
        <v>0</v>
      </c>
      <c r="H26" s="270"/>
      <c r="I26" s="283">
        <f>SUM(I22:I25)</f>
        <v>0</v>
      </c>
      <c r="J26" s="271">
        <f>SUM(J22:J25)</f>
        <v>0</v>
      </c>
      <c r="K26" s="271">
        <f>SUM(K22:K25)</f>
        <v>0</v>
      </c>
      <c r="L26" s="283">
        <f>SUM(L22:L25)</f>
        <v>0</v>
      </c>
      <c r="M26" s="272"/>
      <c r="N26" s="269">
        <f>SUM(N22:N25)</f>
        <v>0</v>
      </c>
      <c r="P26" s="292"/>
    </row>
    <row r="27" spans="1:16" ht="15.75" thickTop="1" x14ac:dyDescent="0.25">
      <c r="A27" s="288"/>
      <c r="B27" s="30"/>
      <c r="C27" s="30"/>
      <c r="D27" s="30"/>
      <c r="E27" s="56" t="s">
        <v>85</v>
      </c>
      <c r="F27" s="56" t="s">
        <v>86</v>
      </c>
      <c r="G27" s="57" t="s">
        <v>87</v>
      </c>
      <c r="H27" s="30"/>
      <c r="I27" s="56" t="s">
        <v>86</v>
      </c>
      <c r="J27" s="58" t="s">
        <v>88</v>
      </c>
      <c r="K27" s="58" t="s">
        <v>89</v>
      </c>
      <c r="L27" s="56" t="s">
        <v>85</v>
      </c>
      <c r="M27" s="30"/>
      <c r="N27" s="59">
        <f>E26-L26-N26</f>
        <v>0</v>
      </c>
      <c r="P27" s="287"/>
    </row>
    <row r="28" spans="1:16" x14ac:dyDescent="0.25">
      <c r="A28" s="288"/>
      <c r="B28" s="30"/>
      <c r="C28" s="30"/>
      <c r="D28" s="30"/>
      <c r="E28" s="30"/>
      <c r="F28" s="30"/>
      <c r="G28" s="31"/>
      <c r="H28" s="30"/>
      <c r="I28" s="30"/>
      <c r="J28" s="60" t="s">
        <v>90</v>
      </c>
      <c r="K28" s="60" t="s">
        <v>90</v>
      </c>
      <c r="L28" s="30"/>
      <c r="M28" s="30"/>
      <c r="N28" s="61"/>
      <c r="P28" s="287"/>
    </row>
    <row r="29" spans="1:16" x14ac:dyDescent="0.25">
      <c r="A29" s="288"/>
      <c r="B29" s="30"/>
      <c r="C29" s="30"/>
      <c r="D29" s="30"/>
      <c r="E29" s="30"/>
      <c r="F29" s="30"/>
      <c r="G29" s="31"/>
      <c r="H29" s="30"/>
      <c r="I29" s="30"/>
      <c r="J29" s="62"/>
      <c r="K29" s="62"/>
      <c r="L29" s="30"/>
      <c r="M29" s="30"/>
      <c r="N29" s="61"/>
      <c r="P29" s="287"/>
    </row>
    <row r="30" spans="1:16" x14ac:dyDescent="0.25">
      <c r="A30" s="288"/>
      <c r="B30" s="30"/>
      <c r="C30" s="30"/>
      <c r="D30" s="30"/>
      <c r="E30" s="30"/>
      <c r="F30" s="30"/>
      <c r="G30" s="31"/>
      <c r="H30" s="30"/>
      <c r="I30" s="30"/>
      <c r="J30" s="62"/>
      <c r="K30" s="62"/>
      <c r="L30" s="30"/>
      <c r="M30" s="30"/>
      <c r="N30" s="61"/>
      <c r="P30" s="287"/>
    </row>
    <row r="31" spans="1:16" x14ac:dyDescent="0.25">
      <c r="A31" s="288"/>
      <c r="B31" s="30"/>
      <c r="C31" s="30"/>
      <c r="D31" s="30"/>
      <c r="E31" s="30"/>
      <c r="F31" s="30"/>
      <c r="G31" s="31"/>
      <c r="H31" s="30"/>
      <c r="I31" s="30"/>
      <c r="J31" s="62"/>
      <c r="K31" s="62"/>
      <c r="L31" s="30"/>
      <c r="M31" s="30"/>
      <c r="N31" s="61"/>
      <c r="P31" s="287"/>
    </row>
    <row r="32" spans="1:16" x14ac:dyDescent="0.25">
      <c r="A32" s="39" t="s">
        <v>91</v>
      </c>
      <c r="C32" s="30"/>
      <c r="D32" s="30"/>
      <c r="E32" s="30"/>
      <c r="F32" s="30"/>
      <c r="G32" s="30"/>
      <c r="H32" s="30"/>
      <c r="I32" s="1024" t="s">
        <v>92</v>
      </c>
      <c r="J32" s="1024"/>
      <c r="K32" s="1024"/>
      <c r="L32" s="1024"/>
      <c r="M32" s="30"/>
      <c r="N32" s="61"/>
      <c r="P32" s="287"/>
    </row>
    <row r="33" spans="1:16" x14ac:dyDescent="0.25">
      <c r="A33" s="288"/>
      <c r="B33" s="30"/>
      <c r="C33" s="61"/>
      <c r="D33" s="61"/>
      <c r="E33" s="63"/>
      <c r="F33" s="30"/>
      <c r="G33" s="30"/>
      <c r="H33" s="30"/>
      <c r="I33" s="1025"/>
      <c r="J33" s="1025"/>
      <c r="K33" s="1025"/>
      <c r="L33" s="63"/>
      <c r="M33" s="30"/>
      <c r="N33" s="30"/>
      <c r="P33" s="287"/>
    </row>
    <row r="34" spans="1:16" x14ac:dyDescent="0.25">
      <c r="A34" s="288"/>
      <c r="B34" s="284"/>
      <c r="C34" s="68"/>
      <c r="D34" s="68"/>
      <c r="E34" s="658" t="s">
        <v>93</v>
      </c>
      <c r="F34" s="61"/>
      <c r="G34" s="64"/>
      <c r="H34" s="30"/>
      <c r="I34" s="1025"/>
      <c r="J34" s="1025"/>
      <c r="K34" s="1025"/>
      <c r="L34" s="658" t="s">
        <v>93</v>
      </c>
      <c r="M34" s="61"/>
      <c r="N34" s="30"/>
      <c r="P34" s="287"/>
    </row>
    <row r="35" spans="1:16" x14ac:dyDescent="0.25">
      <c r="A35" s="288"/>
      <c r="B35" s="277"/>
      <c r="C35" s="61"/>
      <c r="D35" s="61"/>
      <c r="E35" s="659" t="str">
        <f>+E21</f>
        <v>31/12/N</v>
      </c>
      <c r="F35" s="61"/>
      <c r="G35" s="30"/>
      <c r="H35" s="61"/>
      <c r="I35" s="65"/>
      <c r="J35" s="61"/>
      <c r="K35" s="61"/>
      <c r="L35" s="659" t="str">
        <f>+E21</f>
        <v>31/12/N</v>
      </c>
      <c r="M35" s="61"/>
      <c r="N35" s="30"/>
      <c r="P35" s="287"/>
    </row>
    <row r="36" spans="1:16" x14ac:dyDescent="0.25">
      <c r="A36" s="288"/>
      <c r="B36" s="278">
        <v>603100</v>
      </c>
      <c r="C36" s="66" t="s">
        <v>94</v>
      </c>
      <c r="D36" s="66"/>
      <c r="E36" s="49"/>
      <c r="F36" s="30"/>
      <c r="G36" s="30"/>
      <c r="H36" s="32"/>
      <c r="I36" s="67" t="s">
        <v>95</v>
      </c>
      <c r="J36" s="68" t="s">
        <v>96</v>
      </c>
      <c r="K36" s="69"/>
      <c r="L36" s="50"/>
      <c r="M36" s="61"/>
      <c r="N36" s="30"/>
      <c r="P36" s="287"/>
    </row>
    <row r="37" spans="1:16" x14ac:dyDescent="0.25">
      <c r="A37" s="288"/>
      <c r="B37" s="279">
        <v>603110</v>
      </c>
      <c r="C37" s="70" t="s">
        <v>97</v>
      </c>
      <c r="D37" s="70"/>
      <c r="E37" s="51"/>
      <c r="F37" s="30"/>
      <c r="G37" s="30"/>
      <c r="H37" s="32"/>
      <c r="I37" s="71"/>
      <c r="J37" s="70"/>
      <c r="K37" s="72"/>
      <c r="L37" s="52"/>
      <c r="M37" s="61"/>
      <c r="N37" s="30"/>
      <c r="P37" s="287"/>
    </row>
    <row r="38" spans="1:16" ht="15.75" thickBot="1" x14ac:dyDescent="0.3">
      <c r="A38" s="288"/>
      <c r="B38" s="280"/>
      <c r="C38" s="41" t="s">
        <v>98</v>
      </c>
      <c r="D38" s="273"/>
      <c r="E38" s="73">
        <f>SUM(E36:E37)</f>
        <v>0</v>
      </c>
      <c r="F38" s="30"/>
      <c r="G38" s="30"/>
      <c r="H38" s="41"/>
      <c r="I38" s="74"/>
      <c r="J38" s="53" t="s">
        <v>84</v>
      </c>
      <c r="K38" s="75"/>
      <c r="L38" s="55">
        <f>SUM(L36:L37)</f>
        <v>0</v>
      </c>
      <c r="M38" s="61"/>
      <c r="N38" s="30"/>
      <c r="P38" s="287"/>
    </row>
    <row r="39" spans="1:16" ht="16.5" thickTop="1" thickBot="1" x14ac:dyDescent="0.3">
      <c r="A39" s="288"/>
      <c r="B39" s="280"/>
      <c r="C39" s="30"/>
      <c r="D39" s="76"/>
      <c r="E39" s="77"/>
      <c r="F39" s="30"/>
      <c r="G39" s="30"/>
      <c r="H39" s="30"/>
      <c r="I39" s="78" t="s">
        <v>99</v>
      </c>
      <c r="J39" s="79"/>
      <c r="K39" s="80"/>
      <c r="L39" s="81">
        <f>+L38-J26</f>
        <v>0</v>
      </c>
      <c r="M39" s="61"/>
      <c r="N39" s="30"/>
      <c r="P39" s="287"/>
    </row>
    <row r="40" spans="1:16" ht="15.75" thickTop="1" x14ac:dyDescent="0.25">
      <c r="A40" s="288"/>
      <c r="B40" s="280">
        <v>713310</v>
      </c>
      <c r="C40" s="30" t="s">
        <v>100</v>
      </c>
      <c r="D40" s="76"/>
      <c r="E40" s="77"/>
      <c r="F40" s="30"/>
      <c r="G40" s="30"/>
      <c r="H40" s="30"/>
      <c r="I40" s="82"/>
      <c r="J40" s="61"/>
      <c r="K40" s="61"/>
      <c r="L40" s="83" t="s">
        <v>88</v>
      </c>
      <c r="M40" s="61"/>
      <c r="N40" s="30"/>
      <c r="P40" s="287"/>
    </row>
    <row r="41" spans="1:16" x14ac:dyDescent="0.25">
      <c r="A41" s="288"/>
      <c r="B41" s="280">
        <v>713550</v>
      </c>
      <c r="C41" s="30" t="s">
        <v>101</v>
      </c>
      <c r="D41" s="76"/>
      <c r="E41" s="77"/>
      <c r="F41" s="30"/>
      <c r="G41" s="84"/>
      <c r="H41" s="84"/>
      <c r="I41" s="84"/>
      <c r="J41" s="84"/>
      <c r="K41" s="84"/>
      <c r="L41" s="60" t="s">
        <v>85</v>
      </c>
      <c r="M41" s="84"/>
      <c r="N41" s="84"/>
      <c r="P41" s="287"/>
    </row>
    <row r="42" spans="1:16" x14ac:dyDescent="0.25">
      <c r="A42" s="288"/>
      <c r="B42" s="279">
        <v>713551</v>
      </c>
      <c r="C42" s="70" t="s">
        <v>102</v>
      </c>
      <c r="D42" s="85"/>
      <c r="E42" s="51"/>
      <c r="F42" s="30"/>
      <c r="G42" s="84"/>
      <c r="H42" s="84"/>
      <c r="I42" s="1026"/>
      <c r="J42" s="1026"/>
      <c r="K42" s="1026"/>
      <c r="L42" s="86"/>
      <c r="M42" s="84"/>
      <c r="N42" s="84"/>
      <c r="P42" s="287"/>
    </row>
    <row r="43" spans="1:16" x14ac:dyDescent="0.25">
      <c r="A43" s="288"/>
      <c r="B43" s="71"/>
      <c r="C43" s="274" t="s">
        <v>103</v>
      </c>
      <c r="D43" s="275"/>
      <c r="E43" s="73">
        <f>SUM(E40:E42)</f>
        <v>0</v>
      </c>
      <c r="F43" s="40"/>
      <c r="G43" s="40"/>
      <c r="H43" s="40"/>
      <c r="I43" s="1026"/>
      <c r="J43" s="1026"/>
      <c r="K43" s="1026"/>
      <c r="L43" s="87" t="s">
        <v>93</v>
      </c>
      <c r="M43" s="40"/>
      <c r="N43" s="40"/>
      <c r="P43" s="287"/>
    </row>
    <row r="44" spans="1:16" ht="15.75" thickBot="1" x14ac:dyDescent="0.3">
      <c r="A44" s="288"/>
      <c r="B44" s="281"/>
      <c r="C44" s="88" t="s">
        <v>84</v>
      </c>
      <c r="D44" s="263"/>
      <c r="E44" s="54">
        <f>-E38+E43</f>
        <v>0</v>
      </c>
      <c r="F44" s="40"/>
      <c r="G44" s="40"/>
      <c r="H44" s="40"/>
      <c r="I44" s="65"/>
      <c r="J44" s="61"/>
      <c r="K44" s="61"/>
      <c r="L44" s="659" t="str">
        <f>+E21</f>
        <v>31/12/N</v>
      </c>
      <c r="M44" s="40"/>
      <c r="N44" s="40"/>
      <c r="P44" s="287"/>
    </row>
    <row r="45" spans="1:16" ht="16.5" thickTop="1" thickBot="1" x14ac:dyDescent="0.3">
      <c r="A45" s="288"/>
      <c r="B45" s="78" t="s">
        <v>104</v>
      </c>
      <c r="C45" s="79"/>
      <c r="D45" s="79"/>
      <c r="E45" s="81">
        <f>E44-G26</f>
        <v>0</v>
      </c>
      <c r="F45" s="42" t="s">
        <v>105</v>
      </c>
      <c r="G45" s="40"/>
      <c r="H45" s="40"/>
      <c r="I45" s="67" t="s">
        <v>106</v>
      </c>
      <c r="J45" s="68" t="s">
        <v>107</v>
      </c>
      <c r="K45" s="69"/>
      <c r="L45" s="50"/>
      <c r="M45" s="40"/>
      <c r="N45" s="40"/>
      <c r="P45" s="287"/>
    </row>
    <row r="46" spans="1:16" ht="15.75" thickTop="1" x14ac:dyDescent="0.25">
      <c r="A46" s="288"/>
      <c r="B46" s="82"/>
      <c r="C46" s="61"/>
      <c r="D46" s="61"/>
      <c r="E46" s="31" t="s">
        <v>87</v>
      </c>
      <c r="F46" s="40"/>
      <c r="G46" s="40"/>
      <c r="H46" s="40"/>
      <c r="I46" s="71"/>
      <c r="J46" s="70"/>
      <c r="K46" s="72"/>
      <c r="L46" s="73"/>
      <c r="M46" s="40"/>
      <c r="N46" s="40"/>
      <c r="P46" s="287"/>
    </row>
    <row r="47" spans="1:16" ht="15.75" thickBot="1" x14ac:dyDescent="0.3">
      <c r="A47" s="288"/>
      <c r="B47" s="82"/>
      <c r="C47" s="61"/>
      <c r="D47" s="61"/>
      <c r="E47" s="60" t="s">
        <v>85</v>
      </c>
      <c r="F47" s="40"/>
      <c r="G47" s="40"/>
      <c r="H47" s="40"/>
      <c r="I47" s="74"/>
      <c r="J47" s="53" t="s">
        <v>84</v>
      </c>
      <c r="K47" s="89"/>
      <c r="L47" s="54">
        <f>SUM(L45:L46)</f>
        <v>0</v>
      </c>
      <c r="M47" s="40"/>
      <c r="N47" s="40"/>
      <c r="P47" s="287"/>
    </row>
    <row r="48" spans="1:16" ht="16.5" thickTop="1" thickBot="1" x14ac:dyDescent="0.3">
      <c r="A48" s="288"/>
      <c r="B48" s="82"/>
      <c r="C48" s="61"/>
      <c r="D48" s="90"/>
      <c r="E48" s="40"/>
      <c r="F48" s="40"/>
      <c r="G48" s="40"/>
      <c r="I48" s="78" t="s">
        <v>108</v>
      </c>
      <c r="J48" s="79"/>
      <c r="K48" s="80"/>
      <c r="L48" s="81">
        <f>-L47+K26</f>
        <v>0</v>
      </c>
      <c r="M48" s="40"/>
      <c r="P48" s="287"/>
    </row>
    <row r="49" spans="1:16" ht="15.75" thickTop="1" x14ac:dyDescent="0.25">
      <c r="A49" s="288"/>
      <c r="K49" s="60" t="s">
        <v>85</v>
      </c>
      <c r="P49" s="287"/>
    </row>
    <row r="50" spans="1:16" ht="15.75" thickBot="1" x14ac:dyDescent="0.3">
      <c r="A50" s="293"/>
      <c r="B50" s="262"/>
      <c r="C50" s="262"/>
      <c r="D50" s="262"/>
      <c r="E50" s="262"/>
      <c r="F50" s="262"/>
      <c r="G50" s="262"/>
      <c r="H50" s="262"/>
      <c r="I50" s="262"/>
      <c r="J50" s="262"/>
      <c r="K50" s="262"/>
      <c r="L50" s="262"/>
      <c r="M50" s="262"/>
      <c r="N50" s="262"/>
      <c r="O50" s="262"/>
      <c r="P50" s="294"/>
    </row>
  </sheetData>
  <sheetProtection formatCells="0" formatColumns="0" formatRows="0" insertColumns="0" insertRows="0" insertHyperlinks="0" deleteColumns="0" deleteRows="0" sort="0" autoFilter="0" pivotTables="0"/>
  <mergeCells count="29">
    <mergeCell ref="I32:L32"/>
    <mergeCell ref="I33:K34"/>
    <mergeCell ref="I42:K43"/>
    <mergeCell ref="B20:B21"/>
    <mergeCell ref="G20:G21"/>
    <mergeCell ref="J20:J21"/>
    <mergeCell ref="K20:K21"/>
    <mergeCell ref="C25:D25"/>
    <mergeCell ref="C22:D22"/>
    <mergeCell ref="C20:D21"/>
    <mergeCell ref="C26:D26"/>
    <mergeCell ref="D1:M2"/>
    <mergeCell ref="A3:P5"/>
    <mergeCell ref="E6:L7"/>
    <mergeCell ref="M6:N6"/>
    <mergeCell ref="O6:P6"/>
    <mergeCell ref="M7:N7"/>
    <mergeCell ref="O7:P7"/>
    <mergeCell ref="O8:P8"/>
    <mergeCell ref="J19:K19"/>
    <mergeCell ref="J9:K9"/>
    <mergeCell ref="L9:N9"/>
    <mergeCell ref="A11:P11"/>
    <mergeCell ref="A13:P13"/>
    <mergeCell ref="A14:P14"/>
    <mergeCell ref="O9:P9"/>
    <mergeCell ref="A9:C9"/>
    <mergeCell ref="D9:E9"/>
    <mergeCell ref="F9:I9"/>
  </mergeCells>
  <dataValidations count="2">
    <dataValidation type="list" allowBlank="1" showInputMessage="1" showErrorMessage="1" sqref="O9:P9" xr:uid="{00000000-0002-0000-0200-000000000000}">
      <formula1>Diligences</formula1>
    </dataValidation>
    <dataValidation type="list" showInputMessage="1" showErrorMessage="1" sqref="D9:E9" xr:uid="{00000000-0002-0000-0200-000001000000}">
      <formula1>RAS</formula1>
    </dataValidation>
  </dataValidations>
  <hyperlinks>
    <hyperlink ref="O8:P8" location="'S Synthèse'!A1" display="S Synthèse" xr:uid="{00000000-0004-0000-0200-000000000000}"/>
  </hyperlinks>
  <printOptions horizontalCentered="1"/>
  <pageMargins left="0.27559055118110237" right="0.27559055118110237" top="0.39370078740157483" bottom="0.39370078740157483" header="0.51181102362204722" footer="0.51181102362204722"/>
  <pageSetup paperSize="9" scale="5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3"/>
  <dimension ref="A1:U32"/>
  <sheetViews>
    <sheetView showGridLines="0" zoomScale="90" zoomScaleNormal="90" workbookViewId="0"/>
  </sheetViews>
  <sheetFormatPr baseColWidth="10" defaultColWidth="11.42578125" defaultRowHeight="15" x14ac:dyDescent="0.25"/>
  <cols>
    <col min="1" max="1" width="29.140625" style="25" customWidth="1"/>
    <col min="2" max="3" width="15.85546875" style="25" customWidth="1"/>
    <col min="4" max="4" width="14.7109375" style="25" customWidth="1"/>
    <col min="5" max="7" width="10.7109375" style="25" customWidth="1"/>
    <col min="8" max="13" width="14.7109375" style="25" customWidth="1"/>
    <col min="14" max="16" width="10.7109375" style="25" customWidth="1"/>
    <col min="17" max="16384" width="11.42578125" style="25"/>
  </cols>
  <sheetData>
    <row r="1" spans="1:21" s="33" customFormat="1" ht="15" customHeight="1" x14ac:dyDescent="0.2">
      <c r="A1" s="10"/>
      <c r="B1" s="11"/>
      <c r="C1" s="11"/>
      <c r="D1" s="1014" t="str">
        <f>'S Synthèse'!D1:M2</f>
        <v>#NomClient</v>
      </c>
      <c r="E1" s="1015"/>
      <c r="F1" s="1015"/>
      <c r="G1" s="1015"/>
      <c r="H1" s="1015"/>
      <c r="I1" s="1015"/>
      <c r="J1" s="1015"/>
      <c r="K1" s="1015"/>
      <c r="L1" s="1015"/>
      <c r="M1" s="1016"/>
      <c r="N1" s="11"/>
      <c r="O1" s="11"/>
      <c r="P1" s="12"/>
    </row>
    <row r="2" spans="1:21" s="33" customFormat="1" ht="15" customHeight="1" thickBot="1" x14ac:dyDescent="0.25">
      <c r="A2" s="13"/>
      <c r="B2" s="14"/>
      <c r="C2" s="14"/>
      <c r="D2" s="1017"/>
      <c r="E2" s="1018"/>
      <c r="F2" s="1018"/>
      <c r="G2" s="1018"/>
      <c r="H2" s="1018"/>
      <c r="I2" s="1018"/>
      <c r="J2" s="1018"/>
      <c r="K2" s="1018"/>
      <c r="L2" s="1018"/>
      <c r="M2" s="1019"/>
      <c r="N2" s="14"/>
      <c r="O2" s="14"/>
      <c r="P2" s="15"/>
    </row>
    <row r="3" spans="1:21" ht="15" customHeight="1" x14ac:dyDescent="0.25">
      <c r="A3" s="945" t="s">
        <v>3</v>
      </c>
      <c r="B3" s="946"/>
      <c r="C3" s="946"/>
      <c r="D3" s="946"/>
      <c r="E3" s="946"/>
      <c r="F3" s="946"/>
      <c r="G3" s="946"/>
      <c r="H3" s="946"/>
      <c r="I3" s="946"/>
      <c r="J3" s="946"/>
      <c r="K3" s="946"/>
      <c r="L3" s="946"/>
      <c r="M3" s="946"/>
      <c r="N3" s="946"/>
      <c r="O3" s="946"/>
      <c r="P3" s="947"/>
      <c r="R3" s="3"/>
      <c r="T3" s="5"/>
      <c r="U3" s="5"/>
    </row>
    <row r="4" spans="1:21" ht="15" customHeight="1" x14ac:dyDescent="0.25">
      <c r="A4" s="945"/>
      <c r="B4" s="946"/>
      <c r="C4" s="946"/>
      <c r="D4" s="946"/>
      <c r="E4" s="946"/>
      <c r="F4" s="946"/>
      <c r="G4" s="946"/>
      <c r="H4" s="946"/>
      <c r="I4" s="946"/>
      <c r="J4" s="946"/>
      <c r="K4" s="946"/>
      <c r="L4" s="946"/>
      <c r="M4" s="946"/>
      <c r="N4" s="946"/>
      <c r="O4" s="946"/>
      <c r="P4" s="947"/>
      <c r="R4" s="3"/>
      <c r="T4" s="5"/>
      <c r="U4" s="5"/>
    </row>
    <row r="5" spans="1:21" ht="15" customHeight="1" thickBot="1" x14ac:dyDescent="0.3">
      <c r="A5" s="948"/>
      <c r="B5" s="949"/>
      <c r="C5" s="949"/>
      <c r="D5" s="949"/>
      <c r="E5" s="949"/>
      <c r="F5" s="949"/>
      <c r="G5" s="949"/>
      <c r="H5" s="949"/>
      <c r="I5" s="949"/>
      <c r="J5" s="949"/>
      <c r="K5" s="949"/>
      <c r="L5" s="949"/>
      <c r="M5" s="949"/>
      <c r="N5" s="949"/>
      <c r="O5" s="949"/>
      <c r="P5" s="950"/>
      <c r="Q5" s="3"/>
      <c r="R5" s="34"/>
      <c r="S5" s="35"/>
      <c r="T5" s="35"/>
      <c r="U5" s="35"/>
    </row>
    <row r="6" spans="1:21" ht="15" customHeight="1" x14ac:dyDescent="0.25">
      <c r="A6" s="17" t="s">
        <v>6</v>
      </c>
      <c r="B6" s="476" t="str">
        <f>'S Synthèse'!B6</f>
        <v>BRA</v>
      </c>
      <c r="C6" s="17" t="s">
        <v>7</v>
      </c>
      <c r="D6" s="476">
        <f>'S Synthèse'!D6</f>
        <v>0</v>
      </c>
      <c r="E6" s="957" t="s">
        <v>29</v>
      </c>
      <c r="F6" s="958"/>
      <c r="G6" s="958"/>
      <c r="H6" s="958"/>
      <c r="I6" s="958"/>
      <c r="J6" s="958"/>
      <c r="K6" s="958"/>
      <c r="L6" s="959"/>
      <c r="M6" s="1020" t="s">
        <v>9</v>
      </c>
      <c r="N6" s="1021"/>
      <c r="O6" s="963" t="s">
        <v>10</v>
      </c>
      <c r="P6" s="964"/>
      <c r="R6" s="33"/>
      <c r="S6" s="33"/>
    </row>
    <row r="7" spans="1:21" ht="15" customHeight="1" thickBot="1" x14ac:dyDescent="0.3">
      <c r="A7" s="18" t="s">
        <v>12</v>
      </c>
      <c r="B7" s="477">
        <f>'S Synthèse'!B7</f>
        <v>0</v>
      </c>
      <c r="C7" s="18" t="s">
        <v>12</v>
      </c>
      <c r="D7" s="477">
        <f>'S Synthèse'!D7</f>
        <v>0</v>
      </c>
      <c r="E7" s="960"/>
      <c r="F7" s="961"/>
      <c r="G7" s="961"/>
      <c r="H7" s="961"/>
      <c r="I7" s="961"/>
      <c r="J7" s="961"/>
      <c r="K7" s="961"/>
      <c r="L7" s="962"/>
      <c r="M7" s="1022" t="str">
        <f>'S Synthèse'!M7:M7</f>
        <v>#DateClôture</v>
      </c>
      <c r="N7" s="1023"/>
      <c r="O7" s="965" t="s">
        <v>28</v>
      </c>
      <c r="P7" s="966"/>
    </row>
    <row r="8" spans="1:21" ht="21" customHeight="1" thickBot="1" x14ac:dyDescent="0.3">
      <c r="A8" s="19"/>
      <c r="B8" s="36"/>
      <c r="C8" s="20"/>
      <c r="D8" s="20"/>
      <c r="E8" s="37"/>
      <c r="F8" s="37"/>
      <c r="G8" s="37"/>
      <c r="H8" s="37"/>
      <c r="I8" s="37"/>
      <c r="J8" s="37"/>
      <c r="K8" s="37"/>
      <c r="L8" s="37"/>
      <c r="M8" s="22"/>
      <c r="N8" s="20"/>
      <c r="O8" s="1002" t="s">
        <v>63</v>
      </c>
      <c r="P8" s="1002"/>
    </row>
    <row r="9" spans="1:21" s="20" customFormat="1" ht="31.5" customHeight="1" thickBot="1" x14ac:dyDescent="0.25">
      <c r="A9" s="951" t="s">
        <v>17</v>
      </c>
      <c r="B9" s="952"/>
      <c r="C9" s="952"/>
      <c r="D9" s="1012" t="str">
        <f>'S Synthèse'!D9:E9</f>
        <v>Modéré</v>
      </c>
      <c r="E9" s="1013"/>
      <c r="F9" s="953" t="s">
        <v>18</v>
      </c>
      <c r="G9" s="954"/>
      <c r="H9" s="954"/>
      <c r="I9" s="954"/>
      <c r="J9" s="1004">
        <f>'S Synthèse'!J9:K9</f>
        <v>0</v>
      </c>
      <c r="K9" s="1005"/>
      <c r="L9" s="953" t="s">
        <v>19</v>
      </c>
      <c r="M9" s="954"/>
      <c r="N9" s="954"/>
      <c r="O9" s="1012" t="str">
        <f>'S Synthèse'!N9</f>
        <v>PE</v>
      </c>
      <c r="P9" s="1013"/>
    </row>
    <row r="10" spans="1:21" s="20" customFormat="1" ht="21" customHeight="1" thickBot="1" x14ac:dyDescent="0.25">
      <c r="A10" s="24"/>
      <c r="B10" s="24"/>
      <c r="C10" s="24"/>
      <c r="D10" s="24"/>
      <c r="E10" s="24"/>
      <c r="F10" s="24"/>
      <c r="G10" s="24"/>
      <c r="H10" s="24"/>
      <c r="I10" s="24"/>
      <c r="J10" s="24"/>
      <c r="K10" s="24"/>
      <c r="L10" s="24"/>
      <c r="M10" s="24"/>
      <c r="N10" s="24"/>
      <c r="O10" s="24"/>
      <c r="P10" s="24"/>
    </row>
    <row r="11" spans="1:21" ht="95.45" customHeight="1" thickBot="1" x14ac:dyDescent="0.3">
      <c r="A11" s="1006" t="s">
        <v>109</v>
      </c>
      <c r="B11" s="1007"/>
      <c r="C11" s="1007"/>
      <c r="D11" s="1007"/>
      <c r="E11" s="1007"/>
      <c r="F11" s="1007"/>
      <c r="G11" s="1007"/>
      <c r="H11" s="1007"/>
      <c r="I11" s="1007"/>
      <c r="J11" s="1007"/>
      <c r="K11" s="1007"/>
      <c r="L11" s="1007"/>
      <c r="M11" s="1007"/>
      <c r="N11" s="1007"/>
      <c r="O11" s="1007"/>
      <c r="P11" s="1008"/>
    </row>
    <row r="12" spans="1:21" ht="9" customHeight="1" thickBot="1" x14ac:dyDescent="0.3"/>
    <row r="13" spans="1:21" x14ac:dyDescent="0.25">
      <c r="A13" s="974" t="s">
        <v>67</v>
      </c>
      <c r="B13" s="975"/>
      <c r="C13" s="975"/>
      <c r="D13" s="975"/>
      <c r="E13" s="975"/>
      <c r="F13" s="975"/>
      <c r="G13" s="975"/>
      <c r="H13" s="975"/>
      <c r="I13" s="975"/>
      <c r="J13" s="975"/>
      <c r="K13" s="975"/>
      <c r="L13" s="975"/>
      <c r="M13" s="975"/>
      <c r="N13" s="975"/>
      <c r="O13" s="975"/>
      <c r="P13" s="976"/>
    </row>
    <row r="14" spans="1:21" ht="60" customHeight="1" thickBot="1" x14ac:dyDescent="0.3">
      <c r="A14" s="1009"/>
      <c r="B14" s="1010"/>
      <c r="C14" s="1010"/>
      <c r="D14" s="1010"/>
      <c r="E14" s="1010"/>
      <c r="F14" s="1010"/>
      <c r="G14" s="1010"/>
      <c r="H14" s="1010"/>
      <c r="I14" s="1010"/>
      <c r="J14" s="1010"/>
      <c r="K14" s="1010"/>
      <c r="L14" s="1010"/>
      <c r="M14" s="1010"/>
      <c r="N14" s="1010"/>
      <c r="O14" s="1010"/>
      <c r="P14" s="1011"/>
    </row>
    <row r="15" spans="1:21" ht="15.75" thickBot="1" x14ac:dyDescent="0.3"/>
    <row r="16" spans="1:21" x14ac:dyDescent="0.25">
      <c r="A16" s="285"/>
      <c r="B16" s="261"/>
      <c r="C16" s="261"/>
      <c r="D16" s="261"/>
      <c r="E16" s="261"/>
      <c r="F16" s="261"/>
      <c r="G16" s="261"/>
      <c r="H16" s="261"/>
      <c r="I16" s="261"/>
      <c r="J16" s="261"/>
      <c r="K16" s="261"/>
      <c r="L16" s="261"/>
      <c r="M16" s="261"/>
      <c r="N16" s="261"/>
      <c r="O16" s="261"/>
      <c r="P16" s="286"/>
    </row>
    <row r="17" spans="1:16" x14ac:dyDescent="0.25">
      <c r="A17" s="302"/>
      <c r="B17" s="833"/>
      <c r="C17" s="833"/>
      <c r="D17" s="833"/>
      <c r="E17" s="833"/>
      <c r="F17" s="833"/>
      <c r="G17" s="298"/>
      <c r="H17" s="299"/>
      <c r="I17" s="298"/>
      <c r="J17" s="300"/>
      <c r="K17" s="300"/>
      <c r="L17" s="301"/>
      <c r="P17" s="287"/>
    </row>
    <row r="18" spans="1:16" ht="14.45" customHeight="1" x14ac:dyDescent="0.25">
      <c r="A18" s="1043" t="s">
        <v>111</v>
      </c>
      <c r="B18" s="1045" t="s">
        <v>110</v>
      </c>
      <c r="C18" s="1046"/>
      <c r="D18" s="1055" t="s">
        <v>191</v>
      </c>
      <c r="E18" s="833"/>
      <c r="F18" s="1047"/>
      <c r="G18" s="832"/>
      <c r="H18" s="1053" t="s">
        <v>112</v>
      </c>
      <c r="I18" s="1048" t="s">
        <v>113</v>
      </c>
      <c r="J18" s="1050" t="s">
        <v>114</v>
      </c>
      <c r="K18" s="1050" t="s">
        <v>115</v>
      </c>
      <c r="L18" s="91" t="s">
        <v>116</v>
      </c>
      <c r="M18" s="91" t="s">
        <v>116</v>
      </c>
      <c r="P18" s="287"/>
    </row>
    <row r="19" spans="1:16" x14ac:dyDescent="0.25">
      <c r="A19" s="1044"/>
      <c r="B19" s="92" t="s">
        <v>117</v>
      </c>
      <c r="C19" s="92" t="s">
        <v>374</v>
      </c>
      <c r="D19" s="1056"/>
      <c r="E19" s="834"/>
      <c r="F19" s="1047"/>
      <c r="G19" s="832"/>
      <c r="H19" s="1054"/>
      <c r="I19" s="1049"/>
      <c r="J19" s="1051"/>
      <c r="K19" s="1052"/>
      <c r="L19" s="93" t="s">
        <v>118</v>
      </c>
      <c r="M19" s="93" t="s">
        <v>119</v>
      </c>
      <c r="P19" s="287"/>
    </row>
    <row r="20" spans="1:16" x14ac:dyDescent="0.25">
      <c r="A20" s="846" t="s">
        <v>120</v>
      </c>
      <c r="B20" s="94"/>
      <c r="C20" s="830"/>
      <c r="D20" s="841"/>
      <c r="E20" s="836"/>
      <c r="F20" s="835"/>
      <c r="G20" s="103"/>
      <c r="H20" s="809"/>
      <c r="I20" s="810" t="e">
        <f>H20/$H$28</f>
        <v>#DIV/0!</v>
      </c>
      <c r="J20" s="811">
        <f t="shared" ref="J20:J25" si="0">+F20-H20</f>
        <v>0</v>
      </c>
      <c r="K20" s="812"/>
      <c r="L20" s="813">
        <f t="shared" ref="L20:L25" si="1">H20-K20</f>
        <v>0</v>
      </c>
      <c r="M20" s="814" t="e">
        <f>+L20/K20</f>
        <v>#DIV/0!</v>
      </c>
      <c r="P20" s="287"/>
    </row>
    <row r="21" spans="1:16" x14ac:dyDescent="0.25">
      <c r="A21" s="847" t="s">
        <v>121</v>
      </c>
      <c r="B21" s="95"/>
      <c r="C21" s="831"/>
      <c r="D21" s="842"/>
      <c r="E21" s="836"/>
      <c r="F21" s="835"/>
      <c r="G21" s="103"/>
      <c r="H21" s="815"/>
      <c r="I21" s="816" t="e">
        <f>H21/$H$28</f>
        <v>#DIV/0!</v>
      </c>
      <c r="J21" s="817">
        <f t="shared" si="0"/>
        <v>0</v>
      </c>
      <c r="K21" s="818"/>
      <c r="L21" s="819">
        <f t="shared" si="1"/>
        <v>0</v>
      </c>
      <c r="M21" s="820" t="e">
        <f t="shared" ref="M21:M25" si="2">+L21/K21</f>
        <v>#DIV/0!</v>
      </c>
      <c r="P21" s="287"/>
    </row>
    <row r="22" spans="1:16" x14ac:dyDescent="0.25">
      <c r="A22" s="96" t="s">
        <v>122</v>
      </c>
      <c r="B22" s="97">
        <f>SUM(B20:B21)</f>
        <v>0</v>
      </c>
      <c r="C22" s="111" t="e">
        <f>+B22/$B$28</f>
        <v>#DIV/0!</v>
      </c>
      <c r="D22" s="843"/>
      <c r="E22" s="838"/>
      <c r="F22" s="837"/>
      <c r="G22" s="99"/>
      <c r="H22" s="557">
        <f>SUM(H20:H21)</f>
        <v>0</v>
      </c>
      <c r="I22" s="523" t="e">
        <f>+H22/$H$28</f>
        <v>#DIV/0!</v>
      </c>
      <c r="J22" s="521">
        <f t="shared" si="0"/>
        <v>0</v>
      </c>
      <c r="K22" s="107">
        <f>SUM(K20:K21)</f>
        <v>0</v>
      </c>
      <c r="L22" s="524">
        <f t="shared" si="1"/>
        <v>0</v>
      </c>
      <c r="M22" s="522" t="e">
        <f t="shared" si="2"/>
        <v>#DIV/0!</v>
      </c>
      <c r="P22" s="287"/>
    </row>
    <row r="23" spans="1:16" x14ac:dyDescent="0.25">
      <c r="A23" s="801" t="s">
        <v>123</v>
      </c>
      <c r="B23" s="802"/>
      <c r="C23" s="803" t="e">
        <f>+B23/$B$28</f>
        <v>#DIV/0!</v>
      </c>
      <c r="D23" s="844"/>
      <c r="E23" s="838"/>
      <c r="F23" s="837"/>
      <c r="G23" s="99"/>
      <c r="H23" s="821"/>
      <c r="I23" s="822" t="e">
        <f>+H23/$H$28</f>
        <v>#DIV/0!</v>
      </c>
      <c r="J23" s="811">
        <f t="shared" si="0"/>
        <v>0</v>
      </c>
      <c r="K23" s="802"/>
      <c r="L23" s="823">
        <f t="shared" si="1"/>
        <v>0</v>
      </c>
      <c r="M23" s="814" t="e">
        <f t="shared" si="2"/>
        <v>#DIV/0!</v>
      </c>
      <c r="P23" s="287"/>
    </row>
    <row r="24" spans="1:16" x14ac:dyDescent="0.25">
      <c r="A24" s="804" t="s">
        <v>124</v>
      </c>
      <c r="B24" s="805"/>
      <c r="C24" s="806" t="e">
        <f>+B24/$B$28</f>
        <v>#DIV/0!</v>
      </c>
      <c r="D24" s="842"/>
      <c r="E24" s="838"/>
      <c r="F24" s="835"/>
      <c r="G24" s="103"/>
      <c r="H24" s="824"/>
      <c r="I24" s="825" t="e">
        <f>H24/$H$28</f>
        <v>#DIV/0!</v>
      </c>
      <c r="J24" s="520">
        <f t="shared" si="0"/>
        <v>0</v>
      </c>
      <c r="K24" s="95"/>
      <c r="L24" s="826">
        <f t="shared" si="1"/>
        <v>0</v>
      </c>
      <c r="M24" s="827" t="e">
        <f t="shared" si="2"/>
        <v>#DIV/0!</v>
      </c>
      <c r="P24" s="287"/>
    </row>
    <row r="25" spans="1:16" x14ac:dyDescent="0.25">
      <c r="A25" s="807" t="s">
        <v>125</v>
      </c>
      <c r="B25" s="808"/>
      <c r="C25" s="111" t="e">
        <f>+B25/$B$28</f>
        <v>#DIV/0!</v>
      </c>
      <c r="D25" s="843"/>
      <c r="E25" s="838"/>
      <c r="F25" s="837"/>
      <c r="G25" s="99"/>
      <c r="H25" s="815"/>
      <c r="I25" s="816" t="e">
        <f>H25/$H$28</f>
        <v>#DIV/0!</v>
      </c>
      <c r="J25" s="817">
        <f t="shared" si="0"/>
        <v>0</v>
      </c>
      <c r="K25" s="828"/>
      <c r="L25" s="829">
        <f t="shared" si="1"/>
        <v>0</v>
      </c>
      <c r="M25" s="820" t="e">
        <f t="shared" si="2"/>
        <v>#DIV/0!</v>
      </c>
      <c r="P25" s="287"/>
    </row>
    <row r="26" spans="1:16" x14ac:dyDescent="0.25">
      <c r="A26" s="98"/>
      <c r="B26" s="99"/>
      <c r="C26" s="99"/>
      <c r="D26" s="837"/>
      <c r="E26" s="838"/>
      <c r="F26" s="837"/>
      <c r="G26" s="99"/>
      <c r="H26" s="100"/>
      <c r="I26" s="112"/>
      <c r="J26" s="99"/>
      <c r="K26" s="99"/>
      <c r="L26" s="101"/>
      <c r="M26" s="295"/>
      <c r="P26" s="287"/>
    </row>
    <row r="27" spans="1:16" x14ac:dyDescent="0.25">
      <c r="A27" s="102"/>
      <c r="B27" s="103"/>
      <c r="C27" s="103"/>
      <c r="D27" s="835"/>
      <c r="E27" s="835"/>
      <c r="F27" s="835"/>
      <c r="G27" s="103"/>
      <c r="H27" s="104"/>
      <c r="I27" s="113"/>
      <c r="J27" s="103"/>
      <c r="K27" s="103"/>
      <c r="L27" s="105"/>
      <c r="M27" s="295"/>
      <c r="P27" s="287"/>
    </row>
    <row r="28" spans="1:16" x14ac:dyDescent="0.25">
      <c r="A28" s="106" t="s">
        <v>126</v>
      </c>
      <c r="B28" s="840">
        <f>SUM(B22:B25)</f>
        <v>0</v>
      </c>
      <c r="C28" s="114" t="e">
        <f>((SUM(C22:C25)))</f>
        <v>#DIV/0!</v>
      </c>
      <c r="D28" s="837"/>
      <c r="E28" s="839"/>
      <c r="F28" s="837"/>
      <c r="G28" s="99"/>
      <c r="H28" s="556">
        <f>SUM(H22:H25)</f>
        <v>0</v>
      </c>
      <c r="I28" s="558"/>
      <c r="J28" s="107">
        <f>+F28-H28</f>
        <v>0</v>
      </c>
      <c r="K28" s="107">
        <f>SUM(K22:K25)</f>
        <v>0</v>
      </c>
      <c r="L28" s="108">
        <f>+H28-K28</f>
        <v>0</v>
      </c>
      <c r="M28" s="295"/>
      <c r="P28" s="287"/>
    </row>
    <row r="29" spans="1:16" x14ac:dyDescent="0.25">
      <c r="A29" s="98"/>
      <c r="B29" s="109"/>
      <c r="C29" s="109"/>
      <c r="D29" s="109"/>
      <c r="E29" s="109"/>
      <c r="F29" s="110"/>
      <c r="G29" s="110"/>
      <c r="H29" s="490" t="s">
        <v>85</v>
      </c>
      <c r="I29" s="112"/>
      <c r="J29" s="845"/>
      <c r="K29" s="490" t="s">
        <v>127</v>
      </c>
      <c r="L29" s="494"/>
      <c r="M29" s="296"/>
      <c r="P29" s="287"/>
    </row>
    <row r="30" spans="1:16" x14ac:dyDescent="0.25">
      <c r="A30" s="98"/>
      <c r="B30" s="109"/>
      <c r="C30" s="109"/>
      <c r="D30" s="109"/>
      <c r="E30" s="109"/>
      <c r="F30" s="110"/>
      <c r="G30" s="104"/>
      <c r="H30" s="104"/>
      <c r="I30" s="113"/>
      <c r="J30" s="110"/>
      <c r="K30" s="110"/>
      <c r="L30" s="110"/>
      <c r="M30" s="296"/>
      <c r="N30" s="297"/>
      <c r="P30" s="287"/>
    </row>
    <row r="31" spans="1:16" s="33" customFormat="1" ht="75" customHeight="1" x14ac:dyDescent="0.2">
      <c r="A31" s="1040" t="s">
        <v>64</v>
      </c>
      <c r="B31" s="1041"/>
      <c r="C31" s="1041"/>
      <c r="D31" s="1041"/>
      <c r="E31" s="1041"/>
      <c r="F31" s="1041"/>
      <c r="G31" s="1041"/>
      <c r="H31" s="1041"/>
      <c r="I31" s="1041"/>
      <c r="J31" s="1041"/>
      <c r="K31" s="1041"/>
      <c r="L31" s="1041"/>
      <c r="M31" s="1041"/>
      <c r="N31" s="1041"/>
      <c r="O31" s="1041"/>
      <c r="P31" s="1042"/>
    </row>
    <row r="32" spans="1:16" ht="15.75" thickBot="1" x14ac:dyDescent="0.3">
      <c r="A32" s="293"/>
      <c r="B32" s="262"/>
      <c r="C32" s="262"/>
      <c r="D32" s="262"/>
      <c r="E32" s="262"/>
      <c r="F32" s="262"/>
      <c r="G32" s="262"/>
      <c r="H32" s="262"/>
      <c r="I32" s="262"/>
      <c r="J32" s="262"/>
      <c r="K32" s="262"/>
      <c r="L32" s="262"/>
      <c r="M32" s="262"/>
      <c r="N32" s="262"/>
      <c r="O32" s="262"/>
      <c r="P32" s="294"/>
    </row>
  </sheetData>
  <sheetProtection formatCells="0" formatColumns="0" formatRows="0" insertColumns="0" insertRows="0" insertHyperlinks="0" deleteColumns="0" deleteRows="0" sort="0" autoFilter="0" pivotTables="0"/>
  <mergeCells count="26">
    <mergeCell ref="L9:N9"/>
    <mergeCell ref="O9:P9"/>
    <mergeCell ref="A18:A19"/>
    <mergeCell ref="B18:C18"/>
    <mergeCell ref="F18:F19"/>
    <mergeCell ref="I18:I19"/>
    <mergeCell ref="J18:J19"/>
    <mergeCell ref="K18:K19"/>
    <mergeCell ref="H18:H19"/>
    <mergeCell ref="D18:D19"/>
    <mergeCell ref="O8:P8"/>
    <mergeCell ref="A31:P31"/>
    <mergeCell ref="D1:M2"/>
    <mergeCell ref="A3:P5"/>
    <mergeCell ref="E6:L7"/>
    <mergeCell ref="M6:N6"/>
    <mergeCell ref="O6:P6"/>
    <mergeCell ref="M7:N7"/>
    <mergeCell ref="O7:P7"/>
    <mergeCell ref="A11:P11"/>
    <mergeCell ref="A13:P13"/>
    <mergeCell ref="A14:P14"/>
    <mergeCell ref="A9:C9"/>
    <mergeCell ref="D9:E9"/>
    <mergeCell ref="F9:I9"/>
    <mergeCell ref="J9:K9"/>
  </mergeCells>
  <dataValidations count="2">
    <dataValidation type="list" showInputMessage="1" showErrorMessage="1" sqref="D9:E9" xr:uid="{00000000-0002-0000-0300-000000000000}">
      <formula1>RAS</formula1>
    </dataValidation>
    <dataValidation type="list" allowBlank="1" showInputMessage="1" showErrorMessage="1" sqref="O9:P9" xr:uid="{00000000-0002-0000-0300-000001000000}">
      <formula1>Diligences</formula1>
    </dataValidation>
  </dataValidations>
  <hyperlinks>
    <hyperlink ref="O8:P8" location="'S Synthèse'!A1" display="S Synthèse" xr:uid="{00000000-0004-0000-03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dimension ref="A1:U59"/>
  <sheetViews>
    <sheetView showGridLines="0" zoomScale="85" zoomScaleNormal="85" workbookViewId="0">
      <selection activeCell="H19" sqref="H19"/>
    </sheetView>
  </sheetViews>
  <sheetFormatPr baseColWidth="10" defaultColWidth="11.42578125" defaultRowHeight="15" x14ac:dyDescent="0.25"/>
  <cols>
    <col min="1" max="1" width="14.7109375" style="25" customWidth="1"/>
    <col min="2" max="2" width="24.7109375" style="25" customWidth="1"/>
    <col min="3" max="7" width="17.140625" style="25" customWidth="1"/>
    <col min="8" max="16" width="12.7109375" style="25" customWidth="1"/>
    <col min="17" max="16384" width="11.42578125" style="25"/>
  </cols>
  <sheetData>
    <row r="1" spans="1:21" s="33" customFormat="1" ht="15" customHeight="1" x14ac:dyDescent="0.2">
      <c r="A1" s="10"/>
      <c r="B1" s="11"/>
      <c r="C1" s="11"/>
      <c r="D1" s="1014" t="str">
        <f>'S Synthèse'!D1:M2</f>
        <v>#NomClient</v>
      </c>
      <c r="E1" s="1015"/>
      <c r="F1" s="1015"/>
      <c r="G1" s="1015"/>
      <c r="H1" s="1015"/>
      <c r="I1" s="1015"/>
      <c r="J1" s="1015"/>
      <c r="K1" s="1015"/>
      <c r="L1" s="1015"/>
      <c r="M1" s="1016"/>
      <c r="N1" s="11"/>
      <c r="O1" s="11"/>
      <c r="P1" s="12"/>
    </row>
    <row r="2" spans="1:21" s="33" customFormat="1" ht="15" customHeight="1" thickBot="1" x14ac:dyDescent="0.25">
      <c r="A2" s="13"/>
      <c r="B2" s="14"/>
      <c r="C2" s="14"/>
      <c r="D2" s="1017"/>
      <c r="E2" s="1018"/>
      <c r="F2" s="1018"/>
      <c r="G2" s="1018"/>
      <c r="H2" s="1018"/>
      <c r="I2" s="1018"/>
      <c r="J2" s="1018"/>
      <c r="K2" s="1018"/>
      <c r="L2" s="1018"/>
      <c r="M2" s="1019"/>
      <c r="N2" s="14"/>
      <c r="O2" s="14"/>
      <c r="P2" s="15"/>
    </row>
    <row r="3" spans="1:21" ht="15" customHeight="1" x14ac:dyDescent="0.25">
      <c r="A3" s="945" t="s">
        <v>3</v>
      </c>
      <c r="B3" s="946"/>
      <c r="C3" s="946"/>
      <c r="D3" s="946"/>
      <c r="E3" s="946"/>
      <c r="F3" s="946"/>
      <c r="G3" s="946"/>
      <c r="H3" s="946"/>
      <c r="I3" s="946"/>
      <c r="J3" s="946"/>
      <c r="K3" s="946"/>
      <c r="L3" s="946"/>
      <c r="M3" s="946"/>
      <c r="N3" s="946"/>
      <c r="O3" s="946"/>
      <c r="P3" s="947"/>
      <c r="R3" s="3"/>
      <c r="T3" s="5"/>
      <c r="U3" s="5"/>
    </row>
    <row r="4" spans="1:21" ht="15" customHeight="1" x14ac:dyDescent="0.25">
      <c r="A4" s="945"/>
      <c r="B4" s="946"/>
      <c r="C4" s="946"/>
      <c r="D4" s="946"/>
      <c r="E4" s="946"/>
      <c r="F4" s="946"/>
      <c r="G4" s="946"/>
      <c r="H4" s="946"/>
      <c r="I4" s="946"/>
      <c r="J4" s="946"/>
      <c r="K4" s="946"/>
      <c r="L4" s="946"/>
      <c r="M4" s="946"/>
      <c r="N4" s="946"/>
      <c r="O4" s="946"/>
      <c r="P4" s="947"/>
      <c r="R4" s="3"/>
      <c r="T4" s="5"/>
      <c r="U4" s="5"/>
    </row>
    <row r="5" spans="1:21" ht="15" customHeight="1" thickBot="1" x14ac:dyDescent="0.3">
      <c r="A5" s="948"/>
      <c r="B5" s="949"/>
      <c r="C5" s="949"/>
      <c r="D5" s="949"/>
      <c r="E5" s="949"/>
      <c r="F5" s="949"/>
      <c r="G5" s="949"/>
      <c r="H5" s="949"/>
      <c r="I5" s="949"/>
      <c r="J5" s="949"/>
      <c r="K5" s="949"/>
      <c r="L5" s="949"/>
      <c r="M5" s="949"/>
      <c r="N5" s="949"/>
      <c r="O5" s="949"/>
      <c r="P5" s="950"/>
      <c r="Q5" s="3"/>
      <c r="R5" s="34"/>
      <c r="S5" s="35"/>
      <c r="T5" s="35"/>
      <c r="U5" s="35"/>
    </row>
    <row r="6" spans="1:21" ht="15" customHeight="1" x14ac:dyDescent="0.25">
      <c r="A6" s="17" t="s">
        <v>6</v>
      </c>
      <c r="B6" s="476" t="str">
        <f>'S Synthèse'!B6</f>
        <v>BRA</v>
      </c>
      <c r="C6" s="17" t="s">
        <v>7</v>
      </c>
      <c r="D6" s="476">
        <f>'S Synthèse'!D6</f>
        <v>0</v>
      </c>
      <c r="E6" s="957" t="s">
        <v>128</v>
      </c>
      <c r="F6" s="958"/>
      <c r="G6" s="958"/>
      <c r="H6" s="958"/>
      <c r="I6" s="958"/>
      <c r="J6" s="958"/>
      <c r="K6" s="958"/>
      <c r="L6" s="959"/>
      <c r="M6" s="1020" t="s">
        <v>9</v>
      </c>
      <c r="N6" s="1021"/>
      <c r="O6" s="963" t="s">
        <v>10</v>
      </c>
      <c r="P6" s="964"/>
      <c r="R6" s="33"/>
      <c r="S6" s="33"/>
    </row>
    <row r="7" spans="1:21" ht="15" customHeight="1" thickBot="1" x14ac:dyDescent="0.3">
      <c r="A7" s="18" t="s">
        <v>12</v>
      </c>
      <c r="B7" s="477">
        <f>'S Synthèse'!B7</f>
        <v>0</v>
      </c>
      <c r="C7" s="18" t="s">
        <v>12</v>
      </c>
      <c r="D7" s="477">
        <f>'S Synthèse'!D7</f>
        <v>0</v>
      </c>
      <c r="E7" s="960"/>
      <c r="F7" s="961"/>
      <c r="G7" s="961"/>
      <c r="H7" s="961"/>
      <c r="I7" s="961"/>
      <c r="J7" s="961"/>
      <c r="K7" s="961"/>
      <c r="L7" s="962"/>
      <c r="M7" s="1022" t="str">
        <f>'S Synthèse'!M7:M7</f>
        <v>#DateClôture</v>
      </c>
      <c r="N7" s="1023"/>
      <c r="O7" s="965" t="s">
        <v>31</v>
      </c>
      <c r="P7" s="966"/>
    </row>
    <row r="8" spans="1:21" ht="21" customHeight="1" thickBot="1" x14ac:dyDescent="0.3">
      <c r="A8" s="19"/>
      <c r="B8" s="36"/>
      <c r="C8" s="20"/>
      <c r="D8" s="20"/>
      <c r="E8" s="37"/>
      <c r="F8" s="37"/>
      <c r="G8" s="37"/>
      <c r="H8" s="37"/>
      <c r="I8" s="37"/>
      <c r="J8" s="37"/>
      <c r="K8" s="37"/>
      <c r="L8" s="37"/>
      <c r="M8" s="22"/>
      <c r="N8" s="20"/>
      <c r="O8" s="1002" t="s">
        <v>63</v>
      </c>
      <c r="P8" s="1002"/>
    </row>
    <row r="9" spans="1:21" s="20" customFormat="1" ht="31.5" customHeight="1" thickBot="1" x14ac:dyDescent="0.25">
      <c r="A9" s="951" t="s">
        <v>17</v>
      </c>
      <c r="B9" s="952"/>
      <c r="C9" s="952"/>
      <c r="D9" s="1012" t="str">
        <f>'S Synthèse'!D9:E9</f>
        <v>Modéré</v>
      </c>
      <c r="E9" s="1013"/>
      <c r="F9" s="953" t="s">
        <v>18</v>
      </c>
      <c r="G9" s="954"/>
      <c r="H9" s="954"/>
      <c r="I9" s="954"/>
      <c r="J9" s="1004">
        <f>'S Synthèse'!J9:K9</f>
        <v>0</v>
      </c>
      <c r="K9" s="1005"/>
      <c r="L9" s="953" t="s">
        <v>19</v>
      </c>
      <c r="M9" s="954"/>
      <c r="N9" s="954"/>
      <c r="O9" s="1012" t="str">
        <f>'S Synthèse'!N9</f>
        <v>PE</v>
      </c>
      <c r="P9" s="1013"/>
    </row>
    <row r="10" spans="1:21" s="20" customFormat="1" ht="21" customHeight="1" thickBot="1" x14ac:dyDescent="0.25">
      <c r="A10" s="24"/>
      <c r="B10" s="24"/>
      <c r="C10" s="24"/>
      <c r="D10" s="24"/>
      <c r="E10" s="24"/>
      <c r="F10" s="24"/>
      <c r="G10" s="24"/>
      <c r="H10" s="24"/>
      <c r="I10" s="24"/>
      <c r="J10" s="24"/>
      <c r="K10" s="24"/>
      <c r="L10" s="24"/>
      <c r="M10" s="24"/>
      <c r="N10" s="24"/>
      <c r="O10" s="24"/>
      <c r="P10" s="24"/>
    </row>
    <row r="11" spans="1:21" ht="79.150000000000006" customHeight="1" thickBot="1" x14ac:dyDescent="0.3">
      <c r="A11" s="1006" t="s">
        <v>129</v>
      </c>
      <c r="B11" s="1007"/>
      <c r="C11" s="1007"/>
      <c r="D11" s="1007"/>
      <c r="E11" s="1007"/>
      <c r="F11" s="1007"/>
      <c r="G11" s="1007"/>
      <c r="H11" s="1007"/>
      <c r="I11" s="1007"/>
      <c r="J11" s="1007"/>
      <c r="K11" s="1007"/>
      <c r="L11" s="1007"/>
      <c r="M11" s="1007"/>
      <c r="N11" s="1007"/>
      <c r="O11" s="1007"/>
      <c r="P11" s="1008"/>
    </row>
    <row r="12" spans="1:21" ht="9" customHeight="1" thickBot="1" x14ac:dyDescent="0.3"/>
    <row r="13" spans="1:21" x14ac:dyDescent="0.25">
      <c r="A13" s="974" t="s">
        <v>67</v>
      </c>
      <c r="B13" s="975"/>
      <c r="C13" s="975"/>
      <c r="D13" s="975"/>
      <c r="E13" s="975"/>
      <c r="F13" s="975"/>
      <c r="G13" s="975"/>
      <c r="H13" s="975"/>
      <c r="I13" s="975"/>
      <c r="J13" s="975"/>
      <c r="K13" s="975"/>
      <c r="L13" s="975"/>
      <c r="M13" s="975"/>
      <c r="N13" s="975"/>
      <c r="O13" s="975"/>
      <c r="P13" s="976"/>
    </row>
    <row r="14" spans="1:21" ht="60" customHeight="1" thickBot="1" x14ac:dyDescent="0.3">
      <c r="A14" s="1009"/>
      <c r="B14" s="1010"/>
      <c r="C14" s="1010"/>
      <c r="D14" s="1010"/>
      <c r="E14" s="1010"/>
      <c r="F14" s="1010"/>
      <c r="G14" s="1010"/>
      <c r="H14" s="1010"/>
      <c r="I14" s="1010"/>
      <c r="J14" s="1010"/>
      <c r="K14" s="1010"/>
      <c r="L14" s="1010"/>
      <c r="M14" s="1010"/>
      <c r="N14" s="1010"/>
      <c r="O14" s="1010"/>
      <c r="P14" s="1011"/>
    </row>
    <row r="15" spans="1:21" ht="15.75" thickBot="1" x14ac:dyDescent="0.3"/>
    <row r="16" spans="1:21" x14ac:dyDescent="0.25">
      <c r="A16" s="285"/>
      <c r="B16" s="261"/>
      <c r="C16" s="261"/>
      <c r="D16" s="261"/>
      <c r="E16" s="261"/>
      <c r="F16" s="261"/>
      <c r="G16" s="261"/>
      <c r="H16" s="261"/>
      <c r="I16" s="261"/>
      <c r="J16" s="261"/>
      <c r="K16" s="261"/>
      <c r="L16" s="261"/>
      <c r="M16" s="261"/>
      <c r="N16" s="261"/>
      <c r="O16" s="261"/>
      <c r="P16" s="286"/>
    </row>
    <row r="17" spans="1:16" x14ac:dyDescent="0.25">
      <c r="A17" s="29" t="s">
        <v>130</v>
      </c>
      <c r="B17" s="40"/>
      <c r="C17" s="40"/>
      <c r="D17" s="40"/>
      <c r="E17" s="115"/>
      <c r="F17" s="40"/>
      <c r="G17" s="40"/>
      <c r="P17" s="287"/>
    </row>
    <row r="18" spans="1:16" x14ac:dyDescent="0.25">
      <c r="A18" s="29"/>
      <c r="B18" s="40"/>
      <c r="C18" s="40"/>
      <c r="D18" s="40"/>
      <c r="E18" s="115"/>
      <c r="F18" s="40"/>
      <c r="G18" s="40"/>
      <c r="P18" s="287"/>
    </row>
    <row r="19" spans="1:16" ht="45" customHeight="1" x14ac:dyDescent="0.25">
      <c r="A19" s="288"/>
      <c r="B19" s="665" t="s">
        <v>131</v>
      </c>
      <c r="C19" s="509" t="s">
        <v>78</v>
      </c>
      <c r="D19" s="509" t="s">
        <v>79</v>
      </c>
      <c r="E19" s="509" t="s">
        <v>132</v>
      </c>
      <c r="F19" s="665" t="s">
        <v>133</v>
      </c>
      <c r="G19" s="570" t="s">
        <v>134</v>
      </c>
      <c r="P19" s="287"/>
    </row>
    <row r="20" spans="1:16" x14ac:dyDescent="0.25">
      <c r="A20" s="288"/>
      <c r="B20" s="563"/>
      <c r="C20" s="116"/>
      <c r="D20" s="116"/>
      <c r="E20" s="116"/>
      <c r="F20" s="116"/>
      <c r="G20" s="303"/>
      <c r="P20" s="287"/>
    </row>
    <row r="21" spans="1:16" x14ac:dyDescent="0.25">
      <c r="A21" s="288"/>
      <c r="B21" s="562" t="s">
        <v>135</v>
      </c>
      <c r="C21" s="571"/>
      <c r="D21" s="571"/>
      <c r="E21" s="571"/>
      <c r="F21" s="566">
        <f t="shared" ref="F21:G23" si="0">(C21+D21)/2</f>
        <v>0</v>
      </c>
      <c r="G21" s="569">
        <f t="shared" si="0"/>
        <v>0</v>
      </c>
      <c r="P21" s="287"/>
    </row>
    <row r="22" spans="1:16" x14ac:dyDescent="0.25">
      <c r="A22" s="288"/>
      <c r="B22" s="560" t="s">
        <v>136</v>
      </c>
      <c r="C22" s="572"/>
      <c r="D22" s="572"/>
      <c r="E22" s="572"/>
      <c r="F22" s="564">
        <f t="shared" si="0"/>
        <v>0</v>
      </c>
      <c r="G22" s="567">
        <f t="shared" si="0"/>
        <v>0</v>
      </c>
      <c r="P22" s="287"/>
    </row>
    <row r="23" spans="1:16" x14ac:dyDescent="0.25">
      <c r="A23" s="288"/>
      <c r="B23" s="561" t="s">
        <v>137</v>
      </c>
      <c r="C23" s="573"/>
      <c r="D23" s="573"/>
      <c r="E23" s="573"/>
      <c r="F23" s="565">
        <f t="shared" si="0"/>
        <v>0</v>
      </c>
      <c r="G23" s="568">
        <f t="shared" si="0"/>
        <v>0</v>
      </c>
      <c r="P23" s="287"/>
    </row>
    <row r="24" spans="1:16" x14ac:dyDescent="0.25">
      <c r="A24" s="288"/>
      <c r="B24" s="563"/>
      <c r="C24" s="116"/>
      <c r="D24" s="116"/>
      <c r="E24" s="116"/>
      <c r="F24" s="116"/>
      <c r="G24" s="303"/>
      <c r="P24" s="287"/>
    </row>
    <row r="25" spans="1:16" x14ac:dyDescent="0.25">
      <c r="A25" s="288"/>
      <c r="B25" s="559" t="s">
        <v>138</v>
      </c>
      <c r="C25" s="574">
        <f>SUM(C21:C23)</f>
        <v>0</v>
      </c>
      <c r="D25" s="574">
        <f>SUM(D21:D23)</f>
        <v>0</v>
      </c>
      <c r="E25" s="574">
        <f>SUM(E21:E23)</f>
        <v>0</v>
      </c>
      <c r="F25" s="574">
        <f>(C25+D25)/2</f>
        <v>0</v>
      </c>
      <c r="G25" s="574">
        <f>(D25+E25)/2</f>
        <v>0</v>
      </c>
      <c r="P25" s="287"/>
    </row>
    <row r="26" spans="1:16" x14ac:dyDescent="0.25">
      <c r="A26" s="288"/>
      <c r="B26" s="304"/>
      <c r="D26" s="494" t="s">
        <v>85</v>
      </c>
      <c r="E26" s="494" t="s">
        <v>86</v>
      </c>
      <c r="F26" s="494" t="s">
        <v>139</v>
      </c>
      <c r="G26" s="118"/>
      <c r="H26" s="118"/>
      <c r="P26" s="287"/>
    </row>
    <row r="27" spans="1:16" x14ac:dyDescent="0.25">
      <c r="A27" s="117"/>
      <c r="B27" s="118"/>
      <c r="C27" s="118"/>
      <c r="D27" s="118"/>
      <c r="E27" s="118"/>
      <c r="F27" s="118"/>
      <c r="G27" s="40"/>
      <c r="P27" s="287"/>
    </row>
    <row r="28" spans="1:16" s="33" customFormat="1" ht="75" customHeight="1" x14ac:dyDescent="0.2">
      <c r="A28" s="1059" t="s">
        <v>64</v>
      </c>
      <c r="B28" s="1060"/>
      <c r="C28" s="1060"/>
      <c r="D28" s="1060"/>
      <c r="E28" s="1060"/>
      <c r="F28" s="1060"/>
      <c r="G28" s="1060"/>
      <c r="H28" s="1060"/>
      <c r="I28" s="1060"/>
      <c r="J28" s="1060"/>
      <c r="K28" s="1060"/>
      <c r="L28" s="1060"/>
      <c r="M28" s="1060"/>
      <c r="N28" s="1060"/>
      <c r="O28" s="1060"/>
      <c r="P28" s="1061"/>
    </row>
    <row r="29" spans="1:16" ht="15.75" thickBot="1" x14ac:dyDescent="0.3">
      <c r="A29" s="306"/>
      <c r="B29" s="307"/>
      <c r="C29" s="308"/>
      <c r="D29" s="309"/>
      <c r="E29" s="308"/>
      <c r="F29" s="309"/>
      <c r="G29" s="310"/>
      <c r="H29" s="262"/>
      <c r="I29" s="262"/>
      <c r="J29" s="262"/>
      <c r="K29" s="262"/>
      <c r="L29" s="262"/>
      <c r="M29" s="262"/>
      <c r="N29" s="262"/>
      <c r="O29" s="262"/>
      <c r="P29" s="294"/>
    </row>
    <row r="30" spans="1:16" ht="15.75" thickBot="1" x14ac:dyDescent="0.3">
      <c r="A30" s="117"/>
      <c r="B30" s="119"/>
      <c r="C30" s="120"/>
      <c r="D30" s="121"/>
      <c r="E30" s="120"/>
      <c r="F30" s="121"/>
      <c r="G30" s="40"/>
    </row>
    <row r="31" spans="1:16" x14ac:dyDescent="0.25">
      <c r="A31" s="311"/>
      <c r="B31" s="312"/>
      <c r="C31" s="313"/>
      <c r="D31" s="314"/>
      <c r="E31" s="313"/>
      <c r="F31" s="314"/>
      <c r="G31" s="189"/>
      <c r="H31" s="261"/>
      <c r="I31" s="261"/>
      <c r="J31" s="261"/>
      <c r="K31" s="261"/>
      <c r="L31" s="261"/>
      <c r="M31" s="261"/>
      <c r="N31" s="261"/>
      <c r="O31" s="261"/>
      <c r="P31" s="286"/>
    </row>
    <row r="32" spans="1:16" x14ac:dyDescent="0.25">
      <c r="A32" s="29" t="s">
        <v>140</v>
      </c>
      <c r="B32" s="119"/>
      <c r="C32" s="120"/>
      <c r="D32" s="121"/>
      <c r="E32" s="120"/>
      <c r="F32" s="121"/>
      <c r="G32" s="40"/>
      <c r="P32" s="287"/>
    </row>
    <row r="33" spans="1:16" x14ac:dyDescent="0.25">
      <c r="A33" s="38"/>
      <c r="B33" s="30"/>
      <c r="C33" s="30"/>
      <c r="D33" s="30"/>
      <c r="E33" s="120"/>
      <c r="F33" s="30"/>
      <c r="G33" s="30"/>
      <c r="P33" s="287"/>
    </row>
    <row r="34" spans="1:16" ht="39" customHeight="1" x14ac:dyDescent="0.25">
      <c r="A34" s="288"/>
      <c r="B34" s="1062" t="s">
        <v>71</v>
      </c>
      <c r="C34" s="1062"/>
      <c r="D34" s="1062"/>
      <c r="E34" s="582" t="s">
        <v>78</v>
      </c>
      <c r="F34" s="509" t="s">
        <v>79</v>
      </c>
      <c r="G34" s="509" t="s">
        <v>141</v>
      </c>
      <c r="P34" s="287"/>
    </row>
    <row r="35" spans="1:16" x14ac:dyDescent="0.25">
      <c r="A35" s="288"/>
      <c r="B35" s="30"/>
      <c r="E35" s="30"/>
      <c r="G35" s="120"/>
      <c r="P35" s="287"/>
    </row>
    <row r="36" spans="1:16" x14ac:dyDescent="0.25">
      <c r="A36" s="288"/>
      <c r="B36" s="1057" t="s">
        <v>142</v>
      </c>
      <c r="C36" s="1057"/>
      <c r="D36" s="1057"/>
      <c r="E36" s="576"/>
      <c r="F36" s="584"/>
      <c r="G36" s="587">
        <f>+E36-F36</f>
        <v>0</v>
      </c>
      <c r="P36" s="287"/>
    </row>
    <row r="37" spans="1:16" x14ac:dyDescent="0.25">
      <c r="A37" s="288"/>
      <c r="B37" s="1057" t="s">
        <v>143</v>
      </c>
      <c r="C37" s="1057"/>
      <c r="D37" s="1057"/>
      <c r="E37" s="508">
        <f>-F38</f>
        <v>0</v>
      </c>
      <c r="F37" s="585">
        <f>E21</f>
        <v>0</v>
      </c>
      <c r="G37" s="587">
        <f>+E37-F37</f>
        <v>0</v>
      </c>
      <c r="P37" s="287"/>
    </row>
    <row r="38" spans="1:16" x14ac:dyDescent="0.25">
      <c r="A38" s="288"/>
      <c r="B38" s="1057" t="s">
        <v>144</v>
      </c>
      <c r="C38" s="1057"/>
      <c r="D38" s="1057"/>
      <c r="E38" s="581">
        <f>-C21</f>
        <v>0</v>
      </c>
      <c r="F38" s="585">
        <f>-D21</f>
        <v>0</v>
      </c>
      <c r="G38" s="587">
        <f>+E38-F38</f>
        <v>0</v>
      </c>
      <c r="P38" s="287"/>
    </row>
    <row r="39" spans="1:16" x14ac:dyDescent="0.25">
      <c r="A39" s="288"/>
      <c r="B39" s="1057" t="s">
        <v>145</v>
      </c>
      <c r="C39" s="1057"/>
      <c r="D39" s="1057"/>
      <c r="E39" s="578">
        <f>+E36+E37+E38</f>
        <v>0</v>
      </c>
      <c r="F39" s="578">
        <f>+F36+F37+F38</f>
        <v>0</v>
      </c>
      <c r="G39" s="588">
        <f>+E39-F39</f>
        <v>0</v>
      </c>
      <c r="P39" s="287"/>
    </row>
    <row r="40" spans="1:16" x14ac:dyDescent="0.25">
      <c r="A40" s="288"/>
      <c r="B40" s="377"/>
      <c r="E40" s="315"/>
      <c r="F40" s="316"/>
      <c r="G40" s="318"/>
      <c r="P40" s="287"/>
    </row>
    <row r="41" spans="1:16" x14ac:dyDescent="0.25">
      <c r="A41" s="288"/>
      <c r="B41" s="1058" t="s">
        <v>146</v>
      </c>
      <c r="C41" s="1058"/>
      <c r="D41" s="1058"/>
      <c r="E41" s="575" t="e">
        <f>(F21/E39)*360</f>
        <v>#DIV/0!</v>
      </c>
      <c r="F41" s="575" t="e">
        <f>(G21/F39)*360</f>
        <v>#DIV/0!</v>
      </c>
      <c r="G41" s="580" t="e">
        <f>+E41-F41</f>
        <v>#DIV/0!</v>
      </c>
      <c r="P41" s="287"/>
    </row>
    <row r="42" spans="1:16" x14ac:dyDescent="0.25">
      <c r="A42" s="288"/>
      <c r="B42" s="305"/>
      <c r="E42" s="317"/>
      <c r="F42" s="316"/>
      <c r="G42" s="318"/>
      <c r="P42" s="287"/>
    </row>
    <row r="43" spans="1:16" x14ac:dyDescent="0.25">
      <c r="A43" s="288"/>
      <c r="B43" s="1057" t="s">
        <v>147</v>
      </c>
      <c r="C43" s="1057"/>
      <c r="D43" s="1057"/>
      <c r="E43" s="576"/>
      <c r="F43" s="584"/>
      <c r="G43" s="587">
        <f>+E43-F43</f>
        <v>0</v>
      </c>
      <c r="P43" s="287"/>
    </row>
    <row r="44" spans="1:16" x14ac:dyDescent="0.25">
      <c r="A44" s="288"/>
      <c r="B44" s="1057" t="s">
        <v>143</v>
      </c>
      <c r="C44" s="1057"/>
      <c r="D44" s="1057"/>
      <c r="E44" s="579">
        <f>-F45</f>
        <v>0</v>
      </c>
      <c r="F44" s="586">
        <f>E22</f>
        <v>0</v>
      </c>
      <c r="G44" s="587">
        <f>+E44-F44</f>
        <v>0</v>
      </c>
      <c r="P44" s="287"/>
    </row>
    <row r="45" spans="1:16" x14ac:dyDescent="0.25">
      <c r="A45" s="288"/>
      <c r="B45" s="1057" t="s">
        <v>148</v>
      </c>
      <c r="C45" s="1057"/>
      <c r="D45" s="1057"/>
      <c r="E45" s="583">
        <f>-C22</f>
        <v>0</v>
      </c>
      <c r="F45" s="586">
        <f>-D22</f>
        <v>0</v>
      </c>
      <c r="G45" s="587">
        <f>+E45-F45</f>
        <v>0</v>
      </c>
      <c r="P45" s="287"/>
    </row>
    <row r="46" spans="1:16" x14ac:dyDescent="0.25">
      <c r="A46" s="288"/>
      <c r="B46" s="1057" t="s">
        <v>149</v>
      </c>
      <c r="C46" s="1057"/>
      <c r="D46" s="1057"/>
      <c r="E46" s="578">
        <f>+E43+E44+E45</f>
        <v>0</v>
      </c>
      <c r="F46" s="578">
        <f>+F43+F44+F45</f>
        <v>0</v>
      </c>
      <c r="G46" s="588">
        <f>+E46-F46</f>
        <v>0</v>
      </c>
      <c r="P46" s="287"/>
    </row>
    <row r="47" spans="1:16" x14ac:dyDescent="0.25">
      <c r="A47" s="288"/>
      <c r="B47" s="377"/>
      <c r="E47" s="315"/>
      <c r="F47" s="316"/>
      <c r="G47" s="318"/>
      <c r="P47" s="287"/>
    </row>
    <row r="48" spans="1:16" x14ac:dyDescent="0.25">
      <c r="A48" s="288"/>
      <c r="B48" s="1058" t="s">
        <v>150</v>
      </c>
      <c r="C48" s="1058"/>
      <c r="D48" s="1058"/>
      <c r="E48" s="575" t="e">
        <f>(F22/E46)*360</f>
        <v>#DIV/0!</v>
      </c>
      <c r="F48" s="575" t="e">
        <f>(G22/F46)*360</f>
        <v>#DIV/0!</v>
      </c>
      <c r="G48" s="580" t="e">
        <f>+E48-F48</f>
        <v>#DIV/0!</v>
      </c>
      <c r="P48" s="287"/>
    </row>
    <row r="49" spans="1:16" x14ac:dyDescent="0.25">
      <c r="A49" s="288"/>
      <c r="B49" s="305"/>
      <c r="E49" s="317"/>
      <c r="F49" s="316"/>
      <c r="G49" s="318"/>
      <c r="P49" s="287"/>
    </row>
    <row r="50" spans="1:16" x14ac:dyDescent="0.25">
      <c r="A50" s="288"/>
      <c r="B50" s="1057" t="s">
        <v>151</v>
      </c>
      <c r="C50" s="1057"/>
      <c r="D50" s="1057"/>
      <c r="E50" s="576"/>
      <c r="F50" s="584"/>
      <c r="G50" s="587">
        <f>+E50-F50</f>
        <v>0</v>
      </c>
      <c r="P50" s="287"/>
    </row>
    <row r="51" spans="1:16" x14ac:dyDescent="0.25">
      <c r="A51" s="288"/>
      <c r="B51" s="1057" t="s">
        <v>152</v>
      </c>
      <c r="C51" s="1057"/>
      <c r="D51" s="1057"/>
      <c r="E51" s="577">
        <f>-F52</f>
        <v>0</v>
      </c>
      <c r="F51" s="585">
        <f>E23</f>
        <v>0</v>
      </c>
      <c r="G51" s="587">
        <f>+E51-F51</f>
        <v>0</v>
      </c>
      <c r="P51" s="287"/>
    </row>
    <row r="52" spans="1:16" x14ac:dyDescent="0.25">
      <c r="A52" s="288"/>
      <c r="B52" s="1057" t="s">
        <v>153</v>
      </c>
      <c r="C52" s="1057"/>
      <c r="D52" s="1057"/>
      <c r="E52" s="581">
        <f>-C23</f>
        <v>0</v>
      </c>
      <c r="F52" s="585">
        <f>-D23</f>
        <v>0</v>
      </c>
      <c r="G52" s="587">
        <f>+E52-F52</f>
        <v>0</v>
      </c>
      <c r="P52" s="287"/>
    </row>
    <row r="53" spans="1:16" x14ac:dyDescent="0.25">
      <c r="A53" s="288"/>
      <c r="B53" s="1057" t="s">
        <v>154</v>
      </c>
      <c r="C53" s="1057"/>
      <c r="D53" s="1057"/>
      <c r="E53" s="578">
        <f>+E50+E51+E52</f>
        <v>0</v>
      </c>
      <c r="F53" s="578">
        <f>+F50+F51+F52</f>
        <v>0</v>
      </c>
      <c r="G53" s="588">
        <f>+E53-F53</f>
        <v>0</v>
      </c>
      <c r="P53" s="287"/>
    </row>
    <row r="54" spans="1:16" x14ac:dyDescent="0.25">
      <c r="A54" s="288"/>
      <c r="B54" s="377"/>
      <c r="E54" s="30"/>
      <c r="G54" s="318"/>
      <c r="P54" s="287"/>
    </row>
    <row r="55" spans="1:16" x14ac:dyDescent="0.25">
      <c r="A55" s="288"/>
      <c r="B55" s="1058" t="s">
        <v>155</v>
      </c>
      <c r="C55" s="1058"/>
      <c r="D55" s="1058"/>
      <c r="E55" s="575" t="e">
        <f>(F23/E53)*360</f>
        <v>#DIV/0!</v>
      </c>
      <c r="F55" s="575" t="e">
        <f>(G23/F53)*360</f>
        <v>#DIV/0!</v>
      </c>
      <c r="G55" s="580" t="e">
        <f>+E55-F55</f>
        <v>#DIV/0!</v>
      </c>
      <c r="P55" s="287"/>
    </row>
    <row r="56" spans="1:16" x14ac:dyDescent="0.25">
      <c r="A56" s="122"/>
      <c r="B56" s="123"/>
      <c r="C56" s="125"/>
      <c r="D56" s="125"/>
      <c r="E56" s="124"/>
      <c r="F56" s="30"/>
      <c r="G56" s="30"/>
      <c r="P56" s="287"/>
    </row>
    <row r="57" spans="1:16" x14ac:dyDescent="0.25">
      <c r="A57" s="122"/>
      <c r="B57" s="123"/>
      <c r="C57" s="125"/>
      <c r="D57" s="125"/>
      <c r="E57" s="123"/>
      <c r="F57" s="30"/>
      <c r="G57" s="30"/>
      <c r="P57" s="287"/>
    </row>
    <row r="58" spans="1:16" s="33" customFormat="1" ht="75" customHeight="1" x14ac:dyDescent="0.2">
      <c r="A58" s="1059" t="s">
        <v>64</v>
      </c>
      <c r="B58" s="1060"/>
      <c r="C58" s="1060"/>
      <c r="D58" s="1060"/>
      <c r="E58" s="1060"/>
      <c r="F58" s="1060"/>
      <c r="G58" s="1060"/>
      <c r="H58" s="1060"/>
      <c r="I58" s="1060"/>
      <c r="J58" s="1060"/>
      <c r="K58" s="1060"/>
      <c r="L58" s="1060"/>
      <c r="M58" s="1060"/>
      <c r="N58" s="1060"/>
      <c r="O58" s="1060"/>
      <c r="P58" s="1061"/>
    </row>
    <row r="59" spans="1:16" ht="15.75" thickBot="1" x14ac:dyDescent="0.3">
      <c r="A59" s="293"/>
      <c r="B59" s="262"/>
      <c r="C59" s="262"/>
      <c r="D59" s="262"/>
      <c r="E59" s="262"/>
      <c r="F59" s="262"/>
      <c r="G59" s="262"/>
      <c r="H59" s="262"/>
      <c r="I59" s="262"/>
      <c r="J59" s="262"/>
      <c r="K59" s="262"/>
      <c r="L59" s="262"/>
      <c r="M59" s="262"/>
      <c r="N59" s="262"/>
      <c r="O59" s="262"/>
      <c r="P59" s="294"/>
    </row>
  </sheetData>
  <sheetProtection formatCells="0" formatColumns="0" formatRows="0" insertColumns="0" insertRows="0" insertHyperlinks="0" deleteColumns="0" deleteRows="0" sort="0" autoFilter="0" pivotTables="0"/>
  <mergeCells count="35">
    <mergeCell ref="O8:P8"/>
    <mergeCell ref="L9:N9"/>
    <mergeCell ref="A11:P11"/>
    <mergeCell ref="O9:P9"/>
    <mergeCell ref="A9:C9"/>
    <mergeCell ref="D9:E9"/>
    <mergeCell ref="F9:I9"/>
    <mergeCell ref="J9:K9"/>
    <mergeCell ref="D1:M2"/>
    <mergeCell ref="A3:P5"/>
    <mergeCell ref="E6:L7"/>
    <mergeCell ref="M6:N6"/>
    <mergeCell ref="O6:P6"/>
    <mergeCell ref="M7:N7"/>
    <mergeCell ref="O7:P7"/>
    <mergeCell ref="A13:P13"/>
    <mergeCell ref="A14:P14"/>
    <mergeCell ref="A28:P28"/>
    <mergeCell ref="B34:D34"/>
    <mergeCell ref="B43:D43"/>
    <mergeCell ref="B36:D36"/>
    <mergeCell ref="B37:D37"/>
    <mergeCell ref="B51:D51"/>
    <mergeCell ref="B41:D41"/>
    <mergeCell ref="B38:D38"/>
    <mergeCell ref="B39:D39"/>
    <mergeCell ref="A58:P58"/>
    <mergeCell ref="B45:D45"/>
    <mergeCell ref="B46:D46"/>
    <mergeCell ref="B55:D55"/>
    <mergeCell ref="B52:D52"/>
    <mergeCell ref="B53:D53"/>
    <mergeCell ref="B48:D48"/>
    <mergeCell ref="B44:D44"/>
    <mergeCell ref="B50:D50"/>
  </mergeCells>
  <dataValidations count="2">
    <dataValidation type="list" allowBlank="1" showInputMessage="1" showErrorMessage="1" sqref="O9:P9" xr:uid="{00000000-0002-0000-0400-000000000000}">
      <formula1>Diligences</formula1>
    </dataValidation>
    <dataValidation type="list" showInputMessage="1" showErrorMessage="1" sqref="D9:E9" xr:uid="{00000000-0002-0000-0400-000001000000}">
      <formula1>RAS</formula1>
    </dataValidation>
  </dataValidations>
  <hyperlinks>
    <hyperlink ref="O8:P8" location="'S Synthèse'!A1" display="S Synthèse" xr:uid="{00000000-0004-0000-04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ignoredErrors>
    <ignoredError sqref="F44 F45 E47" unlockedFormula="1"/>
    <ignoredError sqref="F52 E52 E51 E53:E54 E50 F51 E49 F53:F54 F50 F49" evalError="1" unlockedFormula="1"/>
    <ignoredError sqref="G49 G48 G53:G55 G52 G51 G50" evalError="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5"/>
  <dimension ref="A1:U61"/>
  <sheetViews>
    <sheetView showGridLines="0" topLeftCell="A11" zoomScale="85" zoomScaleNormal="85" workbookViewId="0">
      <selection activeCell="O9" sqref="O9:P9"/>
    </sheetView>
  </sheetViews>
  <sheetFormatPr baseColWidth="10" defaultColWidth="11.42578125" defaultRowHeight="15.75" x14ac:dyDescent="0.25"/>
  <cols>
    <col min="1" max="1" width="16.28515625" style="7" customWidth="1"/>
    <col min="2" max="3" width="14.7109375" style="7" customWidth="1"/>
    <col min="4" max="9" width="10.7109375" style="7" customWidth="1"/>
    <col min="10" max="10" width="34.28515625" style="7" customWidth="1"/>
    <col min="11" max="15" width="10.7109375" style="7" customWidth="1"/>
    <col min="16" max="16" width="43.7109375" style="7" customWidth="1"/>
    <col min="17" max="16384" width="11.42578125" style="7"/>
  </cols>
  <sheetData>
    <row r="1" spans="1:21" s="1" customFormat="1" ht="15" customHeight="1" x14ac:dyDescent="0.2">
      <c r="A1" s="10"/>
      <c r="B1" s="11"/>
      <c r="C1" s="11"/>
      <c r="D1" s="1014" t="str">
        <f>'S Synthèse'!D1:M2</f>
        <v>#NomClient</v>
      </c>
      <c r="E1" s="1015"/>
      <c r="F1" s="1015"/>
      <c r="G1" s="1015"/>
      <c r="H1" s="1015"/>
      <c r="I1" s="1015"/>
      <c r="J1" s="1015"/>
      <c r="K1" s="1015"/>
      <c r="L1" s="1015"/>
      <c r="M1" s="1016"/>
      <c r="N1" s="11"/>
      <c r="O1" s="11"/>
      <c r="P1" s="12"/>
    </row>
    <row r="2" spans="1:21" s="1" customFormat="1" ht="15" customHeight="1" thickBot="1" x14ac:dyDescent="0.25">
      <c r="A2" s="13"/>
      <c r="B2" s="14"/>
      <c r="C2" s="14"/>
      <c r="D2" s="1017"/>
      <c r="E2" s="1018"/>
      <c r="F2" s="1018"/>
      <c r="G2" s="1018"/>
      <c r="H2" s="1018"/>
      <c r="I2" s="1018"/>
      <c r="J2" s="1018"/>
      <c r="K2" s="1018"/>
      <c r="L2" s="1018"/>
      <c r="M2" s="1019"/>
      <c r="N2" s="14"/>
      <c r="O2" s="14"/>
      <c r="P2" s="15"/>
    </row>
    <row r="3" spans="1:21" ht="15" customHeight="1" x14ac:dyDescent="0.25">
      <c r="A3" s="945" t="s">
        <v>3</v>
      </c>
      <c r="B3" s="946"/>
      <c r="C3" s="946"/>
      <c r="D3" s="946"/>
      <c r="E3" s="946"/>
      <c r="F3" s="946"/>
      <c r="G3" s="946"/>
      <c r="H3" s="946"/>
      <c r="I3" s="946"/>
      <c r="J3" s="946"/>
      <c r="K3" s="946"/>
      <c r="L3" s="946"/>
      <c r="M3" s="946"/>
      <c r="N3" s="946"/>
      <c r="O3" s="946"/>
      <c r="P3" s="947"/>
      <c r="R3" s="3"/>
      <c r="T3" s="5"/>
      <c r="U3" s="6"/>
    </row>
    <row r="4" spans="1:21" ht="15" customHeight="1" x14ac:dyDescent="0.25">
      <c r="A4" s="945"/>
      <c r="B4" s="946"/>
      <c r="C4" s="946"/>
      <c r="D4" s="946"/>
      <c r="E4" s="946"/>
      <c r="F4" s="946"/>
      <c r="G4" s="946"/>
      <c r="H4" s="946"/>
      <c r="I4" s="946"/>
      <c r="J4" s="946"/>
      <c r="K4" s="946"/>
      <c r="L4" s="946"/>
      <c r="M4" s="946"/>
      <c r="N4" s="946"/>
      <c r="O4" s="946"/>
      <c r="P4" s="947"/>
      <c r="R4" s="3"/>
      <c r="T4" s="5"/>
      <c r="U4" s="6"/>
    </row>
    <row r="5" spans="1:21" ht="15" customHeight="1" thickBot="1" x14ac:dyDescent="0.3">
      <c r="A5" s="948"/>
      <c r="B5" s="949"/>
      <c r="C5" s="949"/>
      <c r="D5" s="949"/>
      <c r="E5" s="949"/>
      <c r="F5" s="949"/>
      <c r="G5" s="949"/>
      <c r="H5" s="949"/>
      <c r="I5" s="949"/>
      <c r="J5" s="949"/>
      <c r="K5" s="949"/>
      <c r="L5" s="949"/>
      <c r="M5" s="949"/>
      <c r="N5" s="949"/>
      <c r="O5" s="949"/>
      <c r="P5" s="950"/>
      <c r="Q5" s="8"/>
      <c r="R5" s="4"/>
      <c r="S5" s="23"/>
      <c r="T5" s="23"/>
      <c r="U5" s="23"/>
    </row>
    <row r="6" spans="1:21" ht="15" customHeight="1" x14ac:dyDescent="0.25">
      <c r="A6" s="17" t="s">
        <v>6</v>
      </c>
      <c r="B6" s="476" t="str">
        <f>'S Synthèse'!B6</f>
        <v>BRA</v>
      </c>
      <c r="C6" s="17" t="s">
        <v>7</v>
      </c>
      <c r="D6" s="476">
        <f>'S Synthèse'!D6</f>
        <v>0</v>
      </c>
      <c r="E6" s="957" t="s">
        <v>156</v>
      </c>
      <c r="F6" s="958"/>
      <c r="G6" s="958"/>
      <c r="H6" s="958"/>
      <c r="I6" s="958"/>
      <c r="J6" s="958"/>
      <c r="K6" s="958"/>
      <c r="L6" s="959"/>
      <c r="M6" s="1020" t="s">
        <v>9</v>
      </c>
      <c r="N6" s="1021"/>
      <c r="O6" s="963" t="s">
        <v>10</v>
      </c>
      <c r="P6" s="964"/>
      <c r="R6" s="1"/>
      <c r="S6" s="1"/>
    </row>
    <row r="7" spans="1:21" ht="15" customHeight="1" thickBot="1" x14ac:dyDescent="0.3">
      <c r="A7" s="18" t="s">
        <v>12</v>
      </c>
      <c r="B7" s="477">
        <f>'S Synthèse'!B7</f>
        <v>0</v>
      </c>
      <c r="C7" s="18" t="s">
        <v>12</v>
      </c>
      <c r="D7" s="477">
        <f>'S Synthèse'!D7</f>
        <v>0</v>
      </c>
      <c r="E7" s="960"/>
      <c r="F7" s="961"/>
      <c r="G7" s="961"/>
      <c r="H7" s="961"/>
      <c r="I7" s="961"/>
      <c r="J7" s="961"/>
      <c r="K7" s="961"/>
      <c r="L7" s="962"/>
      <c r="M7" s="1022" t="str">
        <f>'S Synthèse'!M7:M7</f>
        <v>#DateClôture</v>
      </c>
      <c r="N7" s="1023"/>
      <c r="O7" s="965" t="s">
        <v>34</v>
      </c>
      <c r="P7" s="966"/>
    </row>
    <row r="8" spans="1:21" ht="21" customHeight="1" thickBot="1" x14ac:dyDescent="0.3">
      <c r="A8" s="19"/>
      <c r="B8" s="16"/>
      <c r="C8" s="20"/>
      <c r="D8" s="20"/>
      <c r="E8" s="21"/>
      <c r="F8" s="21"/>
      <c r="G8" s="21"/>
      <c r="H8" s="21"/>
      <c r="I8" s="21"/>
      <c r="J8" s="21"/>
      <c r="K8" s="21"/>
      <c r="L8" s="21"/>
      <c r="M8" s="22"/>
      <c r="N8" s="20"/>
      <c r="O8" s="1002" t="s">
        <v>63</v>
      </c>
      <c r="P8" s="1002"/>
    </row>
    <row r="9" spans="1:21" s="20" customFormat="1" ht="31.5" customHeight="1" thickBot="1" x14ac:dyDescent="0.25">
      <c r="A9" s="951" t="s">
        <v>17</v>
      </c>
      <c r="B9" s="952"/>
      <c r="C9" s="952"/>
      <c r="D9" s="1012" t="str">
        <f>'S Synthèse'!D9:E9</f>
        <v>Modéré</v>
      </c>
      <c r="E9" s="1013"/>
      <c r="F9" s="953" t="s">
        <v>18</v>
      </c>
      <c r="G9" s="954"/>
      <c r="H9" s="954"/>
      <c r="I9" s="954"/>
      <c r="J9" s="1004">
        <f>'S Synthèse'!J9:K9</f>
        <v>0</v>
      </c>
      <c r="K9" s="1005"/>
      <c r="L9" s="953" t="s">
        <v>19</v>
      </c>
      <c r="M9" s="954"/>
      <c r="N9" s="954"/>
      <c r="O9" s="1012" t="str">
        <f>'S Synthèse'!N9</f>
        <v>PE</v>
      </c>
      <c r="P9" s="1013"/>
    </row>
    <row r="10" spans="1:21" s="20" customFormat="1" ht="21" customHeight="1" thickBot="1" x14ac:dyDescent="0.25">
      <c r="A10" s="24"/>
      <c r="B10" s="24"/>
      <c r="C10" s="24"/>
      <c r="D10" s="24"/>
      <c r="E10" s="24"/>
      <c r="F10" s="24"/>
      <c r="G10" s="24"/>
      <c r="H10" s="24"/>
      <c r="I10" s="24"/>
      <c r="J10" s="24"/>
      <c r="K10" s="24"/>
      <c r="L10" s="24"/>
      <c r="M10" s="24"/>
      <c r="N10" s="24"/>
      <c r="O10" s="24"/>
      <c r="P10" s="24"/>
    </row>
    <row r="11" spans="1:21" s="25" customFormat="1" ht="94.9" customHeight="1" thickBot="1" x14ac:dyDescent="0.3">
      <c r="A11" s="1006" t="s">
        <v>157</v>
      </c>
      <c r="B11" s="1007"/>
      <c r="C11" s="1007"/>
      <c r="D11" s="1007"/>
      <c r="E11" s="1007"/>
      <c r="F11" s="1007"/>
      <c r="G11" s="1007"/>
      <c r="H11" s="1007"/>
      <c r="I11" s="1007"/>
      <c r="J11" s="1007"/>
      <c r="K11" s="1007"/>
      <c r="L11" s="1007"/>
      <c r="M11" s="1007"/>
      <c r="N11" s="1007"/>
      <c r="O11" s="1007"/>
      <c r="P11" s="1008"/>
    </row>
    <row r="12" spans="1:21" s="25" customFormat="1" ht="9" customHeight="1" thickBot="1" x14ac:dyDescent="0.3"/>
    <row r="13" spans="1:21" s="25" customFormat="1" ht="15" x14ac:dyDescent="0.25">
      <c r="A13" s="974" t="s">
        <v>67</v>
      </c>
      <c r="B13" s="975"/>
      <c r="C13" s="975"/>
      <c r="D13" s="975"/>
      <c r="E13" s="975"/>
      <c r="F13" s="975"/>
      <c r="G13" s="975"/>
      <c r="H13" s="975"/>
      <c r="I13" s="975"/>
      <c r="J13" s="975"/>
      <c r="K13" s="975"/>
      <c r="L13" s="975"/>
      <c r="M13" s="975"/>
      <c r="N13" s="975"/>
      <c r="O13" s="975"/>
      <c r="P13" s="976"/>
    </row>
    <row r="14" spans="1:21" s="25" customFormat="1" ht="60" customHeight="1" thickBot="1" x14ac:dyDescent="0.3">
      <c r="A14" s="1009"/>
      <c r="B14" s="1010"/>
      <c r="C14" s="1010"/>
      <c r="D14" s="1010"/>
      <c r="E14" s="1010"/>
      <c r="F14" s="1010"/>
      <c r="G14" s="1010"/>
      <c r="H14" s="1010"/>
      <c r="I14" s="1010"/>
      <c r="J14" s="1010"/>
      <c r="K14" s="1010"/>
      <c r="L14" s="1010"/>
      <c r="M14" s="1010"/>
      <c r="N14" s="1010"/>
      <c r="O14" s="1010"/>
      <c r="P14" s="1011"/>
    </row>
    <row r="15" spans="1:21" ht="16.5" thickBot="1" x14ac:dyDescent="0.3"/>
    <row r="16" spans="1:21" s="25" customFormat="1" ht="15" x14ac:dyDescent="0.25">
      <c r="A16" s="603"/>
      <c r="B16" s="604"/>
      <c r="C16" s="604"/>
      <c r="D16" s="604"/>
      <c r="E16" s="604"/>
      <c r="F16" s="604"/>
      <c r="G16" s="450"/>
      <c r="H16" s="450"/>
      <c r="I16" s="450"/>
      <c r="J16" s="261"/>
      <c r="K16" s="261"/>
      <c r="L16" s="261"/>
      <c r="M16" s="261"/>
      <c r="N16" s="261"/>
      <c r="O16" s="261"/>
      <c r="P16" s="286"/>
    </row>
    <row r="17" spans="1:16" s="25" customFormat="1" ht="15" x14ac:dyDescent="0.25">
      <c r="A17" s="848"/>
      <c r="B17" s="849"/>
      <c r="C17" s="849"/>
      <c r="D17" s="1068" t="s">
        <v>191</v>
      </c>
      <c r="E17" s="1068"/>
      <c r="F17" s="849"/>
      <c r="G17" s="126"/>
      <c r="H17" s="126"/>
      <c r="I17" s="126"/>
      <c r="P17" s="287"/>
    </row>
    <row r="18" spans="1:16" s="25" customFormat="1" ht="15" x14ac:dyDescent="0.25">
      <c r="A18" s="848"/>
      <c r="C18" s="105" t="s">
        <v>383</v>
      </c>
      <c r="D18" s="1066"/>
      <c r="E18" s="1067"/>
      <c r="F18" s="849"/>
      <c r="G18" s="126"/>
      <c r="H18" s="126"/>
      <c r="I18" s="126"/>
      <c r="P18" s="287"/>
    </row>
    <row r="19" spans="1:16" s="25" customFormat="1" thickBot="1" x14ac:dyDescent="0.3">
      <c r="A19" s="848"/>
      <c r="B19" s="849"/>
      <c r="C19" s="849"/>
      <c r="D19" s="849"/>
      <c r="E19" s="849"/>
      <c r="F19" s="849"/>
      <c r="G19" s="126"/>
      <c r="H19" s="126"/>
      <c r="I19" s="126"/>
      <c r="P19" s="287"/>
    </row>
    <row r="20" spans="1:16" s="25" customFormat="1" thickBot="1" x14ac:dyDescent="0.3">
      <c r="A20" s="848"/>
      <c r="B20" s="849"/>
      <c r="C20" s="849"/>
      <c r="D20" s="1071" t="s">
        <v>384</v>
      </c>
      <c r="E20" s="1072"/>
      <c r="F20" s="1072"/>
      <c r="G20" s="1072"/>
      <c r="H20" s="1072"/>
      <c r="I20" s="1072"/>
      <c r="J20" s="1073"/>
      <c r="K20" s="1063" t="s">
        <v>385</v>
      </c>
      <c r="L20" s="1064"/>
      <c r="M20" s="1064"/>
      <c r="N20" s="1064"/>
      <c r="O20" s="1064"/>
      <c r="P20" s="1065"/>
    </row>
    <row r="21" spans="1:16" s="25" customFormat="1" ht="62.45" customHeight="1" thickBot="1" x14ac:dyDescent="0.3">
      <c r="A21" s="920" t="s">
        <v>158</v>
      </c>
      <c r="B21" s="1069" t="s">
        <v>159</v>
      </c>
      <c r="C21" s="1070"/>
      <c r="D21" s="921" t="s">
        <v>382</v>
      </c>
      <c r="E21" s="922" t="s">
        <v>381</v>
      </c>
      <c r="F21" s="923" t="s">
        <v>375</v>
      </c>
      <c r="G21" s="924" t="s">
        <v>377</v>
      </c>
      <c r="H21" s="925" t="s">
        <v>376</v>
      </c>
      <c r="I21" s="925" t="s">
        <v>161</v>
      </c>
      <c r="J21" s="926" t="s">
        <v>64</v>
      </c>
      <c r="K21" s="927" t="s">
        <v>377</v>
      </c>
      <c r="L21" s="925" t="s">
        <v>378</v>
      </c>
      <c r="M21" s="925" t="s">
        <v>380</v>
      </c>
      <c r="N21" s="928" t="s">
        <v>379</v>
      </c>
      <c r="O21" s="925" t="s">
        <v>161</v>
      </c>
      <c r="P21" s="929" t="s">
        <v>64</v>
      </c>
    </row>
    <row r="22" spans="1:16" s="33" customFormat="1" ht="15" x14ac:dyDescent="0.2">
      <c r="A22" s="451"/>
      <c r="B22" s="859"/>
      <c r="C22" s="860"/>
      <c r="D22" s="873">
        <f>E22*F22</f>
        <v>0</v>
      </c>
      <c r="E22" s="869"/>
      <c r="F22" s="851"/>
      <c r="G22" s="852"/>
      <c r="H22" s="876">
        <f>G22-F22</f>
        <v>0</v>
      </c>
      <c r="I22" s="877">
        <f>H22*E22</f>
        <v>0</v>
      </c>
      <c r="J22" s="860"/>
      <c r="K22" s="880">
        <f>G22</f>
        <v>0</v>
      </c>
      <c r="L22" s="852"/>
      <c r="M22" s="877">
        <f>K22+L22</f>
        <v>0</v>
      </c>
      <c r="N22" s="852"/>
      <c r="O22" s="877">
        <f t="shared" ref="O22:O49" si="0">(N22-M22)*E22</f>
        <v>0</v>
      </c>
      <c r="P22" s="866"/>
    </row>
    <row r="23" spans="1:16" s="33" customFormat="1" ht="15" x14ac:dyDescent="0.2">
      <c r="A23" s="861"/>
      <c r="B23" s="795"/>
      <c r="C23" s="862"/>
      <c r="D23" s="874">
        <f t="shared" ref="D23:D49" si="1">E23*F23</f>
        <v>0</v>
      </c>
      <c r="E23" s="870"/>
      <c r="F23" s="853"/>
      <c r="G23" s="854"/>
      <c r="H23" s="877">
        <f t="shared" ref="H23:H49" si="2">G23-F23</f>
        <v>0</v>
      </c>
      <c r="I23" s="877">
        <f t="shared" ref="I23:I49" si="3">H23*E23</f>
        <v>0</v>
      </c>
      <c r="J23" s="862"/>
      <c r="K23" s="880">
        <f t="shared" ref="K23:K49" si="4">G23</f>
        <v>0</v>
      </c>
      <c r="L23" s="854"/>
      <c r="M23" s="877">
        <f t="shared" ref="M23:M49" si="5">K23+L23</f>
        <v>0</v>
      </c>
      <c r="N23" s="854"/>
      <c r="O23" s="877">
        <f t="shared" si="0"/>
        <v>0</v>
      </c>
      <c r="P23" s="867"/>
    </row>
    <row r="24" spans="1:16" s="33" customFormat="1" ht="15" x14ac:dyDescent="0.2">
      <c r="A24" s="861"/>
      <c r="B24" s="795"/>
      <c r="C24" s="862"/>
      <c r="D24" s="874">
        <f t="shared" si="1"/>
        <v>0</v>
      </c>
      <c r="E24" s="870"/>
      <c r="F24" s="853"/>
      <c r="G24" s="854"/>
      <c r="H24" s="877">
        <f t="shared" si="2"/>
        <v>0</v>
      </c>
      <c r="I24" s="877">
        <f t="shared" si="3"/>
        <v>0</v>
      </c>
      <c r="J24" s="862"/>
      <c r="K24" s="880">
        <f t="shared" si="4"/>
        <v>0</v>
      </c>
      <c r="L24" s="854"/>
      <c r="M24" s="877">
        <f t="shared" si="5"/>
        <v>0</v>
      </c>
      <c r="N24" s="854"/>
      <c r="O24" s="877">
        <f t="shared" si="0"/>
        <v>0</v>
      </c>
      <c r="P24" s="867"/>
    </row>
    <row r="25" spans="1:16" s="33" customFormat="1" ht="15" x14ac:dyDescent="0.2">
      <c r="A25" s="861"/>
      <c r="B25" s="795"/>
      <c r="C25" s="862"/>
      <c r="D25" s="874">
        <f t="shared" si="1"/>
        <v>0</v>
      </c>
      <c r="E25" s="870"/>
      <c r="F25" s="853"/>
      <c r="G25" s="854"/>
      <c r="H25" s="877">
        <f t="shared" si="2"/>
        <v>0</v>
      </c>
      <c r="I25" s="877">
        <f t="shared" si="3"/>
        <v>0</v>
      </c>
      <c r="J25" s="862"/>
      <c r="K25" s="880">
        <f t="shared" si="4"/>
        <v>0</v>
      </c>
      <c r="L25" s="854"/>
      <c r="M25" s="877">
        <f t="shared" si="5"/>
        <v>0</v>
      </c>
      <c r="N25" s="854"/>
      <c r="O25" s="877">
        <f t="shared" si="0"/>
        <v>0</v>
      </c>
      <c r="P25" s="867"/>
    </row>
    <row r="26" spans="1:16" s="33" customFormat="1" ht="15" x14ac:dyDescent="0.2">
      <c r="A26" s="861"/>
      <c r="B26" s="795"/>
      <c r="C26" s="862"/>
      <c r="D26" s="874">
        <f t="shared" si="1"/>
        <v>0</v>
      </c>
      <c r="E26" s="870"/>
      <c r="F26" s="853"/>
      <c r="G26" s="854"/>
      <c r="H26" s="877">
        <f t="shared" si="2"/>
        <v>0</v>
      </c>
      <c r="I26" s="877">
        <f t="shared" si="3"/>
        <v>0</v>
      </c>
      <c r="J26" s="862"/>
      <c r="K26" s="880">
        <f t="shared" si="4"/>
        <v>0</v>
      </c>
      <c r="L26" s="854"/>
      <c r="M26" s="877">
        <f t="shared" si="5"/>
        <v>0</v>
      </c>
      <c r="N26" s="854"/>
      <c r="O26" s="877">
        <f t="shared" si="0"/>
        <v>0</v>
      </c>
      <c r="P26" s="867"/>
    </row>
    <row r="27" spans="1:16" s="33" customFormat="1" ht="15" x14ac:dyDescent="0.2">
      <c r="A27" s="861"/>
      <c r="B27" s="795"/>
      <c r="C27" s="862"/>
      <c r="D27" s="874">
        <f t="shared" si="1"/>
        <v>0</v>
      </c>
      <c r="E27" s="870"/>
      <c r="F27" s="853"/>
      <c r="G27" s="854"/>
      <c r="H27" s="877">
        <f t="shared" si="2"/>
        <v>0</v>
      </c>
      <c r="I27" s="877">
        <f t="shared" si="3"/>
        <v>0</v>
      </c>
      <c r="J27" s="862"/>
      <c r="K27" s="880">
        <f t="shared" si="4"/>
        <v>0</v>
      </c>
      <c r="L27" s="854"/>
      <c r="M27" s="877">
        <f t="shared" si="5"/>
        <v>0</v>
      </c>
      <c r="N27" s="854"/>
      <c r="O27" s="877">
        <f t="shared" si="0"/>
        <v>0</v>
      </c>
      <c r="P27" s="867"/>
    </row>
    <row r="28" spans="1:16" s="33" customFormat="1" ht="15" x14ac:dyDescent="0.2">
      <c r="A28" s="861"/>
      <c r="B28" s="795"/>
      <c r="C28" s="862"/>
      <c r="D28" s="874">
        <f t="shared" si="1"/>
        <v>0</v>
      </c>
      <c r="E28" s="870"/>
      <c r="F28" s="853"/>
      <c r="G28" s="854"/>
      <c r="H28" s="877">
        <f t="shared" si="2"/>
        <v>0</v>
      </c>
      <c r="I28" s="877">
        <f t="shared" si="3"/>
        <v>0</v>
      </c>
      <c r="J28" s="862"/>
      <c r="K28" s="880">
        <f t="shared" si="4"/>
        <v>0</v>
      </c>
      <c r="L28" s="854"/>
      <c r="M28" s="877">
        <f t="shared" si="5"/>
        <v>0</v>
      </c>
      <c r="N28" s="854"/>
      <c r="O28" s="877">
        <f t="shared" si="0"/>
        <v>0</v>
      </c>
      <c r="P28" s="867"/>
    </row>
    <row r="29" spans="1:16" s="33" customFormat="1" ht="15" x14ac:dyDescent="0.2">
      <c r="A29" s="861"/>
      <c r="B29" s="795"/>
      <c r="C29" s="862"/>
      <c r="D29" s="874">
        <f t="shared" si="1"/>
        <v>0</v>
      </c>
      <c r="E29" s="870"/>
      <c r="F29" s="853"/>
      <c r="G29" s="854"/>
      <c r="H29" s="877">
        <f t="shared" si="2"/>
        <v>0</v>
      </c>
      <c r="I29" s="877">
        <f t="shared" si="3"/>
        <v>0</v>
      </c>
      <c r="J29" s="862"/>
      <c r="K29" s="880">
        <f t="shared" si="4"/>
        <v>0</v>
      </c>
      <c r="L29" s="854"/>
      <c r="M29" s="877">
        <f t="shared" si="5"/>
        <v>0</v>
      </c>
      <c r="N29" s="854"/>
      <c r="O29" s="877">
        <f t="shared" si="0"/>
        <v>0</v>
      </c>
      <c r="P29" s="867"/>
    </row>
    <row r="30" spans="1:16" s="33" customFormat="1" ht="15" x14ac:dyDescent="0.2">
      <c r="A30" s="861"/>
      <c r="B30" s="795"/>
      <c r="C30" s="862"/>
      <c r="D30" s="874">
        <f t="shared" si="1"/>
        <v>0</v>
      </c>
      <c r="E30" s="870"/>
      <c r="F30" s="853"/>
      <c r="G30" s="854"/>
      <c r="H30" s="877">
        <f t="shared" si="2"/>
        <v>0</v>
      </c>
      <c r="I30" s="877">
        <f t="shared" si="3"/>
        <v>0</v>
      </c>
      <c r="J30" s="862"/>
      <c r="K30" s="880">
        <f t="shared" si="4"/>
        <v>0</v>
      </c>
      <c r="L30" s="854"/>
      <c r="M30" s="877">
        <f t="shared" si="5"/>
        <v>0</v>
      </c>
      <c r="N30" s="854"/>
      <c r="O30" s="877">
        <f t="shared" si="0"/>
        <v>0</v>
      </c>
      <c r="P30" s="867"/>
    </row>
    <row r="31" spans="1:16" s="33" customFormat="1" ht="15" x14ac:dyDescent="0.2">
      <c r="A31" s="861"/>
      <c r="B31" s="795"/>
      <c r="C31" s="862"/>
      <c r="D31" s="874">
        <f t="shared" si="1"/>
        <v>0</v>
      </c>
      <c r="E31" s="870"/>
      <c r="F31" s="853"/>
      <c r="G31" s="854"/>
      <c r="H31" s="877">
        <f t="shared" si="2"/>
        <v>0</v>
      </c>
      <c r="I31" s="877">
        <f t="shared" si="3"/>
        <v>0</v>
      </c>
      <c r="J31" s="862"/>
      <c r="K31" s="880">
        <f t="shared" si="4"/>
        <v>0</v>
      </c>
      <c r="L31" s="854"/>
      <c r="M31" s="877">
        <f t="shared" si="5"/>
        <v>0</v>
      </c>
      <c r="N31" s="854"/>
      <c r="O31" s="877">
        <f t="shared" si="0"/>
        <v>0</v>
      </c>
      <c r="P31" s="867"/>
    </row>
    <row r="32" spans="1:16" s="33" customFormat="1" ht="15" x14ac:dyDescent="0.2">
      <c r="A32" s="861"/>
      <c r="B32" s="795"/>
      <c r="C32" s="862"/>
      <c r="D32" s="874">
        <f t="shared" si="1"/>
        <v>0</v>
      </c>
      <c r="E32" s="870"/>
      <c r="F32" s="853"/>
      <c r="G32" s="854"/>
      <c r="H32" s="877">
        <f t="shared" si="2"/>
        <v>0</v>
      </c>
      <c r="I32" s="877">
        <f t="shared" si="3"/>
        <v>0</v>
      </c>
      <c r="J32" s="862"/>
      <c r="K32" s="880">
        <f t="shared" si="4"/>
        <v>0</v>
      </c>
      <c r="L32" s="854"/>
      <c r="M32" s="877">
        <f t="shared" si="5"/>
        <v>0</v>
      </c>
      <c r="N32" s="854"/>
      <c r="O32" s="877">
        <f t="shared" si="0"/>
        <v>0</v>
      </c>
      <c r="P32" s="867"/>
    </row>
    <row r="33" spans="1:16" s="33" customFormat="1" ht="15" x14ac:dyDescent="0.2">
      <c r="A33" s="861"/>
      <c r="B33" s="795"/>
      <c r="C33" s="862"/>
      <c r="D33" s="874">
        <f t="shared" si="1"/>
        <v>0</v>
      </c>
      <c r="E33" s="870"/>
      <c r="F33" s="853"/>
      <c r="G33" s="854"/>
      <c r="H33" s="877">
        <f t="shared" si="2"/>
        <v>0</v>
      </c>
      <c r="I33" s="877">
        <f t="shared" si="3"/>
        <v>0</v>
      </c>
      <c r="J33" s="862"/>
      <c r="K33" s="880">
        <f t="shared" si="4"/>
        <v>0</v>
      </c>
      <c r="L33" s="854"/>
      <c r="M33" s="877">
        <f t="shared" si="5"/>
        <v>0</v>
      </c>
      <c r="N33" s="854"/>
      <c r="O33" s="877">
        <f t="shared" si="0"/>
        <v>0</v>
      </c>
      <c r="P33" s="867"/>
    </row>
    <row r="34" spans="1:16" s="33" customFormat="1" ht="15" x14ac:dyDescent="0.2">
      <c r="A34" s="861"/>
      <c r="B34" s="795"/>
      <c r="C34" s="862"/>
      <c r="D34" s="874">
        <f t="shared" si="1"/>
        <v>0</v>
      </c>
      <c r="E34" s="870"/>
      <c r="F34" s="853"/>
      <c r="G34" s="854"/>
      <c r="H34" s="877">
        <f t="shared" si="2"/>
        <v>0</v>
      </c>
      <c r="I34" s="877">
        <f t="shared" si="3"/>
        <v>0</v>
      </c>
      <c r="J34" s="862"/>
      <c r="K34" s="880">
        <f t="shared" si="4"/>
        <v>0</v>
      </c>
      <c r="L34" s="854"/>
      <c r="M34" s="877">
        <f t="shared" si="5"/>
        <v>0</v>
      </c>
      <c r="N34" s="854"/>
      <c r="O34" s="877">
        <f t="shared" si="0"/>
        <v>0</v>
      </c>
      <c r="P34" s="867"/>
    </row>
    <row r="35" spans="1:16" s="33" customFormat="1" ht="15" x14ac:dyDescent="0.2">
      <c r="A35" s="861"/>
      <c r="B35" s="795"/>
      <c r="C35" s="862"/>
      <c r="D35" s="874">
        <f t="shared" si="1"/>
        <v>0</v>
      </c>
      <c r="E35" s="871"/>
      <c r="F35" s="855"/>
      <c r="G35" s="856"/>
      <c r="H35" s="877">
        <f t="shared" si="2"/>
        <v>0</v>
      </c>
      <c r="I35" s="877">
        <f t="shared" si="3"/>
        <v>0</v>
      </c>
      <c r="J35" s="862"/>
      <c r="K35" s="880">
        <f t="shared" si="4"/>
        <v>0</v>
      </c>
      <c r="L35" s="856"/>
      <c r="M35" s="877">
        <f t="shared" si="5"/>
        <v>0</v>
      </c>
      <c r="N35" s="856"/>
      <c r="O35" s="877">
        <f t="shared" si="0"/>
        <v>0</v>
      </c>
      <c r="P35" s="867"/>
    </row>
    <row r="36" spans="1:16" s="33" customFormat="1" ht="15" x14ac:dyDescent="0.2">
      <c r="A36" s="861"/>
      <c r="B36" s="795"/>
      <c r="C36" s="862"/>
      <c r="D36" s="874">
        <f t="shared" si="1"/>
        <v>0</v>
      </c>
      <c r="E36" s="871"/>
      <c r="F36" s="855"/>
      <c r="G36" s="856"/>
      <c r="H36" s="877">
        <f t="shared" si="2"/>
        <v>0</v>
      </c>
      <c r="I36" s="877">
        <f t="shared" si="3"/>
        <v>0</v>
      </c>
      <c r="J36" s="862"/>
      <c r="K36" s="880">
        <f t="shared" si="4"/>
        <v>0</v>
      </c>
      <c r="L36" s="856"/>
      <c r="M36" s="877">
        <f t="shared" si="5"/>
        <v>0</v>
      </c>
      <c r="N36" s="856"/>
      <c r="O36" s="877">
        <f t="shared" si="0"/>
        <v>0</v>
      </c>
      <c r="P36" s="867"/>
    </row>
    <row r="37" spans="1:16" s="33" customFormat="1" ht="15" x14ac:dyDescent="0.2">
      <c r="A37" s="861"/>
      <c r="B37" s="795"/>
      <c r="C37" s="862"/>
      <c r="D37" s="874">
        <f t="shared" si="1"/>
        <v>0</v>
      </c>
      <c r="E37" s="871"/>
      <c r="F37" s="855"/>
      <c r="G37" s="856"/>
      <c r="H37" s="877">
        <f t="shared" si="2"/>
        <v>0</v>
      </c>
      <c r="I37" s="877">
        <f t="shared" si="3"/>
        <v>0</v>
      </c>
      <c r="J37" s="862"/>
      <c r="K37" s="880">
        <f t="shared" si="4"/>
        <v>0</v>
      </c>
      <c r="L37" s="856"/>
      <c r="M37" s="877">
        <f t="shared" si="5"/>
        <v>0</v>
      </c>
      <c r="N37" s="856"/>
      <c r="O37" s="877">
        <f t="shared" si="0"/>
        <v>0</v>
      </c>
      <c r="P37" s="867"/>
    </row>
    <row r="38" spans="1:16" s="33" customFormat="1" ht="15" x14ac:dyDescent="0.2">
      <c r="A38" s="861"/>
      <c r="B38" s="795"/>
      <c r="C38" s="862"/>
      <c r="D38" s="874">
        <f t="shared" si="1"/>
        <v>0</v>
      </c>
      <c r="E38" s="871"/>
      <c r="F38" s="855"/>
      <c r="G38" s="856"/>
      <c r="H38" s="877">
        <f t="shared" si="2"/>
        <v>0</v>
      </c>
      <c r="I38" s="877">
        <f t="shared" si="3"/>
        <v>0</v>
      </c>
      <c r="J38" s="862"/>
      <c r="K38" s="880">
        <f t="shared" si="4"/>
        <v>0</v>
      </c>
      <c r="L38" s="856"/>
      <c r="M38" s="877">
        <f t="shared" si="5"/>
        <v>0</v>
      </c>
      <c r="N38" s="856"/>
      <c r="O38" s="877">
        <f t="shared" si="0"/>
        <v>0</v>
      </c>
      <c r="P38" s="867"/>
    </row>
    <row r="39" spans="1:16" s="33" customFormat="1" ht="15" x14ac:dyDescent="0.2">
      <c r="A39" s="861"/>
      <c r="B39" s="795"/>
      <c r="C39" s="862"/>
      <c r="D39" s="874">
        <f t="shared" si="1"/>
        <v>0</v>
      </c>
      <c r="E39" s="871"/>
      <c r="F39" s="855"/>
      <c r="G39" s="856"/>
      <c r="H39" s="877">
        <f t="shared" si="2"/>
        <v>0</v>
      </c>
      <c r="I39" s="877">
        <f t="shared" si="3"/>
        <v>0</v>
      </c>
      <c r="J39" s="862"/>
      <c r="K39" s="880">
        <f t="shared" si="4"/>
        <v>0</v>
      </c>
      <c r="L39" s="856"/>
      <c r="M39" s="877">
        <f t="shared" si="5"/>
        <v>0</v>
      </c>
      <c r="N39" s="856"/>
      <c r="O39" s="877">
        <f t="shared" si="0"/>
        <v>0</v>
      </c>
      <c r="P39" s="867"/>
    </row>
    <row r="40" spans="1:16" s="33" customFormat="1" ht="15" x14ac:dyDescent="0.2">
      <c r="A40" s="861"/>
      <c r="B40" s="795"/>
      <c r="C40" s="862"/>
      <c r="D40" s="874">
        <f t="shared" si="1"/>
        <v>0</v>
      </c>
      <c r="E40" s="870"/>
      <c r="F40" s="853"/>
      <c r="G40" s="854"/>
      <c r="H40" s="877">
        <f t="shared" si="2"/>
        <v>0</v>
      </c>
      <c r="I40" s="877">
        <f t="shared" si="3"/>
        <v>0</v>
      </c>
      <c r="J40" s="862"/>
      <c r="K40" s="880">
        <f t="shared" si="4"/>
        <v>0</v>
      </c>
      <c r="L40" s="854"/>
      <c r="M40" s="877">
        <f t="shared" si="5"/>
        <v>0</v>
      </c>
      <c r="N40" s="854"/>
      <c r="O40" s="877">
        <f t="shared" si="0"/>
        <v>0</v>
      </c>
      <c r="P40" s="867"/>
    </row>
    <row r="41" spans="1:16" s="33" customFormat="1" ht="15" x14ac:dyDescent="0.2">
      <c r="A41" s="861"/>
      <c r="B41" s="795"/>
      <c r="C41" s="862"/>
      <c r="D41" s="874">
        <f t="shared" si="1"/>
        <v>0</v>
      </c>
      <c r="E41" s="870"/>
      <c r="F41" s="853"/>
      <c r="G41" s="854"/>
      <c r="H41" s="877">
        <f t="shared" si="2"/>
        <v>0</v>
      </c>
      <c r="I41" s="877">
        <f t="shared" si="3"/>
        <v>0</v>
      </c>
      <c r="J41" s="862"/>
      <c r="K41" s="880">
        <f t="shared" si="4"/>
        <v>0</v>
      </c>
      <c r="L41" s="854"/>
      <c r="M41" s="877">
        <f t="shared" si="5"/>
        <v>0</v>
      </c>
      <c r="N41" s="854"/>
      <c r="O41" s="877">
        <f t="shared" si="0"/>
        <v>0</v>
      </c>
      <c r="P41" s="867"/>
    </row>
    <row r="42" spans="1:16" s="33" customFormat="1" ht="15" x14ac:dyDescent="0.2">
      <c r="A42" s="861"/>
      <c r="B42" s="795"/>
      <c r="C42" s="862"/>
      <c r="D42" s="874">
        <f t="shared" si="1"/>
        <v>0</v>
      </c>
      <c r="E42" s="870"/>
      <c r="F42" s="853"/>
      <c r="G42" s="854"/>
      <c r="H42" s="877">
        <f t="shared" si="2"/>
        <v>0</v>
      </c>
      <c r="I42" s="877">
        <f t="shared" si="3"/>
        <v>0</v>
      </c>
      <c r="J42" s="862"/>
      <c r="K42" s="880">
        <f t="shared" si="4"/>
        <v>0</v>
      </c>
      <c r="L42" s="854"/>
      <c r="M42" s="877">
        <f t="shared" si="5"/>
        <v>0</v>
      </c>
      <c r="N42" s="854"/>
      <c r="O42" s="877">
        <f t="shared" si="0"/>
        <v>0</v>
      </c>
      <c r="P42" s="867"/>
    </row>
    <row r="43" spans="1:16" s="33" customFormat="1" ht="15" x14ac:dyDescent="0.2">
      <c r="A43" s="861"/>
      <c r="B43" s="795"/>
      <c r="C43" s="862"/>
      <c r="D43" s="874">
        <f t="shared" si="1"/>
        <v>0</v>
      </c>
      <c r="E43" s="870"/>
      <c r="F43" s="853"/>
      <c r="G43" s="854"/>
      <c r="H43" s="877">
        <f t="shared" si="2"/>
        <v>0</v>
      </c>
      <c r="I43" s="877">
        <f t="shared" si="3"/>
        <v>0</v>
      </c>
      <c r="J43" s="862"/>
      <c r="K43" s="880">
        <f t="shared" si="4"/>
        <v>0</v>
      </c>
      <c r="L43" s="854"/>
      <c r="M43" s="877">
        <f t="shared" si="5"/>
        <v>0</v>
      </c>
      <c r="N43" s="854"/>
      <c r="O43" s="877">
        <f t="shared" si="0"/>
        <v>0</v>
      </c>
      <c r="P43" s="867"/>
    </row>
    <row r="44" spans="1:16" s="33" customFormat="1" ht="15" x14ac:dyDescent="0.2">
      <c r="A44" s="861"/>
      <c r="B44" s="795"/>
      <c r="C44" s="862"/>
      <c r="D44" s="874">
        <f t="shared" si="1"/>
        <v>0</v>
      </c>
      <c r="E44" s="870"/>
      <c r="F44" s="853"/>
      <c r="G44" s="854"/>
      <c r="H44" s="877">
        <f t="shared" si="2"/>
        <v>0</v>
      </c>
      <c r="I44" s="877">
        <f t="shared" si="3"/>
        <v>0</v>
      </c>
      <c r="J44" s="862"/>
      <c r="K44" s="880">
        <f t="shared" si="4"/>
        <v>0</v>
      </c>
      <c r="L44" s="854"/>
      <c r="M44" s="877">
        <f t="shared" si="5"/>
        <v>0</v>
      </c>
      <c r="N44" s="854"/>
      <c r="O44" s="877">
        <f t="shared" si="0"/>
        <v>0</v>
      </c>
      <c r="P44" s="867"/>
    </row>
    <row r="45" spans="1:16" s="33" customFormat="1" ht="15" x14ac:dyDescent="0.2">
      <c r="A45" s="861"/>
      <c r="B45" s="795"/>
      <c r="C45" s="862"/>
      <c r="D45" s="874">
        <f t="shared" si="1"/>
        <v>0</v>
      </c>
      <c r="E45" s="870"/>
      <c r="F45" s="853"/>
      <c r="G45" s="854"/>
      <c r="H45" s="877">
        <f t="shared" si="2"/>
        <v>0</v>
      </c>
      <c r="I45" s="877">
        <f t="shared" si="3"/>
        <v>0</v>
      </c>
      <c r="J45" s="862"/>
      <c r="K45" s="880">
        <f t="shared" si="4"/>
        <v>0</v>
      </c>
      <c r="L45" s="854"/>
      <c r="M45" s="877">
        <f t="shared" si="5"/>
        <v>0</v>
      </c>
      <c r="N45" s="854"/>
      <c r="O45" s="877">
        <f t="shared" si="0"/>
        <v>0</v>
      </c>
      <c r="P45" s="867"/>
    </row>
    <row r="46" spans="1:16" s="33" customFormat="1" ht="15" x14ac:dyDescent="0.2">
      <c r="A46" s="861"/>
      <c r="B46" s="795"/>
      <c r="C46" s="862"/>
      <c r="D46" s="874">
        <f t="shared" si="1"/>
        <v>0</v>
      </c>
      <c r="E46" s="870"/>
      <c r="F46" s="853"/>
      <c r="G46" s="854"/>
      <c r="H46" s="877">
        <f t="shared" si="2"/>
        <v>0</v>
      </c>
      <c r="I46" s="877">
        <f t="shared" si="3"/>
        <v>0</v>
      </c>
      <c r="J46" s="862"/>
      <c r="K46" s="880">
        <f t="shared" si="4"/>
        <v>0</v>
      </c>
      <c r="L46" s="854"/>
      <c r="M46" s="877">
        <f t="shared" si="5"/>
        <v>0</v>
      </c>
      <c r="N46" s="854"/>
      <c r="O46" s="877">
        <f t="shared" si="0"/>
        <v>0</v>
      </c>
      <c r="P46" s="867"/>
    </row>
    <row r="47" spans="1:16" s="33" customFormat="1" ht="15" x14ac:dyDescent="0.2">
      <c r="A47" s="861"/>
      <c r="B47" s="795"/>
      <c r="C47" s="862"/>
      <c r="D47" s="874">
        <f t="shared" si="1"/>
        <v>0</v>
      </c>
      <c r="E47" s="870"/>
      <c r="F47" s="853"/>
      <c r="G47" s="854"/>
      <c r="H47" s="877">
        <f t="shared" si="2"/>
        <v>0</v>
      </c>
      <c r="I47" s="877">
        <f t="shared" si="3"/>
        <v>0</v>
      </c>
      <c r="J47" s="862"/>
      <c r="K47" s="880">
        <f t="shared" si="4"/>
        <v>0</v>
      </c>
      <c r="L47" s="854"/>
      <c r="M47" s="877">
        <f t="shared" si="5"/>
        <v>0</v>
      </c>
      <c r="N47" s="854"/>
      <c r="O47" s="877">
        <f t="shared" si="0"/>
        <v>0</v>
      </c>
      <c r="P47" s="867"/>
    </row>
    <row r="48" spans="1:16" s="33" customFormat="1" ht="15" x14ac:dyDescent="0.2">
      <c r="A48" s="861"/>
      <c r="B48" s="795"/>
      <c r="C48" s="862"/>
      <c r="D48" s="874">
        <f t="shared" si="1"/>
        <v>0</v>
      </c>
      <c r="E48" s="870"/>
      <c r="F48" s="853"/>
      <c r="G48" s="854"/>
      <c r="H48" s="877">
        <f t="shared" si="2"/>
        <v>0</v>
      </c>
      <c r="I48" s="877">
        <f t="shared" si="3"/>
        <v>0</v>
      </c>
      <c r="J48" s="862"/>
      <c r="K48" s="880">
        <f t="shared" si="4"/>
        <v>0</v>
      </c>
      <c r="L48" s="854"/>
      <c r="M48" s="877">
        <f t="shared" si="5"/>
        <v>0</v>
      </c>
      <c r="N48" s="854"/>
      <c r="O48" s="877">
        <f t="shared" si="0"/>
        <v>0</v>
      </c>
      <c r="P48" s="867"/>
    </row>
    <row r="49" spans="1:16" s="33" customFormat="1" thickBot="1" x14ac:dyDescent="0.25">
      <c r="A49" s="863"/>
      <c r="B49" s="864"/>
      <c r="C49" s="865"/>
      <c r="D49" s="875">
        <f t="shared" si="1"/>
        <v>0</v>
      </c>
      <c r="E49" s="872"/>
      <c r="F49" s="857"/>
      <c r="G49" s="858"/>
      <c r="H49" s="878">
        <f t="shared" si="2"/>
        <v>0</v>
      </c>
      <c r="I49" s="879">
        <f t="shared" si="3"/>
        <v>0</v>
      </c>
      <c r="J49" s="865"/>
      <c r="K49" s="881">
        <f t="shared" si="4"/>
        <v>0</v>
      </c>
      <c r="L49" s="858"/>
      <c r="M49" s="879">
        <f t="shared" si="5"/>
        <v>0</v>
      </c>
      <c r="N49" s="858"/>
      <c r="O49" s="879">
        <f t="shared" si="0"/>
        <v>0</v>
      </c>
      <c r="P49" s="868"/>
    </row>
    <row r="50" spans="1:16" s="25" customFormat="1" ht="15" x14ac:dyDescent="0.25">
      <c r="A50" s="38"/>
      <c r="B50" s="129"/>
      <c r="C50" s="129"/>
      <c r="D50" s="130"/>
      <c r="E50" s="131"/>
      <c r="F50" s="130"/>
      <c r="G50" s="132"/>
      <c r="I50" s="132"/>
      <c r="K50" s="324"/>
      <c r="P50" s="287"/>
    </row>
    <row r="51" spans="1:16" s="25" customFormat="1" ht="15" x14ac:dyDescent="0.25">
      <c r="A51" s="38"/>
      <c r="B51" s="129"/>
      <c r="C51" s="129"/>
      <c r="D51" s="130"/>
      <c r="E51" s="131"/>
      <c r="F51" s="130"/>
      <c r="G51" s="132"/>
      <c r="I51" s="132"/>
      <c r="K51" s="324"/>
      <c r="P51" s="287"/>
    </row>
    <row r="52" spans="1:16" s="25" customFormat="1" ht="15" x14ac:dyDescent="0.25">
      <c r="A52" s="38"/>
      <c r="C52" s="794" t="s">
        <v>162</v>
      </c>
      <c r="D52" s="591">
        <f>SUM(D22:D49)</f>
        <v>0</v>
      </c>
      <c r="H52" s="601" t="s">
        <v>163</v>
      </c>
      <c r="I52" s="591">
        <f>SUM(I22:I49)</f>
        <v>0</v>
      </c>
      <c r="J52" s="324"/>
      <c r="P52" s="287"/>
    </row>
    <row r="53" spans="1:16" s="25" customFormat="1" ht="15" x14ac:dyDescent="0.25">
      <c r="A53" s="38"/>
      <c r="D53" s="223"/>
      <c r="H53" s="322"/>
      <c r="I53" s="323"/>
      <c r="J53" s="324"/>
      <c r="P53" s="287"/>
    </row>
    <row r="54" spans="1:16" s="25" customFormat="1" ht="15" x14ac:dyDescent="0.25">
      <c r="A54" s="38"/>
      <c r="C54" s="793" t="s">
        <v>164</v>
      </c>
      <c r="D54" s="590">
        <f>'S100 Tableau var stocks'!E26</f>
        <v>0</v>
      </c>
      <c r="H54" s="602" t="s">
        <v>165</v>
      </c>
      <c r="I54" s="574" t="e">
        <f>+I52/D52</f>
        <v>#DIV/0!</v>
      </c>
      <c r="J54" s="324"/>
      <c r="P54" s="287"/>
    </row>
    <row r="55" spans="1:16" s="25" customFormat="1" ht="15" x14ac:dyDescent="0.25">
      <c r="A55" s="136"/>
      <c r="C55" s="126"/>
      <c r="D55" s="223"/>
      <c r="H55" s="322"/>
      <c r="I55" s="323"/>
      <c r="J55" s="325"/>
      <c r="P55" s="287"/>
    </row>
    <row r="56" spans="1:16" s="25" customFormat="1" ht="15" x14ac:dyDescent="0.25">
      <c r="A56" s="139"/>
      <c r="C56" s="792" t="s">
        <v>166</v>
      </c>
      <c r="D56" s="589" t="e">
        <f>+D52/D54</f>
        <v>#DIV/0!</v>
      </c>
      <c r="H56" s="600" t="s">
        <v>167</v>
      </c>
      <c r="I56" s="591" t="e">
        <f>D54*I54</f>
        <v>#DIV/0!</v>
      </c>
      <c r="J56" s="254"/>
      <c r="P56" s="287"/>
    </row>
    <row r="57" spans="1:16" s="25" customFormat="1" ht="15" x14ac:dyDescent="0.25">
      <c r="A57" s="139"/>
      <c r="B57" s="135"/>
      <c r="D57" s="141"/>
      <c r="E57" s="141"/>
      <c r="G57" s="255"/>
      <c r="H57" s="255"/>
      <c r="J57" s="144"/>
      <c r="L57" s="253"/>
      <c r="P57" s="287"/>
    </row>
    <row r="58" spans="1:16" s="25" customFormat="1" ht="15" x14ac:dyDescent="0.25">
      <c r="A58" s="139"/>
      <c r="B58" s="135"/>
      <c r="D58" s="126"/>
      <c r="E58" s="145"/>
      <c r="F58" s="150"/>
      <c r="H58" s="151"/>
      <c r="I58" s="152"/>
      <c r="K58" s="149"/>
      <c r="M58" s="254"/>
      <c r="P58" s="287"/>
    </row>
    <row r="59" spans="1:16" x14ac:dyDescent="0.25">
      <c r="A59" s="605"/>
      <c r="P59" s="606"/>
    </row>
    <row r="60" spans="1:16" s="33" customFormat="1" ht="75" customHeight="1" x14ac:dyDescent="0.2">
      <c r="A60" s="1040" t="s">
        <v>64</v>
      </c>
      <c r="B60" s="1041"/>
      <c r="C60" s="1041"/>
      <c r="D60" s="1041"/>
      <c r="E60" s="1041"/>
      <c r="F60" s="1041"/>
      <c r="G60" s="1041"/>
      <c r="H60" s="1041"/>
      <c r="I60" s="1041"/>
      <c r="J60" s="1041"/>
      <c r="K60" s="1041"/>
      <c r="L60" s="1041"/>
      <c r="M60" s="1041"/>
      <c r="N60" s="1041"/>
      <c r="O60" s="1041"/>
      <c r="P60" s="1042"/>
    </row>
    <row r="61" spans="1:16" ht="16.5" thickBot="1" x14ac:dyDescent="0.3">
      <c r="A61" s="607"/>
      <c r="B61" s="435"/>
      <c r="C61" s="435"/>
      <c r="D61" s="435"/>
      <c r="E61" s="435"/>
      <c r="F61" s="435"/>
      <c r="G61" s="435"/>
      <c r="H61" s="435"/>
      <c r="I61" s="435"/>
      <c r="J61" s="435"/>
      <c r="K61" s="435"/>
      <c r="L61" s="435"/>
      <c r="M61" s="435"/>
      <c r="N61" s="435"/>
      <c r="O61" s="435"/>
      <c r="P61" s="436"/>
    </row>
  </sheetData>
  <sheetProtection formatCells="0" formatColumns="0" formatRows="0" insertColumns="0" insertRows="0" insertHyperlinks="0" deleteColumns="0" deleteRows="0" sort="0" autoFilter="0" pivotTables="0"/>
  <mergeCells count="23">
    <mergeCell ref="A60:P60"/>
    <mergeCell ref="A11:P11"/>
    <mergeCell ref="A13:P13"/>
    <mergeCell ref="A14:P14"/>
    <mergeCell ref="A9:C9"/>
    <mergeCell ref="D9:E9"/>
    <mergeCell ref="F9:I9"/>
    <mergeCell ref="J9:K9"/>
    <mergeCell ref="L9:N9"/>
    <mergeCell ref="O9:P9"/>
    <mergeCell ref="D1:M2"/>
    <mergeCell ref="A3:P5"/>
    <mergeCell ref="E6:L7"/>
    <mergeCell ref="M6:N6"/>
    <mergeCell ref="O6:P6"/>
    <mergeCell ref="M7:N7"/>
    <mergeCell ref="O7:P7"/>
    <mergeCell ref="O8:P8"/>
    <mergeCell ref="K20:P20"/>
    <mergeCell ref="D18:E18"/>
    <mergeCell ref="D17:E17"/>
    <mergeCell ref="B21:C21"/>
    <mergeCell ref="D20:J20"/>
  </mergeCells>
  <dataValidations count="2">
    <dataValidation type="list" showInputMessage="1" showErrorMessage="1" sqref="D9:E9" xr:uid="{00000000-0002-0000-0500-000000000000}">
      <formula1>RAS</formula1>
    </dataValidation>
    <dataValidation type="list" allowBlank="1" showInputMessage="1" showErrorMessage="1" sqref="O9:P9" xr:uid="{00000000-0002-0000-0500-000001000000}">
      <formula1>Diligences</formula1>
    </dataValidation>
  </dataValidations>
  <hyperlinks>
    <hyperlink ref="O8:P8" location="'S Synthèse'!A1" display="S Synthèse" xr:uid="{00000000-0004-0000-05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ignoredErrors>
    <ignoredError sqref="I22:I49 J23:O49 D22:D49 H22:H49 J22:K22 M22 O22" unlockedFormula="1"/>
  </ignoredError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dimension ref="A1:U50"/>
  <sheetViews>
    <sheetView showGridLines="0" zoomScale="85" zoomScaleNormal="85" workbookViewId="0">
      <selection activeCell="O10" sqref="O10"/>
    </sheetView>
  </sheetViews>
  <sheetFormatPr baseColWidth="10" defaultColWidth="11.42578125" defaultRowHeight="15.75" x14ac:dyDescent="0.25"/>
  <cols>
    <col min="1" max="10" width="14.7109375" style="7" customWidth="1"/>
    <col min="11" max="11" width="18" style="7" customWidth="1"/>
    <col min="12" max="16" width="14.7109375" style="7" customWidth="1"/>
    <col min="17" max="16384" width="11.42578125" style="7"/>
  </cols>
  <sheetData>
    <row r="1" spans="1:21" s="1" customFormat="1" ht="15" customHeight="1" x14ac:dyDescent="0.2">
      <c r="A1" s="10"/>
      <c r="B1" s="11"/>
      <c r="C1" s="11"/>
      <c r="D1" s="1014" t="str">
        <f>'S Synthèse'!D1:M2</f>
        <v>#NomClient</v>
      </c>
      <c r="E1" s="1015"/>
      <c r="F1" s="1015"/>
      <c r="G1" s="1015"/>
      <c r="H1" s="1015"/>
      <c r="I1" s="1015"/>
      <c r="J1" s="1015"/>
      <c r="K1" s="1015"/>
      <c r="L1" s="1015"/>
      <c r="M1" s="1016"/>
      <c r="N1" s="11"/>
      <c r="O1" s="11"/>
      <c r="P1" s="12"/>
    </row>
    <row r="2" spans="1:21" s="1" customFormat="1" ht="15" customHeight="1" thickBot="1" x14ac:dyDescent="0.25">
      <c r="A2" s="13"/>
      <c r="B2" s="14"/>
      <c r="C2" s="14"/>
      <c r="D2" s="1017"/>
      <c r="E2" s="1018"/>
      <c r="F2" s="1018"/>
      <c r="G2" s="1018"/>
      <c r="H2" s="1018"/>
      <c r="I2" s="1018"/>
      <c r="J2" s="1018"/>
      <c r="K2" s="1018"/>
      <c r="L2" s="1018"/>
      <c r="M2" s="1019"/>
      <c r="N2" s="14"/>
      <c r="O2" s="14"/>
      <c r="P2" s="15"/>
    </row>
    <row r="3" spans="1:21" ht="15" customHeight="1" x14ac:dyDescent="0.25">
      <c r="A3" s="945" t="s">
        <v>3</v>
      </c>
      <c r="B3" s="946"/>
      <c r="C3" s="946"/>
      <c r="D3" s="946"/>
      <c r="E3" s="946"/>
      <c r="F3" s="946"/>
      <c r="G3" s="946"/>
      <c r="H3" s="946"/>
      <c r="I3" s="946"/>
      <c r="J3" s="946"/>
      <c r="K3" s="946"/>
      <c r="L3" s="946"/>
      <c r="M3" s="946"/>
      <c r="N3" s="946"/>
      <c r="O3" s="946"/>
      <c r="P3" s="947"/>
      <c r="R3" s="3"/>
      <c r="T3" s="5"/>
      <c r="U3" s="6"/>
    </row>
    <row r="4" spans="1:21" ht="15" customHeight="1" x14ac:dyDescent="0.25">
      <c r="A4" s="945"/>
      <c r="B4" s="946"/>
      <c r="C4" s="946"/>
      <c r="D4" s="946"/>
      <c r="E4" s="946"/>
      <c r="F4" s="946"/>
      <c r="G4" s="946"/>
      <c r="H4" s="946"/>
      <c r="I4" s="946"/>
      <c r="J4" s="946"/>
      <c r="K4" s="946"/>
      <c r="L4" s="946"/>
      <c r="M4" s="946"/>
      <c r="N4" s="946"/>
      <c r="O4" s="946"/>
      <c r="P4" s="947"/>
      <c r="R4" s="3"/>
      <c r="T4" s="5"/>
      <c r="U4" s="6"/>
    </row>
    <row r="5" spans="1:21" ht="15" customHeight="1" thickBot="1" x14ac:dyDescent="0.3">
      <c r="A5" s="948"/>
      <c r="B5" s="949"/>
      <c r="C5" s="949"/>
      <c r="D5" s="949"/>
      <c r="E5" s="949"/>
      <c r="F5" s="949"/>
      <c r="G5" s="949"/>
      <c r="H5" s="949"/>
      <c r="I5" s="949"/>
      <c r="J5" s="949"/>
      <c r="K5" s="949"/>
      <c r="L5" s="949"/>
      <c r="M5" s="949"/>
      <c r="N5" s="949"/>
      <c r="O5" s="949"/>
      <c r="P5" s="950"/>
      <c r="Q5" s="8"/>
      <c r="R5" s="4"/>
      <c r="S5" s="23"/>
      <c r="T5" s="23"/>
      <c r="U5" s="23"/>
    </row>
    <row r="6" spans="1:21" ht="15" customHeight="1" x14ac:dyDescent="0.25">
      <c r="A6" s="17" t="s">
        <v>6</v>
      </c>
      <c r="B6" s="476" t="str">
        <f>'S Synthèse'!B6</f>
        <v>BRA</v>
      </c>
      <c r="C6" s="17" t="s">
        <v>7</v>
      </c>
      <c r="D6" s="476">
        <f>'S Synthèse'!D6</f>
        <v>0</v>
      </c>
      <c r="E6" s="957" t="s">
        <v>168</v>
      </c>
      <c r="F6" s="958"/>
      <c r="G6" s="958"/>
      <c r="H6" s="958"/>
      <c r="I6" s="958"/>
      <c r="J6" s="958"/>
      <c r="K6" s="958"/>
      <c r="L6" s="959"/>
      <c r="M6" s="1020" t="s">
        <v>9</v>
      </c>
      <c r="N6" s="1021"/>
      <c r="O6" s="963" t="s">
        <v>10</v>
      </c>
      <c r="P6" s="964"/>
      <c r="R6" s="1"/>
      <c r="S6" s="1"/>
    </row>
    <row r="7" spans="1:21" ht="15" customHeight="1" thickBot="1" x14ac:dyDescent="0.3">
      <c r="A7" s="18" t="s">
        <v>12</v>
      </c>
      <c r="B7" s="477">
        <f>'S Synthèse'!B7</f>
        <v>0</v>
      </c>
      <c r="C7" s="18" t="s">
        <v>12</v>
      </c>
      <c r="D7" s="477">
        <f>'S Synthèse'!D7</f>
        <v>0</v>
      </c>
      <c r="E7" s="960"/>
      <c r="F7" s="961"/>
      <c r="G7" s="961"/>
      <c r="H7" s="961"/>
      <c r="I7" s="961"/>
      <c r="J7" s="961"/>
      <c r="K7" s="961"/>
      <c r="L7" s="962"/>
      <c r="M7" s="1022" t="str">
        <f>'S Synthèse'!M7:M7</f>
        <v>#DateClôture</v>
      </c>
      <c r="N7" s="1023"/>
      <c r="O7" s="965" t="s">
        <v>37</v>
      </c>
      <c r="P7" s="966"/>
    </row>
    <row r="8" spans="1:21" ht="21" customHeight="1" thickBot="1" x14ac:dyDescent="0.3">
      <c r="A8" s="19"/>
      <c r="B8" s="16"/>
      <c r="C8" s="20"/>
      <c r="D8" s="20"/>
      <c r="E8" s="21"/>
      <c r="F8" s="21"/>
      <c r="G8" s="21"/>
      <c r="H8" s="21"/>
      <c r="I8" s="21"/>
      <c r="J8" s="21"/>
      <c r="K8" s="21"/>
      <c r="L8" s="21"/>
      <c r="M8" s="22"/>
      <c r="N8" s="20"/>
      <c r="O8" s="1002" t="s">
        <v>63</v>
      </c>
      <c r="P8" s="1002"/>
    </row>
    <row r="9" spans="1:21" s="20" customFormat="1" ht="31.5" customHeight="1" thickBot="1" x14ac:dyDescent="0.25">
      <c r="A9" s="951" t="s">
        <v>17</v>
      </c>
      <c r="B9" s="952"/>
      <c r="C9" s="952"/>
      <c r="D9" s="1012" t="str">
        <f>'S Synthèse'!D9:E9</f>
        <v>Modéré</v>
      </c>
      <c r="E9" s="1013"/>
      <c r="F9" s="953" t="s">
        <v>18</v>
      </c>
      <c r="G9" s="954"/>
      <c r="H9" s="954"/>
      <c r="I9" s="954"/>
      <c r="J9" s="1004">
        <f>'S Synthèse'!J9:K9</f>
        <v>0</v>
      </c>
      <c r="K9" s="1005"/>
      <c r="L9" s="953" t="s">
        <v>19</v>
      </c>
      <c r="M9" s="954"/>
      <c r="N9" s="954"/>
      <c r="O9" s="1012" t="str">
        <f>'S Synthèse'!N9</f>
        <v>PE</v>
      </c>
      <c r="P9" s="1013"/>
    </row>
    <row r="10" spans="1:21" s="20" customFormat="1" ht="21" customHeight="1" thickBot="1" x14ac:dyDescent="0.25">
      <c r="A10" s="24"/>
      <c r="B10" s="24"/>
      <c r="C10" s="24"/>
      <c r="D10" s="24"/>
      <c r="E10" s="24"/>
      <c r="F10" s="24"/>
      <c r="G10" s="24"/>
      <c r="H10" s="24"/>
      <c r="I10" s="24"/>
      <c r="J10" s="24"/>
      <c r="K10" s="24"/>
      <c r="L10" s="24"/>
      <c r="M10" s="24"/>
      <c r="N10" s="24"/>
      <c r="O10" s="24"/>
      <c r="P10" s="24"/>
    </row>
    <row r="11" spans="1:21" s="25" customFormat="1" ht="110.25" customHeight="1" thickBot="1" x14ac:dyDescent="0.3">
      <c r="A11" s="1006" t="s">
        <v>169</v>
      </c>
      <c r="B11" s="1007"/>
      <c r="C11" s="1007"/>
      <c r="D11" s="1007"/>
      <c r="E11" s="1007"/>
      <c r="F11" s="1007"/>
      <c r="G11" s="1007"/>
      <c r="H11" s="1007"/>
      <c r="I11" s="1007"/>
      <c r="J11" s="1007"/>
      <c r="K11" s="1007"/>
      <c r="L11" s="1007"/>
      <c r="M11" s="1007"/>
      <c r="N11" s="1007"/>
      <c r="O11" s="1007"/>
      <c r="P11" s="1008"/>
    </row>
    <row r="12" spans="1:21" s="25" customFormat="1" ht="9" customHeight="1" thickBot="1" x14ac:dyDescent="0.3"/>
    <row r="13" spans="1:21" s="25" customFormat="1" ht="15" x14ac:dyDescent="0.25">
      <c r="A13" s="974" t="s">
        <v>67</v>
      </c>
      <c r="B13" s="975"/>
      <c r="C13" s="975"/>
      <c r="D13" s="975"/>
      <c r="E13" s="975"/>
      <c r="F13" s="975"/>
      <c r="G13" s="975"/>
      <c r="H13" s="975"/>
      <c r="I13" s="975"/>
      <c r="J13" s="975"/>
      <c r="K13" s="975"/>
      <c r="L13" s="975"/>
      <c r="M13" s="975"/>
      <c r="N13" s="975"/>
      <c r="O13" s="975"/>
      <c r="P13" s="976"/>
    </row>
    <row r="14" spans="1:21" s="25" customFormat="1" ht="74.25" customHeight="1" thickBot="1" x14ac:dyDescent="0.3">
      <c r="A14" s="1009"/>
      <c r="B14" s="1010"/>
      <c r="C14" s="1010"/>
      <c r="D14" s="1010"/>
      <c r="E14" s="1010"/>
      <c r="F14" s="1010"/>
      <c r="G14" s="1010"/>
      <c r="H14" s="1010"/>
      <c r="I14" s="1010"/>
      <c r="J14" s="1010"/>
      <c r="K14" s="1010"/>
      <c r="L14" s="1010"/>
      <c r="M14" s="1010"/>
      <c r="N14" s="1010"/>
      <c r="O14" s="1010"/>
      <c r="P14" s="1011"/>
    </row>
    <row r="15" spans="1:21" ht="16.5" thickBot="1" x14ac:dyDescent="0.3"/>
    <row r="16" spans="1:21" x14ac:dyDescent="0.25">
      <c r="A16" s="328"/>
      <c r="B16" s="329"/>
      <c r="C16" s="329"/>
      <c r="D16" s="329"/>
      <c r="E16" s="329"/>
      <c r="F16" s="329"/>
      <c r="G16" s="329"/>
      <c r="H16" s="329"/>
      <c r="I16" s="329"/>
      <c r="J16" s="329"/>
      <c r="K16" s="329"/>
      <c r="L16" s="329"/>
      <c r="M16" s="329"/>
      <c r="N16" s="329"/>
      <c r="O16" s="329"/>
      <c r="P16" s="330"/>
    </row>
    <row r="17" spans="1:16" s="25" customFormat="1" ht="15" x14ac:dyDescent="0.25">
      <c r="A17" s="154" t="s">
        <v>170</v>
      </c>
      <c r="B17" s="30"/>
      <c r="C17" s="30"/>
      <c r="D17" s="30"/>
      <c r="E17" s="30"/>
      <c r="F17" s="30"/>
      <c r="G17" s="40"/>
      <c r="H17" s="30"/>
      <c r="P17" s="287"/>
    </row>
    <row r="18" spans="1:16" s="25" customFormat="1" ht="15" x14ac:dyDescent="0.25">
      <c r="A18" s="38"/>
      <c r="B18" s="30"/>
      <c r="C18" s="30"/>
      <c r="D18" s="30"/>
      <c r="E18" s="30"/>
      <c r="F18" s="40"/>
      <c r="G18" s="30"/>
      <c r="H18" s="30"/>
      <c r="P18" s="287"/>
    </row>
    <row r="19" spans="1:16" s="25" customFormat="1" ht="15" x14ac:dyDescent="0.25">
      <c r="A19" s="1074" t="s">
        <v>171</v>
      </c>
      <c r="B19" s="1075"/>
      <c r="C19" s="1075"/>
      <c r="D19" s="1075"/>
      <c r="E19" s="1075"/>
      <c r="F19" s="1075"/>
      <c r="G19" s="1075"/>
      <c r="H19" s="1075"/>
      <c r="I19" s="1075"/>
      <c r="J19" s="1075"/>
      <c r="P19" s="287"/>
    </row>
    <row r="20" spans="1:16" s="25" customFormat="1" ht="16.5" customHeight="1" x14ac:dyDescent="0.25">
      <c r="A20" s="1076" t="s">
        <v>172</v>
      </c>
      <c r="B20" s="1077"/>
      <c r="C20" s="1077"/>
      <c r="D20" s="1077"/>
      <c r="E20" s="1077"/>
      <c r="F20" s="1077"/>
      <c r="G20" s="1077"/>
      <c r="H20" s="1077"/>
      <c r="I20" s="1077"/>
      <c r="J20" s="1077"/>
      <c r="K20" s="1077"/>
      <c r="L20" s="1077"/>
      <c r="M20" s="1077"/>
      <c r="N20" s="1077"/>
      <c r="O20" s="1077"/>
      <c r="P20" s="1078"/>
    </row>
    <row r="21" spans="1:16" s="25" customFormat="1" ht="16.5" customHeight="1" x14ac:dyDescent="0.25">
      <c r="A21" s="1076" t="s">
        <v>173</v>
      </c>
      <c r="B21" s="1077"/>
      <c r="C21" s="1077"/>
      <c r="D21" s="1077"/>
      <c r="E21" s="1077"/>
      <c r="F21" s="1077"/>
      <c r="G21" s="1077"/>
      <c r="H21" s="1077"/>
      <c r="I21" s="1077"/>
      <c r="J21" s="1077"/>
      <c r="K21" s="1077"/>
      <c r="L21" s="1077"/>
      <c r="M21" s="1077"/>
      <c r="N21" s="1077"/>
      <c r="O21" s="1077"/>
      <c r="P21" s="1078"/>
    </row>
    <row r="22" spans="1:16" s="25" customFormat="1" ht="16.5" customHeight="1" x14ac:dyDescent="0.25">
      <c r="A22" s="1076" t="s">
        <v>174</v>
      </c>
      <c r="B22" s="1077"/>
      <c r="C22" s="1077"/>
      <c r="D22" s="1077"/>
      <c r="E22" s="1077"/>
      <c r="F22" s="1077"/>
      <c r="G22" s="1077"/>
      <c r="H22" s="1077"/>
      <c r="I22" s="1077"/>
      <c r="J22" s="1077"/>
      <c r="K22" s="1077"/>
      <c r="L22" s="1077"/>
      <c r="M22" s="1077"/>
      <c r="N22" s="1077"/>
      <c r="O22" s="1077"/>
      <c r="P22" s="1078"/>
    </row>
    <row r="23" spans="1:16" s="25" customFormat="1" ht="15" x14ac:dyDescent="0.25">
      <c r="A23" s="1076"/>
      <c r="B23" s="1077"/>
      <c r="C23" s="1077"/>
      <c r="D23" s="1077"/>
      <c r="E23" s="1077"/>
      <c r="F23" s="1077"/>
      <c r="G23" s="1077"/>
      <c r="H23" s="1077"/>
      <c r="I23" s="1077"/>
      <c r="J23" s="1077"/>
      <c r="K23" s="1077"/>
      <c r="L23" s="1077"/>
      <c r="M23" s="1077"/>
      <c r="N23" s="1077"/>
      <c r="O23" s="1077"/>
      <c r="P23" s="1078"/>
    </row>
    <row r="24" spans="1:16" s="25" customFormat="1" ht="15" x14ac:dyDescent="0.25">
      <c r="A24" s="38"/>
      <c r="B24" s="30" t="s">
        <v>175</v>
      </c>
      <c r="C24" s="30"/>
      <c r="D24" s="30"/>
      <c r="E24" s="30" t="s">
        <v>176</v>
      </c>
      <c r="F24" s="30"/>
      <c r="G24" s="30"/>
      <c r="H24" s="30"/>
      <c r="I24" s="30"/>
      <c r="J24" s="30"/>
      <c r="P24" s="287"/>
    </row>
    <row r="25" spans="1:16" s="25" customFormat="1" ht="15" x14ac:dyDescent="0.25">
      <c r="A25" s="38"/>
      <c r="B25" s="30" t="s">
        <v>177</v>
      </c>
      <c r="C25" s="30"/>
      <c r="D25" s="30"/>
      <c r="E25" s="30" t="s">
        <v>178</v>
      </c>
      <c r="F25" s="30"/>
      <c r="G25" s="30"/>
      <c r="H25" s="30"/>
      <c r="I25" s="30"/>
      <c r="J25" s="30"/>
      <c r="P25" s="287"/>
    </row>
    <row r="26" spans="1:16" s="25" customFormat="1" ht="15" x14ac:dyDescent="0.25">
      <c r="A26" s="38"/>
      <c r="B26" s="30" t="s">
        <v>179</v>
      </c>
      <c r="C26" s="30"/>
      <c r="D26" s="30"/>
      <c r="E26" s="30" t="s">
        <v>180</v>
      </c>
      <c r="F26" s="30"/>
      <c r="G26" s="30"/>
      <c r="H26" s="30"/>
      <c r="I26" s="30"/>
      <c r="J26" s="30"/>
      <c r="P26" s="287"/>
    </row>
    <row r="27" spans="1:16" s="25" customFormat="1" ht="15" x14ac:dyDescent="0.25">
      <c r="A27" s="38"/>
      <c r="B27" s="30" t="s">
        <v>181</v>
      </c>
      <c r="C27" s="30"/>
      <c r="D27" s="30"/>
      <c r="E27" s="30" t="s">
        <v>182</v>
      </c>
      <c r="F27" s="30"/>
      <c r="G27" s="30"/>
      <c r="H27" s="30"/>
      <c r="I27" s="30"/>
      <c r="J27" s="30"/>
      <c r="P27" s="287"/>
    </row>
    <row r="28" spans="1:16" s="25" customFormat="1" ht="15" x14ac:dyDescent="0.25">
      <c r="A28" s="38"/>
      <c r="B28" s="30"/>
      <c r="C28" s="30"/>
      <c r="D28" s="30"/>
      <c r="E28" s="30"/>
      <c r="F28" s="30"/>
      <c r="G28" s="30"/>
      <c r="H28" s="30"/>
      <c r="I28" s="30"/>
      <c r="J28" s="30"/>
      <c r="P28" s="287"/>
    </row>
    <row r="29" spans="1:16" s="25" customFormat="1" ht="15" x14ac:dyDescent="0.25">
      <c r="A29" s="38" t="s">
        <v>183</v>
      </c>
      <c r="B29" s="30"/>
      <c r="C29" s="30"/>
      <c r="D29" s="30"/>
      <c r="E29" s="30"/>
      <c r="F29" s="30"/>
      <c r="G29" s="30"/>
      <c r="H29" s="30"/>
      <c r="I29" s="30"/>
      <c r="J29" s="30"/>
      <c r="P29" s="287"/>
    </row>
    <row r="30" spans="1:16" s="25" customFormat="1" ht="15" x14ac:dyDescent="0.25">
      <c r="A30" s="331" t="s">
        <v>184</v>
      </c>
      <c r="B30" s="30"/>
      <c r="C30" s="30"/>
      <c r="D30" s="1079" t="s">
        <v>185</v>
      </c>
      <c r="E30" s="30"/>
      <c r="F30" s="30"/>
      <c r="G30" s="30"/>
      <c r="H30" s="30"/>
      <c r="I30" s="30"/>
      <c r="J30" s="30"/>
      <c r="P30" s="287"/>
    </row>
    <row r="31" spans="1:16" s="25" customFormat="1" ht="15" x14ac:dyDescent="0.25">
      <c r="A31" s="331" t="s">
        <v>186</v>
      </c>
      <c r="B31" s="30"/>
      <c r="C31" s="30"/>
      <c r="D31" s="1079"/>
      <c r="E31" s="30"/>
      <c r="F31" s="30"/>
      <c r="G31" s="30"/>
      <c r="H31" s="30"/>
      <c r="I31" s="30"/>
      <c r="J31" s="30"/>
      <c r="P31" s="287"/>
    </row>
    <row r="32" spans="1:16" s="25" customFormat="1" ht="15" x14ac:dyDescent="0.25">
      <c r="A32" s="331"/>
      <c r="B32" s="30"/>
      <c r="C32" s="30"/>
      <c r="D32" s="155"/>
      <c r="E32" s="30"/>
      <c r="F32" s="30"/>
      <c r="G32" s="30"/>
      <c r="H32" s="30"/>
      <c r="I32" s="30"/>
      <c r="J32" s="30"/>
      <c r="P32" s="287"/>
    </row>
    <row r="33" spans="1:16" s="25" customFormat="1" ht="15" x14ac:dyDescent="0.25">
      <c r="A33" s="1074" t="s">
        <v>187</v>
      </c>
      <c r="B33" s="1075"/>
      <c r="C33" s="1075"/>
      <c r="D33" s="1075"/>
      <c r="E33" s="1075"/>
      <c r="F33" s="1075"/>
      <c r="G33" s="1075"/>
      <c r="H33" s="1075"/>
      <c r="I33" s="1075"/>
      <c r="J33" s="1075"/>
      <c r="P33" s="287"/>
    </row>
    <row r="34" spans="1:16" s="25" customFormat="1" ht="15" x14ac:dyDescent="0.25">
      <c r="A34" s="38" t="s">
        <v>188</v>
      </c>
      <c r="B34" s="30"/>
      <c r="C34" s="30"/>
      <c r="D34" s="155"/>
      <c r="E34" s="30"/>
      <c r="F34" s="30"/>
      <c r="G34" s="30"/>
      <c r="H34" s="30"/>
      <c r="I34" s="30"/>
      <c r="J34" s="30"/>
      <c r="P34" s="287"/>
    </row>
    <row r="35" spans="1:16" s="25" customFormat="1" ht="15" x14ac:dyDescent="0.25">
      <c r="A35" s="38" t="s">
        <v>189</v>
      </c>
      <c r="B35" s="30"/>
      <c r="C35" s="30"/>
      <c r="D35" s="155"/>
      <c r="E35" s="30"/>
      <c r="F35" s="30"/>
      <c r="G35" s="30"/>
      <c r="H35" s="30"/>
      <c r="I35" s="30"/>
      <c r="J35" s="30"/>
      <c r="P35" s="287"/>
    </row>
    <row r="36" spans="1:16" s="25" customFormat="1" thickBot="1" x14ac:dyDescent="0.3"/>
    <row r="37" spans="1:16" s="25" customFormat="1" ht="15" x14ac:dyDescent="0.25">
      <c r="A37" s="285"/>
      <c r="B37" s="261"/>
      <c r="C37" s="261"/>
      <c r="D37" s="261"/>
      <c r="E37" s="261"/>
      <c r="F37" s="261"/>
      <c r="G37" s="261"/>
      <c r="H37" s="261"/>
      <c r="I37" s="261"/>
      <c r="J37" s="261"/>
      <c r="K37" s="261"/>
      <c r="L37" s="261"/>
      <c r="M37" s="261"/>
      <c r="N37" s="261"/>
      <c r="O37" s="261"/>
      <c r="P37" s="286"/>
    </row>
    <row r="38" spans="1:16" s="25" customFormat="1" ht="15" x14ac:dyDescent="0.25">
      <c r="A38" s="154" t="s">
        <v>190</v>
      </c>
      <c r="B38" s="326"/>
      <c r="C38" s="326"/>
      <c r="D38" s="326"/>
      <c r="E38" s="60" t="s">
        <v>191</v>
      </c>
      <c r="F38" s="30"/>
      <c r="G38" s="30"/>
      <c r="H38" s="30"/>
      <c r="I38" s="30"/>
      <c r="J38" s="30"/>
      <c r="P38" s="287"/>
    </row>
    <row r="39" spans="1:16" s="25" customFormat="1" ht="15" x14ac:dyDescent="0.25">
      <c r="A39" s="327"/>
      <c r="B39" s="326"/>
      <c r="C39" s="326"/>
      <c r="D39" s="326"/>
      <c r="E39" s="43"/>
      <c r="F39" s="30"/>
      <c r="G39" s="30"/>
      <c r="H39" s="30"/>
      <c r="I39" s="30"/>
      <c r="J39" s="30"/>
      <c r="K39" s="31"/>
      <c r="P39" s="287"/>
    </row>
    <row r="40" spans="1:16" s="33" customFormat="1" ht="75" customHeight="1" x14ac:dyDescent="0.2">
      <c r="A40" s="1059" t="s">
        <v>64</v>
      </c>
      <c r="B40" s="1060"/>
      <c r="C40" s="1060"/>
      <c r="D40" s="1060"/>
      <c r="E40" s="1060"/>
      <c r="F40" s="1060"/>
      <c r="G40" s="1060"/>
      <c r="H40" s="1060"/>
      <c r="I40" s="1060"/>
      <c r="J40" s="1060"/>
      <c r="K40" s="1060"/>
      <c r="L40" s="1060"/>
      <c r="M40" s="1060"/>
      <c r="N40" s="1060"/>
      <c r="O40" s="1060"/>
      <c r="P40" s="1061"/>
    </row>
    <row r="41" spans="1:16" s="25" customFormat="1" thickBot="1" x14ac:dyDescent="0.3">
      <c r="A41" s="293"/>
      <c r="B41" s="262"/>
      <c r="C41" s="262"/>
      <c r="D41" s="262"/>
      <c r="E41" s="262"/>
      <c r="F41" s="262"/>
      <c r="G41" s="262"/>
      <c r="H41" s="262"/>
      <c r="I41" s="262"/>
      <c r="J41" s="262"/>
      <c r="K41" s="262"/>
      <c r="L41" s="262"/>
      <c r="M41" s="262"/>
      <c r="N41" s="262"/>
      <c r="O41" s="262"/>
      <c r="P41" s="294"/>
    </row>
    <row r="42" spans="1:16" s="25" customFormat="1" ht="15" x14ac:dyDescent="0.25"/>
    <row r="43" spans="1:16" s="25" customFormat="1" ht="15" x14ac:dyDescent="0.25"/>
    <row r="44" spans="1:16" s="25" customFormat="1" ht="15" x14ac:dyDescent="0.25"/>
    <row r="45" spans="1:16" s="25" customFormat="1" ht="15" x14ac:dyDescent="0.25"/>
    <row r="46" spans="1:16" s="25" customFormat="1" ht="15" x14ac:dyDescent="0.25"/>
    <row r="47" spans="1:16" s="25" customFormat="1" ht="15" x14ac:dyDescent="0.25"/>
    <row r="48" spans="1:16" s="25" customFormat="1" ht="15" x14ac:dyDescent="0.25"/>
    <row r="49" s="25" customFormat="1" ht="15" x14ac:dyDescent="0.25"/>
    <row r="50" s="25" customFormat="1" ht="15" x14ac:dyDescent="0.25"/>
  </sheetData>
  <sheetProtection formatCells="0" formatColumns="0" formatRows="0" insertColumns="0" insertRows="0" insertHyperlinks="0" deleteColumns="0" deleteRows="0" sort="0" autoFilter="0" pivotTables="0"/>
  <mergeCells count="24">
    <mergeCell ref="A40:P40"/>
    <mergeCell ref="A20:P20"/>
    <mergeCell ref="A21:P21"/>
    <mergeCell ref="A22:P23"/>
    <mergeCell ref="D30:D31"/>
    <mergeCell ref="A33:J33"/>
    <mergeCell ref="A13:P13"/>
    <mergeCell ref="A14:P14"/>
    <mergeCell ref="A9:C9"/>
    <mergeCell ref="D9:E9"/>
    <mergeCell ref="A19:J19"/>
    <mergeCell ref="F9:I9"/>
    <mergeCell ref="J9:K9"/>
    <mergeCell ref="L9:N9"/>
    <mergeCell ref="O9:P9"/>
    <mergeCell ref="A11:P11"/>
    <mergeCell ref="O8:P8"/>
    <mergeCell ref="D1:M2"/>
    <mergeCell ref="A3:P5"/>
    <mergeCell ref="E6:L7"/>
    <mergeCell ref="M6:N6"/>
    <mergeCell ref="O6:P6"/>
    <mergeCell ref="M7:N7"/>
    <mergeCell ref="O7:P7"/>
  </mergeCells>
  <dataValidations count="2">
    <dataValidation type="list" allowBlank="1" showInputMessage="1" showErrorMessage="1" sqref="O9:P9" xr:uid="{00000000-0002-0000-0600-000000000000}">
      <formula1>Diligences</formula1>
    </dataValidation>
    <dataValidation type="list" showInputMessage="1" showErrorMessage="1" sqref="D9:E9" xr:uid="{00000000-0002-0000-0600-000001000000}">
      <formula1>RAS</formula1>
    </dataValidation>
  </dataValidations>
  <hyperlinks>
    <hyperlink ref="O8:P8" location="'S Synthèse'!A1" display="S Synthèse" xr:uid="{00000000-0004-0000-06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dimension ref="A1:U31"/>
  <sheetViews>
    <sheetView showGridLines="0" topLeftCell="A9" zoomScale="85" zoomScaleNormal="85" workbookViewId="0">
      <selection activeCell="M17" sqref="M17"/>
    </sheetView>
  </sheetViews>
  <sheetFormatPr baseColWidth="10" defaultColWidth="11.42578125" defaultRowHeight="15.75" x14ac:dyDescent="0.25"/>
  <cols>
    <col min="1" max="16" width="14.7109375" style="7" customWidth="1"/>
    <col min="17" max="16384" width="11.42578125" style="7"/>
  </cols>
  <sheetData>
    <row r="1" spans="1:21" s="1" customFormat="1" ht="15" customHeight="1" x14ac:dyDescent="0.2">
      <c r="A1" s="10"/>
      <c r="B1" s="11"/>
      <c r="C1" s="11"/>
      <c r="D1" s="1014" t="str">
        <f>'S Synthèse'!D1:M2</f>
        <v>#NomClient</v>
      </c>
      <c r="E1" s="1015"/>
      <c r="F1" s="1015"/>
      <c r="G1" s="1015"/>
      <c r="H1" s="1015"/>
      <c r="I1" s="1015"/>
      <c r="J1" s="1015"/>
      <c r="K1" s="1015"/>
      <c r="L1" s="1015"/>
      <c r="M1" s="1016"/>
      <c r="N1" s="11"/>
      <c r="O1" s="11"/>
      <c r="P1" s="12"/>
    </row>
    <row r="2" spans="1:21" s="1" customFormat="1" ht="15" customHeight="1" thickBot="1" x14ac:dyDescent="0.25">
      <c r="A2" s="13"/>
      <c r="B2" s="14"/>
      <c r="C2" s="14"/>
      <c r="D2" s="1017"/>
      <c r="E2" s="1018"/>
      <c r="F2" s="1018"/>
      <c r="G2" s="1018"/>
      <c r="H2" s="1018"/>
      <c r="I2" s="1018"/>
      <c r="J2" s="1018"/>
      <c r="K2" s="1018"/>
      <c r="L2" s="1018"/>
      <c r="M2" s="1019"/>
      <c r="N2" s="14"/>
      <c r="O2" s="14"/>
      <c r="P2" s="15"/>
    </row>
    <row r="3" spans="1:21" ht="15" customHeight="1" x14ac:dyDescent="0.25">
      <c r="A3" s="945" t="s">
        <v>3</v>
      </c>
      <c r="B3" s="946"/>
      <c r="C3" s="946"/>
      <c r="D3" s="946"/>
      <c r="E3" s="946"/>
      <c r="F3" s="946"/>
      <c r="G3" s="946"/>
      <c r="H3" s="946"/>
      <c r="I3" s="946"/>
      <c r="J3" s="946"/>
      <c r="K3" s="946"/>
      <c r="L3" s="946"/>
      <c r="M3" s="946"/>
      <c r="N3" s="946"/>
      <c r="O3" s="946"/>
      <c r="P3" s="947"/>
      <c r="R3" s="3"/>
      <c r="T3" s="5"/>
      <c r="U3" s="6"/>
    </row>
    <row r="4" spans="1:21" ht="15" customHeight="1" x14ac:dyDescent="0.25">
      <c r="A4" s="945"/>
      <c r="B4" s="946"/>
      <c r="C4" s="946"/>
      <c r="D4" s="946"/>
      <c r="E4" s="946"/>
      <c r="F4" s="946"/>
      <c r="G4" s="946"/>
      <c r="H4" s="946"/>
      <c r="I4" s="946"/>
      <c r="J4" s="946"/>
      <c r="K4" s="946"/>
      <c r="L4" s="946"/>
      <c r="M4" s="946"/>
      <c r="N4" s="946"/>
      <c r="O4" s="946"/>
      <c r="P4" s="947"/>
      <c r="R4" s="3"/>
      <c r="T4" s="5"/>
      <c r="U4" s="6"/>
    </row>
    <row r="5" spans="1:21" ht="15" customHeight="1" thickBot="1" x14ac:dyDescent="0.3">
      <c r="A5" s="948"/>
      <c r="B5" s="949"/>
      <c r="C5" s="949"/>
      <c r="D5" s="949"/>
      <c r="E5" s="949"/>
      <c r="F5" s="949"/>
      <c r="G5" s="949"/>
      <c r="H5" s="949"/>
      <c r="I5" s="949"/>
      <c r="J5" s="949"/>
      <c r="K5" s="949"/>
      <c r="L5" s="949"/>
      <c r="M5" s="949"/>
      <c r="N5" s="949"/>
      <c r="O5" s="949"/>
      <c r="P5" s="950"/>
      <c r="Q5" s="8"/>
      <c r="R5" s="4"/>
      <c r="S5" s="23"/>
      <c r="T5" s="23"/>
      <c r="U5" s="23"/>
    </row>
    <row r="6" spans="1:21" ht="15" customHeight="1" x14ac:dyDescent="0.25">
      <c r="A6" s="17" t="s">
        <v>6</v>
      </c>
      <c r="B6" s="476" t="str">
        <f>'S Synthèse'!B6</f>
        <v>BRA</v>
      </c>
      <c r="C6" s="17" t="s">
        <v>7</v>
      </c>
      <c r="D6" s="476">
        <f>'S Synthèse'!D6</f>
        <v>0</v>
      </c>
      <c r="E6" s="957" t="s">
        <v>41</v>
      </c>
      <c r="F6" s="958"/>
      <c r="G6" s="958"/>
      <c r="H6" s="958"/>
      <c r="I6" s="958"/>
      <c r="J6" s="958"/>
      <c r="K6" s="958"/>
      <c r="L6" s="959"/>
      <c r="M6" s="1020" t="s">
        <v>9</v>
      </c>
      <c r="N6" s="1021"/>
      <c r="O6" s="963" t="s">
        <v>10</v>
      </c>
      <c r="P6" s="964"/>
      <c r="R6" s="1"/>
      <c r="S6" s="1"/>
    </row>
    <row r="7" spans="1:21" ht="15" customHeight="1" thickBot="1" x14ac:dyDescent="0.3">
      <c r="A7" s="18" t="s">
        <v>12</v>
      </c>
      <c r="B7" s="477">
        <f>'S Synthèse'!B7</f>
        <v>0</v>
      </c>
      <c r="C7" s="18" t="s">
        <v>12</v>
      </c>
      <c r="D7" s="477">
        <f>'S Synthèse'!D7</f>
        <v>0</v>
      </c>
      <c r="E7" s="960"/>
      <c r="F7" s="961"/>
      <c r="G7" s="961"/>
      <c r="H7" s="961"/>
      <c r="I7" s="961"/>
      <c r="J7" s="961"/>
      <c r="K7" s="961"/>
      <c r="L7" s="962"/>
      <c r="M7" s="1022" t="str">
        <f>'S Synthèse'!M7:M7</f>
        <v>#DateClôture</v>
      </c>
      <c r="N7" s="1023"/>
      <c r="O7" s="965" t="s">
        <v>40</v>
      </c>
      <c r="P7" s="966"/>
    </row>
    <row r="8" spans="1:21" ht="21" customHeight="1" thickBot="1" x14ac:dyDescent="0.3">
      <c r="A8" s="19"/>
      <c r="B8" s="16"/>
      <c r="C8" s="20"/>
      <c r="D8" s="20"/>
      <c r="E8" s="21"/>
      <c r="F8" s="21"/>
      <c r="G8" s="21"/>
      <c r="H8" s="21"/>
      <c r="I8" s="21"/>
      <c r="J8" s="21"/>
      <c r="K8" s="21"/>
      <c r="L8" s="21"/>
      <c r="M8" s="22"/>
      <c r="N8" s="20"/>
      <c r="O8" s="1002" t="s">
        <v>63</v>
      </c>
      <c r="P8" s="1002"/>
    </row>
    <row r="9" spans="1:21" s="20" customFormat="1" ht="31.5" customHeight="1" thickBot="1" x14ac:dyDescent="0.25">
      <c r="A9" s="951" t="s">
        <v>17</v>
      </c>
      <c r="B9" s="952"/>
      <c r="C9" s="952"/>
      <c r="D9" s="1012" t="str">
        <f>'S Synthèse'!D9:E9</f>
        <v>Modéré</v>
      </c>
      <c r="E9" s="1013"/>
      <c r="F9" s="953" t="s">
        <v>18</v>
      </c>
      <c r="G9" s="954"/>
      <c r="H9" s="954"/>
      <c r="I9" s="954"/>
      <c r="J9" s="1004">
        <f>'S Synthèse'!J9:K9</f>
        <v>0</v>
      </c>
      <c r="K9" s="1005"/>
      <c r="L9" s="953" t="s">
        <v>19</v>
      </c>
      <c r="M9" s="954"/>
      <c r="N9" s="954"/>
      <c r="O9" s="1012" t="str">
        <f>'S Synthèse'!N9</f>
        <v>PE</v>
      </c>
      <c r="P9" s="1013"/>
    </row>
    <row r="10" spans="1:21" s="20" customFormat="1" ht="21" customHeight="1" thickBot="1" x14ac:dyDescent="0.25">
      <c r="A10" s="24"/>
      <c r="B10" s="24"/>
      <c r="C10" s="24"/>
      <c r="D10" s="24"/>
      <c r="E10" s="24"/>
      <c r="F10" s="24"/>
      <c r="G10" s="24"/>
      <c r="H10" s="24"/>
      <c r="I10" s="24"/>
      <c r="J10" s="24"/>
      <c r="K10" s="24"/>
      <c r="L10" s="24"/>
      <c r="M10" s="24"/>
      <c r="N10" s="24"/>
      <c r="O10" s="24"/>
      <c r="P10" s="24"/>
    </row>
    <row r="11" spans="1:21" s="25" customFormat="1" ht="234" customHeight="1" thickBot="1" x14ac:dyDescent="0.3">
      <c r="A11" s="1006" t="s">
        <v>192</v>
      </c>
      <c r="B11" s="1007"/>
      <c r="C11" s="1007"/>
      <c r="D11" s="1007"/>
      <c r="E11" s="1007"/>
      <c r="F11" s="1007"/>
      <c r="G11" s="1007"/>
      <c r="H11" s="1007"/>
      <c r="I11" s="1007"/>
      <c r="J11" s="1007"/>
      <c r="K11" s="1007"/>
      <c r="L11" s="1007"/>
      <c r="M11" s="1007"/>
      <c r="N11" s="1007"/>
      <c r="O11" s="1007"/>
      <c r="P11" s="1008"/>
    </row>
    <row r="12" spans="1:21" s="25" customFormat="1" ht="9" customHeight="1" thickBot="1" x14ac:dyDescent="0.3"/>
    <row r="13" spans="1:21" s="25" customFormat="1" ht="15" x14ac:dyDescent="0.25">
      <c r="A13" s="974" t="s">
        <v>67</v>
      </c>
      <c r="B13" s="975"/>
      <c r="C13" s="975"/>
      <c r="D13" s="975"/>
      <c r="E13" s="975"/>
      <c r="F13" s="975"/>
      <c r="G13" s="975"/>
      <c r="H13" s="975"/>
      <c r="I13" s="975"/>
      <c r="J13" s="975"/>
      <c r="K13" s="975"/>
      <c r="L13" s="975"/>
      <c r="M13" s="975"/>
      <c r="N13" s="975"/>
      <c r="O13" s="975"/>
      <c r="P13" s="976"/>
    </row>
    <row r="14" spans="1:21" s="25" customFormat="1" ht="70.5" customHeight="1" thickBot="1" x14ac:dyDescent="0.3">
      <c r="A14" s="1009"/>
      <c r="B14" s="1010"/>
      <c r="C14" s="1010"/>
      <c r="D14" s="1010"/>
      <c r="E14" s="1010"/>
      <c r="F14" s="1010"/>
      <c r="G14" s="1010"/>
      <c r="H14" s="1010"/>
      <c r="I14" s="1010"/>
      <c r="J14" s="1010"/>
      <c r="K14" s="1010"/>
      <c r="L14" s="1010"/>
      <c r="M14" s="1010"/>
      <c r="N14" s="1010"/>
      <c r="O14" s="1010"/>
      <c r="P14" s="1011"/>
    </row>
    <row r="15" spans="1:21" s="25" customFormat="1" thickBot="1" x14ac:dyDescent="0.3"/>
    <row r="16" spans="1:21" s="25" customFormat="1" ht="15" x14ac:dyDescent="0.25">
      <c r="A16" s="285"/>
      <c r="B16" s="261"/>
      <c r="C16" s="261"/>
      <c r="D16" s="261"/>
      <c r="E16" s="261"/>
      <c r="F16" s="261"/>
      <c r="G16" s="261"/>
      <c r="H16" s="261"/>
      <c r="I16" s="261"/>
      <c r="J16" s="261"/>
      <c r="K16" s="261"/>
      <c r="L16" s="261"/>
      <c r="M16" s="261"/>
      <c r="N16" s="261"/>
      <c r="O16" s="261"/>
      <c r="P16" s="286"/>
    </row>
    <row r="17" spans="1:16" s="25" customFormat="1" ht="30" x14ac:dyDescent="0.25">
      <c r="A17" s="592" t="s">
        <v>193</v>
      </c>
      <c r="B17" s="1080" t="s">
        <v>194</v>
      </c>
      <c r="C17" s="1081"/>
      <c r="D17" s="1082"/>
      <c r="E17" s="599" t="s">
        <v>195</v>
      </c>
      <c r="F17" s="599" t="s">
        <v>196</v>
      </c>
      <c r="G17" s="599" t="s">
        <v>197</v>
      </c>
      <c r="H17" s="599" t="s">
        <v>198</v>
      </c>
      <c r="I17" s="665" t="s">
        <v>199</v>
      </c>
      <c r="J17" s="665" t="s">
        <v>200</v>
      </c>
      <c r="K17" s="599" t="s">
        <v>201</v>
      </c>
      <c r="L17" s="599" t="s">
        <v>202</v>
      </c>
      <c r="M17" s="669" t="s">
        <v>64</v>
      </c>
      <c r="N17" s="670"/>
      <c r="O17" s="670"/>
      <c r="P17" s="656"/>
    </row>
    <row r="18" spans="1:16" s="25" customFormat="1" ht="15" x14ac:dyDescent="0.25">
      <c r="A18" s="515"/>
      <c r="B18" s="1083"/>
      <c r="C18" s="1084"/>
      <c r="D18" s="1085"/>
      <c r="E18" s="332"/>
      <c r="F18" s="332"/>
      <c r="G18" s="332">
        <f>F18-E18</f>
        <v>0</v>
      </c>
      <c r="H18" s="332">
        <f>G18*J18</f>
        <v>0</v>
      </c>
      <c r="I18" s="332"/>
      <c r="J18" s="332"/>
      <c r="K18" s="332">
        <f>J18-I18</f>
        <v>0</v>
      </c>
      <c r="L18" s="332">
        <f>K18*F18</f>
        <v>0</v>
      </c>
      <c r="M18" s="512"/>
      <c r="N18" s="333"/>
      <c r="O18" s="333"/>
      <c r="P18" s="342"/>
    </row>
    <row r="19" spans="1:16" s="25" customFormat="1" ht="15" x14ac:dyDescent="0.25">
      <c r="A19" s="514"/>
      <c r="B19" s="1086"/>
      <c r="C19" s="1087"/>
      <c r="D19" s="1088"/>
      <c r="E19" s="334"/>
      <c r="F19" s="334"/>
      <c r="G19" s="334">
        <f>F19-E19</f>
        <v>0</v>
      </c>
      <c r="H19" s="334">
        <f>G19*J19</f>
        <v>0</v>
      </c>
      <c r="I19" s="334"/>
      <c r="J19" s="334"/>
      <c r="K19" s="334">
        <f>J19-I19</f>
        <v>0</v>
      </c>
      <c r="L19" s="334">
        <f t="shared" ref="L19:L22" si="0">K19*F19</f>
        <v>0</v>
      </c>
      <c r="M19" s="511"/>
      <c r="N19" s="335"/>
      <c r="O19" s="335"/>
      <c r="P19" s="343"/>
    </row>
    <row r="20" spans="1:16" s="25" customFormat="1" ht="15.6" customHeight="1" x14ac:dyDescent="0.25">
      <c r="A20" s="514"/>
      <c r="B20" s="1086"/>
      <c r="C20" s="1087"/>
      <c r="D20" s="1088"/>
      <c r="E20" s="334"/>
      <c r="F20" s="334"/>
      <c r="G20" s="334">
        <f>F20-E20</f>
        <v>0</v>
      </c>
      <c r="H20" s="334">
        <f>G20*J20</f>
        <v>0</v>
      </c>
      <c r="I20" s="334"/>
      <c r="J20" s="334"/>
      <c r="K20" s="334">
        <f>J20-I20</f>
        <v>0</v>
      </c>
      <c r="L20" s="334">
        <f t="shared" si="0"/>
        <v>0</v>
      </c>
      <c r="M20" s="511"/>
      <c r="N20" s="335"/>
      <c r="O20" s="335"/>
      <c r="P20" s="343"/>
    </row>
    <row r="21" spans="1:16" s="25" customFormat="1" ht="15" x14ac:dyDescent="0.25">
      <c r="A21" s="514"/>
      <c r="B21" s="1086"/>
      <c r="C21" s="1087"/>
      <c r="D21" s="1088"/>
      <c r="E21" s="334"/>
      <c r="F21" s="334"/>
      <c r="G21" s="334">
        <f>F21-E21</f>
        <v>0</v>
      </c>
      <c r="H21" s="334">
        <f>G21*J21</f>
        <v>0</v>
      </c>
      <c r="I21" s="334"/>
      <c r="J21" s="334"/>
      <c r="K21" s="334">
        <f>J21-I21</f>
        <v>0</v>
      </c>
      <c r="L21" s="334">
        <f t="shared" si="0"/>
        <v>0</v>
      </c>
      <c r="M21" s="511"/>
      <c r="N21" s="335"/>
      <c r="O21" s="335"/>
      <c r="P21" s="343"/>
    </row>
    <row r="22" spans="1:16" s="25" customFormat="1" ht="15.6" customHeight="1" x14ac:dyDescent="0.25">
      <c r="A22" s="513"/>
      <c r="B22" s="1089"/>
      <c r="C22" s="1090"/>
      <c r="D22" s="1091"/>
      <c r="E22" s="336"/>
      <c r="F22" s="336"/>
      <c r="G22" s="336">
        <f>F22-E22</f>
        <v>0</v>
      </c>
      <c r="H22" s="336">
        <f>G22*J22</f>
        <v>0</v>
      </c>
      <c r="I22" s="336"/>
      <c r="J22" s="336"/>
      <c r="K22" s="336">
        <f>J22-I22</f>
        <v>0</v>
      </c>
      <c r="L22" s="336">
        <f t="shared" si="0"/>
        <v>0</v>
      </c>
      <c r="M22" s="510"/>
      <c r="N22" s="337"/>
      <c r="O22" s="337"/>
      <c r="P22" s="344"/>
    </row>
    <row r="23" spans="1:16" s="25" customFormat="1" ht="15" x14ac:dyDescent="0.25">
      <c r="A23" s="38"/>
      <c r="B23" s="30"/>
      <c r="E23" s="30"/>
      <c r="F23" s="30"/>
      <c r="G23" s="30"/>
      <c r="H23" s="30"/>
      <c r="I23" s="30"/>
      <c r="J23" s="30"/>
      <c r="K23" s="30"/>
      <c r="L23" s="30"/>
      <c r="M23" s="30"/>
      <c r="P23" s="287"/>
    </row>
    <row r="24" spans="1:16" s="25" customFormat="1" ht="15.6" customHeight="1" x14ac:dyDescent="0.25">
      <c r="A24" s="38"/>
      <c r="B24" s="30"/>
      <c r="E24" s="30"/>
      <c r="F24" s="338" t="s">
        <v>203</v>
      </c>
      <c r="G24" s="339">
        <f>SUM(G18:G22)</f>
        <v>0</v>
      </c>
      <c r="H24" s="339">
        <f>SUM(H18:H22)</f>
        <v>0</v>
      </c>
      <c r="I24" s="340"/>
      <c r="J24" s="340"/>
      <c r="K24" s="339">
        <f>SUM(K18:K22)</f>
        <v>0</v>
      </c>
      <c r="L24" s="341">
        <f>SUM(L18:L22)</f>
        <v>0</v>
      </c>
      <c r="M24" s="30"/>
      <c r="P24" s="287"/>
    </row>
    <row r="25" spans="1:16" s="25" customFormat="1" ht="15" x14ac:dyDescent="0.25">
      <c r="A25" s="38"/>
      <c r="B25" s="30"/>
      <c r="C25" s="30"/>
      <c r="D25" s="30"/>
      <c r="E25" s="30"/>
      <c r="F25" s="30"/>
      <c r="G25" s="30"/>
      <c r="H25" s="30"/>
      <c r="I25" s="30"/>
      <c r="J25" s="30"/>
      <c r="K25" s="30"/>
      <c r="P25" s="287"/>
    </row>
    <row r="26" spans="1:16" s="25" customFormat="1" ht="15" x14ac:dyDescent="0.25">
      <c r="A26" s="288"/>
      <c r="P26" s="287"/>
    </row>
    <row r="27" spans="1:16" s="33" customFormat="1" ht="75" customHeight="1" x14ac:dyDescent="0.2">
      <c r="A27" s="1059" t="s">
        <v>64</v>
      </c>
      <c r="B27" s="1060"/>
      <c r="C27" s="1060"/>
      <c r="D27" s="1060"/>
      <c r="E27" s="1060"/>
      <c r="F27" s="1060"/>
      <c r="G27" s="1060"/>
      <c r="H27" s="1060"/>
      <c r="I27" s="1060"/>
      <c r="J27" s="1060"/>
      <c r="K27" s="1060"/>
      <c r="L27" s="1060"/>
      <c r="M27" s="1060"/>
      <c r="N27" s="1060"/>
      <c r="O27" s="1060"/>
      <c r="P27" s="1061"/>
    </row>
    <row r="28" spans="1:16" s="25" customFormat="1" thickBot="1" x14ac:dyDescent="0.3">
      <c r="A28" s="293"/>
      <c r="B28" s="262"/>
      <c r="C28" s="262"/>
      <c r="D28" s="262"/>
      <c r="E28" s="262"/>
      <c r="F28" s="262"/>
      <c r="G28" s="262"/>
      <c r="H28" s="262"/>
      <c r="I28" s="262"/>
      <c r="J28" s="262"/>
      <c r="K28" s="262"/>
      <c r="L28" s="262"/>
      <c r="M28" s="262"/>
      <c r="N28" s="262"/>
      <c r="O28" s="262"/>
      <c r="P28" s="294"/>
    </row>
    <row r="29" spans="1:16" s="25" customFormat="1" ht="15" x14ac:dyDescent="0.25"/>
    <row r="30" spans="1:16" s="25" customFormat="1" ht="15" x14ac:dyDescent="0.25"/>
    <row r="31" spans="1:16" s="25" customFormat="1" ht="15" x14ac:dyDescent="0.25"/>
  </sheetData>
  <sheetProtection formatCells="0" formatColumns="0" formatRows="0" insertColumns="0" insertRows="0" insertHyperlinks="0" deleteColumns="0" deleteRows="0" sort="0" autoFilter="0" pivotTables="0"/>
  <mergeCells count="24">
    <mergeCell ref="A27:P27"/>
    <mergeCell ref="A11:P11"/>
    <mergeCell ref="A13:P13"/>
    <mergeCell ref="A14:P14"/>
    <mergeCell ref="B17:D17"/>
    <mergeCell ref="B18:D18"/>
    <mergeCell ref="B19:D19"/>
    <mergeCell ref="B20:D20"/>
    <mergeCell ref="B21:D21"/>
    <mergeCell ref="B22:D22"/>
    <mergeCell ref="O9:P9"/>
    <mergeCell ref="O8:P8"/>
    <mergeCell ref="D1:M2"/>
    <mergeCell ref="A3:P5"/>
    <mergeCell ref="E6:L7"/>
    <mergeCell ref="M6:N6"/>
    <mergeCell ref="O6:P6"/>
    <mergeCell ref="M7:N7"/>
    <mergeCell ref="O7:P7"/>
    <mergeCell ref="A9:C9"/>
    <mergeCell ref="D9:E9"/>
    <mergeCell ref="F9:I9"/>
    <mergeCell ref="J9:K9"/>
    <mergeCell ref="L9:N9"/>
  </mergeCells>
  <dataValidations count="2">
    <dataValidation type="list" showInputMessage="1" showErrorMessage="1" sqref="D9:E9" xr:uid="{00000000-0002-0000-0700-000000000000}">
      <formula1>RAS</formula1>
    </dataValidation>
    <dataValidation type="list" allowBlank="1" showInputMessage="1" showErrorMessage="1" sqref="O9:P9" xr:uid="{00000000-0002-0000-0700-000001000000}">
      <formula1>Diligences</formula1>
    </dataValidation>
  </dataValidations>
  <hyperlinks>
    <hyperlink ref="O8:P8" location="'S Synthèse'!A1" display="S Synthèse" xr:uid="{00000000-0004-0000-07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8"/>
  <dimension ref="A1:T79"/>
  <sheetViews>
    <sheetView showGridLines="0" topLeftCell="A7" zoomScale="90" zoomScaleNormal="90" workbookViewId="0"/>
  </sheetViews>
  <sheetFormatPr baseColWidth="10" defaultColWidth="11.42578125" defaultRowHeight="15.75" x14ac:dyDescent="0.25"/>
  <cols>
    <col min="1" max="1" width="14.28515625" style="364" customWidth="1"/>
    <col min="2" max="4" width="14.7109375" style="364" customWidth="1"/>
    <col min="5" max="16" width="14.28515625" style="364" customWidth="1"/>
    <col min="17" max="16384" width="11.42578125" style="364"/>
  </cols>
  <sheetData>
    <row r="1" spans="1:20" s="363" customFormat="1" ht="15" customHeight="1" x14ac:dyDescent="0.2">
      <c r="A1" s="10"/>
      <c r="B1" s="11"/>
      <c r="C1" s="11"/>
      <c r="D1" s="1014" t="str">
        <f>'S Synthèse'!D1:M2</f>
        <v>#NomClient</v>
      </c>
      <c r="E1" s="1015"/>
      <c r="F1" s="1015"/>
      <c r="G1" s="1015"/>
      <c r="H1" s="1015"/>
      <c r="I1" s="1015"/>
      <c r="J1" s="1015"/>
      <c r="K1" s="1015"/>
      <c r="L1" s="1015"/>
      <c r="M1" s="1016"/>
      <c r="N1" s="11"/>
      <c r="O1" s="11"/>
      <c r="P1" s="12"/>
      <c r="Q1" s="1"/>
      <c r="R1" s="1"/>
      <c r="S1" s="1"/>
      <c r="T1" s="1"/>
    </row>
    <row r="2" spans="1:20" s="363" customFormat="1" ht="15" customHeight="1" thickBot="1" x14ac:dyDescent="0.25">
      <c r="A2" s="13"/>
      <c r="B2" s="14"/>
      <c r="C2" s="14"/>
      <c r="D2" s="1017"/>
      <c r="E2" s="1018"/>
      <c r="F2" s="1018"/>
      <c r="G2" s="1018"/>
      <c r="H2" s="1018"/>
      <c r="I2" s="1018"/>
      <c r="J2" s="1018"/>
      <c r="K2" s="1018"/>
      <c r="L2" s="1018"/>
      <c r="M2" s="1019"/>
      <c r="N2" s="14"/>
      <c r="O2" s="14"/>
      <c r="P2" s="15"/>
      <c r="Q2" s="1"/>
      <c r="R2" s="1"/>
      <c r="S2" s="1"/>
      <c r="T2" s="1"/>
    </row>
    <row r="3" spans="1:20" ht="15" customHeight="1" x14ac:dyDescent="0.25">
      <c r="A3" s="945" t="s">
        <v>3</v>
      </c>
      <c r="B3" s="946"/>
      <c r="C3" s="946"/>
      <c r="D3" s="946"/>
      <c r="E3" s="946"/>
      <c r="F3" s="946"/>
      <c r="G3" s="946"/>
      <c r="H3" s="946"/>
      <c r="I3" s="946"/>
      <c r="J3" s="946"/>
      <c r="K3" s="946"/>
      <c r="L3" s="946"/>
      <c r="M3" s="946"/>
      <c r="N3" s="946"/>
      <c r="O3" s="946"/>
      <c r="P3" s="947"/>
      <c r="Q3" s="3"/>
      <c r="R3" s="7"/>
      <c r="S3" s="5"/>
      <c r="T3" s="6"/>
    </row>
    <row r="4" spans="1:20" ht="15" customHeight="1" x14ac:dyDescent="0.25">
      <c r="A4" s="945"/>
      <c r="B4" s="946"/>
      <c r="C4" s="946"/>
      <c r="D4" s="946"/>
      <c r="E4" s="946"/>
      <c r="F4" s="946"/>
      <c r="G4" s="946"/>
      <c r="H4" s="946"/>
      <c r="I4" s="946"/>
      <c r="J4" s="946"/>
      <c r="K4" s="946"/>
      <c r="L4" s="946"/>
      <c r="M4" s="946"/>
      <c r="N4" s="946"/>
      <c r="O4" s="946"/>
      <c r="P4" s="947"/>
      <c r="Q4" s="3"/>
      <c r="R4" s="7"/>
      <c r="S4" s="5"/>
      <c r="T4" s="6"/>
    </row>
    <row r="5" spans="1:20" ht="15" customHeight="1" thickBot="1" x14ac:dyDescent="0.3">
      <c r="A5" s="948"/>
      <c r="B5" s="949"/>
      <c r="C5" s="949"/>
      <c r="D5" s="949"/>
      <c r="E5" s="949"/>
      <c r="F5" s="949"/>
      <c r="G5" s="949"/>
      <c r="H5" s="949"/>
      <c r="I5" s="949"/>
      <c r="J5" s="949"/>
      <c r="K5" s="949"/>
      <c r="L5" s="949"/>
      <c r="M5" s="949"/>
      <c r="N5" s="949"/>
      <c r="O5" s="949"/>
      <c r="P5" s="950"/>
      <c r="Q5" s="4"/>
      <c r="R5" s="23"/>
      <c r="S5" s="23"/>
      <c r="T5" s="23"/>
    </row>
    <row r="6" spans="1:20" ht="15" customHeight="1" x14ac:dyDescent="0.25">
      <c r="A6" s="17" t="s">
        <v>6</v>
      </c>
      <c r="B6" s="476" t="str">
        <f>'S Synthèse'!B6</f>
        <v>BRA</v>
      </c>
      <c r="C6" s="17" t="s">
        <v>7</v>
      </c>
      <c r="D6" s="476">
        <f>'S Synthèse'!D6</f>
        <v>0</v>
      </c>
      <c r="E6" s="957" t="s">
        <v>204</v>
      </c>
      <c r="F6" s="958"/>
      <c r="G6" s="958"/>
      <c r="H6" s="958"/>
      <c r="I6" s="958"/>
      <c r="J6" s="958"/>
      <c r="K6" s="958"/>
      <c r="L6" s="959"/>
      <c r="M6" s="1020" t="s">
        <v>9</v>
      </c>
      <c r="N6" s="1021"/>
      <c r="O6" s="963" t="s">
        <v>10</v>
      </c>
      <c r="P6" s="964"/>
      <c r="Q6" s="1"/>
      <c r="R6" s="1"/>
      <c r="S6" s="7"/>
      <c r="T6" s="7"/>
    </row>
    <row r="7" spans="1:20" ht="15" customHeight="1" thickBot="1" x14ac:dyDescent="0.3">
      <c r="A7" s="18" t="s">
        <v>12</v>
      </c>
      <c r="B7" s="477">
        <f>'S Synthèse'!B7</f>
        <v>0</v>
      </c>
      <c r="C7" s="18" t="s">
        <v>12</v>
      </c>
      <c r="D7" s="477">
        <f>'S Synthèse'!D7</f>
        <v>0</v>
      </c>
      <c r="E7" s="960"/>
      <c r="F7" s="961"/>
      <c r="G7" s="961"/>
      <c r="H7" s="961"/>
      <c r="I7" s="961"/>
      <c r="J7" s="961"/>
      <c r="K7" s="961"/>
      <c r="L7" s="962"/>
      <c r="M7" s="1022" t="str">
        <f>'S Synthèse'!M7:M7</f>
        <v>#DateClôture</v>
      </c>
      <c r="N7" s="1023"/>
      <c r="O7" s="965" t="s">
        <v>43</v>
      </c>
      <c r="P7" s="966"/>
      <c r="Q7" s="7"/>
      <c r="R7" s="7"/>
      <c r="S7" s="7"/>
      <c r="T7" s="7"/>
    </row>
    <row r="8" spans="1:20" ht="21" customHeight="1" thickBot="1" x14ac:dyDescent="0.3">
      <c r="A8" s="19"/>
      <c r="B8" s="16"/>
      <c r="C8" s="20"/>
      <c r="D8" s="20"/>
      <c r="E8" s="21"/>
      <c r="F8" s="21"/>
      <c r="G8" s="21"/>
      <c r="H8" s="21"/>
      <c r="I8" s="21"/>
      <c r="J8" s="21"/>
      <c r="K8" s="21"/>
      <c r="L8" s="21"/>
      <c r="M8" s="22"/>
      <c r="N8" s="20"/>
      <c r="O8" s="1002" t="s">
        <v>63</v>
      </c>
      <c r="P8" s="1002"/>
      <c r="Q8" s="7"/>
      <c r="R8" s="7"/>
      <c r="S8" s="7"/>
      <c r="T8" s="7"/>
    </row>
    <row r="9" spans="1:20" s="365" customFormat="1" ht="31.5" customHeight="1" thickBot="1" x14ac:dyDescent="0.25">
      <c r="A9" s="951" t="s">
        <v>17</v>
      </c>
      <c r="B9" s="952"/>
      <c r="C9" s="952"/>
      <c r="D9" s="1012" t="str">
        <f>'S Synthèse'!D9:E9</f>
        <v>Modéré</v>
      </c>
      <c r="E9" s="1013"/>
      <c r="F9" s="953" t="s">
        <v>18</v>
      </c>
      <c r="G9" s="954"/>
      <c r="H9" s="954"/>
      <c r="I9" s="954"/>
      <c r="J9" s="1004">
        <f>'S Synthèse'!J9:K9</f>
        <v>0</v>
      </c>
      <c r="K9" s="1005"/>
      <c r="L9" s="953" t="s">
        <v>19</v>
      </c>
      <c r="M9" s="954"/>
      <c r="N9" s="954"/>
      <c r="O9" s="1012" t="str">
        <f>'S Synthèse'!N9</f>
        <v>PE</v>
      </c>
      <c r="P9" s="1013"/>
      <c r="Q9" s="20"/>
      <c r="R9" s="20"/>
      <c r="S9" s="20"/>
      <c r="T9" s="20"/>
    </row>
    <row r="10" spans="1:20" s="365" customFormat="1" ht="21" customHeight="1" thickBot="1" x14ac:dyDescent="0.25">
      <c r="A10" s="24"/>
      <c r="B10" s="24"/>
      <c r="C10" s="24"/>
      <c r="D10" s="24"/>
      <c r="E10" s="24"/>
      <c r="F10" s="24"/>
      <c r="G10" s="24"/>
      <c r="H10" s="24"/>
      <c r="I10" s="24"/>
      <c r="J10" s="24"/>
      <c r="K10" s="24"/>
      <c r="L10" s="24"/>
      <c r="M10" s="24"/>
      <c r="N10" s="24"/>
      <c r="O10" s="24"/>
      <c r="P10" s="24"/>
      <c r="Q10" s="20"/>
      <c r="R10" s="20"/>
      <c r="S10" s="20"/>
      <c r="T10" s="20"/>
    </row>
    <row r="11" spans="1:20" s="366" customFormat="1" ht="109.15" customHeight="1" thickBot="1" x14ac:dyDescent="0.3">
      <c r="A11" s="1006" t="s">
        <v>205</v>
      </c>
      <c r="B11" s="1007"/>
      <c r="C11" s="1007"/>
      <c r="D11" s="1007"/>
      <c r="E11" s="1007"/>
      <c r="F11" s="1007"/>
      <c r="G11" s="1007"/>
      <c r="H11" s="1007"/>
      <c r="I11" s="1007"/>
      <c r="J11" s="1007"/>
      <c r="K11" s="1007"/>
      <c r="L11" s="1007"/>
      <c r="M11" s="1007"/>
      <c r="N11" s="1007"/>
      <c r="O11" s="1007"/>
      <c r="P11" s="1008"/>
      <c r="Q11" s="25"/>
      <c r="R11" s="25"/>
      <c r="S11" s="25"/>
      <c r="T11" s="25"/>
    </row>
    <row r="12" spans="1:20" s="366" customFormat="1" ht="9" customHeight="1" thickBot="1" x14ac:dyDescent="0.3">
      <c r="A12" s="25"/>
      <c r="B12" s="25"/>
      <c r="C12" s="25"/>
      <c r="D12" s="25"/>
      <c r="E12" s="25"/>
      <c r="F12" s="25"/>
      <c r="G12" s="25"/>
      <c r="H12" s="25"/>
      <c r="I12" s="25"/>
      <c r="J12" s="25"/>
      <c r="K12" s="25"/>
      <c r="L12" s="25"/>
      <c r="M12" s="25"/>
      <c r="N12" s="25"/>
      <c r="O12" s="25"/>
      <c r="P12" s="25"/>
      <c r="Q12" s="25"/>
      <c r="R12" s="25"/>
      <c r="S12" s="25"/>
      <c r="T12" s="25"/>
    </row>
    <row r="13" spans="1:20" s="366" customFormat="1" ht="15" x14ac:dyDescent="0.25">
      <c r="A13" s="974" t="s">
        <v>67</v>
      </c>
      <c r="B13" s="975"/>
      <c r="C13" s="975"/>
      <c r="D13" s="975"/>
      <c r="E13" s="975"/>
      <c r="F13" s="975"/>
      <c r="G13" s="975"/>
      <c r="H13" s="975"/>
      <c r="I13" s="975"/>
      <c r="J13" s="975"/>
      <c r="K13" s="975"/>
      <c r="L13" s="975"/>
      <c r="M13" s="975"/>
      <c r="N13" s="975"/>
      <c r="O13" s="975"/>
      <c r="P13" s="976"/>
      <c r="Q13" s="25"/>
      <c r="R13" s="25"/>
      <c r="S13" s="25"/>
      <c r="T13" s="25"/>
    </row>
    <row r="14" spans="1:20" s="366" customFormat="1" ht="60" customHeight="1" thickBot="1" x14ac:dyDescent="0.3">
      <c r="A14" s="1009"/>
      <c r="B14" s="1010"/>
      <c r="C14" s="1010"/>
      <c r="D14" s="1010"/>
      <c r="E14" s="1010"/>
      <c r="F14" s="1010"/>
      <c r="G14" s="1010"/>
      <c r="H14" s="1010"/>
      <c r="I14" s="1010"/>
      <c r="J14" s="1010"/>
      <c r="K14" s="1010"/>
      <c r="L14" s="1010"/>
      <c r="M14" s="1010"/>
      <c r="N14" s="1010"/>
      <c r="O14" s="1010"/>
      <c r="P14" s="1011"/>
      <c r="Q14" s="25"/>
      <c r="R14" s="25"/>
      <c r="S14" s="25"/>
      <c r="T14" s="25"/>
    </row>
    <row r="15" spans="1:20" ht="16.5" thickBot="1" x14ac:dyDescent="0.3">
      <c r="A15" s="7"/>
      <c r="B15" s="7"/>
      <c r="C15" s="7"/>
      <c r="D15" s="7"/>
      <c r="E15" s="7"/>
      <c r="F15" s="7"/>
      <c r="G15" s="7"/>
      <c r="H15" s="7"/>
      <c r="I15" s="7"/>
      <c r="J15" s="7"/>
      <c r="K15" s="7"/>
      <c r="L15" s="7"/>
      <c r="M15" s="7"/>
      <c r="N15" s="7"/>
      <c r="O15" s="7"/>
      <c r="P15" s="7"/>
      <c r="Q15" s="7"/>
      <c r="R15" s="7"/>
      <c r="S15" s="7"/>
      <c r="T15" s="7"/>
    </row>
    <row r="16" spans="1:20" x14ac:dyDescent="0.25">
      <c r="A16" s="328"/>
      <c r="B16" s="329"/>
      <c r="C16" s="329"/>
      <c r="D16" s="329"/>
      <c r="E16" s="329"/>
      <c r="F16" s="329"/>
      <c r="G16" s="329"/>
      <c r="H16" s="329"/>
      <c r="I16" s="329"/>
      <c r="J16" s="329"/>
      <c r="K16" s="329"/>
      <c r="L16" s="329"/>
      <c r="M16" s="329"/>
      <c r="N16" s="329"/>
      <c r="O16" s="329"/>
      <c r="P16" s="330"/>
      <c r="Q16" s="7"/>
      <c r="R16" s="7"/>
      <c r="S16" s="7"/>
      <c r="T16" s="7"/>
    </row>
    <row r="17" spans="1:16" s="366" customFormat="1" ht="15" x14ac:dyDescent="0.25">
      <c r="A17" s="154" t="s">
        <v>206</v>
      </c>
      <c r="B17" s="25"/>
      <c r="C17" s="25"/>
      <c r="D17" s="25"/>
      <c r="E17" s="25"/>
      <c r="F17" s="25"/>
      <c r="G17" s="25"/>
      <c r="H17" s="25"/>
      <c r="I17" s="25"/>
      <c r="J17" s="25"/>
      <c r="K17" s="25"/>
      <c r="L17" s="25"/>
      <c r="M17" s="25"/>
      <c r="N17" s="25"/>
      <c r="O17" s="25"/>
      <c r="P17" s="287"/>
    </row>
    <row r="18" spans="1:16" s="366" customFormat="1" ht="15" x14ac:dyDescent="0.25">
      <c r="A18" s="288"/>
      <c r="B18" s="25"/>
      <c r="C18" s="25"/>
      <c r="D18" s="25"/>
      <c r="E18" s="25"/>
      <c r="F18" s="25"/>
      <c r="G18" s="25"/>
      <c r="H18" s="25"/>
      <c r="I18" s="25"/>
      <c r="J18" s="25"/>
      <c r="K18" s="25"/>
      <c r="L18" s="25"/>
      <c r="M18" s="25"/>
      <c r="N18" s="25"/>
      <c r="O18" s="25"/>
      <c r="P18" s="287"/>
    </row>
    <row r="19" spans="1:16" s="366" customFormat="1" ht="15" x14ac:dyDescent="0.25">
      <c r="A19" s="288"/>
      <c r="B19" s="25"/>
      <c r="C19" s="25"/>
      <c r="D19" s="25"/>
      <c r="E19" s="25"/>
      <c r="F19" s="25"/>
      <c r="G19" s="25"/>
      <c r="H19" s="25"/>
      <c r="I19" s="25"/>
      <c r="J19" s="25"/>
      <c r="K19" s="25"/>
      <c r="L19" s="25"/>
      <c r="M19" s="25"/>
      <c r="N19" s="25"/>
      <c r="O19" s="25"/>
      <c r="P19" s="287"/>
    </row>
    <row r="20" spans="1:16" s="366" customFormat="1" ht="30" customHeight="1" x14ac:dyDescent="0.25">
      <c r="A20" s="1092" t="s">
        <v>207</v>
      </c>
      <c r="B20" s="1093"/>
      <c r="C20" s="1093"/>
      <c r="D20" s="1093"/>
      <c r="E20" s="1093"/>
      <c r="F20" s="1093"/>
      <c r="G20" s="1093"/>
      <c r="H20" s="1094"/>
      <c r="I20" s="671" t="s">
        <v>208</v>
      </c>
      <c r="J20" s="1095" t="s">
        <v>209</v>
      </c>
      <c r="K20" s="1096"/>
      <c r="L20" s="1096"/>
      <c r="M20" s="1097"/>
      <c r="N20" s="1098" t="s">
        <v>210</v>
      </c>
      <c r="O20" s="1093"/>
      <c r="P20" s="1099"/>
    </row>
    <row r="21" spans="1:16" s="366" customFormat="1" ht="15" x14ac:dyDescent="0.25">
      <c r="A21" s="608" t="s">
        <v>159</v>
      </c>
      <c r="B21" s="1100" t="s">
        <v>194</v>
      </c>
      <c r="C21" s="1101"/>
      <c r="D21" s="1102"/>
      <c r="E21" s="609" t="s">
        <v>211</v>
      </c>
      <c r="F21" s="609" t="s">
        <v>212</v>
      </c>
      <c r="G21" s="609" t="s">
        <v>213</v>
      </c>
      <c r="H21" s="672" t="s">
        <v>214</v>
      </c>
      <c r="I21" s="610" t="s">
        <v>215</v>
      </c>
      <c r="J21" s="611" t="s">
        <v>216</v>
      </c>
      <c r="K21" s="611" t="s">
        <v>217</v>
      </c>
      <c r="L21" s="612" t="s">
        <v>218</v>
      </c>
      <c r="M21" s="611" t="s">
        <v>219</v>
      </c>
      <c r="N21" s="611" t="s">
        <v>220</v>
      </c>
      <c r="O21" s="611" t="s">
        <v>386</v>
      </c>
      <c r="P21" s="613" t="s">
        <v>222</v>
      </c>
    </row>
    <row r="22" spans="1:16" s="366" customFormat="1" ht="15" x14ac:dyDescent="0.25">
      <c r="A22" s="614"/>
      <c r="B22" s="1103"/>
      <c r="C22" s="1104"/>
      <c r="D22" s="1104"/>
      <c r="E22" s="882"/>
      <c r="F22" s="615"/>
      <c r="G22" s="616"/>
      <c r="H22" s="617">
        <f>(E22*G22)</f>
        <v>0</v>
      </c>
      <c r="I22" s="618"/>
      <c r="J22" s="619"/>
      <c r="K22" s="620"/>
      <c r="L22" s="621"/>
      <c r="M22" s="622"/>
      <c r="N22" s="623">
        <f>+M22-G22</f>
        <v>0</v>
      </c>
      <c r="O22" s="885" t="e">
        <f t="shared" ref="O22:O27" si="0">+N22/G22</f>
        <v>#DIV/0!</v>
      </c>
      <c r="P22" s="624">
        <f t="shared" ref="P22:P27" si="1">(N22*E22)</f>
        <v>0</v>
      </c>
    </row>
    <row r="23" spans="1:16" s="366" customFormat="1" ht="15" x14ac:dyDescent="0.25">
      <c r="A23" s="625"/>
      <c r="B23" s="1105"/>
      <c r="C23" s="1106"/>
      <c r="D23" s="1106"/>
      <c r="E23" s="883"/>
      <c r="F23" s="626"/>
      <c r="G23" s="627"/>
      <c r="H23" s="628">
        <f>(E23*G23)</f>
        <v>0</v>
      </c>
      <c r="I23" s="629"/>
      <c r="J23" s="630"/>
      <c r="K23" s="631"/>
      <c r="L23" s="632"/>
      <c r="M23" s="633"/>
      <c r="N23" s="634">
        <f t="shared" ref="N23:N27" si="2">+M23-G23</f>
        <v>0</v>
      </c>
      <c r="O23" s="886" t="e">
        <f t="shared" si="0"/>
        <v>#DIV/0!</v>
      </c>
      <c r="P23" s="635">
        <f t="shared" si="1"/>
        <v>0</v>
      </c>
    </row>
    <row r="24" spans="1:16" s="366" customFormat="1" ht="15" x14ac:dyDescent="0.25">
      <c r="A24" s="625"/>
      <c r="B24" s="1105"/>
      <c r="C24" s="1106"/>
      <c r="D24" s="1106"/>
      <c r="E24" s="883"/>
      <c r="F24" s="626"/>
      <c r="G24" s="627"/>
      <c r="H24" s="628">
        <f t="shared" ref="H24:H27" si="3">(E24*G24)</f>
        <v>0</v>
      </c>
      <c r="I24" s="629"/>
      <c r="J24" s="630"/>
      <c r="K24" s="631"/>
      <c r="L24" s="632"/>
      <c r="M24" s="633"/>
      <c r="N24" s="634">
        <f t="shared" si="2"/>
        <v>0</v>
      </c>
      <c r="O24" s="886" t="e">
        <f t="shared" si="0"/>
        <v>#DIV/0!</v>
      </c>
      <c r="P24" s="635">
        <f t="shared" si="1"/>
        <v>0</v>
      </c>
    </row>
    <row r="25" spans="1:16" s="366" customFormat="1" ht="15" x14ac:dyDescent="0.25">
      <c r="A25" s="625"/>
      <c r="B25" s="1105"/>
      <c r="C25" s="1106"/>
      <c r="D25" s="1106"/>
      <c r="E25" s="883"/>
      <c r="F25" s="626"/>
      <c r="G25" s="627"/>
      <c r="H25" s="628">
        <f t="shared" si="3"/>
        <v>0</v>
      </c>
      <c r="I25" s="629"/>
      <c r="J25" s="630"/>
      <c r="K25" s="631"/>
      <c r="L25" s="632"/>
      <c r="M25" s="633"/>
      <c r="N25" s="634">
        <f t="shared" si="2"/>
        <v>0</v>
      </c>
      <c r="O25" s="886" t="e">
        <f t="shared" si="0"/>
        <v>#DIV/0!</v>
      </c>
      <c r="P25" s="635">
        <f t="shared" si="1"/>
        <v>0</v>
      </c>
    </row>
    <row r="26" spans="1:16" s="366" customFormat="1" ht="15" x14ac:dyDescent="0.25">
      <c r="A26" s="625"/>
      <c r="B26" s="1105"/>
      <c r="C26" s="1106"/>
      <c r="D26" s="1106"/>
      <c r="E26" s="883"/>
      <c r="F26" s="626"/>
      <c r="G26" s="627"/>
      <c r="H26" s="628">
        <f t="shared" si="3"/>
        <v>0</v>
      </c>
      <c r="I26" s="629"/>
      <c r="J26" s="630"/>
      <c r="K26" s="631"/>
      <c r="L26" s="632"/>
      <c r="M26" s="633"/>
      <c r="N26" s="634">
        <f t="shared" si="2"/>
        <v>0</v>
      </c>
      <c r="O26" s="886" t="e">
        <f t="shared" si="0"/>
        <v>#DIV/0!</v>
      </c>
      <c r="P26" s="635">
        <f t="shared" si="1"/>
        <v>0</v>
      </c>
    </row>
    <row r="27" spans="1:16" s="366" customFormat="1" ht="15" x14ac:dyDescent="0.25">
      <c r="A27" s="636"/>
      <c r="B27" s="1107"/>
      <c r="C27" s="1108"/>
      <c r="D27" s="1108"/>
      <c r="E27" s="884"/>
      <c r="F27" s="637"/>
      <c r="G27" s="638"/>
      <c r="H27" s="639">
        <f t="shared" si="3"/>
        <v>0</v>
      </c>
      <c r="I27" s="640"/>
      <c r="J27" s="641"/>
      <c r="K27" s="642"/>
      <c r="L27" s="643"/>
      <c r="M27" s="644"/>
      <c r="N27" s="645">
        <f t="shared" si="2"/>
        <v>0</v>
      </c>
      <c r="O27" s="887" t="e">
        <f t="shared" si="0"/>
        <v>#DIV/0!</v>
      </c>
      <c r="P27" s="646">
        <f t="shared" si="1"/>
        <v>0</v>
      </c>
    </row>
    <row r="28" spans="1:16" s="366" customFormat="1" ht="15" x14ac:dyDescent="0.25">
      <c r="A28" s="199"/>
      <c r="B28" s="647"/>
      <c r="C28" s="25"/>
      <c r="D28" s="25"/>
      <c r="E28" s="156"/>
      <c r="F28" s="157"/>
      <c r="G28" s="157"/>
      <c r="H28" s="157"/>
      <c r="I28" s="157"/>
      <c r="J28" s="159"/>
      <c r="K28" s="159"/>
      <c r="L28" s="156"/>
      <c r="M28" s="160"/>
      <c r="N28" s="161"/>
      <c r="O28" s="161"/>
      <c r="P28" s="648"/>
    </row>
    <row r="29" spans="1:16" s="366" customFormat="1" ht="15" x14ac:dyDescent="0.25">
      <c r="A29" s="162"/>
      <c r="B29" s="163"/>
      <c r="C29" s="25"/>
      <c r="D29" s="25"/>
      <c r="E29" s="163"/>
      <c r="F29" s="164"/>
      <c r="G29" s="171" t="s">
        <v>223</v>
      </c>
      <c r="H29" s="649">
        <f>SUM(H22:H27)</f>
        <v>0</v>
      </c>
      <c r="I29" s="647"/>
      <c r="J29" s="165"/>
      <c r="K29" s="165"/>
      <c r="L29" s="163"/>
      <c r="M29" s="680" t="s">
        <v>224</v>
      </c>
      <c r="N29" s="680"/>
      <c r="O29" s="680"/>
      <c r="P29" s="650">
        <f>SUM(P22:P28)</f>
        <v>0</v>
      </c>
    </row>
    <row r="30" spans="1:16" s="366" customFormat="1" ht="15" x14ac:dyDescent="0.25">
      <c r="A30" s="162"/>
      <c r="B30" s="163"/>
      <c r="C30" s="25"/>
      <c r="D30" s="25"/>
      <c r="E30" s="163"/>
      <c r="F30" s="164"/>
      <c r="G30" s="647"/>
      <c r="H30" s="647"/>
      <c r="I30" s="647"/>
      <c r="J30" s="165"/>
      <c r="K30" s="165"/>
      <c r="L30" s="163"/>
      <c r="M30" s="680"/>
      <c r="N30" s="680"/>
      <c r="O30" s="680"/>
      <c r="P30" s="287"/>
    </row>
    <row r="31" spans="1:16" s="366" customFormat="1" ht="15" x14ac:dyDescent="0.25">
      <c r="A31" s="162"/>
      <c r="B31" s="163"/>
      <c r="C31" s="25"/>
      <c r="D31" s="25"/>
      <c r="E31" s="163"/>
      <c r="F31" s="164"/>
      <c r="G31" s="171" t="s">
        <v>225</v>
      </c>
      <c r="H31" s="651">
        <f>'[2]S100 Tableau var stocks'!E22</f>
        <v>0</v>
      </c>
      <c r="I31" s="647"/>
      <c r="J31" s="165"/>
      <c r="K31" s="165"/>
      <c r="L31" s="163"/>
      <c r="M31" s="680"/>
      <c r="N31" s="680"/>
      <c r="O31" s="680"/>
      <c r="P31" s="652" t="e">
        <f>+P29/H29</f>
        <v>#DIV/0!</v>
      </c>
    </row>
    <row r="32" spans="1:16" s="366" customFormat="1" ht="15" x14ac:dyDescent="0.25">
      <c r="A32" s="162"/>
      <c r="B32" s="163"/>
      <c r="C32" s="25"/>
      <c r="D32" s="25"/>
      <c r="E32" s="163"/>
      <c r="F32" s="164"/>
      <c r="G32" s="647"/>
      <c r="H32" s="647"/>
      <c r="I32" s="647"/>
      <c r="J32" s="165"/>
      <c r="K32" s="165"/>
      <c r="L32" s="163"/>
      <c r="M32" s="163"/>
      <c r="N32" s="168"/>
      <c r="O32" s="168"/>
      <c r="P32" s="347"/>
    </row>
    <row r="33" spans="1:17" s="366" customFormat="1" ht="15" x14ac:dyDescent="0.25">
      <c r="A33" s="162"/>
      <c r="B33" s="163"/>
      <c r="C33" s="25"/>
      <c r="D33" s="25"/>
      <c r="E33" s="163"/>
      <c r="F33" s="164"/>
      <c r="G33" s="406" t="s">
        <v>226</v>
      </c>
      <c r="H33" s="170" t="e">
        <f>+H29/H31</f>
        <v>#DIV/0!</v>
      </c>
      <c r="I33" s="647"/>
      <c r="J33" s="165"/>
      <c r="K33" s="165"/>
      <c r="L33" s="163"/>
      <c r="M33" s="163"/>
      <c r="N33" s="168"/>
      <c r="O33" s="168"/>
      <c r="P33" s="347"/>
      <c r="Q33" s="25"/>
    </row>
    <row r="34" spans="1:17" s="366" customFormat="1" thickBot="1" x14ac:dyDescent="0.3">
      <c r="A34" s="348"/>
      <c r="B34" s="349"/>
      <c r="C34" s="349"/>
      <c r="D34" s="350"/>
      <c r="E34" s="351"/>
      <c r="F34" s="352"/>
      <c r="G34" s="353"/>
      <c r="H34" s="653"/>
      <c r="I34" s="349"/>
      <c r="J34" s="354"/>
      <c r="K34" s="354"/>
      <c r="L34" s="349"/>
      <c r="M34" s="349"/>
      <c r="N34" s="654"/>
      <c r="O34" s="654"/>
      <c r="P34" s="655"/>
      <c r="Q34" s="25"/>
    </row>
    <row r="35" spans="1:17" s="366" customFormat="1" thickBot="1" x14ac:dyDescent="0.3">
      <c r="A35" s="162"/>
      <c r="B35" s="163"/>
      <c r="C35" s="163"/>
      <c r="D35" s="164"/>
      <c r="E35" s="171"/>
      <c r="F35" s="172"/>
      <c r="G35" s="173"/>
      <c r="H35" s="647"/>
      <c r="I35" s="163"/>
      <c r="J35" s="165"/>
      <c r="K35" s="165"/>
      <c r="L35" s="163"/>
      <c r="M35" s="163"/>
      <c r="N35" s="168"/>
      <c r="O35" s="168"/>
      <c r="P35" s="168"/>
      <c r="Q35" s="25"/>
    </row>
    <row r="36" spans="1:17" s="366" customFormat="1" ht="15" x14ac:dyDescent="0.25">
      <c r="A36" s="355"/>
      <c r="B36" s="356"/>
      <c r="C36" s="356"/>
      <c r="D36" s="357"/>
      <c r="E36" s="358"/>
      <c r="F36" s="359"/>
      <c r="G36" s="360"/>
      <c r="H36" s="696"/>
      <c r="I36" s="356"/>
      <c r="J36" s="361"/>
      <c r="K36" s="361"/>
      <c r="L36" s="356"/>
      <c r="M36" s="356"/>
      <c r="N36" s="697"/>
      <c r="O36" s="697"/>
      <c r="P36" s="698"/>
      <c r="Q36" s="25"/>
    </row>
    <row r="37" spans="1:17" s="366" customFormat="1" ht="15" x14ac:dyDescent="0.25">
      <c r="A37" s="346" t="s">
        <v>227</v>
      </c>
      <c r="B37" s="30"/>
      <c r="C37" s="40"/>
      <c r="D37" s="40"/>
      <c r="E37" s="40"/>
      <c r="F37" s="40"/>
      <c r="G37" s="40"/>
      <c r="H37" s="40"/>
      <c r="I37" s="40"/>
      <c r="J37" s="40"/>
      <c r="K37" s="40"/>
      <c r="L37" s="40"/>
      <c r="M37" s="40"/>
      <c r="N37" s="40"/>
      <c r="O37" s="40"/>
      <c r="P37" s="362"/>
      <c r="Q37" s="25"/>
    </row>
    <row r="38" spans="1:17" s="366" customFormat="1" ht="15" x14ac:dyDescent="0.25">
      <c r="A38" s="699"/>
      <c r="B38" s="700"/>
      <c r="C38" s="700"/>
      <c r="D38" s="700"/>
      <c r="E38" s="700"/>
      <c r="F38" s="700"/>
      <c r="G38" s="700"/>
      <c r="H38" s="700"/>
      <c r="I38" s="700"/>
      <c r="J38" s="700"/>
      <c r="K38" s="700"/>
      <c r="L38" s="700"/>
      <c r="M38" s="700"/>
      <c r="N38" s="700"/>
      <c r="O38" s="700"/>
      <c r="P38" s="701"/>
      <c r="Q38" s="25"/>
    </row>
    <row r="39" spans="1:17" s="367" customFormat="1" ht="75" customHeight="1" x14ac:dyDescent="0.2">
      <c r="A39" s="1059" t="s">
        <v>64</v>
      </c>
      <c r="B39" s="1060"/>
      <c r="C39" s="1060"/>
      <c r="D39" s="1060"/>
      <c r="E39" s="1060"/>
      <c r="F39" s="1060"/>
      <c r="G39" s="1060"/>
      <c r="H39" s="1060"/>
      <c r="I39" s="1060"/>
      <c r="J39" s="1060"/>
      <c r="K39" s="1060"/>
      <c r="L39" s="1060"/>
      <c r="M39" s="1060"/>
      <c r="N39" s="1060"/>
      <c r="O39" s="1060"/>
      <c r="P39" s="1061"/>
      <c r="Q39" s="33"/>
    </row>
    <row r="40" spans="1:17" s="366" customFormat="1" thickBot="1" x14ac:dyDescent="0.3">
      <c r="A40" s="702"/>
      <c r="B40" s="703"/>
      <c r="C40" s="703"/>
      <c r="D40" s="703"/>
      <c r="E40" s="703"/>
      <c r="F40" s="703"/>
      <c r="G40" s="703"/>
      <c r="H40" s="703"/>
      <c r="I40" s="703"/>
      <c r="J40" s="703"/>
      <c r="K40" s="703"/>
      <c r="L40" s="703"/>
      <c r="M40" s="703"/>
      <c r="N40" s="703"/>
      <c r="O40" s="703"/>
      <c r="P40" s="704"/>
      <c r="Q40" s="25"/>
    </row>
    <row r="41" spans="1:17" s="366" customFormat="1" ht="15" x14ac:dyDescent="0.25">
      <c r="A41" s="705"/>
      <c r="B41" s="706"/>
      <c r="C41" s="706"/>
      <c r="D41" s="706"/>
      <c r="E41" s="706"/>
      <c r="F41" s="706"/>
      <c r="G41" s="706"/>
      <c r="H41" s="706"/>
      <c r="I41" s="706"/>
      <c r="J41" s="706"/>
      <c r="K41" s="706"/>
      <c r="L41" s="706"/>
      <c r="M41" s="706"/>
      <c r="N41" s="706"/>
      <c r="O41" s="706"/>
      <c r="P41" s="706"/>
      <c r="Q41" s="25"/>
    </row>
    <row r="42" spans="1:17" s="366" customFormat="1" ht="15" x14ac:dyDescent="0.25">
      <c r="A42" s="25"/>
      <c r="B42" s="25"/>
      <c r="C42" s="25"/>
      <c r="D42" s="25"/>
      <c r="E42" s="25"/>
      <c r="F42" s="25"/>
      <c r="G42" s="25"/>
      <c r="H42" s="25"/>
      <c r="I42" s="25"/>
      <c r="J42" s="25"/>
      <c r="K42" s="25"/>
      <c r="L42" s="25"/>
      <c r="M42" s="25"/>
      <c r="N42" s="25"/>
      <c r="O42" s="25"/>
      <c r="P42" s="25"/>
      <c r="Q42" s="25"/>
    </row>
    <row r="43" spans="1:17" s="366" customFormat="1" ht="15" x14ac:dyDescent="0.25">
      <c r="A43" s="25"/>
      <c r="B43" s="25"/>
      <c r="C43" s="25"/>
      <c r="D43" s="25"/>
      <c r="E43" s="25"/>
      <c r="F43" s="25"/>
      <c r="G43" s="25"/>
      <c r="H43" s="25"/>
      <c r="I43" s="25"/>
      <c r="J43" s="25"/>
      <c r="K43" s="25"/>
      <c r="L43" s="25"/>
      <c r="M43" s="25"/>
      <c r="N43" s="25"/>
      <c r="O43" s="25"/>
      <c r="P43" s="25"/>
      <c r="Q43" s="25"/>
    </row>
    <row r="44" spans="1:17" s="366" customFormat="1" ht="15" x14ac:dyDescent="0.25"/>
    <row r="45" spans="1:17" s="366" customFormat="1" ht="15" x14ac:dyDescent="0.25"/>
    <row r="46" spans="1:17" s="366" customFormat="1" ht="15" x14ac:dyDescent="0.25"/>
    <row r="47" spans="1:17" s="366" customFormat="1" ht="15" x14ac:dyDescent="0.25"/>
    <row r="48" spans="1:17" s="366" customFormat="1" ht="15" x14ac:dyDescent="0.25"/>
    <row r="49" s="366" customFormat="1" ht="15" x14ac:dyDescent="0.25"/>
    <row r="50" s="366" customFormat="1" ht="15" x14ac:dyDescent="0.25"/>
    <row r="51" s="366" customFormat="1" ht="15" x14ac:dyDescent="0.25"/>
    <row r="52" s="366" customFormat="1" ht="15" x14ac:dyDescent="0.25"/>
    <row r="53" s="366" customFormat="1" ht="15" x14ac:dyDescent="0.25"/>
    <row r="54" s="366" customFormat="1" ht="15" x14ac:dyDescent="0.25"/>
    <row r="55" s="366" customFormat="1" ht="15" x14ac:dyDescent="0.25"/>
    <row r="56" s="366" customFormat="1" ht="15" x14ac:dyDescent="0.25"/>
    <row r="57" s="366" customFormat="1" ht="15" x14ac:dyDescent="0.25"/>
    <row r="58" s="366" customFormat="1" ht="15" x14ac:dyDescent="0.25"/>
    <row r="59" s="366" customFormat="1" ht="15" x14ac:dyDescent="0.25"/>
    <row r="60" s="366" customFormat="1" ht="15" x14ac:dyDescent="0.25"/>
    <row r="61" s="366" customFormat="1" ht="15" x14ac:dyDescent="0.25"/>
    <row r="62" s="366" customFormat="1" ht="15" x14ac:dyDescent="0.25"/>
    <row r="63" s="366" customFormat="1" ht="15" x14ac:dyDescent="0.25"/>
    <row r="64" s="366" customFormat="1" ht="15" x14ac:dyDescent="0.25"/>
    <row r="65" s="366" customFormat="1" ht="15" x14ac:dyDescent="0.25"/>
    <row r="66" s="366" customFormat="1" ht="15" x14ac:dyDescent="0.25"/>
    <row r="67" s="366" customFormat="1" ht="15" x14ac:dyDescent="0.25"/>
    <row r="68" s="366" customFormat="1" ht="15" x14ac:dyDescent="0.25"/>
    <row r="69" s="366" customFormat="1" ht="15" x14ac:dyDescent="0.25"/>
    <row r="70" s="366" customFormat="1" ht="15" x14ac:dyDescent="0.25"/>
    <row r="71" s="366" customFormat="1" ht="15" x14ac:dyDescent="0.25"/>
    <row r="72" s="366" customFormat="1" ht="15" x14ac:dyDescent="0.25"/>
    <row r="73" s="366" customFormat="1" ht="15" x14ac:dyDescent="0.25"/>
    <row r="74" s="366" customFormat="1" ht="15" x14ac:dyDescent="0.25"/>
    <row r="75" s="366" customFormat="1" ht="15" x14ac:dyDescent="0.25"/>
    <row r="76" s="366" customFormat="1" ht="15" x14ac:dyDescent="0.25"/>
    <row r="77" s="366" customFormat="1" ht="15" x14ac:dyDescent="0.25"/>
    <row r="78" s="366" customFormat="1" ht="15" x14ac:dyDescent="0.25"/>
    <row r="79" s="366" customFormat="1" ht="15" x14ac:dyDescent="0.25"/>
  </sheetData>
  <sheetProtection formatCells="0" formatColumns="0" formatRows="0" insertColumns="0" insertRows="0" insertHyperlinks="0" deleteColumns="0" deleteRows="0" sort="0" autoFilter="0" pivotTables="0"/>
  <mergeCells count="28">
    <mergeCell ref="A39:P39"/>
    <mergeCell ref="A11:P11"/>
    <mergeCell ref="A13:P13"/>
    <mergeCell ref="A14:P14"/>
    <mergeCell ref="A20:H20"/>
    <mergeCell ref="J20:M20"/>
    <mergeCell ref="N20:P20"/>
    <mergeCell ref="B21:D21"/>
    <mergeCell ref="B22:D22"/>
    <mergeCell ref="B23:D23"/>
    <mergeCell ref="B24:D24"/>
    <mergeCell ref="B25:D25"/>
    <mergeCell ref="B26:D26"/>
    <mergeCell ref="B27:D27"/>
    <mergeCell ref="O9:P9"/>
    <mergeCell ref="D1:M2"/>
    <mergeCell ref="A3:P5"/>
    <mergeCell ref="E6:L7"/>
    <mergeCell ref="M6:N6"/>
    <mergeCell ref="O6:P6"/>
    <mergeCell ref="M7:N7"/>
    <mergeCell ref="O7:P7"/>
    <mergeCell ref="A9:C9"/>
    <mergeCell ref="D9:E9"/>
    <mergeCell ref="F9:I9"/>
    <mergeCell ref="J9:K9"/>
    <mergeCell ref="L9:N9"/>
    <mergeCell ref="O8:P8"/>
  </mergeCells>
  <dataValidations count="2">
    <dataValidation type="list" allowBlank="1" showInputMessage="1" showErrorMessage="1" sqref="O9:P9" xr:uid="{00000000-0002-0000-0800-000000000000}">
      <formula1>Diligences</formula1>
    </dataValidation>
    <dataValidation type="list" showInputMessage="1" showErrorMessage="1" sqref="D9:E9" xr:uid="{00000000-0002-0000-0800-000001000000}">
      <formula1>RAS</formula1>
    </dataValidation>
  </dataValidations>
  <hyperlinks>
    <hyperlink ref="O8:P8" location="'S Synthèse'!A1" display="S Synthèse" xr:uid="{00000000-0004-0000-08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9"/>
  <dimension ref="A1:U111"/>
  <sheetViews>
    <sheetView showGridLines="0" zoomScale="90" zoomScaleNormal="90" workbookViewId="0">
      <selection activeCell="O10" sqref="O10"/>
    </sheetView>
  </sheetViews>
  <sheetFormatPr baseColWidth="10" defaultColWidth="11.42578125" defaultRowHeight="15" x14ac:dyDescent="0.25"/>
  <cols>
    <col min="1" max="16" width="14.28515625" style="25" customWidth="1"/>
    <col min="17" max="18" width="11.42578125" style="25"/>
    <col min="19" max="19" width="13.140625" style="25" customWidth="1"/>
    <col min="20" max="20" width="14.7109375" style="25" customWidth="1"/>
    <col min="21" max="16384" width="11.42578125" style="25"/>
  </cols>
  <sheetData>
    <row r="1" spans="1:21" s="33" customFormat="1" ht="15" customHeight="1" x14ac:dyDescent="0.2">
      <c r="A1" s="10"/>
      <c r="B1" s="11"/>
      <c r="C1" s="11"/>
      <c r="D1" s="1014" t="str">
        <f>'S Synthèse'!D1:M2</f>
        <v>#NomClient</v>
      </c>
      <c r="E1" s="1015"/>
      <c r="F1" s="1015"/>
      <c r="G1" s="1015"/>
      <c r="H1" s="1015"/>
      <c r="I1" s="1015"/>
      <c r="J1" s="1015"/>
      <c r="K1" s="1015"/>
      <c r="L1" s="1015"/>
      <c r="M1" s="1016"/>
      <c r="N1" s="11"/>
      <c r="O1" s="11"/>
      <c r="P1" s="12"/>
    </row>
    <row r="2" spans="1:21" s="33" customFormat="1" ht="15" customHeight="1" thickBot="1" x14ac:dyDescent="0.25">
      <c r="A2" s="13"/>
      <c r="B2" s="14"/>
      <c r="C2" s="14"/>
      <c r="D2" s="1017"/>
      <c r="E2" s="1018"/>
      <c r="F2" s="1018"/>
      <c r="G2" s="1018"/>
      <c r="H2" s="1018"/>
      <c r="I2" s="1018"/>
      <c r="J2" s="1018"/>
      <c r="K2" s="1018"/>
      <c r="L2" s="1018"/>
      <c r="M2" s="1019"/>
      <c r="N2" s="14"/>
      <c r="O2" s="14"/>
      <c r="P2" s="15"/>
    </row>
    <row r="3" spans="1:21" ht="15" customHeight="1" x14ac:dyDescent="0.25">
      <c r="A3" s="945" t="s">
        <v>3</v>
      </c>
      <c r="B3" s="946"/>
      <c r="C3" s="946"/>
      <c r="D3" s="946"/>
      <c r="E3" s="946"/>
      <c r="F3" s="946"/>
      <c r="G3" s="946"/>
      <c r="H3" s="946"/>
      <c r="I3" s="946"/>
      <c r="J3" s="946"/>
      <c r="K3" s="946"/>
      <c r="L3" s="946"/>
      <c r="M3" s="946"/>
      <c r="N3" s="946"/>
      <c r="O3" s="946"/>
      <c r="P3" s="947"/>
      <c r="R3" s="3"/>
      <c r="T3" s="5"/>
      <c r="U3" s="5"/>
    </row>
    <row r="4" spans="1:21" ht="15" customHeight="1" x14ac:dyDescent="0.25">
      <c r="A4" s="945"/>
      <c r="B4" s="946"/>
      <c r="C4" s="946"/>
      <c r="D4" s="946"/>
      <c r="E4" s="946"/>
      <c r="F4" s="946"/>
      <c r="G4" s="946"/>
      <c r="H4" s="946"/>
      <c r="I4" s="946"/>
      <c r="J4" s="946"/>
      <c r="K4" s="946"/>
      <c r="L4" s="946"/>
      <c r="M4" s="946"/>
      <c r="N4" s="946"/>
      <c r="O4" s="946"/>
      <c r="P4" s="947"/>
      <c r="R4" s="3"/>
      <c r="T4" s="5"/>
      <c r="U4" s="5"/>
    </row>
    <row r="5" spans="1:21" ht="15" customHeight="1" thickBot="1" x14ac:dyDescent="0.3">
      <c r="A5" s="948"/>
      <c r="B5" s="949"/>
      <c r="C5" s="949"/>
      <c r="D5" s="949"/>
      <c r="E5" s="949"/>
      <c r="F5" s="949"/>
      <c r="G5" s="949"/>
      <c r="H5" s="949"/>
      <c r="I5" s="949"/>
      <c r="J5" s="949"/>
      <c r="K5" s="949"/>
      <c r="L5" s="949"/>
      <c r="M5" s="949"/>
      <c r="N5" s="949"/>
      <c r="O5" s="949"/>
      <c r="P5" s="950"/>
      <c r="Q5" s="3"/>
      <c r="R5" s="34"/>
      <c r="S5" s="35"/>
      <c r="T5" s="35"/>
      <c r="U5" s="35"/>
    </row>
    <row r="6" spans="1:21" ht="15" customHeight="1" x14ac:dyDescent="0.25">
      <c r="A6" s="17" t="s">
        <v>6</v>
      </c>
      <c r="B6" s="476" t="str">
        <f>'S Synthèse'!B6</f>
        <v>BRA</v>
      </c>
      <c r="C6" s="17" t="s">
        <v>7</v>
      </c>
      <c r="D6" s="476">
        <f>'S Synthèse'!D6</f>
        <v>0</v>
      </c>
      <c r="E6" s="957" t="s">
        <v>228</v>
      </c>
      <c r="F6" s="958"/>
      <c r="G6" s="958"/>
      <c r="H6" s="958"/>
      <c r="I6" s="958"/>
      <c r="J6" s="958"/>
      <c r="K6" s="958"/>
      <c r="L6" s="959"/>
      <c r="M6" s="1020" t="s">
        <v>9</v>
      </c>
      <c r="N6" s="1021"/>
      <c r="O6" s="963" t="s">
        <v>10</v>
      </c>
      <c r="P6" s="964"/>
      <c r="R6" s="33"/>
      <c r="S6" s="33"/>
    </row>
    <row r="7" spans="1:21" ht="15" customHeight="1" thickBot="1" x14ac:dyDescent="0.3">
      <c r="A7" s="18" t="s">
        <v>12</v>
      </c>
      <c r="B7" s="477">
        <f>'S Synthèse'!B7</f>
        <v>0</v>
      </c>
      <c r="C7" s="18" t="s">
        <v>12</v>
      </c>
      <c r="D7" s="477">
        <f>'S Synthèse'!D7</f>
        <v>0</v>
      </c>
      <c r="E7" s="960"/>
      <c r="F7" s="961"/>
      <c r="G7" s="961"/>
      <c r="H7" s="961"/>
      <c r="I7" s="961"/>
      <c r="J7" s="961"/>
      <c r="K7" s="961"/>
      <c r="L7" s="962"/>
      <c r="M7" s="1022" t="str">
        <f>'S Synthèse'!M7:M7</f>
        <v>#DateClôture</v>
      </c>
      <c r="N7" s="1023"/>
      <c r="O7" s="965" t="s">
        <v>46</v>
      </c>
      <c r="P7" s="966"/>
    </row>
    <row r="8" spans="1:21" ht="21" customHeight="1" thickBot="1" x14ac:dyDescent="0.3">
      <c r="A8" s="19"/>
      <c r="B8" s="36"/>
      <c r="C8" s="20"/>
      <c r="D8" s="20"/>
      <c r="E8" s="37"/>
      <c r="F8" s="37"/>
      <c r="G8" s="37"/>
      <c r="H8" s="37"/>
      <c r="I8" s="37"/>
      <c r="J8" s="37"/>
      <c r="K8" s="37"/>
      <c r="L8" s="37"/>
      <c r="M8" s="22"/>
      <c r="N8" s="20"/>
      <c r="O8" s="1002" t="s">
        <v>63</v>
      </c>
      <c r="P8" s="1002"/>
    </row>
    <row r="9" spans="1:21" s="20" customFormat="1" ht="31.5" customHeight="1" thickBot="1" x14ac:dyDescent="0.25">
      <c r="A9" s="951" t="s">
        <v>17</v>
      </c>
      <c r="B9" s="952"/>
      <c r="C9" s="952"/>
      <c r="D9" s="1012" t="str">
        <f>'S Synthèse'!D9:E9</f>
        <v>Modéré</v>
      </c>
      <c r="E9" s="1013"/>
      <c r="F9" s="953" t="s">
        <v>18</v>
      </c>
      <c r="G9" s="954"/>
      <c r="H9" s="954"/>
      <c r="I9" s="954"/>
      <c r="J9" s="1004">
        <f>'S Synthèse'!J9:K9</f>
        <v>0</v>
      </c>
      <c r="K9" s="1005"/>
      <c r="L9" s="953" t="s">
        <v>19</v>
      </c>
      <c r="M9" s="954"/>
      <c r="N9" s="954"/>
      <c r="O9" s="1012" t="str">
        <f>'S Synthèse'!N9</f>
        <v>PE</v>
      </c>
      <c r="P9" s="1013"/>
    </row>
    <row r="10" spans="1:21" s="20" customFormat="1" ht="21" customHeight="1" thickBot="1" x14ac:dyDescent="0.25">
      <c r="A10" s="24"/>
      <c r="B10" s="24"/>
      <c r="C10" s="24"/>
      <c r="D10" s="24"/>
      <c r="E10" s="24"/>
      <c r="F10" s="24"/>
      <c r="G10" s="24"/>
      <c r="H10" s="24"/>
      <c r="I10" s="24"/>
      <c r="J10" s="24"/>
      <c r="K10" s="24"/>
      <c r="L10" s="24"/>
      <c r="M10" s="24"/>
      <c r="N10" s="24"/>
      <c r="O10" s="24"/>
      <c r="P10" s="24"/>
    </row>
    <row r="11" spans="1:21" ht="160.15" customHeight="1" thickBot="1" x14ac:dyDescent="0.3">
      <c r="A11" s="1006" t="s">
        <v>229</v>
      </c>
      <c r="B11" s="1007"/>
      <c r="C11" s="1007"/>
      <c r="D11" s="1007"/>
      <c r="E11" s="1007"/>
      <c r="F11" s="1007"/>
      <c r="G11" s="1007"/>
      <c r="H11" s="1007"/>
      <c r="I11" s="1007"/>
      <c r="J11" s="1007"/>
      <c r="K11" s="1007"/>
      <c r="L11" s="1007"/>
      <c r="M11" s="1007"/>
      <c r="N11" s="1007"/>
      <c r="O11" s="1007"/>
      <c r="P11" s="1008"/>
    </row>
    <row r="12" spans="1:21" ht="9" customHeight="1" thickBot="1" x14ac:dyDescent="0.3"/>
    <row r="13" spans="1:21" x14ac:dyDescent="0.25">
      <c r="A13" s="974" t="s">
        <v>67</v>
      </c>
      <c r="B13" s="975"/>
      <c r="C13" s="975"/>
      <c r="D13" s="975"/>
      <c r="E13" s="975"/>
      <c r="F13" s="975"/>
      <c r="G13" s="975"/>
      <c r="H13" s="975"/>
      <c r="I13" s="975"/>
      <c r="J13" s="975"/>
      <c r="K13" s="975"/>
      <c r="L13" s="975"/>
      <c r="M13" s="975"/>
      <c r="N13" s="975"/>
      <c r="O13" s="975"/>
      <c r="P13" s="976"/>
    </row>
    <row r="14" spans="1:21" ht="60" customHeight="1" thickBot="1" x14ac:dyDescent="0.3">
      <c r="A14" s="1009"/>
      <c r="B14" s="1010"/>
      <c r="C14" s="1010"/>
      <c r="D14" s="1010"/>
      <c r="E14" s="1010"/>
      <c r="F14" s="1010"/>
      <c r="G14" s="1010"/>
      <c r="H14" s="1010"/>
      <c r="I14" s="1010"/>
      <c r="J14" s="1010"/>
      <c r="K14" s="1010"/>
      <c r="L14" s="1010"/>
      <c r="M14" s="1010"/>
      <c r="N14" s="1010"/>
      <c r="O14" s="1010"/>
      <c r="P14" s="1011"/>
    </row>
    <row r="15" spans="1:21" ht="15.75" thickBot="1" x14ac:dyDescent="0.3"/>
    <row r="16" spans="1:21" x14ac:dyDescent="0.25">
      <c r="A16" s="285"/>
      <c r="B16" s="261"/>
      <c r="C16" s="261"/>
      <c r="D16" s="261"/>
      <c r="E16" s="261"/>
      <c r="F16" s="261"/>
      <c r="G16" s="261"/>
      <c r="H16" s="261"/>
      <c r="I16" s="261"/>
      <c r="J16" s="261"/>
      <c r="K16" s="261"/>
      <c r="L16" s="261"/>
      <c r="M16" s="261"/>
      <c r="N16" s="261"/>
      <c r="O16" s="261"/>
      <c r="P16" s="286"/>
    </row>
    <row r="17" spans="1:16" x14ac:dyDescent="0.25">
      <c r="A17" s="154" t="s">
        <v>230</v>
      </c>
      <c r="B17" s="326"/>
      <c r="C17" s="326"/>
      <c r="D17" s="326"/>
      <c r="E17" s="43"/>
      <c r="F17" s="30"/>
      <c r="G17" s="30"/>
      <c r="H17" s="30"/>
      <c r="I17" s="30"/>
      <c r="J17" s="31"/>
      <c r="K17" s="30"/>
      <c r="P17" s="287"/>
    </row>
    <row r="18" spans="1:16" x14ac:dyDescent="0.25">
      <c r="A18" s="368"/>
      <c r="B18" s="326"/>
      <c r="C18" s="326"/>
      <c r="D18" s="326"/>
      <c r="E18" s="43"/>
      <c r="F18" s="30"/>
      <c r="G18" s="30"/>
      <c r="H18" s="30"/>
      <c r="I18" s="30"/>
      <c r="J18" s="31"/>
      <c r="K18" s="30"/>
      <c r="P18" s="287"/>
    </row>
    <row r="19" spans="1:16" ht="13.9" customHeight="1" x14ac:dyDescent="0.25">
      <c r="A19" s="1074" t="s">
        <v>171</v>
      </c>
      <c r="B19" s="1075"/>
      <c r="C19" s="1075"/>
      <c r="D19" s="1075"/>
      <c r="E19" s="1075"/>
      <c r="F19" s="1075"/>
      <c r="G19" s="1075"/>
      <c r="H19" s="1075"/>
      <c r="I19" s="1075"/>
      <c r="J19" s="1075"/>
      <c r="K19" s="30"/>
      <c r="P19" s="287"/>
    </row>
    <row r="20" spans="1:16" x14ac:dyDescent="0.25">
      <c r="A20" s="38" t="s">
        <v>231</v>
      </c>
      <c r="B20" s="30"/>
      <c r="C20" s="30"/>
      <c r="D20" s="30"/>
      <c r="E20" s="30"/>
      <c r="F20" s="30"/>
      <c r="G20" s="30"/>
      <c r="H20" s="30"/>
      <c r="I20" s="30"/>
      <c r="J20" s="30"/>
      <c r="K20" s="30"/>
      <c r="P20" s="287"/>
    </row>
    <row r="21" spans="1:16" x14ac:dyDescent="0.25">
      <c r="A21" s="369" t="s">
        <v>232</v>
      </c>
      <c r="B21" s="30"/>
      <c r="C21" s="30"/>
      <c r="D21" s="30"/>
      <c r="E21" s="30"/>
      <c r="F21" s="30"/>
      <c r="G21" s="30"/>
      <c r="H21" s="30"/>
      <c r="I21" s="30"/>
      <c r="J21" s="30"/>
      <c r="K21" s="30"/>
      <c r="P21" s="287"/>
    </row>
    <row r="22" spans="1:16" x14ac:dyDescent="0.25">
      <c r="A22" s="369" t="s">
        <v>233</v>
      </c>
      <c r="B22" s="30"/>
      <c r="C22" s="30"/>
      <c r="D22" s="30"/>
      <c r="E22" s="30"/>
      <c r="F22" s="30"/>
      <c r="G22" s="30"/>
      <c r="H22" s="30"/>
      <c r="I22" s="30"/>
      <c r="J22" s="30"/>
      <c r="K22" s="30"/>
      <c r="P22" s="287"/>
    </row>
    <row r="23" spans="1:16" x14ac:dyDescent="0.25">
      <c r="A23" s="370" t="s">
        <v>234</v>
      </c>
      <c r="B23" s="30"/>
      <c r="C23" s="30"/>
      <c r="D23" s="30"/>
      <c r="E23" s="30"/>
      <c r="F23" s="30"/>
      <c r="G23" s="30"/>
      <c r="H23" s="30"/>
      <c r="I23" s="30"/>
      <c r="J23" s="30"/>
      <c r="K23" s="30"/>
      <c r="P23" s="287"/>
    </row>
    <row r="24" spans="1:16" x14ac:dyDescent="0.25">
      <c r="A24" s="369"/>
      <c r="B24" s="30"/>
      <c r="C24" s="30"/>
      <c r="D24" s="30"/>
      <c r="E24" s="30"/>
      <c r="F24" s="30"/>
      <c r="G24" s="30"/>
      <c r="H24" s="30"/>
      <c r="I24" s="30"/>
      <c r="J24" s="30"/>
      <c r="K24" s="30"/>
      <c r="P24" s="287"/>
    </row>
    <row r="25" spans="1:16" x14ac:dyDescent="0.25">
      <c r="A25" s="38" t="s">
        <v>235</v>
      </c>
      <c r="B25" s="30"/>
      <c r="C25" s="30"/>
      <c r="D25" s="30"/>
      <c r="E25" s="30"/>
      <c r="F25" s="30"/>
      <c r="G25" s="30"/>
      <c r="H25" s="30"/>
      <c r="I25" s="30"/>
      <c r="J25" s="30"/>
      <c r="K25" s="30"/>
      <c r="P25" s="287"/>
    </row>
    <row r="26" spans="1:16" x14ac:dyDescent="0.25">
      <c r="A26" s="38" t="s">
        <v>236</v>
      </c>
      <c r="B26" s="30"/>
      <c r="C26" s="30"/>
      <c r="D26" s="30"/>
      <c r="E26" s="30"/>
      <c r="F26" s="30"/>
      <c r="G26" s="30"/>
      <c r="H26" s="30"/>
      <c r="I26" s="30"/>
      <c r="J26" s="30"/>
      <c r="K26" s="30"/>
      <c r="P26" s="287"/>
    </row>
    <row r="27" spans="1:16" ht="15" customHeight="1" x14ac:dyDescent="0.25">
      <c r="A27" s="1115" t="s">
        <v>237</v>
      </c>
      <c r="B27" s="1116"/>
      <c r="C27" s="1116"/>
      <c r="D27" s="1116"/>
      <c r="E27" s="1116"/>
      <c r="F27" s="1116"/>
      <c r="G27" s="1116"/>
      <c r="H27" s="1116"/>
      <c r="I27" s="1116"/>
      <c r="J27" s="1116"/>
      <c r="K27" s="1116"/>
      <c r="L27" s="1116"/>
      <c r="M27" s="1116"/>
      <c r="N27" s="1116"/>
      <c r="O27" s="1116"/>
      <c r="P27" s="1117"/>
    </row>
    <row r="28" spans="1:16" x14ac:dyDescent="0.25">
      <c r="A28" s="371"/>
      <c r="B28" s="372"/>
      <c r="C28" s="372"/>
      <c r="D28" s="372"/>
      <c r="E28" s="372"/>
      <c r="F28" s="372"/>
      <c r="G28" s="372"/>
      <c r="H28" s="372"/>
      <c r="I28" s="372"/>
      <c r="J28" s="372"/>
      <c r="K28" s="372"/>
      <c r="L28" s="372"/>
      <c r="M28" s="372"/>
      <c r="N28" s="372"/>
      <c r="O28" s="372"/>
      <c r="P28" s="373"/>
    </row>
    <row r="29" spans="1:16" x14ac:dyDescent="0.25">
      <c r="A29" s="679"/>
      <c r="B29" s="666"/>
      <c r="C29" s="666"/>
      <c r="D29" s="666"/>
      <c r="E29" s="666"/>
      <c r="F29" s="666"/>
      <c r="G29" s="666"/>
      <c r="H29" s="666"/>
      <c r="I29" s="666"/>
      <c r="J29" s="30"/>
      <c r="K29" s="30"/>
      <c r="P29" s="287"/>
    </row>
    <row r="30" spans="1:16" ht="15.75" thickBot="1" x14ac:dyDescent="0.3">
      <c r="A30" s="374" t="s">
        <v>238</v>
      </c>
      <c r="B30" s="30"/>
      <c r="C30" s="30"/>
      <c r="D30" s="30"/>
      <c r="E30" s="30"/>
      <c r="F30" s="30"/>
      <c r="G30" s="30"/>
      <c r="H30" s="30"/>
      <c r="I30" s="30"/>
      <c r="J30" s="60" t="s">
        <v>191</v>
      </c>
      <c r="K30" s="30"/>
      <c r="P30" s="287"/>
    </row>
    <row r="31" spans="1:16" x14ac:dyDescent="0.25">
      <c r="A31" s="375" t="s">
        <v>239</v>
      </c>
      <c r="B31" s="30"/>
      <c r="C31" s="30"/>
      <c r="D31" s="30"/>
      <c r="E31" s="30"/>
      <c r="F31" s="30"/>
      <c r="G31" s="30"/>
      <c r="H31" s="30"/>
      <c r="I31" s="30"/>
      <c r="J31" s="1118"/>
      <c r="K31" s="30"/>
      <c r="P31" s="287"/>
    </row>
    <row r="32" spans="1:16" x14ac:dyDescent="0.25">
      <c r="A32" s="376"/>
      <c r="B32" s="1121" t="s">
        <v>240</v>
      </c>
      <c r="C32" s="1121"/>
      <c r="D32" s="30"/>
      <c r="E32" s="30"/>
      <c r="F32" s="30"/>
      <c r="G32" s="30"/>
      <c r="H32" s="30"/>
      <c r="I32" s="30"/>
      <c r="J32" s="1119"/>
      <c r="K32" s="30"/>
      <c r="P32" s="287"/>
    </row>
    <row r="33" spans="1:16" x14ac:dyDescent="0.25">
      <c r="A33" s="376"/>
      <c r="B33" s="305"/>
      <c r="C33" s="377"/>
      <c r="D33" s="30"/>
      <c r="E33" s="30"/>
      <c r="F33" s="30"/>
      <c r="G33" s="30"/>
      <c r="H33" s="30"/>
      <c r="I33" s="30"/>
      <c r="J33" s="1119"/>
      <c r="K33" s="30"/>
      <c r="P33" s="287"/>
    </row>
    <row r="34" spans="1:16" ht="15.75" thickBot="1" x14ac:dyDescent="0.3">
      <c r="A34" s="376"/>
      <c r="B34" s="1121" t="s">
        <v>241</v>
      </c>
      <c r="C34" s="1121"/>
      <c r="D34" s="30"/>
      <c r="E34" s="30"/>
      <c r="F34" s="30"/>
      <c r="G34" s="30"/>
      <c r="H34" s="30"/>
      <c r="I34" s="30"/>
      <c r="J34" s="1120"/>
      <c r="K34" s="30"/>
      <c r="P34" s="287"/>
    </row>
    <row r="35" spans="1:16" x14ac:dyDescent="0.25">
      <c r="A35" s="1122" t="s">
        <v>242</v>
      </c>
      <c r="B35" s="1123"/>
      <c r="C35" s="1123"/>
      <c r="D35" s="1123"/>
      <c r="E35" s="1123"/>
      <c r="F35" s="1123"/>
      <c r="G35" s="1123"/>
      <c r="H35" s="1123"/>
      <c r="I35" s="1123"/>
      <c r="J35" s="32"/>
      <c r="K35" s="30"/>
      <c r="P35" s="287"/>
    </row>
    <row r="36" spans="1:16" ht="15.75" thickBot="1" x14ac:dyDescent="0.3">
      <c r="A36" s="375" t="s">
        <v>243</v>
      </c>
      <c r="B36" s="41"/>
      <c r="C36" s="30"/>
      <c r="D36" s="30"/>
      <c r="E36" s="30"/>
      <c r="F36" s="30"/>
      <c r="G36" s="30"/>
      <c r="H36" s="30"/>
      <c r="I36" s="30"/>
      <c r="J36" s="32"/>
      <c r="K36" s="30"/>
      <c r="P36" s="287"/>
    </row>
    <row r="37" spans="1:16" x14ac:dyDescent="0.25">
      <c r="A37" s="38"/>
      <c r="B37" s="1121" t="s">
        <v>244</v>
      </c>
      <c r="C37" s="1121"/>
      <c r="D37" s="30"/>
      <c r="E37" s="30"/>
      <c r="F37" s="30"/>
      <c r="G37" s="30"/>
      <c r="H37" s="30"/>
      <c r="I37" s="30"/>
      <c r="J37" s="1118"/>
      <c r="K37" s="30"/>
      <c r="P37" s="287"/>
    </row>
    <row r="38" spans="1:16" x14ac:dyDescent="0.25">
      <c r="A38" s="38"/>
      <c r="B38" s="41"/>
      <c r="C38" s="30" t="s">
        <v>245</v>
      </c>
      <c r="D38" s="30"/>
      <c r="E38" s="30"/>
      <c r="F38" s="30"/>
      <c r="G38" s="30"/>
      <c r="H38" s="30"/>
      <c r="I38" s="30"/>
      <c r="J38" s="1119"/>
      <c r="K38" s="30"/>
      <c r="P38" s="287"/>
    </row>
    <row r="39" spans="1:16" x14ac:dyDescent="0.25">
      <c r="A39" s="38"/>
      <c r="B39" s="41"/>
      <c r="C39" s="30" t="s">
        <v>246</v>
      </c>
      <c r="D39" s="30"/>
      <c r="E39" s="30"/>
      <c r="F39" s="30"/>
      <c r="G39" s="30"/>
      <c r="H39" s="30"/>
      <c r="I39" s="30"/>
      <c r="J39" s="1119"/>
      <c r="K39" s="30"/>
      <c r="P39" s="287"/>
    </row>
    <row r="40" spans="1:16" x14ac:dyDescent="0.25">
      <c r="A40" s="38"/>
      <c r="B40" s="41"/>
      <c r="C40" s="70" t="s">
        <v>247</v>
      </c>
      <c r="D40" s="70"/>
      <c r="E40" s="30"/>
      <c r="F40" s="30"/>
      <c r="G40" s="30"/>
      <c r="H40" s="30"/>
      <c r="I40" s="30"/>
      <c r="J40" s="1119"/>
      <c r="K40" s="30"/>
      <c r="P40" s="287"/>
    </row>
    <row r="41" spans="1:16" x14ac:dyDescent="0.25">
      <c r="A41" s="38"/>
      <c r="B41" s="41"/>
      <c r="C41" s="30" t="s">
        <v>248</v>
      </c>
      <c r="D41" s="30"/>
      <c r="E41" s="30"/>
      <c r="F41" s="30"/>
      <c r="G41" s="30"/>
      <c r="H41" s="30"/>
      <c r="I41" s="30"/>
      <c r="J41" s="1124"/>
      <c r="K41" s="30"/>
      <c r="P41" s="287"/>
    </row>
    <row r="42" spans="1:16" x14ac:dyDescent="0.25">
      <c r="A42" s="38"/>
      <c r="B42" s="41"/>
      <c r="C42" s="30"/>
      <c r="D42" s="30"/>
      <c r="E42" s="30"/>
      <c r="F42" s="30"/>
      <c r="G42" s="30"/>
      <c r="H42" s="30"/>
      <c r="I42" s="30"/>
      <c r="J42" s="1124"/>
      <c r="K42" s="30"/>
      <c r="P42" s="287"/>
    </row>
    <row r="43" spans="1:16" ht="15.75" thickBot="1" x14ac:dyDescent="0.3">
      <c r="A43" s="38"/>
      <c r="B43" s="1121" t="s">
        <v>249</v>
      </c>
      <c r="C43" s="1121"/>
      <c r="D43" s="30"/>
      <c r="E43" s="30"/>
      <c r="F43" s="30"/>
      <c r="G43" s="30"/>
      <c r="H43" s="30"/>
      <c r="I43" s="30"/>
      <c r="J43" s="1125"/>
      <c r="K43" s="30"/>
      <c r="P43" s="287"/>
    </row>
    <row r="44" spans="1:16" x14ac:dyDescent="0.25">
      <c r="A44" s="368"/>
      <c r="B44" s="326"/>
      <c r="C44" s="326"/>
      <c r="D44" s="326"/>
      <c r="E44" s="326"/>
      <c r="F44" s="326"/>
      <c r="G44" s="326"/>
      <c r="H44" s="326"/>
      <c r="I44" s="326"/>
      <c r="J44" s="326"/>
      <c r="K44" s="30"/>
      <c r="P44" s="287"/>
    </row>
    <row r="45" spans="1:16" x14ac:dyDescent="0.25">
      <c r="A45" s="38"/>
      <c r="B45" s="30"/>
      <c r="C45" s="30"/>
      <c r="D45" s="30"/>
      <c r="E45" s="30"/>
      <c r="F45" s="30"/>
      <c r="G45" s="30"/>
      <c r="H45" s="30"/>
      <c r="I45" s="30"/>
      <c r="J45" s="32"/>
      <c r="K45" s="30"/>
      <c r="P45" s="287"/>
    </row>
    <row r="46" spans="1:16" ht="15.75" thickBot="1" x14ac:dyDescent="0.3">
      <c r="A46" s="374" t="s">
        <v>250</v>
      </c>
      <c r="B46" s="30"/>
      <c r="C46" s="30"/>
      <c r="D46" s="30"/>
      <c r="E46" s="30"/>
      <c r="F46" s="30"/>
      <c r="G46" s="30"/>
      <c r="H46" s="30"/>
      <c r="I46" s="30"/>
      <c r="J46" s="60" t="s">
        <v>191</v>
      </c>
      <c r="K46" s="30"/>
      <c r="P46" s="287"/>
    </row>
    <row r="47" spans="1:16" x14ac:dyDescent="0.25">
      <c r="A47" s="378" t="s">
        <v>251</v>
      </c>
      <c r="B47" s="30"/>
      <c r="C47" s="30"/>
      <c r="D47" s="30"/>
      <c r="E47" s="30"/>
      <c r="F47" s="30"/>
      <c r="G47" s="30"/>
      <c r="H47" s="30"/>
      <c r="I47" s="30"/>
      <c r="J47" s="1118"/>
      <c r="K47" s="30"/>
      <c r="P47" s="287"/>
    </row>
    <row r="48" spans="1:16" x14ac:dyDescent="0.25">
      <c r="A48" s="1076" t="s">
        <v>252</v>
      </c>
      <c r="B48" s="1077"/>
      <c r="C48" s="1077"/>
      <c r="D48" s="1077"/>
      <c r="E48" s="1077"/>
      <c r="F48" s="1077"/>
      <c r="G48" s="1077"/>
      <c r="H48" s="1077"/>
      <c r="I48" s="1077"/>
      <c r="J48" s="1119"/>
      <c r="K48" s="30"/>
      <c r="P48" s="287"/>
    </row>
    <row r="49" spans="1:16" x14ac:dyDescent="0.25">
      <c r="A49" s="678" t="s">
        <v>253</v>
      </c>
      <c r="B49" s="668"/>
      <c r="C49" s="668"/>
      <c r="D49" s="668"/>
      <c r="E49" s="668"/>
      <c r="F49" s="668"/>
      <c r="G49" s="668"/>
      <c r="H49" s="668"/>
      <c r="I49" s="668"/>
      <c r="J49" s="1119"/>
      <c r="K49" s="30"/>
      <c r="P49" s="287"/>
    </row>
    <row r="50" spans="1:16" x14ac:dyDescent="0.25">
      <c r="A50" s="678" t="s">
        <v>253</v>
      </c>
      <c r="B50" s="668"/>
      <c r="C50" s="668"/>
      <c r="D50" s="668"/>
      <c r="E50" s="668"/>
      <c r="F50" s="668"/>
      <c r="G50" s="668"/>
      <c r="H50" s="668"/>
      <c r="I50" s="668"/>
      <c r="J50" s="1119"/>
      <c r="K50" s="30"/>
      <c r="P50" s="287"/>
    </row>
    <row r="51" spans="1:16" ht="15.75" thickBot="1" x14ac:dyDescent="0.3">
      <c r="A51" s="667"/>
      <c r="B51" s="668"/>
      <c r="C51" s="668"/>
      <c r="D51" s="668"/>
      <c r="E51" s="668"/>
      <c r="F51" s="668"/>
      <c r="G51" s="668"/>
      <c r="H51" s="668"/>
      <c r="I51" s="668"/>
      <c r="J51" s="1120"/>
      <c r="K51" s="30"/>
      <c r="P51" s="287"/>
    </row>
    <row r="52" spans="1:16" ht="15.75" thickBot="1" x14ac:dyDescent="0.3">
      <c r="A52" s="378" t="s">
        <v>254</v>
      </c>
      <c r="B52" s="379"/>
      <c r="C52" s="379"/>
      <c r="D52" s="379"/>
      <c r="E52" s="379"/>
      <c r="F52" s="379"/>
      <c r="G52" s="379"/>
      <c r="H52" s="379"/>
      <c r="I52" s="379"/>
      <c r="J52" s="30"/>
      <c r="K52" s="30"/>
      <c r="P52" s="287"/>
    </row>
    <row r="53" spans="1:16" x14ac:dyDescent="0.25">
      <c r="A53" s="1126" t="s">
        <v>255</v>
      </c>
      <c r="B53" s="1127"/>
      <c r="C53" s="1127"/>
      <c r="D53" s="1127"/>
      <c r="E53" s="1127"/>
      <c r="F53" s="1127"/>
      <c r="G53" s="1127"/>
      <c r="H53" s="1127"/>
      <c r="I53" s="1127"/>
      <c r="J53" s="1128"/>
      <c r="K53" s="30"/>
      <c r="P53" s="287"/>
    </row>
    <row r="54" spans="1:16" x14ac:dyDescent="0.25">
      <c r="A54" s="1126"/>
      <c r="B54" s="1127"/>
      <c r="C54" s="1127"/>
      <c r="D54" s="1127"/>
      <c r="E54" s="1127"/>
      <c r="F54" s="1127"/>
      <c r="G54" s="1127"/>
      <c r="H54" s="1127"/>
      <c r="I54" s="1127"/>
      <c r="J54" s="1129"/>
      <c r="K54" s="30"/>
      <c r="P54" s="287"/>
    </row>
    <row r="55" spans="1:16" x14ac:dyDescent="0.25">
      <c r="A55" s="678" t="s">
        <v>253</v>
      </c>
      <c r="B55" s="30"/>
      <c r="C55" s="30"/>
      <c r="D55" s="30"/>
      <c r="E55" s="30"/>
      <c r="F55" s="30"/>
      <c r="G55" s="30"/>
      <c r="H55" s="30"/>
      <c r="I55" s="30"/>
      <c r="J55" s="1129"/>
      <c r="K55" s="30"/>
      <c r="P55" s="287"/>
    </row>
    <row r="56" spans="1:16" ht="15.75" thickBot="1" x14ac:dyDescent="0.3">
      <c r="A56" s="678" t="s">
        <v>253</v>
      </c>
      <c r="B56" s="30"/>
      <c r="C56" s="30"/>
      <c r="D56" s="30"/>
      <c r="E56" s="30"/>
      <c r="F56" s="30"/>
      <c r="G56" s="30"/>
      <c r="H56" s="30"/>
      <c r="I56" s="30"/>
      <c r="J56" s="1130"/>
      <c r="K56" s="30"/>
      <c r="P56" s="287"/>
    </row>
    <row r="57" spans="1:16" ht="15.75" thickBot="1" x14ac:dyDescent="0.3">
      <c r="A57" s="678"/>
      <c r="B57" s="30"/>
      <c r="C57" s="30"/>
      <c r="D57" s="30"/>
      <c r="E57" s="30"/>
      <c r="F57" s="30"/>
      <c r="G57" s="30"/>
      <c r="H57" s="30"/>
      <c r="I57" s="30"/>
      <c r="J57" s="32"/>
      <c r="K57" s="30"/>
      <c r="P57" s="287"/>
    </row>
    <row r="58" spans="1:16" x14ac:dyDescent="0.25">
      <c r="A58" s="38" t="s">
        <v>256</v>
      </c>
      <c r="B58" s="30"/>
      <c r="C58" s="30"/>
      <c r="D58" s="30"/>
      <c r="E58" s="30"/>
      <c r="F58" s="30"/>
      <c r="G58" s="30"/>
      <c r="H58" s="30"/>
      <c r="I58" s="30"/>
      <c r="J58" s="1128"/>
      <c r="K58" s="30"/>
      <c r="P58" s="287"/>
    </row>
    <row r="59" spans="1:16" x14ac:dyDescent="0.25">
      <c r="A59" s="678" t="s">
        <v>253</v>
      </c>
      <c r="B59" s="30"/>
      <c r="C59" s="30"/>
      <c r="D59" s="30"/>
      <c r="E59" s="30"/>
      <c r="F59" s="30"/>
      <c r="G59" s="30"/>
      <c r="H59" s="30"/>
      <c r="I59" s="30"/>
      <c r="J59" s="1129"/>
      <c r="K59" s="30"/>
      <c r="P59" s="287"/>
    </row>
    <row r="60" spans="1:16" ht="15" customHeight="1" thickBot="1" x14ac:dyDescent="0.3">
      <c r="A60" s="678" t="s">
        <v>253</v>
      </c>
      <c r="B60" s="30"/>
      <c r="C60" s="30"/>
      <c r="D60" s="30"/>
      <c r="E60" s="30"/>
      <c r="F60" s="30"/>
      <c r="G60" s="30"/>
      <c r="H60" s="30"/>
      <c r="I60" s="30"/>
      <c r="J60" s="1130"/>
      <c r="K60" s="30"/>
      <c r="P60" s="287"/>
    </row>
    <row r="61" spans="1:16" x14ac:dyDescent="0.25">
      <c r="A61" s="678"/>
      <c r="B61" s="30"/>
      <c r="C61" s="30"/>
      <c r="D61" s="30"/>
      <c r="E61" s="30"/>
      <c r="F61" s="30"/>
      <c r="G61" s="30"/>
      <c r="H61" s="30"/>
      <c r="I61" s="30"/>
      <c r="J61" s="43"/>
      <c r="K61" s="1131"/>
      <c r="P61" s="287"/>
    </row>
    <row r="62" spans="1:16" ht="15.75" thickBot="1" x14ac:dyDescent="0.3">
      <c r="A62" s="378" t="s">
        <v>257</v>
      </c>
      <c r="B62" s="30"/>
      <c r="C62" s="30"/>
      <c r="D62" s="30"/>
      <c r="E62" s="30"/>
      <c r="F62" s="30"/>
      <c r="G62" s="30"/>
      <c r="H62" s="30"/>
      <c r="I62" s="30"/>
      <c r="J62" s="30"/>
      <c r="K62" s="1131"/>
      <c r="P62" s="287"/>
    </row>
    <row r="63" spans="1:16" x14ac:dyDescent="0.25">
      <c r="A63" s="38" t="s">
        <v>258</v>
      </c>
      <c r="B63" s="30"/>
      <c r="C63" s="30"/>
      <c r="D63" s="30"/>
      <c r="E63" s="30"/>
      <c r="F63" s="30"/>
      <c r="G63" s="30"/>
      <c r="H63" s="30"/>
      <c r="I63" s="30"/>
      <c r="J63" s="1128"/>
      <c r="K63" s="174"/>
      <c r="P63" s="287"/>
    </row>
    <row r="64" spans="1:16" x14ac:dyDescent="0.25">
      <c r="A64" s="678" t="s">
        <v>253</v>
      </c>
      <c r="B64" s="30"/>
      <c r="C64" s="30"/>
      <c r="D64" s="30"/>
      <c r="E64" s="30"/>
      <c r="F64" s="30"/>
      <c r="G64" s="30"/>
      <c r="H64" s="30"/>
      <c r="I64" s="30"/>
      <c r="J64" s="1132"/>
      <c r="K64" s="174"/>
      <c r="P64" s="287"/>
    </row>
    <row r="65" spans="1:16" ht="15.75" thickBot="1" x14ac:dyDescent="0.3">
      <c r="A65" s="678" t="s">
        <v>253</v>
      </c>
      <c r="B65" s="30"/>
      <c r="C65" s="30"/>
      <c r="D65" s="30"/>
      <c r="E65" s="30"/>
      <c r="F65" s="30"/>
      <c r="G65" s="30"/>
      <c r="H65" s="30"/>
      <c r="I65" s="30"/>
      <c r="J65" s="1133"/>
      <c r="K65" s="174"/>
      <c r="P65" s="287"/>
    </row>
    <row r="66" spans="1:16" ht="15.75" thickBot="1" x14ac:dyDescent="0.3">
      <c r="A66" s="678"/>
      <c r="B66" s="30"/>
      <c r="C66" s="30"/>
      <c r="D66" s="30"/>
      <c r="E66" s="30"/>
      <c r="F66" s="30"/>
      <c r="G66" s="30"/>
      <c r="H66" s="30"/>
      <c r="I66" s="30"/>
      <c r="J66" s="32"/>
      <c r="K66" s="174"/>
      <c r="P66" s="287"/>
    </row>
    <row r="67" spans="1:16" x14ac:dyDescent="0.25">
      <c r="A67" s="38" t="s">
        <v>259</v>
      </c>
      <c r="B67" s="30"/>
      <c r="C67" s="30"/>
      <c r="D67" s="30"/>
      <c r="E67" s="30"/>
      <c r="F67" s="30"/>
      <c r="G67" s="30"/>
      <c r="H67" s="30"/>
      <c r="I67" s="30"/>
      <c r="J67" s="1128"/>
      <c r="K67" s="174"/>
      <c r="P67" s="287"/>
    </row>
    <row r="68" spans="1:16" x14ac:dyDescent="0.25">
      <c r="A68" s="678" t="s">
        <v>253</v>
      </c>
      <c r="B68" s="30"/>
      <c r="C68" s="30"/>
      <c r="D68" s="30"/>
      <c r="E68" s="30"/>
      <c r="F68" s="30"/>
      <c r="G68" s="30"/>
      <c r="H68" s="30"/>
      <c r="I68" s="30"/>
      <c r="J68" s="1132"/>
      <c r="K68" s="174"/>
      <c r="P68" s="287"/>
    </row>
    <row r="69" spans="1:16" ht="15.75" thickBot="1" x14ac:dyDescent="0.3">
      <c r="A69" s="678" t="s">
        <v>253</v>
      </c>
      <c r="B69" s="30"/>
      <c r="C69" s="30"/>
      <c r="D69" s="30"/>
      <c r="E69" s="30"/>
      <c r="F69" s="30"/>
      <c r="G69" s="30"/>
      <c r="H69" s="30"/>
      <c r="I69" s="30"/>
      <c r="J69" s="1133"/>
      <c r="K69" s="174"/>
      <c r="P69" s="287"/>
    </row>
    <row r="70" spans="1:16" x14ac:dyDescent="0.25">
      <c r="A70" s="38"/>
      <c r="B70" s="30"/>
      <c r="C70" s="30"/>
      <c r="D70" s="30"/>
      <c r="E70" s="30"/>
      <c r="F70" s="30"/>
      <c r="G70" s="30"/>
      <c r="H70" s="30"/>
      <c r="I70" s="30"/>
      <c r="J70" s="30"/>
      <c r="K70" s="41"/>
      <c r="P70" s="287"/>
    </row>
    <row r="71" spans="1:16" x14ac:dyDescent="0.25">
      <c r="A71" s="1074" t="s">
        <v>187</v>
      </c>
      <c r="B71" s="1075"/>
      <c r="C71" s="1075"/>
      <c r="D71" s="1075"/>
      <c r="E71" s="1075"/>
      <c r="F71" s="1075"/>
      <c r="G71" s="1075"/>
      <c r="H71" s="1075"/>
      <c r="I71" s="1075"/>
      <c r="J71" s="1075"/>
      <c r="K71" s="30"/>
      <c r="P71" s="287"/>
    </row>
    <row r="72" spans="1:16" x14ac:dyDescent="0.25">
      <c r="A72" s="38" t="s">
        <v>260</v>
      </c>
      <c r="B72" s="30"/>
      <c r="C72" s="30"/>
      <c r="D72" s="155"/>
      <c r="E72" s="30"/>
      <c r="F72" s="30"/>
      <c r="G72" s="30"/>
      <c r="H72" s="30"/>
      <c r="I72" s="30"/>
      <c r="J72" s="30"/>
      <c r="K72" s="30"/>
      <c r="P72" s="287"/>
    </row>
    <row r="73" spans="1:16" x14ac:dyDescent="0.25">
      <c r="A73" s="38" t="s">
        <v>189</v>
      </c>
      <c r="B73" s="30"/>
      <c r="C73" s="30"/>
      <c r="D73" s="155"/>
      <c r="E73" s="30"/>
      <c r="F73" s="30"/>
      <c r="G73" s="30"/>
      <c r="H73" s="30"/>
      <c r="I73" s="30"/>
      <c r="J73" s="30"/>
      <c r="K73" s="31"/>
      <c r="P73" s="287"/>
    </row>
    <row r="74" spans="1:16" ht="15.75" thickBot="1" x14ac:dyDescent="0.3">
      <c r="A74" s="380"/>
      <c r="B74" s="381"/>
      <c r="C74" s="381"/>
      <c r="D74" s="382"/>
      <c r="E74" s="381"/>
      <c r="F74" s="381"/>
      <c r="G74" s="381"/>
      <c r="H74" s="381"/>
      <c r="I74" s="381"/>
      <c r="J74" s="381"/>
      <c r="K74" s="381"/>
      <c r="L74" s="262"/>
      <c r="M74" s="262"/>
      <c r="N74" s="262"/>
      <c r="O74" s="262"/>
      <c r="P74" s="294"/>
    </row>
    <row r="75" spans="1:16" ht="15.75" thickBot="1" x14ac:dyDescent="0.3">
      <c r="A75" s="30"/>
      <c r="B75" s="30"/>
      <c r="C75" s="30"/>
      <c r="D75" s="155"/>
      <c r="E75" s="30"/>
      <c r="F75" s="30"/>
      <c r="G75" s="30"/>
      <c r="H75" s="30"/>
      <c r="I75" s="30"/>
      <c r="J75" s="30"/>
      <c r="K75" s="30"/>
    </row>
    <row r="76" spans="1:16" x14ac:dyDescent="0.25">
      <c r="A76" s="383"/>
      <c r="B76" s="384"/>
      <c r="C76" s="384"/>
      <c r="D76" s="385"/>
      <c r="E76" s="384"/>
      <c r="F76" s="384"/>
      <c r="G76" s="384"/>
      <c r="H76" s="384"/>
      <c r="I76" s="384"/>
      <c r="J76" s="384"/>
      <c r="K76" s="384"/>
      <c r="L76" s="261"/>
      <c r="M76" s="261"/>
      <c r="N76" s="261"/>
      <c r="O76" s="261"/>
      <c r="P76" s="286"/>
    </row>
    <row r="77" spans="1:16" x14ac:dyDescent="0.25">
      <c r="A77" s="154" t="s">
        <v>261</v>
      </c>
      <c r="B77" s="326"/>
      <c r="C77" s="326"/>
      <c r="D77" s="326"/>
      <c r="E77" s="43"/>
      <c r="F77" s="30"/>
      <c r="G77" s="30"/>
      <c r="H77" s="30"/>
      <c r="I77" s="30"/>
      <c r="J77" s="30"/>
      <c r="K77" s="30"/>
      <c r="P77" s="287"/>
    </row>
    <row r="78" spans="1:16" x14ac:dyDescent="0.25">
      <c r="A78" s="327"/>
      <c r="B78" s="326"/>
      <c r="C78" s="326"/>
      <c r="D78" s="326"/>
      <c r="E78" s="43"/>
      <c r="F78" s="30"/>
      <c r="G78" s="30"/>
      <c r="H78" s="30"/>
      <c r="I78" s="30"/>
      <c r="J78" s="30"/>
      <c r="K78" s="30"/>
      <c r="P78" s="287"/>
    </row>
    <row r="79" spans="1:16" x14ac:dyDescent="0.25">
      <c r="A79" s="1136" t="s">
        <v>262</v>
      </c>
      <c r="B79" s="1137"/>
      <c r="C79" s="1137"/>
      <c r="D79" s="1137"/>
      <c r="E79" s="1137"/>
      <c r="F79" s="1137"/>
      <c r="G79" s="1137"/>
      <c r="H79" s="1137"/>
      <c r="I79" s="1137"/>
      <c r="J79" s="1075"/>
      <c r="K79" s="30"/>
      <c r="P79" s="287"/>
    </row>
    <row r="80" spans="1:16" x14ac:dyDescent="0.25">
      <c r="A80" s="1138"/>
      <c r="B80" s="1075"/>
      <c r="C80" s="1075"/>
      <c r="D80" s="1075"/>
      <c r="E80" s="1075"/>
      <c r="F80" s="1075"/>
      <c r="G80" s="1075"/>
      <c r="H80" s="1075"/>
      <c r="I80" s="1075"/>
      <c r="J80" s="1075"/>
      <c r="K80" s="30"/>
      <c r="P80" s="287"/>
    </row>
    <row r="81" spans="1:17" x14ac:dyDescent="0.25">
      <c r="A81" s="1134" t="s">
        <v>242</v>
      </c>
      <c r="B81" s="1135"/>
      <c r="C81" s="1135"/>
      <c r="D81" s="1135"/>
      <c r="E81" s="1135"/>
      <c r="F81" s="1135"/>
      <c r="G81" s="1135"/>
      <c r="H81" s="1135"/>
      <c r="I81" s="1135"/>
      <c r="J81" s="30"/>
      <c r="K81" s="41"/>
      <c r="P81" s="287"/>
    </row>
    <row r="82" spans="1:17" x14ac:dyDescent="0.25">
      <c r="A82" s="796"/>
      <c r="B82" s="797"/>
      <c r="C82" s="797"/>
      <c r="D82" s="797"/>
      <c r="E82" s="797"/>
      <c r="F82" s="797"/>
      <c r="G82" s="797"/>
      <c r="H82" s="797"/>
      <c r="I82" s="797"/>
      <c r="J82" s="30"/>
      <c r="K82" s="41"/>
      <c r="P82" s="287"/>
    </row>
    <row r="83" spans="1:17" x14ac:dyDescent="0.25">
      <c r="A83" s="1136" t="s">
        <v>263</v>
      </c>
      <c r="B83" s="1137"/>
      <c r="C83" s="1137"/>
      <c r="D83" s="1137"/>
      <c r="E83" s="1137"/>
      <c r="F83" s="1137"/>
      <c r="G83" s="1137"/>
      <c r="H83" s="1137"/>
      <c r="I83" s="1137"/>
      <c r="J83" s="1075"/>
      <c r="K83" s="30"/>
      <c r="P83" s="287"/>
    </row>
    <row r="84" spans="1:17" x14ac:dyDescent="0.25">
      <c r="A84" s="1138"/>
      <c r="B84" s="1075"/>
      <c r="C84" s="1075"/>
      <c r="D84" s="1075"/>
      <c r="E84" s="1075"/>
      <c r="F84" s="1075"/>
      <c r="G84" s="1075"/>
      <c r="H84" s="1075"/>
      <c r="I84" s="1075"/>
      <c r="J84" s="1075"/>
      <c r="K84" s="30"/>
      <c r="P84" s="287"/>
    </row>
    <row r="85" spans="1:17" x14ac:dyDescent="0.25">
      <c r="A85" s="679"/>
      <c r="B85" s="666"/>
      <c r="C85" s="666"/>
      <c r="D85" s="666"/>
      <c r="E85" s="666"/>
      <c r="F85" s="666"/>
      <c r="G85" s="666"/>
      <c r="H85" s="666"/>
      <c r="I85" s="666"/>
      <c r="J85" s="666"/>
      <c r="K85" s="30"/>
      <c r="P85" s="287"/>
    </row>
    <row r="86" spans="1:17" x14ac:dyDescent="0.25">
      <c r="A86" s="38" t="s">
        <v>264</v>
      </c>
      <c r="B86" s="30"/>
      <c r="C86" s="30"/>
      <c r="D86" s="30"/>
      <c r="E86" s="30"/>
      <c r="F86" s="30"/>
      <c r="G86" s="30"/>
      <c r="H86" s="386"/>
      <c r="I86" s="30"/>
      <c r="J86" s="32"/>
      <c r="K86" s="30"/>
      <c r="P86" s="287"/>
    </row>
    <row r="87" spans="1:17" ht="15.75" thickBot="1" x14ac:dyDescent="0.3">
      <c r="A87" s="293"/>
      <c r="B87" s="262"/>
      <c r="C87" s="262"/>
      <c r="D87" s="262"/>
      <c r="E87" s="262"/>
      <c r="F87" s="262"/>
      <c r="G87" s="262"/>
      <c r="H87" s="262"/>
      <c r="I87" s="262"/>
      <c r="J87" s="262"/>
      <c r="K87" s="262"/>
      <c r="L87" s="262"/>
      <c r="M87" s="262"/>
      <c r="N87" s="262"/>
      <c r="O87" s="262"/>
      <c r="P87" s="294"/>
    </row>
    <row r="88" spans="1:17" ht="15.75" thickBot="1" x14ac:dyDescent="0.3"/>
    <row r="89" spans="1:17" x14ac:dyDescent="0.25">
      <c r="A89" s="285"/>
      <c r="B89" s="261"/>
      <c r="C89" s="261"/>
      <c r="D89" s="261"/>
      <c r="E89" s="261"/>
      <c r="F89" s="261"/>
      <c r="G89" s="261"/>
      <c r="H89" s="261"/>
      <c r="I89" s="261"/>
      <c r="J89" s="261"/>
      <c r="K89" s="261"/>
      <c r="L89" s="261"/>
      <c r="M89" s="261"/>
      <c r="N89" s="261"/>
      <c r="O89" s="261"/>
      <c r="P89" s="286"/>
    </row>
    <row r="90" spans="1:17" x14ac:dyDescent="0.25">
      <c r="A90" s="154" t="s">
        <v>265</v>
      </c>
      <c r="P90" s="287"/>
    </row>
    <row r="91" spans="1:17" x14ac:dyDescent="0.25">
      <c r="A91" s="288"/>
      <c r="P91" s="287"/>
    </row>
    <row r="92" spans="1:17" ht="60.6" customHeight="1" x14ac:dyDescent="0.25">
      <c r="A92" s="1139" t="s">
        <v>266</v>
      </c>
      <c r="B92" s="1140"/>
      <c r="C92" s="1140"/>
      <c r="D92" s="1140"/>
      <c r="E92" s="1140"/>
      <c r="F92" s="1140"/>
      <c r="G92" s="1140"/>
      <c r="H92" s="1140"/>
      <c r="P92" s="287"/>
    </row>
    <row r="93" spans="1:17" ht="18.75" customHeight="1" x14ac:dyDescent="0.25">
      <c r="A93" s="707"/>
      <c r="B93" s="647"/>
      <c r="C93" s="647"/>
      <c r="D93" s="647"/>
      <c r="E93" s="708"/>
      <c r="F93" s="1111" t="s">
        <v>267</v>
      </c>
      <c r="G93" s="1111"/>
      <c r="H93" s="1111"/>
      <c r="I93" s="1111"/>
      <c r="J93" s="1111"/>
      <c r="K93" s="1111"/>
      <c r="L93" s="175"/>
      <c r="M93" s="175"/>
      <c r="N93" s="175"/>
      <c r="O93" s="647"/>
      <c r="P93" s="709"/>
      <c r="Q93" s="647"/>
    </row>
    <row r="94" spans="1:17" s="20" customFormat="1" ht="45" customHeight="1" x14ac:dyDescent="0.2">
      <c r="A94" s="1114" t="s">
        <v>207</v>
      </c>
      <c r="B94" s="1112"/>
      <c r="C94" s="1112"/>
      <c r="D94" s="1112"/>
      <c r="E94" s="1112"/>
      <c r="F94" s="674" t="s">
        <v>268</v>
      </c>
      <c r="G94" s="673" t="s">
        <v>269</v>
      </c>
      <c r="H94" s="1110" t="s">
        <v>209</v>
      </c>
      <c r="I94" s="1110"/>
      <c r="J94" s="1110"/>
      <c r="K94" s="1110"/>
      <c r="L94" s="1110" t="s">
        <v>270</v>
      </c>
      <c r="M94" s="1110"/>
      <c r="N94" s="673" t="s">
        <v>271</v>
      </c>
      <c r="O94" s="1112" t="s">
        <v>210</v>
      </c>
      <c r="P94" s="1113"/>
      <c r="Q94" s="710"/>
    </row>
    <row r="95" spans="1:17" s="20" customFormat="1" ht="45.75" customHeight="1" x14ac:dyDescent="0.2">
      <c r="A95" s="676" t="s">
        <v>159</v>
      </c>
      <c r="B95" s="674" t="s">
        <v>211</v>
      </c>
      <c r="C95" s="674" t="s">
        <v>212</v>
      </c>
      <c r="D95" s="674" t="s">
        <v>213</v>
      </c>
      <c r="E95" s="673" t="s">
        <v>214</v>
      </c>
      <c r="F95" s="673" t="s">
        <v>272</v>
      </c>
      <c r="G95" s="674" t="s">
        <v>215</v>
      </c>
      <c r="H95" s="674" t="s">
        <v>216</v>
      </c>
      <c r="I95" s="674" t="s">
        <v>217</v>
      </c>
      <c r="J95" s="345" t="s">
        <v>218</v>
      </c>
      <c r="K95" s="674" t="s">
        <v>219</v>
      </c>
      <c r="L95" s="673" t="s">
        <v>273</v>
      </c>
      <c r="M95" s="673" t="s">
        <v>274</v>
      </c>
      <c r="N95" s="673" t="s">
        <v>275</v>
      </c>
      <c r="O95" s="674" t="s">
        <v>220</v>
      </c>
      <c r="P95" s="675" t="s">
        <v>222</v>
      </c>
      <c r="Q95" s="710"/>
    </row>
    <row r="96" spans="1:17" x14ac:dyDescent="0.25">
      <c r="A96" s="711"/>
      <c r="B96" s="712"/>
      <c r="C96" s="713"/>
      <c r="D96" s="714"/>
      <c r="E96" s="715">
        <f t="shared" ref="E96:E101" si="0">(B96*D96)/1000</f>
        <v>0</v>
      </c>
      <c r="F96" s="716"/>
      <c r="G96" s="717"/>
      <c r="H96" s="717"/>
      <c r="I96" s="718"/>
      <c r="J96" s="399"/>
      <c r="K96" s="714"/>
      <c r="L96" s="719"/>
      <c r="M96" s="719"/>
      <c r="N96" s="720">
        <f t="shared" ref="N96:N101" si="1">+M96+L96+(F96*K96)</f>
        <v>0</v>
      </c>
      <c r="O96" s="719">
        <f t="shared" ref="O96:O101" si="2">+N96-D96</f>
        <v>0</v>
      </c>
      <c r="P96" s="721">
        <f t="shared" ref="P96:P101" si="3">(O96*B96)/1000</f>
        <v>0</v>
      </c>
      <c r="Q96" s="647"/>
    </row>
    <row r="97" spans="1:21" x14ac:dyDescent="0.25">
      <c r="A97" s="722"/>
      <c r="B97" s="723"/>
      <c r="C97" s="724"/>
      <c r="D97" s="725"/>
      <c r="E97" s="726">
        <f t="shared" si="0"/>
        <v>0</v>
      </c>
      <c r="F97" s="727"/>
      <c r="G97" s="728"/>
      <c r="H97" s="728"/>
      <c r="I97" s="729"/>
      <c r="J97" s="400"/>
      <c r="K97" s="725"/>
      <c r="L97" s="725"/>
      <c r="M97" s="725"/>
      <c r="N97" s="724">
        <f t="shared" si="1"/>
        <v>0</v>
      </c>
      <c r="O97" s="725">
        <f t="shared" si="2"/>
        <v>0</v>
      </c>
      <c r="P97" s="730">
        <f t="shared" si="3"/>
        <v>0</v>
      </c>
      <c r="Q97" s="647"/>
    </row>
    <row r="98" spans="1:21" x14ac:dyDescent="0.25">
      <c r="A98" s="722"/>
      <c r="B98" s="723"/>
      <c r="C98" s="724"/>
      <c r="D98" s="725"/>
      <c r="E98" s="726">
        <f t="shared" si="0"/>
        <v>0</v>
      </c>
      <c r="F98" s="727"/>
      <c r="G98" s="728"/>
      <c r="H98" s="728"/>
      <c r="I98" s="729"/>
      <c r="J98" s="400"/>
      <c r="K98" s="725"/>
      <c r="L98" s="725"/>
      <c r="M98" s="725"/>
      <c r="N98" s="724">
        <f t="shared" si="1"/>
        <v>0</v>
      </c>
      <c r="O98" s="725">
        <f t="shared" si="2"/>
        <v>0</v>
      </c>
      <c r="P98" s="730">
        <f t="shared" si="3"/>
        <v>0</v>
      </c>
      <c r="Q98" s="647"/>
    </row>
    <row r="99" spans="1:21" x14ac:dyDescent="0.25">
      <c r="A99" s="722"/>
      <c r="B99" s="723"/>
      <c r="C99" s="724"/>
      <c r="D99" s="725"/>
      <c r="E99" s="726">
        <f t="shared" si="0"/>
        <v>0</v>
      </c>
      <c r="F99" s="727"/>
      <c r="G99" s="728"/>
      <c r="H99" s="728"/>
      <c r="I99" s="729"/>
      <c r="J99" s="400"/>
      <c r="K99" s="725"/>
      <c r="L99" s="725"/>
      <c r="M99" s="725"/>
      <c r="N99" s="724">
        <f t="shared" si="1"/>
        <v>0</v>
      </c>
      <c r="O99" s="725">
        <f t="shared" si="2"/>
        <v>0</v>
      </c>
      <c r="P99" s="730">
        <f t="shared" si="3"/>
        <v>0</v>
      </c>
      <c r="Q99" s="647"/>
    </row>
    <row r="100" spans="1:21" x14ac:dyDescent="0.25">
      <c r="A100" s="722"/>
      <c r="B100" s="723"/>
      <c r="C100" s="724"/>
      <c r="D100" s="725"/>
      <c r="E100" s="726">
        <f t="shared" si="0"/>
        <v>0</v>
      </c>
      <c r="F100" s="727"/>
      <c r="G100" s="728"/>
      <c r="H100" s="728"/>
      <c r="I100" s="729"/>
      <c r="J100" s="400"/>
      <c r="K100" s="725"/>
      <c r="L100" s="725"/>
      <c r="M100" s="725"/>
      <c r="N100" s="724">
        <f t="shared" si="1"/>
        <v>0</v>
      </c>
      <c r="O100" s="725">
        <f t="shared" si="2"/>
        <v>0</v>
      </c>
      <c r="P100" s="730">
        <f t="shared" si="3"/>
        <v>0</v>
      </c>
      <c r="Q100" s="647"/>
    </row>
    <row r="101" spans="1:21" x14ac:dyDescent="0.25">
      <c r="A101" s="731"/>
      <c r="B101" s="732"/>
      <c r="C101" s="733"/>
      <c r="D101" s="734"/>
      <c r="E101" s="735">
        <f t="shared" si="0"/>
        <v>0</v>
      </c>
      <c r="F101" s="736"/>
      <c r="G101" s="737"/>
      <c r="H101" s="737"/>
      <c r="I101" s="738"/>
      <c r="J101" s="401"/>
      <c r="K101" s="734"/>
      <c r="L101" s="734"/>
      <c r="M101" s="734"/>
      <c r="N101" s="733">
        <f t="shared" si="1"/>
        <v>0</v>
      </c>
      <c r="O101" s="734">
        <f t="shared" si="2"/>
        <v>0</v>
      </c>
      <c r="P101" s="739">
        <f t="shared" si="3"/>
        <v>0</v>
      </c>
      <c r="Q101" s="647"/>
    </row>
    <row r="102" spans="1:21" x14ac:dyDescent="0.25">
      <c r="A102" s="176"/>
      <c r="B102" s="177"/>
      <c r="C102" s="178"/>
      <c r="D102" s="178"/>
      <c r="E102" s="179"/>
      <c r="F102" s="178"/>
      <c r="G102" s="178"/>
      <c r="H102" s="180"/>
      <c r="I102" s="181"/>
      <c r="J102" s="181"/>
      <c r="K102" s="177"/>
      <c r="L102" s="182"/>
      <c r="M102" s="182"/>
      <c r="N102" s="182"/>
      <c r="O102" s="182"/>
      <c r="P102" s="389"/>
      <c r="Q102" s="183"/>
      <c r="R102" s="647"/>
    </row>
    <row r="103" spans="1:21" x14ac:dyDescent="0.25">
      <c r="A103" s="184"/>
      <c r="B103" s="185"/>
      <c r="D103" s="319" t="s">
        <v>223</v>
      </c>
      <c r="E103" s="388">
        <f>SUM(E96:E101)</f>
        <v>0</v>
      </c>
      <c r="H103" s="647"/>
      <c r="I103" s="647"/>
      <c r="J103" s="185"/>
      <c r="K103" s="187"/>
      <c r="L103" s="187"/>
      <c r="M103" s="185"/>
      <c r="N103" s="1109" t="s">
        <v>224</v>
      </c>
      <c r="O103" s="1109"/>
      <c r="P103" s="390">
        <f>SUM(P96:P102)</f>
        <v>0</v>
      </c>
    </row>
    <row r="104" spans="1:21" ht="7.5" customHeight="1" x14ac:dyDescent="0.25">
      <c r="A104" s="184"/>
      <c r="B104" s="391"/>
      <c r="D104" s="116"/>
      <c r="E104" s="30"/>
      <c r="G104" s="30"/>
      <c r="H104" s="30"/>
      <c r="I104" s="386"/>
      <c r="J104" s="30"/>
      <c r="K104" s="187"/>
      <c r="L104" s="187"/>
      <c r="M104" s="185"/>
      <c r="N104" s="1109"/>
      <c r="O104" s="1109"/>
      <c r="P104" s="287"/>
      <c r="S104" s="169"/>
      <c r="T104" s="169"/>
      <c r="U104" s="186"/>
    </row>
    <row r="105" spans="1:21" x14ac:dyDescent="0.25">
      <c r="A105" s="184"/>
      <c r="B105" s="677"/>
      <c r="D105" s="319" t="s">
        <v>276</v>
      </c>
      <c r="E105" s="677"/>
      <c r="G105" s="677"/>
      <c r="H105" s="677"/>
      <c r="I105" s="677"/>
      <c r="J105" s="677"/>
      <c r="K105" s="187"/>
      <c r="L105" s="187"/>
      <c r="M105" s="185"/>
      <c r="N105" s="1109"/>
      <c r="O105" s="1109"/>
      <c r="P105" s="166" t="e">
        <f>+P103/E103</f>
        <v>#DIV/0!</v>
      </c>
      <c r="Q105" s="185"/>
      <c r="R105" s="185"/>
      <c r="S105" s="169"/>
      <c r="T105" s="169"/>
      <c r="U105" s="186"/>
    </row>
    <row r="106" spans="1:21" ht="7.5" customHeight="1" x14ac:dyDescent="0.25">
      <c r="A106" s="162"/>
      <c r="B106" s="666"/>
      <c r="C106" s="394"/>
      <c r="D106" s="394"/>
      <c r="E106" s="666"/>
      <c r="G106" s="666"/>
      <c r="H106" s="666"/>
      <c r="I106" s="666"/>
      <c r="J106" s="666"/>
      <c r="K106" s="165"/>
      <c r="L106" s="165"/>
      <c r="M106" s="163"/>
      <c r="N106" s="163"/>
      <c r="O106" s="163"/>
      <c r="P106" s="392"/>
      <c r="Q106" s="163"/>
      <c r="R106" s="163"/>
      <c r="S106" s="168"/>
      <c r="T106" s="168"/>
      <c r="U106" s="164"/>
    </row>
    <row r="107" spans="1:21" x14ac:dyDescent="0.25">
      <c r="A107" s="162"/>
      <c r="B107" s="163"/>
      <c r="C107" s="395"/>
      <c r="D107" s="320" t="s">
        <v>226</v>
      </c>
      <c r="E107" s="170" t="e">
        <f>+E103/E105</f>
        <v>#DIV/0!</v>
      </c>
      <c r="H107" s="172"/>
      <c r="I107" s="172"/>
      <c r="J107" s="163"/>
      <c r="K107" s="165"/>
      <c r="L107" s="165"/>
      <c r="M107" s="163"/>
      <c r="N107" s="163"/>
      <c r="O107" s="163"/>
      <c r="P107" s="392"/>
      <c r="Q107" s="163"/>
      <c r="R107" s="163"/>
      <c r="S107" s="168"/>
      <c r="T107" s="168"/>
      <c r="U107" s="164"/>
    </row>
    <row r="108" spans="1:21" x14ac:dyDescent="0.25">
      <c r="A108" s="162"/>
      <c r="B108" s="163"/>
      <c r="C108" s="163"/>
      <c r="D108" s="164"/>
      <c r="E108" s="171"/>
      <c r="F108" s="172"/>
      <c r="G108" s="173"/>
      <c r="H108" s="173"/>
      <c r="I108" s="173"/>
      <c r="J108" s="163"/>
      <c r="K108" s="165"/>
      <c r="L108" s="165"/>
      <c r="M108" s="163"/>
      <c r="N108" s="163"/>
      <c r="O108" s="163"/>
      <c r="P108" s="392"/>
      <c r="Q108" s="163"/>
      <c r="R108" s="163"/>
      <c r="S108" s="168"/>
      <c r="T108" s="168"/>
      <c r="U108" s="164"/>
    </row>
    <row r="109" spans="1:21" s="367" customFormat="1" ht="75" customHeight="1" x14ac:dyDescent="0.2">
      <c r="A109" s="1059" t="s">
        <v>64</v>
      </c>
      <c r="B109" s="1060"/>
      <c r="C109" s="1060"/>
      <c r="D109" s="1060"/>
      <c r="E109" s="1060"/>
      <c r="F109" s="1060"/>
      <c r="G109" s="1060"/>
      <c r="H109" s="1060"/>
      <c r="I109" s="1060"/>
      <c r="J109" s="1060"/>
      <c r="K109" s="1060"/>
      <c r="L109" s="1060"/>
      <c r="M109" s="1060"/>
      <c r="N109" s="1060"/>
      <c r="O109" s="1060"/>
      <c r="P109" s="1061"/>
      <c r="Q109" s="33"/>
      <c r="R109" s="33"/>
      <c r="S109" s="33"/>
      <c r="T109" s="33"/>
      <c r="U109" s="33"/>
    </row>
    <row r="110" spans="1:21" ht="15.75" thickBot="1" x14ac:dyDescent="0.3">
      <c r="A110" s="348"/>
      <c r="B110" s="349"/>
      <c r="C110" s="349"/>
      <c r="D110" s="350"/>
      <c r="E110" s="351"/>
      <c r="F110" s="352"/>
      <c r="G110" s="353"/>
      <c r="H110" s="353"/>
      <c r="I110" s="353"/>
      <c r="J110" s="349"/>
      <c r="K110" s="354"/>
      <c r="L110" s="354"/>
      <c r="M110" s="349"/>
      <c r="N110" s="349"/>
      <c r="O110" s="349"/>
      <c r="P110" s="393"/>
      <c r="Q110" s="163"/>
      <c r="R110" s="163"/>
      <c r="S110" s="168"/>
      <c r="T110" s="168"/>
      <c r="U110" s="164"/>
    </row>
    <row r="111" spans="1:21" x14ac:dyDescent="0.25">
      <c r="A111" s="162"/>
      <c r="B111" s="163"/>
      <c r="C111" s="163"/>
      <c r="D111" s="164"/>
      <c r="E111" s="171"/>
      <c r="F111" s="172"/>
      <c r="G111" s="173"/>
      <c r="H111" s="173"/>
      <c r="I111" s="173"/>
      <c r="J111" s="163"/>
      <c r="K111" s="165"/>
      <c r="L111" s="165"/>
      <c r="M111" s="163"/>
      <c r="N111" s="163"/>
      <c r="O111" s="163"/>
      <c r="P111" s="163"/>
      <c r="Q111" s="163"/>
      <c r="R111" s="163"/>
      <c r="S111" s="168"/>
      <c r="T111" s="168"/>
      <c r="U111" s="164"/>
    </row>
  </sheetData>
  <sheetProtection formatCells="0" formatColumns="0" formatRows="0" insertColumns="0" insertRows="0" insertHyperlinks="0" deleteColumns="0" deleteRows="0" sort="0" autoFilter="0" pivotTables="0"/>
  <mergeCells count="46">
    <mergeCell ref="A81:I81"/>
    <mergeCell ref="A83:J84"/>
    <mergeCell ref="A92:H92"/>
    <mergeCell ref="J67:J69"/>
    <mergeCell ref="A71:J71"/>
    <mergeCell ref="A79:J80"/>
    <mergeCell ref="A53:I54"/>
    <mergeCell ref="J53:J56"/>
    <mergeCell ref="J58:J60"/>
    <mergeCell ref="K61:K62"/>
    <mergeCell ref="J63:J65"/>
    <mergeCell ref="A35:I35"/>
    <mergeCell ref="B37:C37"/>
    <mergeCell ref="J37:J43"/>
    <mergeCell ref="B43:C43"/>
    <mergeCell ref="J47:J51"/>
    <mergeCell ref="A48:I48"/>
    <mergeCell ref="D9:E9"/>
    <mergeCell ref="F9:I9"/>
    <mergeCell ref="A27:P27"/>
    <mergeCell ref="J31:J34"/>
    <mergeCell ref="B32:C32"/>
    <mergeCell ref="B34:C34"/>
    <mergeCell ref="D1:M2"/>
    <mergeCell ref="A3:P5"/>
    <mergeCell ref="E6:L7"/>
    <mergeCell ref="M6:N6"/>
    <mergeCell ref="O6:P6"/>
    <mergeCell ref="M7:N7"/>
    <mergeCell ref="O7:P7"/>
    <mergeCell ref="O8:P8"/>
    <mergeCell ref="A109:P109"/>
    <mergeCell ref="N103:O105"/>
    <mergeCell ref="H94:K94"/>
    <mergeCell ref="F93:K93"/>
    <mergeCell ref="L94:M94"/>
    <mergeCell ref="O94:P94"/>
    <mergeCell ref="A94:E94"/>
    <mergeCell ref="J9:K9"/>
    <mergeCell ref="L9:N9"/>
    <mergeCell ref="O9:P9"/>
    <mergeCell ref="A19:J19"/>
    <mergeCell ref="A11:P11"/>
    <mergeCell ref="A13:P13"/>
    <mergeCell ref="A14:P14"/>
    <mergeCell ref="A9:C9"/>
  </mergeCells>
  <dataValidations count="4">
    <dataValidation type="list" showInputMessage="1" showErrorMessage="1" sqref="D9:E9" xr:uid="{00000000-0002-0000-0900-000000000000}">
      <formula1>RAS</formula1>
    </dataValidation>
    <dataValidation type="list" allowBlank="1" showInputMessage="1" showErrorMessage="1" sqref="O9:P9" xr:uid="{00000000-0002-0000-0900-000001000000}">
      <formula1>Diligences</formula1>
    </dataValidation>
    <dataValidation type="list" allowBlank="1" showInputMessage="1" showErrorMessage="1" sqref="H49:H53 H62:H66" xr:uid="{00000000-0002-0000-0900-000002000000}">
      <formula1>$A$81:$A$83</formula1>
    </dataValidation>
    <dataValidation type="list" allowBlank="1" showInputMessage="1" showErrorMessage="1" sqref="J62" xr:uid="{00000000-0002-0000-0900-000003000000}">
      <formula1>$A$81:$A$84</formula1>
    </dataValidation>
  </dataValidations>
  <hyperlinks>
    <hyperlink ref="O8:P8" location="'S Synthèse'!A1" display="S Synthèse" xr:uid="{00000000-0004-0000-09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0"/>
  <dimension ref="A1:V86"/>
  <sheetViews>
    <sheetView showGridLines="0" zoomScale="85" zoomScaleNormal="85" workbookViewId="0">
      <selection activeCell="O10" sqref="O10"/>
    </sheetView>
  </sheetViews>
  <sheetFormatPr baseColWidth="10" defaultColWidth="11.42578125" defaultRowHeight="15" x14ac:dyDescent="0.25"/>
  <cols>
    <col min="1" max="6" width="14.7109375" style="25" customWidth="1"/>
    <col min="7" max="7" width="16.7109375" style="25" customWidth="1"/>
    <col min="8" max="14" width="14.7109375" style="25" customWidth="1"/>
    <col min="15" max="15" width="16.7109375" style="25" customWidth="1"/>
    <col min="16" max="16" width="17.28515625" style="25" customWidth="1"/>
    <col min="17" max="18" width="11.42578125" style="25"/>
    <col min="19" max="19" width="13.140625" style="25" customWidth="1"/>
    <col min="20" max="20" width="14.7109375" style="25" customWidth="1"/>
    <col min="21" max="16384" width="11.42578125" style="25"/>
  </cols>
  <sheetData>
    <row r="1" spans="1:21" s="33" customFormat="1" ht="15" customHeight="1" x14ac:dyDescent="0.2">
      <c r="A1" s="10"/>
      <c r="B1" s="11"/>
      <c r="C1" s="11"/>
      <c r="D1" s="1014" t="s">
        <v>0</v>
      </c>
      <c r="E1" s="1015"/>
      <c r="F1" s="1015"/>
      <c r="G1" s="1015"/>
      <c r="H1" s="1015"/>
      <c r="I1" s="1015"/>
      <c r="J1" s="1015"/>
      <c r="K1" s="1015"/>
      <c r="L1" s="1015"/>
      <c r="M1" s="1016"/>
      <c r="N1" s="11"/>
      <c r="O1" s="11"/>
      <c r="P1" s="12"/>
    </row>
    <row r="2" spans="1:21" s="33" customFormat="1" ht="15" customHeight="1" thickBot="1" x14ac:dyDescent="0.25">
      <c r="A2" s="13"/>
      <c r="B2" s="14"/>
      <c r="C2" s="14"/>
      <c r="D2" s="1017"/>
      <c r="E2" s="1018"/>
      <c r="F2" s="1018"/>
      <c r="G2" s="1018"/>
      <c r="H2" s="1018"/>
      <c r="I2" s="1018"/>
      <c r="J2" s="1018"/>
      <c r="K2" s="1018"/>
      <c r="L2" s="1018"/>
      <c r="M2" s="1019"/>
      <c r="N2" s="14"/>
      <c r="O2" s="14"/>
      <c r="P2" s="15"/>
    </row>
    <row r="3" spans="1:21" ht="15" customHeight="1" x14ac:dyDescent="0.25">
      <c r="A3" s="945" t="str">
        <f>'S Synthèse'!A3:O5</f>
        <v>STOCKS</v>
      </c>
      <c r="B3" s="946"/>
      <c r="C3" s="946"/>
      <c r="D3" s="946"/>
      <c r="E3" s="946"/>
      <c r="F3" s="946"/>
      <c r="G3" s="946"/>
      <c r="H3" s="946"/>
      <c r="I3" s="946"/>
      <c r="J3" s="946"/>
      <c r="K3" s="946"/>
      <c r="L3" s="946"/>
      <c r="M3" s="946"/>
      <c r="N3" s="946"/>
      <c r="O3" s="946"/>
      <c r="P3" s="947"/>
      <c r="R3" s="3"/>
      <c r="T3" s="5"/>
      <c r="U3" s="5"/>
    </row>
    <row r="4" spans="1:21" ht="15" customHeight="1" x14ac:dyDescent="0.25">
      <c r="A4" s="945"/>
      <c r="B4" s="946"/>
      <c r="C4" s="946"/>
      <c r="D4" s="946"/>
      <c r="E4" s="946"/>
      <c r="F4" s="946"/>
      <c r="G4" s="946"/>
      <c r="H4" s="946"/>
      <c r="I4" s="946"/>
      <c r="J4" s="946"/>
      <c r="K4" s="946"/>
      <c r="L4" s="946"/>
      <c r="M4" s="946"/>
      <c r="N4" s="946"/>
      <c r="O4" s="946"/>
      <c r="P4" s="947"/>
      <c r="R4" s="3"/>
      <c r="T4" s="5"/>
      <c r="U4" s="5"/>
    </row>
    <row r="5" spans="1:21" ht="15" customHeight="1" thickBot="1" x14ac:dyDescent="0.3">
      <c r="A5" s="948"/>
      <c r="B5" s="949"/>
      <c r="C5" s="949"/>
      <c r="D5" s="949"/>
      <c r="E5" s="949"/>
      <c r="F5" s="949"/>
      <c r="G5" s="949"/>
      <c r="H5" s="949"/>
      <c r="I5" s="949"/>
      <c r="J5" s="949"/>
      <c r="K5" s="949"/>
      <c r="L5" s="949"/>
      <c r="M5" s="949"/>
      <c r="N5" s="949"/>
      <c r="O5" s="949"/>
      <c r="P5" s="950"/>
      <c r="Q5" s="3"/>
      <c r="R5" s="34"/>
      <c r="S5" s="35"/>
      <c r="T5" s="35"/>
      <c r="U5" s="35"/>
    </row>
    <row r="6" spans="1:21" ht="15" customHeight="1" x14ac:dyDescent="0.25">
      <c r="A6" s="17" t="s">
        <v>6</v>
      </c>
      <c r="B6" s="476" t="str">
        <f>'S Synthèse'!B6</f>
        <v>BRA</v>
      </c>
      <c r="C6" s="17" t="s">
        <v>7</v>
      </c>
      <c r="D6" s="476">
        <f>'S Synthèse'!D6</f>
        <v>0</v>
      </c>
      <c r="E6" s="957" t="s">
        <v>277</v>
      </c>
      <c r="F6" s="958"/>
      <c r="G6" s="958"/>
      <c r="H6" s="958"/>
      <c r="I6" s="958"/>
      <c r="J6" s="958"/>
      <c r="K6" s="958"/>
      <c r="L6" s="959"/>
      <c r="M6" s="1020" t="s">
        <v>9</v>
      </c>
      <c r="N6" s="1021"/>
      <c r="O6" s="963" t="s">
        <v>10</v>
      </c>
      <c r="P6" s="964"/>
      <c r="R6" s="33"/>
      <c r="S6" s="33"/>
    </row>
    <row r="7" spans="1:21" ht="15" customHeight="1" thickBot="1" x14ac:dyDescent="0.3">
      <c r="A7" s="18" t="s">
        <v>12</v>
      </c>
      <c r="B7" s="477">
        <f>'S Synthèse'!B7</f>
        <v>0</v>
      </c>
      <c r="C7" s="18" t="s">
        <v>12</v>
      </c>
      <c r="D7" s="477">
        <f>'S Synthèse'!D7</f>
        <v>0</v>
      </c>
      <c r="E7" s="960"/>
      <c r="F7" s="961"/>
      <c r="G7" s="961"/>
      <c r="H7" s="961"/>
      <c r="I7" s="961"/>
      <c r="J7" s="961"/>
      <c r="K7" s="961"/>
      <c r="L7" s="962"/>
      <c r="M7" s="1022" t="str">
        <f>'S Synthèse'!M7:M7</f>
        <v>#DateClôture</v>
      </c>
      <c r="N7" s="1023"/>
      <c r="O7" s="965" t="s">
        <v>49</v>
      </c>
      <c r="P7" s="966"/>
    </row>
    <row r="8" spans="1:21" ht="21" customHeight="1" thickBot="1" x14ac:dyDescent="0.3">
      <c r="A8" s="19"/>
      <c r="B8" s="36"/>
      <c r="C8" s="20"/>
      <c r="D8" s="20"/>
      <c r="E8" s="37"/>
      <c r="F8" s="37"/>
      <c r="G8" s="37"/>
      <c r="H8" s="37"/>
      <c r="I8" s="37"/>
      <c r="J8" s="37"/>
      <c r="K8" s="37"/>
      <c r="L8" s="37"/>
      <c r="M8" s="22"/>
      <c r="N8" s="20"/>
      <c r="O8" s="1002" t="s">
        <v>63</v>
      </c>
      <c r="P8" s="1002"/>
    </row>
    <row r="9" spans="1:21" s="20" customFormat="1" ht="31.5" customHeight="1" thickBot="1" x14ac:dyDescent="0.25">
      <c r="A9" s="951" t="s">
        <v>17</v>
      </c>
      <c r="B9" s="952"/>
      <c r="C9" s="952"/>
      <c r="D9" s="1012" t="str">
        <f>'S Synthèse'!D9:E9</f>
        <v>Modéré</v>
      </c>
      <c r="E9" s="1013"/>
      <c r="F9" s="953" t="s">
        <v>18</v>
      </c>
      <c r="G9" s="954"/>
      <c r="H9" s="954"/>
      <c r="I9" s="954"/>
      <c r="J9" s="1004">
        <f>'S Synthèse'!J9:K9</f>
        <v>0</v>
      </c>
      <c r="K9" s="1005"/>
      <c r="L9" s="953" t="s">
        <v>19</v>
      </c>
      <c r="M9" s="954"/>
      <c r="N9" s="954"/>
      <c r="O9" s="1012" t="str">
        <f>'S Synthèse'!N9</f>
        <v>PE</v>
      </c>
      <c r="P9" s="1013"/>
    </row>
    <row r="10" spans="1:21" s="20" customFormat="1" ht="21" customHeight="1" thickBot="1" x14ac:dyDescent="0.25">
      <c r="A10" s="24"/>
      <c r="B10" s="24"/>
      <c r="C10" s="24"/>
      <c r="D10" s="24"/>
      <c r="E10" s="24"/>
      <c r="F10" s="24"/>
      <c r="G10" s="24"/>
      <c r="H10" s="24"/>
      <c r="I10" s="24"/>
      <c r="J10" s="24"/>
      <c r="K10" s="24"/>
      <c r="L10" s="24"/>
      <c r="M10" s="24"/>
      <c r="N10" s="24"/>
      <c r="O10" s="24"/>
      <c r="P10" s="24"/>
    </row>
    <row r="11" spans="1:21" ht="109.15" customHeight="1" thickBot="1" x14ac:dyDescent="0.3">
      <c r="A11" s="1006" t="s">
        <v>278</v>
      </c>
      <c r="B11" s="1007"/>
      <c r="C11" s="1007"/>
      <c r="D11" s="1007"/>
      <c r="E11" s="1007"/>
      <c r="F11" s="1007"/>
      <c r="G11" s="1007"/>
      <c r="H11" s="1007"/>
      <c r="I11" s="1007"/>
      <c r="J11" s="1007"/>
      <c r="K11" s="1007"/>
      <c r="L11" s="1007"/>
      <c r="M11" s="1007"/>
      <c r="N11" s="1007"/>
      <c r="O11" s="1007"/>
      <c r="P11" s="1008"/>
    </row>
    <row r="12" spans="1:21" ht="9" customHeight="1" thickBot="1" x14ac:dyDescent="0.3"/>
    <row r="13" spans="1:21" x14ac:dyDescent="0.25">
      <c r="A13" s="974" t="s">
        <v>67</v>
      </c>
      <c r="B13" s="975"/>
      <c r="C13" s="975"/>
      <c r="D13" s="975"/>
      <c r="E13" s="975"/>
      <c r="F13" s="975"/>
      <c r="G13" s="975"/>
      <c r="H13" s="975"/>
      <c r="I13" s="975"/>
      <c r="J13" s="975"/>
      <c r="K13" s="975"/>
      <c r="L13" s="975"/>
      <c r="M13" s="975"/>
      <c r="N13" s="975"/>
      <c r="O13" s="975"/>
      <c r="P13" s="976"/>
    </row>
    <row r="14" spans="1:21" ht="60" customHeight="1" thickBot="1" x14ac:dyDescent="0.3">
      <c r="A14" s="1009"/>
      <c r="B14" s="1010"/>
      <c r="C14" s="1010"/>
      <c r="D14" s="1010"/>
      <c r="E14" s="1010"/>
      <c r="F14" s="1010"/>
      <c r="G14" s="1010"/>
      <c r="H14" s="1010"/>
      <c r="I14" s="1010"/>
      <c r="J14" s="1010"/>
      <c r="K14" s="1010"/>
      <c r="L14" s="1010"/>
      <c r="M14" s="1010"/>
      <c r="N14" s="1010"/>
      <c r="O14" s="1010"/>
      <c r="P14" s="1011"/>
    </row>
    <row r="15" spans="1:21" ht="15.75" thickBot="1" x14ac:dyDescent="0.3"/>
    <row r="16" spans="1:21" x14ac:dyDescent="0.25">
      <c r="A16" s="285"/>
      <c r="B16" s="261"/>
      <c r="C16" s="261"/>
      <c r="D16" s="261"/>
      <c r="E16" s="261"/>
      <c r="F16" s="261"/>
      <c r="G16" s="261"/>
      <c r="H16" s="261"/>
      <c r="I16" s="261"/>
      <c r="J16" s="261"/>
      <c r="K16" s="261"/>
      <c r="L16" s="261"/>
      <c r="M16" s="261"/>
      <c r="N16" s="261"/>
      <c r="O16" s="261"/>
      <c r="P16" s="286"/>
    </row>
    <row r="17" spans="1:16" x14ac:dyDescent="0.25">
      <c r="A17" s="154" t="s">
        <v>230</v>
      </c>
      <c r="B17" s="326"/>
      <c r="C17" s="326"/>
      <c r="D17" s="326"/>
      <c r="E17" s="43"/>
      <c r="F17" s="30"/>
      <c r="G17" s="30"/>
      <c r="H17" s="30"/>
      <c r="I17" s="30"/>
      <c r="J17" s="31"/>
      <c r="K17" s="30"/>
      <c r="P17" s="287"/>
    </row>
    <row r="18" spans="1:16" x14ac:dyDescent="0.25">
      <c r="A18" s="368"/>
      <c r="B18" s="326"/>
      <c r="C18" s="326"/>
      <c r="D18" s="326"/>
      <c r="E18" s="43"/>
      <c r="F18" s="30"/>
      <c r="G18" s="30"/>
      <c r="H18" s="30"/>
      <c r="I18" s="30"/>
      <c r="J18" s="31"/>
      <c r="K18" s="30"/>
      <c r="P18" s="287"/>
    </row>
    <row r="19" spans="1:16" ht="13.9" customHeight="1" x14ac:dyDescent="0.25">
      <c r="A19" s="1074" t="s">
        <v>171</v>
      </c>
      <c r="B19" s="1075"/>
      <c r="C19" s="1075"/>
      <c r="D19" s="1075"/>
      <c r="E19" s="1075"/>
      <c r="F19" s="1075"/>
      <c r="G19" s="1075"/>
      <c r="H19" s="1075"/>
      <c r="I19" s="1075"/>
      <c r="J19" s="1075"/>
      <c r="K19" s="30"/>
      <c r="P19" s="287"/>
    </row>
    <row r="20" spans="1:16" x14ac:dyDescent="0.25">
      <c r="A20" s="38" t="s">
        <v>279</v>
      </c>
      <c r="B20" s="30"/>
      <c r="C20" s="30"/>
      <c r="D20" s="30"/>
      <c r="E20" s="30"/>
      <c r="F20" s="30"/>
      <c r="G20" s="30"/>
      <c r="H20" s="30"/>
      <c r="I20" s="30"/>
      <c r="J20" s="1141"/>
      <c r="K20" s="30"/>
      <c r="P20" s="287"/>
    </row>
    <row r="21" spans="1:16" x14ac:dyDescent="0.25">
      <c r="A21" s="369" t="s">
        <v>232</v>
      </c>
      <c r="B21" s="30"/>
      <c r="C21" s="30"/>
      <c r="D21" s="30"/>
      <c r="E21" s="30"/>
      <c r="F21" s="30"/>
      <c r="G21" s="30"/>
      <c r="H21" s="30"/>
      <c r="I21" s="30"/>
      <c r="J21" s="1141"/>
      <c r="K21" s="30"/>
      <c r="P21" s="287"/>
    </row>
    <row r="22" spans="1:16" x14ac:dyDescent="0.25">
      <c r="A22" s="369" t="s">
        <v>233</v>
      </c>
      <c r="B22" s="30"/>
      <c r="C22" s="30"/>
      <c r="D22" s="30"/>
      <c r="E22" s="30"/>
      <c r="F22" s="30"/>
      <c r="G22" s="30"/>
      <c r="H22" s="30"/>
      <c r="I22" s="30"/>
      <c r="J22" s="1141"/>
      <c r="K22" s="30"/>
      <c r="P22" s="287"/>
    </row>
    <row r="23" spans="1:16" x14ac:dyDescent="0.25">
      <c r="A23" s="370" t="s">
        <v>234</v>
      </c>
      <c r="B23" s="30"/>
      <c r="C23" s="30"/>
      <c r="D23" s="30"/>
      <c r="E23" s="30"/>
      <c r="F23" s="30"/>
      <c r="G23" s="30"/>
      <c r="H23" s="30"/>
      <c r="I23" s="30"/>
      <c r="J23" s="1141"/>
      <c r="K23" s="30"/>
      <c r="P23" s="287"/>
    </row>
    <row r="24" spans="1:16" x14ac:dyDescent="0.25">
      <c r="A24" s="370" t="s">
        <v>280</v>
      </c>
      <c r="B24" s="30"/>
      <c r="C24" s="30"/>
      <c r="D24" s="30"/>
      <c r="E24" s="30"/>
      <c r="F24" s="30"/>
      <c r="G24" s="30"/>
      <c r="H24" s="30"/>
      <c r="I24" s="30"/>
      <c r="J24" s="1141"/>
      <c r="K24" s="30"/>
      <c r="P24" s="287"/>
    </row>
    <row r="25" spans="1:16" x14ac:dyDescent="0.25">
      <c r="A25" s="370" t="s">
        <v>281</v>
      </c>
      <c r="B25" s="30"/>
      <c r="C25" s="30"/>
      <c r="D25" s="30"/>
      <c r="E25" s="30"/>
      <c r="F25" s="30"/>
      <c r="G25" s="30"/>
      <c r="H25" s="30"/>
      <c r="I25" s="30"/>
      <c r="J25" s="1141"/>
      <c r="K25" s="30"/>
      <c r="P25" s="287"/>
    </row>
    <row r="26" spans="1:16" x14ac:dyDescent="0.25">
      <c r="A26" s="679"/>
      <c r="B26" s="666"/>
      <c r="C26" s="666"/>
      <c r="D26" s="666"/>
      <c r="E26" s="666"/>
      <c r="F26" s="666"/>
      <c r="G26" s="666"/>
      <c r="H26" s="666"/>
      <c r="I26" s="666"/>
      <c r="J26" s="30"/>
      <c r="K26" s="30"/>
      <c r="P26" s="287"/>
    </row>
    <row r="27" spans="1:16" x14ac:dyDescent="0.25">
      <c r="A27" s="374" t="s">
        <v>238</v>
      </c>
      <c r="B27" s="30"/>
      <c r="C27" s="30"/>
      <c r="D27" s="30"/>
      <c r="E27" s="30"/>
      <c r="F27" s="30"/>
      <c r="G27" s="30"/>
      <c r="H27" s="30"/>
      <c r="I27" s="30"/>
      <c r="J27" s="60" t="s">
        <v>191</v>
      </c>
      <c r="K27" s="30"/>
      <c r="P27" s="287"/>
    </row>
    <row r="28" spans="1:16" ht="15.75" thickBot="1" x14ac:dyDescent="0.3">
      <c r="A28" s="375" t="s">
        <v>243</v>
      </c>
      <c r="B28" s="41"/>
      <c r="C28" s="30"/>
      <c r="D28" s="30"/>
      <c r="E28" s="30"/>
      <c r="F28" s="30"/>
      <c r="G28" s="30"/>
      <c r="H28" s="30"/>
      <c r="I28" s="30"/>
      <c r="J28" s="32"/>
      <c r="K28" s="30"/>
      <c r="P28" s="287"/>
    </row>
    <row r="29" spans="1:16" x14ac:dyDescent="0.25">
      <c r="A29" s="38"/>
      <c r="C29" s="123" t="s">
        <v>244</v>
      </c>
      <c r="D29" s="123"/>
      <c r="E29" s="30"/>
      <c r="F29" s="30"/>
      <c r="G29" s="30"/>
      <c r="H29" s="30"/>
      <c r="I29" s="30"/>
      <c r="J29" s="1118"/>
      <c r="K29" s="30"/>
      <c r="P29" s="287"/>
    </row>
    <row r="30" spans="1:16" x14ac:dyDescent="0.25">
      <c r="A30" s="38"/>
      <c r="C30" s="41"/>
      <c r="D30" s="30" t="s">
        <v>245</v>
      </c>
      <c r="E30" s="30"/>
      <c r="F30" s="30"/>
      <c r="G30" s="30"/>
      <c r="H30" s="30"/>
      <c r="I30" s="30"/>
      <c r="J30" s="1119"/>
      <c r="K30" s="30"/>
      <c r="P30" s="287"/>
    </row>
    <row r="31" spans="1:16" x14ac:dyDescent="0.25">
      <c r="A31" s="38"/>
      <c r="C31" s="41"/>
      <c r="D31" s="30" t="s">
        <v>246</v>
      </c>
      <c r="E31" s="30"/>
      <c r="F31" s="30"/>
      <c r="G31" s="30"/>
      <c r="H31" s="30"/>
      <c r="I31" s="30"/>
      <c r="J31" s="1119"/>
      <c r="K31" s="30"/>
      <c r="P31" s="287"/>
    </row>
    <row r="32" spans="1:16" x14ac:dyDescent="0.25">
      <c r="A32" s="38"/>
      <c r="C32" s="41"/>
      <c r="D32" s="70" t="s">
        <v>247</v>
      </c>
      <c r="E32" s="30"/>
      <c r="F32" s="30"/>
      <c r="G32" s="30"/>
      <c r="H32" s="30"/>
      <c r="I32" s="30"/>
      <c r="J32" s="1119"/>
      <c r="K32" s="30"/>
      <c r="P32" s="287"/>
    </row>
    <row r="33" spans="1:16" x14ac:dyDescent="0.25">
      <c r="A33" s="38"/>
      <c r="C33" s="41"/>
      <c r="D33" s="30" t="s">
        <v>282</v>
      </c>
      <c r="E33" s="30"/>
      <c r="F33" s="30"/>
      <c r="G33" s="30"/>
      <c r="H33" s="30"/>
      <c r="I33" s="30"/>
      <c r="J33" s="1124"/>
      <c r="K33" s="30"/>
      <c r="P33" s="287"/>
    </row>
    <row r="34" spans="1:16" x14ac:dyDescent="0.25">
      <c r="A34" s="38"/>
      <c r="C34" s="41"/>
      <c r="D34" s="30"/>
      <c r="E34" s="30"/>
      <c r="F34" s="30"/>
      <c r="G34" s="30"/>
      <c r="H34" s="30"/>
      <c r="I34" s="30"/>
      <c r="J34" s="1124"/>
      <c r="K34" s="30"/>
      <c r="P34" s="287"/>
    </row>
    <row r="35" spans="1:16" ht="15.75" thickBot="1" x14ac:dyDescent="0.3">
      <c r="A35" s="38"/>
      <c r="C35" s="123" t="s">
        <v>283</v>
      </c>
      <c r="D35" s="123"/>
      <c r="E35" s="30"/>
      <c r="F35" s="30"/>
      <c r="G35" s="30"/>
      <c r="H35" s="30"/>
      <c r="I35" s="30"/>
      <c r="J35" s="1125"/>
      <c r="K35" s="30"/>
      <c r="P35" s="287"/>
    </row>
    <row r="36" spans="1:16" x14ac:dyDescent="0.25">
      <c r="A36" s="38"/>
      <c r="B36" s="30"/>
      <c r="C36" s="30"/>
      <c r="D36" s="30"/>
      <c r="E36" s="30"/>
      <c r="F36" s="30"/>
      <c r="G36" s="30"/>
      <c r="H36" s="30"/>
      <c r="I36" s="30"/>
      <c r="J36" s="32"/>
      <c r="K36" s="30"/>
      <c r="P36" s="287"/>
    </row>
    <row r="37" spans="1:16" x14ac:dyDescent="0.25">
      <c r="A37" s="1074" t="s">
        <v>187</v>
      </c>
      <c r="B37" s="1075"/>
      <c r="C37" s="1075"/>
      <c r="D37" s="1075"/>
      <c r="E37" s="1075"/>
      <c r="F37" s="1075"/>
      <c r="G37" s="1075"/>
      <c r="H37" s="1075"/>
      <c r="I37" s="1075"/>
      <c r="J37" s="1075"/>
      <c r="K37" s="30"/>
      <c r="P37" s="287"/>
    </row>
    <row r="38" spans="1:16" x14ac:dyDescent="0.25">
      <c r="A38" s="38" t="s">
        <v>260</v>
      </c>
      <c r="B38" s="30"/>
      <c r="C38" s="30"/>
      <c r="D38" s="155"/>
      <c r="E38" s="30"/>
      <c r="F38" s="30"/>
      <c r="G38" s="30"/>
      <c r="H38" s="30"/>
      <c r="I38" s="30"/>
      <c r="J38" s="30"/>
      <c r="K38" s="30"/>
      <c r="P38" s="287"/>
    </row>
    <row r="39" spans="1:16" x14ac:dyDescent="0.25">
      <c r="A39" s="38" t="s">
        <v>189</v>
      </c>
      <c r="B39" s="30"/>
      <c r="C39" s="30"/>
      <c r="D39" s="155"/>
      <c r="E39" s="30"/>
      <c r="F39" s="30"/>
      <c r="G39" s="30"/>
      <c r="H39" s="30"/>
      <c r="I39" s="30"/>
      <c r="J39" s="30"/>
      <c r="K39" s="31"/>
      <c r="P39" s="287"/>
    </row>
    <row r="40" spans="1:16" ht="15.75" thickBot="1" x14ac:dyDescent="0.3">
      <c r="A40" s="380"/>
      <c r="B40" s="381"/>
      <c r="C40" s="381"/>
      <c r="D40" s="382"/>
      <c r="E40" s="381"/>
      <c r="F40" s="381"/>
      <c r="G40" s="381"/>
      <c r="H40" s="381"/>
      <c r="I40" s="381"/>
      <c r="J40" s="381"/>
      <c r="K40" s="381"/>
      <c r="L40" s="262"/>
      <c r="M40" s="262"/>
      <c r="N40" s="262"/>
      <c r="O40" s="262"/>
      <c r="P40" s="294"/>
    </row>
    <row r="41" spans="1:16" ht="15.75" thickBot="1" x14ac:dyDescent="0.3">
      <c r="A41" s="30"/>
      <c r="B41" s="30"/>
      <c r="C41" s="30"/>
      <c r="D41" s="155"/>
      <c r="E41" s="30"/>
      <c r="F41" s="30"/>
      <c r="G41" s="30"/>
      <c r="H41" s="30"/>
      <c r="I41" s="30"/>
      <c r="J41" s="30"/>
      <c r="K41" s="30"/>
    </row>
    <row r="42" spans="1:16" x14ac:dyDescent="0.25">
      <c r="A42" s="383"/>
      <c r="B42" s="384"/>
      <c r="C42" s="384"/>
      <c r="D42" s="385"/>
      <c r="E42" s="384"/>
      <c r="F42" s="384"/>
      <c r="G42" s="384"/>
      <c r="H42" s="384"/>
      <c r="I42" s="384"/>
      <c r="J42" s="384"/>
      <c r="K42" s="384"/>
      <c r="L42" s="261"/>
      <c r="M42" s="261"/>
      <c r="N42" s="261"/>
      <c r="O42" s="261"/>
      <c r="P42" s="286"/>
    </row>
    <row r="43" spans="1:16" x14ac:dyDescent="0.25">
      <c r="A43" s="154" t="s">
        <v>261</v>
      </c>
      <c r="B43" s="326"/>
      <c r="C43" s="326"/>
      <c r="D43" s="326"/>
      <c r="E43" s="43"/>
      <c r="F43" s="30"/>
      <c r="G43" s="30"/>
      <c r="H43" s="30"/>
      <c r="I43" s="30"/>
      <c r="J43" s="30"/>
      <c r="K43" s="30"/>
      <c r="P43" s="287"/>
    </row>
    <row r="44" spans="1:16" x14ac:dyDescent="0.25">
      <c r="A44" s="327"/>
      <c r="B44" s="326"/>
      <c r="C44" s="326"/>
      <c r="D44" s="326"/>
      <c r="E44" s="43"/>
      <c r="F44" s="30"/>
      <c r="G44" s="30"/>
      <c r="H44" s="30"/>
      <c r="I44" s="30"/>
      <c r="J44" s="30"/>
      <c r="K44" s="30"/>
      <c r="P44" s="287"/>
    </row>
    <row r="45" spans="1:16" x14ac:dyDescent="0.25">
      <c r="A45" s="1136" t="s">
        <v>262</v>
      </c>
      <c r="B45" s="1137"/>
      <c r="C45" s="1137"/>
      <c r="D45" s="1137"/>
      <c r="E45" s="1137"/>
      <c r="F45" s="1137"/>
      <c r="G45" s="1137"/>
      <c r="H45" s="1137"/>
      <c r="I45" s="1137"/>
      <c r="J45" s="1075"/>
      <c r="K45" s="30"/>
      <c r="P45" s="287"/>
    </row>
    <row r="46" spans="1:16" x14ac:dyDescent="0.25">
      <c r="A46" s="1138"/>
      <c r="B46" s="1075"/>
      <c r="C46" s="1075"/>
      <c r="D46" s="1075"/>
      <c r="E46" s="1075"/>
      <c r="F46" s="1075"/>
      <c r="G46" s="1075"/>
      <c r="H46" s="1075"/>
      <c r="I46" s="1075"/>
      <c r="J46" s="1075"/>
      <c r="K46" s="30"/>
      <c r="P46" s="287"/>
    </row>
    <row r="47" spans="1:16" x14ac:dyDescent="0.25">
      <c r="A47" s="1134" t="s">
        <v>242</v>
      </c>
      <c r="B47" s="1135"/>
      <c r="C47" s="1135"/>
      <c r="D47" s="1135"/>
      <c r="E47" s="1135"/>
      <c r="F47" s="1135"/>
      <c r="G47" s="1135"/>
      <c r="H47" s="1135"/>
      <c r="I47" s="1135"/>
      <c r="J47" s="30"/>
      <c r="K47" s="41"/>
      <c r="P47" s="287"/>
    </row>
    <row r="48" spans="1:16" x14ac:dyDescent="0.25">
      <c r="A48" s="1136" t="s">
        <v>263</v>
      </c>
      <c r="B48" s="1137"/>
      <c r="C48" s="1137"/>
      <c r="D48" s="1137"/>
      <c r="E48" s="1137"/>
      <c r="F48" s="1137"/>
      <c r="G48" s="1137"/>
      <c r="H48" s="1137"/>
      <c r="I48" s="1137"/>
      <c r="J48" s="1075"/>
      <c r="K48" s="30"/>
      <c r="P48" s="287"/>
    </row>
    <row r="49" spans="1:21" x14ac:dyDescent="0.25">
      <c r="A49" s="1138"/>
      <c r="B49" s="1075"/>
      <c r="C49" s="1075"/>
      <c r="D49" s="1075"/>
      <c r="E49" s="1075"/>
      <c r="F49" s="1075"/>
      <c r="G49" s="1075"/>
      <c r="H49" s="1075"/>
      <c r="I49" s="1075"/>
      <c r="J49" s="1075"/>
      <c r="K49" s="30"/>
      <c r="P49" s="287"/>
    </row>
    <row r="50" spans="1:21" x14ac:dyDescent="0.25">
      <c r="A50" s="679"/>
      <c r="B50" s="666"/>
      <c r="C50" s="666"/>
      <c r="D50" s="666"/>
      <c r="E50" s="666"/>
      <c r="F50" s="666"/>
      <c r="G50" s="666"/>
      <c r="H50" s="666"/>
      <c r="I50" s="666"/>
      <c r="J50" s="666"/>
      <c r="K50" s="30"/>
      <c r="P50" s="287"/>
    </row>
    <row r="51" spans="1:21" x14ac:dyDescent="0.25">
      <c r="A51" s="38" t="s">
        <v>264</v>
      </c>
      <c r="B51" s="30"/>
      <c r="C51" s="30"/>
      <c r="D51" s="30"/>
      <c r="E51" s="30"/>
      <c r="F51" s="30"/>
      <c r="G51" s="30"/>
      <c r="H51" s="386"/>
      <c r="I51" s="30"/>
      <c r="J51" s="32"/>
      <c r="K51" s="30"/>
      <c r="P51" s="287"/>
    </row>
    <row r="52" spans="1:21" ht="15.75" thickBot="1" x14ac:dyDescent="0.3">
      <c r="A52" s="293"/>
      <c r="B52" s="262"/>
      <c r="C52" s="262"/>
      <c r="D52" s="262"/>
      <c r="E52" s="262"/>
      <c r="F52" s="262"/>
      <c r="G52" s="262"/>
      <c r="H52" s="262"/>
      <c r="I52" s="262"/>
      <c r="J52" s="262"/>
      <c r="K52" s="262"/>
      <c r="L52" s="262"/>
      <c r="M52" s="262"/>
      <c r="N52" s="262"/>
      <c r="O52" s="262"/>
      <c r="P52" s="294"/>
    </row>
    <row r="53" spans="1:21" ht="15.75" thickBot="1" x14ac:dyDescent="0.3"/>
    <row r="54" spans="1:21" x14ac:dyDescent="0.25">
      <c r="A54" s="285"/>
      <c r="B54" s="261"/>
      <c r="C54" s="261"/>
      <c r="D54" s="261"/>
      <c r="E54" s="261"/>
      <c r="F54" s="261"/>
      <c r="G54" s="261"/>
      <c r="H54" s="261"/>
      <c r="I54" s="261"/>
      <c r="J54" s="261"/>
      <c r="K54" s="261"/>
      <c r="L54" s="261"/>
      <c r="M54" s="261"/>
      <c r="N54" s="261"/>
      <c r="O54" s="261"/>
      <c r="P54" s="286"/>
    </row>
    <row r="55" spans="1:21" x14ac:dyDescent="0.25">
      <c r="A55" s="154" t="s">
        <v>265</v>
      </c>
      <c r="P55" s="287"/>
    </row>
    <row r="56" spans="1:21" x14ac:dyDescent="0.25">
      <c r="A56" s="288"/>
      <c r="P56" s="287"/>
    </row>
    <row r="57" spans="1:21" ht="60.6" customHeight="1" x14ac:dyDescent="0.25">
      <c r="A57" s="1139" t="s">
        <v>266</v>
      </c>
      <c r="B57" s="1140"/>
      <c r="C57" s="1140"/>
      <c r="D57" s="1140"/>
      <c r="E57" s="1140"/>
      <c r="F57" s="1140"/>
      <c r="G57" s="1140"/>
      <c r="H57" s="1140"/>
      <c r="P57" s="287"/>
    </row>
    <row r="58" spans="1:21" x14ac:dyDescent="0.25">
      <c r="A58" s="707"/>
      <c r="B58" s="647"/>
      <c r="C58" s="647"/>
      <c r="D58" s="647"/>
      <c r="E58" s="647"/>
      <c r="F58" s="647"/>
      <c r="G58" s="647"/>
      <c r="H58" s="888"/>
      <c r="I58" s="888"/>
      <c r="J58" s="888"/>
      <c r="K58" s="888"/>
      <c r="L58" s="888"/>
      <c r="M58" s="888"/>
      <c r="N58" s="888"/>
      <c r="O58" s="175"/>
      <c r="P58" s="404"/>
      <c r="Q58" s="175"/>
      <c r="R58" s="175"/>
      <c r="S58" s="647"/>
      <c r="T58" s="647"/>
      <c r="U58" s="647"/>
    </row>
    <row r="59" spans="1:21" s="20" customFormat="1" ht="18.75" customHeight="1" x14ac:dyDescent="0.2">
      <c r="A59" s="740"/>
      <c r="B59" s="710"/>
      <c r="C59" s="710"/>
      <c r="D59" s="710"/>
      <c r="E59" s="710"/>
      <c r="F59" s="710"/>
      <c r="G59" s="710"/>
      <c r="H59" s="1143" t="s">
        <v>284</v>
      </c>
      <c r="I59" s="1144"/>
      <c r="J59" s="1144"/>
      <c r="K59" s="1144"/>
      <c r="L59" s="1145"/>
      <c r="M59" s="710"/>
      <c r="N59" s="710"/>
      <c r="O59" s="710"/>
      <c r="P59" s="741"/>
      <c r="Q59" s="710"/>
      <c r="R59" s="195"/>
      <c r="S59" s="196"/>
      <c r="T59" s="196"/>
      <c r="U59" s="710"/>
    </row>
    <row r="60" spans="1:21" s="20" customFormat="1" ht="42" customHeight="1" x14ac:dyDescent="0.2">
      <c r="A60" s="1098" t="s">
        <v>207</v>
      </c>
      <c r="B60" s="1093"/>
      <c r="C60" s="1093"/>
      <c r="D60" s="1093"/>
      <c r="E60" s="1093"/>
      <c r="F60" s="1094"/>
      <c r="G60" s="673" t="s">
        <v>208</v>
      </c>
      <c r="H60" s="1110" t="s">
        <v>285</v>
      </c>
      <c r="I60" s="1110"/>
      <c r="J60" s="1110"/>
      <c r="K60" s="1110"/>
      <c r="L60" s="673" t="s">
        <v>286</v>
      </c>
      <c r="M60" s="1112" t="s">
        <v>210</v>
      </c>
      <c r="N60" s="1112"/>
      <c r="O60" s="1112"/>
      <c r="P60" s="741"/>
      <c r="Q60" s="195"/>
      <c r="R60" s="196"/>
      <c r="S60" s="196"/>
      <c r="T60" s="710"/>
    </row>
    <row r="61" spans="1:21" s="479" customFormat="1" ht="36.75" customHeight="1" x14ac:dyDescent="0.2">
      <c r="A61" s="673" t="s">
        <v>159</v>
      </c>
      <c r="B61" s="593" t="s">
        <v>194</v>
      </c>
      <c r="C61" s="673" t="s">
        <v>211</v>
      </c>
      <c r="D61" s="673" t="s">
        <v>212</v>
      </c>
      <c r="E61" s="673" t="s">
        <v>213</v>
      </c>
      <c r="F61" s="673" t="s">
        <v>214</v>
      </c>
      <c r="G61" s="673" t="s">
        <v>287</v>
      </c>
      <c r="H61" s="673" t="s">
        <v>216</v>
      </c>
      <c r="I61" s="673" t="s">
        <v>217</v>
      </c>
      <c r="J61" s="478" t="s">
        <v>218</v>
      </c>
      <c r="K61" s="673" t="s">
        <v>219</v>
      </c>
      <c r="L61" s="673" t="s">
        <v>288</v>
      </c>
      <c r="M61" s="673" t="s">
        <v>220</v>
      </c>
      <c r="N61" s="673" t="s">
        <v>221</v>
      </c>
      <c r="O61" s="673" t="s">
        <v>222</v>
      </c>
      <c r="P61" s="742"/>
      <c r="Q61" s="743"/>
      <c r="R61" s="743"/>
      <c r="S61" s="743"/>
      <c r="T61" s="744"/>
    </row>
    <row r="62" spans="1:21" x14ac:dyDescent="0.25">
      <c r="A62" s="718"/>
      <c r="B62" s="745"/>
      <c r="C62" s="746"/>
      <c r="D62" s="747"/>
      <c r="E62" s="715"/>
      <c r="F62" s="719">
        <f t="shared" ref="F62:F67" si="0">(C62*E62)</f>
        <v>0</v>
      </c>
      <c r="G62" s="748"/>
      <c r="H62" s="748"/>
      <c r="I62" s="718"/>
      <c r="J62" s="399"/>
      <c r="K62" s="719"/>
      <c r="L62" s="719">
        <f>+K62*0.8</f>
        <v>0</v>
      </c>
      <c r="M62" s="719">
        <f>+L62-E62</f>
        <v>0</v>
      </c>
      <c r="N62" s="749" t="e">
        <f>+M62/E62</f>
        <v>#DIV/0!</v>
      </c>
      <c r="O62" s="719">
        <f t="shared" ref="O62:O67" si="1">(M62*C62)</f>
        <v>0</v>
      </c>
      <c r="P62" s="709"/>
      <c r="Q62" s="750"/>
      <c r="R62" s="751"/>
      <c r="S62" s="751"/>
      <c r="T62" s="647"/>
    </row>
    <row r="63" spans="1:21" x14ac:dyDescent="0.25">
      <c r="A63" s="729"/>
      <c r="B63" s="752"/>
      <c r="C63" s="753"/>
      <c r="D63" s="754"/>
      <c r="E63" s="726"/>
      <c r="F63" s="725">
        <f t="shared" si="0"/>
        <v>0</v>
      </c>
      <c r="G63" s="755"/>
      <c r="H63" s="755"/>
      <c r="I63" s="729"/>
      <c r="J63" s="400"/>
      <c r="K63" s="725"/>
      <c r="L63" s="725">
        <f t="shared" ref="L63:L67" si="2">+K63*0.8</f>
        <v>0</v>
      </c>
      <c r="M63" s="725">
        <f t="shared" ref="M63:M67" si="3">+L63-E63</f>
        <v>0</v>
      </c>
      <c r="N63" s="756" t="e">
        <f t="shared" ref="N63:N67" si="4">+M63/E63</f>
        <v>#DIV/0!</v>
      </c>
      <c r="O63" s="725">
        <f t="shared" si="1"/>
        <v>0</v>
      </c>
      <c r="P63" s="709"/>
      <c r="Q63" s="750"/>
      <c r="R63" s="751"/>
      <c r="S63" s="751"/>
      <c r="T63" s="647"/>
    </row>
    <row r="64" spans="1:21" x14ac:dyDescent="0.25">
      <c r="A64" s="729"/>
      <c r="B64" s="752"/>
      <c r="C64" s="753"/>
      <c r="D64" s="754"/>
      <c r="E64" s="726"/>
      <c r="F64" s="725">
        <f t="shared" si="0"/>
        <v>0</v>
      </c>
      <c r="G64" s="755"/>
      <c r="H64" s="755"/>
      <c r="I64" s="729"/>
      <c r="J64" s="400"/>
      <c r="K64" s="725"/>
      <c r="L64" s="725">
        <f t="shared" si="2"/>
        <v>0</v>
      </c>
      <c r="M64" s="725">
        <f t="shared" si="3"/>
        <v>0</v>
      </c>
      <c r="N64" s="756" t="e">
        <f t="shared" si="4"/>
        <v>#DIV/0!</v>
      </c>
      <c r="O64" s="725">
        <f t="shared" si="1"/>
        <v>0</v>
      </c>
      <c r="P64" s="709"/>
      <c r="Q64" s="750"/>
      <c r="R64" s="751"/>
      <c r="S64" s="751"/>
      <c r="T64" s="647"/>
    </row>
    <row r="65" spans="1:22" x14ac:dyDescent="0.25">
      <c r="A65" s="729"/>
      <c r="B65" s="752"/>
      <c r="C65" s="753"/>
      <c r="D65" s="754"/>
      <c r="E65" s="726"/>
      <c r="F65" s="725">
        <f t="shared" si="0"/>
        <v>0</v>
      </c>
      <c r="G65" s="755"/>
      <c r="H65" s="755"/>
      <c r="I65" s="729"/>
      <c r="J65" s="400"/>
      <c r="K65" s="725"/>
      <c r="L65" s="725">
        <f t="shared" si="2"/>
        <v>0</v>
      </c>
      <c r="M65" s="725">
        <f t="shared" si="3"/>
        <v>0</v>
      </c>
      <c r="N65" s="756" t="e">
        <f t="shared" si="4"/>
        <v>#DIV/0!</v>
      </c>
      <c r="O65" s="725">
        <f t="shared" si="1"/>
        <v>0</v>
      </c>
      <c r="P65" s="709"/>
      <c r="Q65" s="750"/>
      <c r="R65" s="751"/>
      <c r="S65" s="751"/>
      <c r="T65" s="647"/>
    </row>
    <row r="66" spans="1:22" x14ac:dyDescent="0.25">
      <c r="A66" s="729"/>
      <c r="B66" s="752"/>
      <c r="C66" s="753"/>
      <c r="D66" s="754"/>
      <c r="E66" s="726"/>
      <c r="F66" s="725">
        <f t="shared" si="0"/>
        <v>0</v>
      </c>
      <c r="G66" s="755"/>
      <c r="H66" s="755"/>
      <c r="I66" s="729"/>
      <c r="J66" s="400"/>
      <c r="K66" s="725"/>
      <c r="L66" s="725">
        <f t="shared" si="2"/>
        <v>0</v>
      </c>
      <c r="M66" s="725">
        <f t="shared" si="3"/>
        <v>0</v>
      </c>
      <c r="N66" s="756" t="e">
        <f t="shared" si="4"/>
        <v>#DIV/0!</v>
      </c>
      <c r="O66" s="725">
        <f t="shared" si="1"/>
        <v>0</v>
      </c>
      <c r="P66" s="709"/>
      <c r="Q66" s="750"/>
      <c r="R66" s="751"/>
      <c r="S66" s="751"/>
      <c r="T66" s="647"/>
    </row>
    <row r="67" spans="1:22" x14ac:dyDescent="0.25">
      <c r="A67" s="738"/>
      <c r="B67" s="757"/>
      <c r="C67" s="758"/>
      <c r="D67" s="759"/>
      <c r="E67" s="735"/>
      <c r="F67" s="734">
        <f t="shared" si="0"/>
        <v>0</v>
      </c>
      <c r="G67" s="760"/>
      <c r="H67" s="760"/>
      <c r="I67" s="738"/>
      <c r="J67" s="401"/>
      <c r="K67" s="734"/>
      <c r="L67" s="734">
        <f t="shared" si="2"/>
        <v>0</v>
      </c>
      <c r="M67" s="734">
        <f t="shared" si="3"/>
        <v>0</v>
      </c>
      <c r="N67" s="761" t="e">
        <f t="shared" si="4"/>
        <v>#DIV/0!</v>
      </c>
      <c r="O67" s="734">
        <f t="shared" si="1"/>
        <v>0</v>
      </c>
      <c r="P67" s="709"/>
      <c r="Q67" s="197"/>
      <c r="R67" s="198"/>
      <c r="S67" s="198"/>
      <c r="T67" s="647"/>
    </row>
    <row r="68" spans="1:22" x14ac:dyDescent="0.25">
      <c r="A68" s="199"/>
      <c r="B68" s="647"/>
      <c r="C68" s="156"/>
      <c r="D68" s="157"/>
      <c r="E68" s="157"/>
      <c r="F68" s="396"/>
      <c r="G68" s="158"/>
      <c r="H68" s="159"/>
      <c r="I68" s="159"/>
      <c r="J68" s="156"/>
      <c r="K68" s="160"/>
      <c r="L68" s="160"/>
      <c r="M68" s="161"/>
      <c r="N68" s="161"/>
      <c r="P68" s="405"/>
      <c r="Q68" s="200"/>
      <c r="R68" s="200"/>
      <c r="S68" s="201"/>
      <c r="T68" s="188"/>
    </row>
    <row r="69" spans="1:22" x14ac:dyDescent="0.25">
      <c r="A69" s="162"/>
      <c r="B69" s="163"/>
      <c r="C69" s="163"/>
      <c r="D69" s="164"/>
      <c r="E69" s="171" t="s">
        <v>223</v>
      </c>
      <c r="F69" s="387">
        <f>SUM(F62:F67)</f>
        <v>0</v>
      </c>
      <c r="G69" s="163"/>
      <c r="H69" s="165"/>
      <c r="I69" s="165"/>
      <c r="J69" s="163"/>
      <c r="K69" s="647"/>
      <c r="M69" s="200"/>
      <c r="N69" s="1142" t="s">
        <v>224</v>
      </c>
      <c r="O69" s="387">
        <f>SUM(O62:O68)</f>
        <v>0</v>
      </c>
      <c r="P69" s="287"/>
      <c r="Q69" s="163"/>
      <c r="R69" s="168"/>
      <c r="S69" s="168"/>
      <c r="T69" s="164"/>
    </row>
    <row r="70" spans="1:22" ht="7.5" customHeight="1" x14ac:dyDescent="0.25">
      <c r="A70" s="162"/>
      <c r="B70" s="163"/>
      <c r="C70" s="163"/>
      <c r="D70" s="164"/>
      <c r="E70" s="647"/>
      <c r="F70" s="762"/>
      <c r="G70" s="167"/>
      <c r="H70" s="165"/>
      <c r="I70" s="165"/>
      <c r="J70" s="163"/>
      <c r="K70" s="163"/>
      <c r="L70" s="163"/>
      <c r="M70" s="168"/>
      <c r="N70" s="1142"/>
      <c r="P70" s="347"/>
      <c r="Q70" s="163"/>
      <c r="R70" s="168"/>
      <c r="S70" s="168"/>
      <c r="T70" s="164"/>
    </row>
    <row r="71" spans="1:22" x14ac:dyDescent="0.25">
      <c r="A71" s="162"/>
      <c r="B71" s="163"/>
      <c r="C71" s="163"/>
      <c r="D71" s="164"/>
      <c r="E71" s="171" t="s">
        <v>289</v>
      </c>
      <c r="F71" s="397"/>
      <c r="G71" s="163"/>
      <c r="H71" s="165"/>
      <c r="I71" s="165"/>
      <c r="J71" s="163"/>
      <c r="K71" s="163"/>
      <c r="L71" s="163"/>
      <c r="M71" s="168"/>
      <c r="N71" s="1142"/>
      <c r="O71" s="595" t="e">
        <f>+O69/F69</f>
        <v>#DIV/0!</v>
      </c>
      <c r="P71" s="594"/>
      <c r="Q71" s="163"/>
      <c r="R71" s="168"/>
      <c r="S71" s="168"/>
      <c r="T71" s="164"/>
    </row>
    <row r="72" spans="1:22" ht="7.5" customHeight="1" x14ac:dyDescent="0.25">
      <c r="A72" s="162"/>
      <c r="B72" s="163"/>
      <c r="C72" s="163"/>
      <c r="D72" s="164"/>
      <c r="E72" s="647"/>
      <c r="F72" s="647"/>
      <c r="G72" s="163"/>
      <c r="H72" s="165"/>
      <c r="I72" s="165"/>
      <c r="J72" s="163"/>
      <c r="K72" s="163"/>
      <c r="L72" s="163"/>
      <c r="M72" s="168"/>
      <c r="N72" s="168"/>
      <c r="P72" s="347"/>
      <c r="Q72" s="163"/>
      <c r="R72" s="168"/>
      <c r="S72" s="168"/>
      <c r="T72" s="164"/>
    </row>
    <row r="73" spans="1:22" x14ac:dyDescent="0.25">
      <c r="A73" s="162"/>
      <c r="B73" s="163"/>
      <c r="C73" s="163"/>
      <c r="D73" s="164"/>
      <c r="E73" s="406" t="s">
        <v>226</v>
      </c>
      <c r="F73" s="398" t="e">
        <f>+F69/F71</f>
        <v>#DIV/0!</v>
      </c>
      <c r="G73" s="163"/>
      <c r="H73" s="165"/>
      <c r="I73" s="165"/>
      <c r="J73" s="163"/>
      <c r="K73" s="163"/>
      <c r="L73" s="163"/>
      <c r="M73" s="168"/>
      <c r="N73" s="168"/>
      <c r="P73" s="347"/>
      <c r="Q73" s="163"/>
      <c r="R73" s="168"/>
      <c r="S73" s="168"/>
      <c r="T73" s="164"/>
    </row>
    <row r="74" spans="1:22" ht="15.75" thickBot="1" x14ac:dyDescent="0.3">
      <c r="A74" s="348"/>
      <c r="B74" s="349"/>
      <c r="C74" s="349"/>
      <c r="D74" s="350"/>
      <c r="E74" s="351"/>
      <c r="F74" s="352"/>
      <c r="G74" s="353"/>
      <c r="H74" s="353"/>
      <c r="I74" s="353"/>
      <c r="J74" s="349"/>
      <c r="K74" s="354"/>
      <c r="L74" s="354"/>
      <c r="M74" s="349"/>
      <c r="N74" s="349"/>
      <c r="O74" s="349"/>
      <c r="P74" s="393"/>
      <c r="Q74" s="163"/>
      <c r="R74" s="163"/>
      <c r="S74" s="168"/>
      <c r="T74" s="168"/>
      <c r="U74" s="164"/>
    </row>
    <row r="75" spans="1:22" ht="15.75" thickBot="1" x14ac:dyDescent="0.3">
      <c r="A75" s="162"/>
      <c r="B75" s="163"/>
      <c r="C75" s="163"/>
      <c r="D75" s="164"/>
      <c r="E75" s="171"/>
      <c r="F75" s="172"/>
      <c r="G75" s="173"/>
      <c r="H75" s="173"/>
      <c r="I75" s="173"/>
      <c r="J75" s="163"/>
      <c r="K75" s="165"/>
      <c r="L75" s="165"/>
      <c r="M75" s="163"/>
      <c r="N75" s="163"/>
      <c r="O75" s="163"/>
      <c r="P75" s="163"/>
      <c r="Q75" s="163"/>
      <c r="R75" s="163"/>
      <c r="S75" s="168"/>
      <c r="T75" s="168"/>
      <c r="U75" s="164"/>
    </row>
    <row r="76" spans="1:22" x14ac:dyDescent="0.25">
      <c r="A76" s="355"/>
      <c r="B76" s="356"/>
      <c r="C76" s="356"/>
      <c r="D76" s="357"/>
      <c r="E76" s="358"/>
      <c r="F76" s="359"/>
      <c r="G76" s="360"/>
      <c r="H76" s="360"/>
      <c r="I76" s="360"/>
      <c r="J76" s="356"/>
      <c r="K76" s="361"/>
      <c r="L76" s="361"/>
      <c r="M76" s="356"/>
      <c r="N76" s="356"/>
      <c r="O76" s="356"/>
      <c r="P76" s="403"/>
      <c r="Q76" s="163"/>
      <c r="R76" s="163"/>
      <c r="S76" s="168"/>
      <c r="T76" s="168"/>
      <c r="U76" s="164"/>
    </row>
    <row r="77" spans="1:22" x14ac:dyDescent="0.25">
      <c r="A77" s="346" t="s">
        <v>290</v>
      </c>
      <c r="B77" s="30"/>
      <c r="C77" s="40"/>
      <c r="D77" s="40"/>
      <c r="E77" s="40"/>
      <c r="F77" s="40"/>
      <c r="G77" s="40"/>
      <c r="H77" s="40"/>
      <c r="I77" s="40"/>
      <c r="J77" s="40"/>
      <c r="K77" s="40"/>
      <c r="L77" s="40"/>
      <c r="M77" s="40"/>
      <c r="N77" s="40"/>
      <c r="O77" s="40"/>
      <c r="P77" s="362"/>
      <c r="Q77" s="40"/>
      <c r="R77" s="40"/>
      <c r="S77" s="40"/>
      <c r="T77" s="40"/>
      <c r="U77" s="40"/>
    </row>
    <row r="78" spans="1:22" x14ac:dyDescent="0.25">
      <c r="A78" s="44"/>
      <c r="B78" s="190"/>
      <c r="C78" s="190"/>
      <c r="D78" s="190"/>
      <c r="E78" s="190"/>
      <c r="F78" s="190"/>
      <c r="G78" s="190"/>
      <c r="H78" s="190"/>
      <c r="I78" s="190"/>
      <c r="J78" s="190"/>
      <c r="K78" s="190"/>
      <c r="L78" s="190"/>
      <c r="M78" s="190"/>
      <c r="N78" s="190"/>
      <c r="O78" s="190"/>
      <c r="P78" s="191"/>
      <c r="Q78" s="190"/>
      <c r="R78" s="190"/>
      <c r="S78" s="190"/>
      <c r="T78" s="190"/>
      <c r="U78" s="190"/>
    </row>
    <row r="79" spans="1:22" s="367" customFormat="1" ht="75" customHeight="1" x14ac:dyDescent="0.2">
      <c r="A79" s="1059" t="s">
        <v>64</v>
      </c>
      <c r="B79" s="1060"/>
      <c r="C79" s="1060"/>
      <c r="D79" s="1060"/>
      <c r="E79" s="1060"/>
      <c r="F79" s="1060"/>
      <c r="G79" s="1060"/>
      <c r="H79" s="1060"/>
      <c r="I79" s="1060"/>
      <c r="J79" s="1060"/>
      <c r="K79" s="1060"/>
      <c r="L79" s="1060"/>
      <c r="M79" s="1060"/>
      <c r="N79" s="1060"/>
      <c r="O79" s="1060"/>
      <c r="P79" s="1061"/>
      <c r="Q79" s="33"/>
      <c r="R79" s="33"/>
      <c r="S79" s="33"/>
      <c r="T79" s="33"/>
      <c r="U79" s="33"/>
      <c r="V79" s="33"/>
    </row>
    <row r="80" spans="1:22" ht="15.75" thickBot="1" x14ac:dyDescent="0.3">
      <c r="A80" s="192"/>
      <c r="B80" s="193"/>
      <c r="C80" s="193"/>
      <c r="D80" s="193"/>
      <c r="E80" s="193"/>
      <c r="F80" s="193"/>
      <c r="G80" s="193"/>
      <c r="H80" s="193"/>
      <c r="I80" s="193"/>
      <c r="J80" s="193"/>
      <c r="K80" s="193"/>
      <c r="L80" s="193"/>
      <c r="M80" s="193"/>
      <c r="N80" s="193"/>
      <c r="O80" s="193"/>
      <c r="P80" s="194"/>
      <c r="Q80" s="190"/>
      <c r="R80" s="190"/>
      <c r="S80" s="190"/>
      <c r="T80" s="190"/>
      <c r="U80" s="190"/>
    </row>
    <row r="81" spans="1:21" x14ac:dyDescent="0.25">
      <c r="A81" s="402"/>
      <c r="B81" s="190"/>
      <c r="C81" s="190"/>
      <c r="D81" s="190"/>
      <c r="E81" s="190"/>
      <c r="F81" s="190"/>
      <c r="G81" s="190"/>
      <c r="H81" s="190"/>
      <c r="I81" s="190"/>
      <c r="J81" s="190"/>
      <c r="K81" s="190"/>
      <c r="L81" s="190"/>
      <c r="M81" s="190"/>
      <c r="N81" s="190"/>
      <c r="O81" s="190"/>
      <c r="P81" s="190"/>
      <c r="Q81" s="190"/>
      <c r="R81" s="190"/>
      <c r="S81" s="190"/>
      <c r="T81" s="190"/>
      <c r="U81" s="190"/>
    </row>
    <row r="82" spans="1:21" x14ac:dyDescent="0.25">
      <c r="A82" s="402"/>
      <c r="B82" s="190"/>
      <c r="C82" s="190"/>
      <c r="D82" s="190"/>
      <c r="E82" s="190"/>
      <c r="F82" s="190"/>
      <c r="G82" s="190"/>
      <c r="H82" s="190"/>
      <c r="I82" s="190"/>
      <c r="J82" s="190"/>
      <c r="K82" s="190"/>
      <c r="L82" s="190"/>
      <c r="M82" s="190"/>
      <c r="N82" s="190"/>
      <c r="O82" s="190"/>
      <c r="P82" s="190"/>
      <c r="Q82" s="190"/>
      <c r="R82" s="190"/>
      <c r="S82" s="190"/>
      <c r="T82" s="190"/>
      <c r="U82" s="190"/>
    </row>
    <row r="83" spans="1:21" x14ac:dyDescent="0.25">
      <c r="A83" s="402"/>
      <c r="B83" s="190"/>
      <c r="C83" s="190"/>
      <c r="D83" s="190"/>
      <c r="E83" s="190"/>
      <c r="F83" s="190"/>
      <c r="G83" s="190"/>
      <c r="H83" s="190"/>
      <c r="I83" s="190"/>
      <c r="J83" s="190"/>
      <c r="K83" s="190"/>
      <c r="L83" s="190"/>
      <c r="M83" s="190"/>
      <c r="N83" s="190"/>
      <c r="O83" s="190"/>
      <c r="P83" s="190"/>
      <c r="Q83" s="190"/>
      <c r="R83" s="190"/>
      <c r="S83" s="190"/>
      <c r="T83" s="190"/>
      <c r="U83" s="190"/>
    </row>
    <row r="84" spans="1:21" x14ac:dyDescent="0.25">
      <c r="A84" s="402"/>
      <c r="B84" s="190"/>
      <c r="C84" s="190"/>
      <c r="D84" s="190"/>
      <c r="E84" s="190"/>
      <c r="F84" s="190"/>
      <c r="G84" s="190"/>
      <c r="H84" s="190"/>
      <c r="I84" s="190"/>
      <c r="J84" s="190"/>
      <c r="K84" s="190"/>
      <c r="L84" s="190"/>
      <c r="M84" s="190"/>
      <c r="N84" s="190"/>
      <c r="O84" s="190"/>
      <c r="P84" s="190"/>
      <c r="Q84" s="190"/>
      <c r="R84" s="190"/>
      <c r="S84" s="190"/>
      <c r="T84" s="190"/>
      <c r="U84" s="190"/>
    </row>
    <row r="85" spans="1:21" x14ac:dyDescent="0.25">
      <c r="A85" s="402"/>
      <c r="B85" s="190"/>
      <c r="C85" s="190"/>
      <c r="D85" s="190"/>
      <c r="E85" s="190"/>
      <c r="F85" s="190"/>
      <c r="G85" s="190"/>
      <c r="H85" s="190"/>
      <c r="I85" s="190"/>
      <c r="J85" s="190"/>
      <c r="K85" s="190"/>
      <c r="L85" s="190"/>
      <c r="M85" s="190"/>
      <c r="N85" s="190"/>
      <c r="O85" s="190"/>
      <c r="P85" s="190"/>
      <c r="Q85" s="190"/>
      <c r="R85" s="190"/>
      <c r="S85" s="190"/>
      <c r="T85" s="190"/>
      <c r="U85" s="190"/>
    </row>
    <row r="86" spans="1:21" x14ac:dyDescent="0.25">
      <c r="A86" s="402"/>
      <c r="B86" s="190"/>
      <c r="C86" s="190"/>
      <c r="D86" s="190"/>
      <c r="E86" s="190"/>
      <c r="F86" s="190"/>
      <c r="G86" s="190"/>
      <c r="H86" s="190"/>
      <c r="I86" s="190"/>
      <c r="J86" s="190"/>
      <c r="K86" s="190"/>
      <c r="L86" s="190"/>
      <c r="M86" s="190"/>
      <c r="N86" s="190"/>
      <c r="O86" s="190"/>
      <c r="P86" s="190"/>
      <c r="Q86" s="190"/>
      <c r="R86" s="190"/>
      <c r="S86" s="190"/>
      <c r="T86" s="190"/>
      <c r="U86" s="190"/>
    </row>
  </sheetData>
  <sheetProtection formatCells="0" formatColumns="0" formatRows="0" insertColumns="0" insertRows="0" insertHyperlinks="0" deleteColumns="0" deleteRows="0" sort="0" autoFilter="0" pivotTables="0"/>
  <mergeCells count="31">
    <mergeCell ref="H60:K60"/>
    <mergeCell ref="M60:O60"/>
    <mergeCell ref="N69:N71"/>
    <mergeCell ref="A60:F60"/>
    <mergeCell ref="H59:L59"/>
    <mergeCell ref="A45:J46"/>
    <mergeCell ref="A47:I47"/>
    <mergeCell ref="A48:J49"/>
    <mergeCell ref="A57:H57"/>
    <mergeCell ref="J29:J35"/>
    <mergeCell ref="A11:P11"/>
    <mergeCell ref="A13:P13"/>
    <mergeCell ref="A14:P14"/>
    <mergeCell ref="A19:J19"/>
    <mergeCell ref="J20:J25"/>
    <mergeCell ref="A79:P79"/>
    <mergeCell ref="O9:P9"/>
    <mergeCell ref="D1:M2"/>
    <mergeCell ref="A3:P5"/>
    <mergeCell ref="E6:L7"/>
    <mergeCell ref="M6:N6"/>
    <mergeCell ref="O6:P6"/>
    <mergeCell ref="M7:N7"/>
    <mergeCell ref="O7:P7"/>
    <mergeCell ref="A9:C9"/>
    <mergeCell ref="D9:E9"/>
    <mergeCell ref="F9:I9"/>
    <mergeCell ref="J9:K9"/>
    <mergeCell ref="L9:N9"/>
    <mergeCell ref="O8:P8"/>
    <mergeCell ref="A37:J37"/>
  </mergeCells>
  <dataValidations count="2">
    <dataValidation type="list" allowBlank="1" showInputMessage="1" showErrorMessage="1" sqref="O9:P9" xr:uid="{00000000-0002-0000-0A00-000000000000}">
      <formula1>Diligences</formula1>
    </dataValidation>
    <dataValidation type="list" showInputMessage="1" showErrorMessage="1" sqref="D9:E9" xr:uid="{00000000-0002-0000-0A00-000001000000}">
      <formula1>RAS</formula1>
    </dataValidation>
  </dataValidations>
  <hyperlinks>
    <hyperlink ref="O8:P8" location="'S Synthèse'!A1" display="S Synthèse" xr:uid="{00000000-0004-0000-0A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1"/>
  <dimension ref="A1:U45"/>
  <sheetViews>
    <sheetView showGridLines="0" zoomScale="90" zoomScaleNormal="90" workbookViewId="0">
      <selection activeCell="O10" sqref="O10"/>
    </sheetView>
  </sheetViews>
  <sheetFormatPr baseColWidth="10" defaultColWidth="11.42578125" defaultRowHeight="15.75" x14ac:dyDescent="0.25"/>
  <cols>
    <col min="1" max="1" width="14.7109375" style="7" customWidth="1"/>
    <col min="2" max="11" width="14" style="7" customWidth="1"/>
    <col min="12" max="15" width="14.7109375" style="7" customWidth="1"/>
    <col min="16" max="16" width="14" style="7" customWidth="1"/>
    <col min="17" max="16384" width="11.42578125" style="7"/>
  </cols>
  <sheetData>
    <row r="1" spans="1:21" s="1" customFormat="1" ht="15" customHeight="1" x14ac:dyDescent="0.2">
      <c r="A1" s="10"/>
      <c r="B1" s="11"/>
      <c r="C1" s="11"/>
      <c r="D1" s="1014" t="str">
        <f>'S Synthèse'!D1:M2</f>
        <v>#NomClient</v>
      </c>
      <c r="E1" s="1015"/>
      <c r="F1" s="1015"/>
      <c r="G1" s="1015"/>
      <c r="H1" s="1015"/>
      <c r="I1" s="1015"/>
      <c r="J1" s="1015"/>
      <c r="K1" s="1015"/>
      <c r="L1" s="1015"/>
      <c r="M1" s="1016"/>
      <c r="N1" s="11"/>
      <c r="O1" s="11"/>
      <c r="P1" s="12"/>
    </row>
    <row r="2" spans="1:21" s="1" customFormat="1" ht="15" customHeight="1" thickBot="1" x14ac:dyDescent="0.25">
      <c r="A2" s="13"/>
      <c r="B2" s="14"/>
      <c r="C2" s="14"/>
      <c r="D2" s="1017"/>
      <c r="E2" s="1018"/>
      <c r="F2" s="1018"/>
      <c r="G2" s="1018"/>
      <c r="H2" s="1018"/>
      <c r="I2" s="1018"/>
      <c r="J2" s="1018"/>
      <c r="K2" s="1018"/>
      <c r="L2" s="1018"/>
      <c r="M2" s="1019"/>
      <c r="N2" s="14"/>
      <c r="O2" s="14"/>
      <c r="P2" s="15"/>
    </row>
    <row r="3" spans="1:21" ht="15" customHeight="1" x14ac:dyDescent="0.25">
      <c r="A3" s="945" t="s">
        <v>3</v>
      </c>
      <c r="B3" s="946"/>
      <c r="C3" s="946"/>
      <c r="D3" s="946"/>
      <c r="E3" s="946"/>
      <c r="F3" s="946"/>
      <c r="G3" s="946"/>
      <c r="H3" s="946"/>
      <c r="I3" s="946"/>
      <c r="J3" s="946"/>
      <c r="K3" s="946"/>
      <c r="L3" s="946"/>
      <c r="M3" s="946"/>
      <c r="N3" s="946"/>
      <c r="O3" s="946"/>
      <c r="P3" s="947"/>
      <c r="R3" s="3"/>
      <c r="T3" s="5"/>
      <c r="U3" s="6"/>
    </row>
    <row r="4" spans="1:21" ht="15" customHeight="1" x14ac:dyDescent="0.25">
      <c r="A4" s="945"/>
      <c r="B4" s="946"/>
      <c r="C4" s="946"/>
      <c r="D4" s="946"/>
      <c r="E4" s="946"/>
      <c r="F4" s="946"/>
      <c r="G4" s="946"/>
      <c r="H4" s="946"/>
      <c r="I4" s="946"/>
      <c r="J4" s="946"/>
      <c r="K4" s="946"/>
      <c r="L4" s="946"/>
      <c r="M4" s="946"/>
      <c r="N4" s="946"/>
      <c r="O4" s="946"/>
      <c r="P4" s="947"/>
      <c r="R4" s="3"/>
      <c r="T4" s="5"/>
      <c r="U4" s="6"/>
    </row>
    <row r="5" spans="1:21" ht="15" customHeight="1" thickBot="1" x14ac:dyDescent="0.3">
      <c r="A5" s="948"/>
      <c r="B5" s="949"/>
      <c r="C5" s="949"/>
      <c r="D5" s="949"/>
      <c r="E5" s="949"/>
      <c r="F5" s="949"/>
      <c r="G5" s="949"/>
      <c r="H5" s="949"/>
      <c r="I5" s="949"/>
      <c r="J5" s="949"/>
      <c r="K5" s="949"/>
      <c r="L5" s="949"/>
      <c r="M5" s="949"/>
      <c r="N5" s="949"/>
      <c r="O5" s="949"/>
      <c r="P5" s="950"/>
      <c r="Q5" s="8"/>
      <c r="R5" s="4"/>
      <c r="S5" s="23"/>
      <c r="T5" s="23"/>
      <c r="U5" s="23"/>
    </row>
    <row r="6" spans="1:21" ht="15" customHeight="1" x14ac:dyDescent="0.25">
      <c r="A6" s="17" t="s">
        <v>6</v>
      </c>
      <c r="B6" s="476" t="str">
        <f>'S Synthèse'!B6</f>
        <v>BRA</v>
      </c>
      <c r="C6" s="17" t="s">
        <v>7</v>
      </c>
      <c r="D6" s="476">
        <f>'S Synthèse'!D6</f>
        <v>0</v>
      </c>
      <c r="E6" s="957" t="s">
        <v>291</v>
      </c>
      <c r="F6" s="958"/>
      <c r="G6" s="958"/>
      <c r="H6" s="958"/>
      <c r="I6" s="958"/>
      <c r="J6" s="958"/>
      <c r="K6" s="958"/>
      <c r="L6" s="959"/>
      <c r="M6" s="1020" t="s">
        <v>9</v>
      </c>
      <c r="N6" s="1021"/>
      <c r="O6" s="963" t="s">
        <v>10</v>
      </c>
      <c r="P6" s="964"/>
      <c r="R6" s="1"/>
      <c r="S6" s="1"/>
    </row>
    <row r="7" spans="1:21" ht="15" customHeight="1" thickBot="1" x14ac:dyDescent="0.3">
      <c r="A7" s="18" t="s">
        <v>12</v>
      </c>
      <c r="B7" s="477">
        <f>'S Synthèse'!B7</f>
        <v>0</v>
      </c>
      <c r="C7" s="18" t="s">
        <v>12</v>
      </c>
      <c r="D7" s="477">
        <f>'S Synthèse'!D7</f>
        <v>0</v>
      </c>
      <c r="E7" s="960"/>
      <c r="F7" s="961"/>
      <c r="G7" s="961"/>
      <c r="H7" s="961"/>
      <c r="I7" s="961"/>
      <c r="J7" s="961"/>
      <c r="K7" s="961"/>
      <c r="L7" s="962"/>
      <c r="M7" s="1022" t="str">
        <f>'S Synthèse'!M7:M7</f>
        <v>#DateClôture</v>
      </c>
      <c r="N7" s="1023"/>
      <c r="O7" s="965" t="s">
        <v>52</v>
      </c>
      <c r="P7" s="966"/>
    </row>
    <row r="8" spans="1:21" ht="21" customHeight="1" thickBot="1" x14ac:dyDescent="0.3">
      <c r="A8" s="19"/>
      <c r="B8" s="16"/>
      <c r="C8" s="20"/>
      <c r="D8" s="20"/>
      <c r="E8" s="21"/>
      <c r="F8" s="21"/>
      <c r="G8" s="21"/>
      <c r="H8" s="21"/>
      <c r="I8" s="21"/>
      <c r="J8" s="21"/>
      <c r="K8" s="21"/>
      <c r="L8" s="21"/>
      <c r="M8" s="22"/>
      <c r="N8" s="20"/>
      <c r="O8" s="1002" t="s">
        <v>63</v>
      </c>
      <c r="P8" s="1002"/>
    </row>
    <row r="9" spans="1:21" s="20" customFormat="1" ht="31.5" customHeight="1" thickBot="1" x14ac:dyDescent="0.25">
      <c r="A9" s="951" t="s">
        <v>17</v>
      </c>
      <c r="B9" s="952"/>
      <c r="C9" s="952"/>
      <c r="D9" s="1012" t="str">
        <f>'S Synthèse'!D9:E9</f>
        <v>Modéré</v>
      </c>
      <c r="E9" s="1013"/>
      <c r="F9" s="953" t="s">
        <v>18</v>
      </c>
      <c r="G9" s="954"/>
      <c r="H9" s="954"/>
      <c r="I9" s="954"/>
      <c r="J9" s="1004">
        <f>'S Synthèse'!J9:K9</f>
        <v>0</v>
      </c>
      <c r="K9" s="1005"/>
      <c r="L9" s="953" t="s">
        <v>19</v>
      </c>
      <c r="M9" s="954"/>
      <c r="N9" s="954"/>
      <c r="O9" s="1012" t="str">
        <f>'S Synthèse'!N9</f>
        <v>PE</v>
      </c>
      <c r="P9" s="1013"/>
    </row>
    <row r="10" spans="1:21" s="20" customFormat="1" ht="21" customHeight="1" thickBot="1" x14ac:dyDescent="0.25">
      <c r="A10" s="24"/>
      <c r="B10" s="24"/>
      <c r="C10" s="24"/>
      <c r="D10" s="24"/>
      <c r="E10" s="24"/>
      <c r="F10" s="24"/>
      <c r="G10" s="24"/>
      <c r="H10" s="24"/>
      <c r="I10" s="24"/>
      <c r="J10" s="24"/>
      <c r="K10" s="24"/>
      <c r="L10" s="24"/>
      <c r="M10" s="24"/>
      <c r="N10" s="24"/>
      <c r="O10" s="24"/>
      <c r="P10" s="24"/>
    </row>
    <row r="11" spans="1:21" s="25" customFormat="1" ht="158.25" customHeight="1" thickBot="1" x14ac:dyDescent="0.3">
      <c r="A11" s="1006" t="s">
        <v>292</v>
      </c>
      <c r="B11" s="1007"/>
      <c r="C11" s="1007"/>
      <c r="D11" s="1007"/>
      <c r="E11" s="1007"/>
      <c r="F11" s="1007"/>
      <c r="G11" s="1007"/>
      <c r="H11" s="1007"/>
      <c r="I11" s="1007"/>
      <c r="J11" s="1007"/>
      <c r="K11" s="1007"/>
      <c r="L11" s="1007"/>
      <c r="M11" s="1007"/>
      <c r="N11" s="1007"/>
      <c r="O11" s="1007"/>
      <c r="P11" s="1008"/>
    </row>
    <row r="12" spans="1:21" s="25" customFormat="1" ht="9" customHeight="1" thickBot="1" x14ac:dyDescent="0.3"/>
    <row r="13" spans="1:21" s="25" customFormat="1" ht="15" x14ac:dyDescent="0.25">
      <c r="A13" s="974" t="s">
        <v>67</v>
      </c>
      <c r="B13" s="975"/>
      <c r="C13" s="975"/>
      <c r="D13" s="975"/>
      <c r="E13" s="975"/>
      <c r="F13" s="975"/>
      <c r="G13" s="975"/>
      <c r="H13" s="975"/>
      <c r="I13" s="975"/>
      <c r="J13" s="975"/>
      <c r="K13" s="975"/>
      <c r="L13" s="975"/>
      <c r="M13" s="975"/>
      <c r="N13" s="975"/>
      <c r="O13" s="975"/>
      <c r="P13" s="976"/>
    </row>
    <row r="14" spans="1:21" s="25" customFormat="1" ht="60" customHeight="1" thickBot="1" x14ac:dyDescent="0.3">
      <c r="A14" s="1009"/>
      <c r="B14" s="1010"/>
      <c r="C14" s="1010"/>
      <c r="D14" s="1010"/>
      <c r="E14" s="1010"/>
      <c r="F14" s="1010"/>
      <c r="G14" s="1010"/>
      <c r="H14" s="1010"/>
      <c r="I14" s="1010"/>
      <c r="J14" s="1010"/>
      <c r="K14" s="1010"/>
      <c r="L14" s="1010"/>
      <c r="M14" s="1010"/>
      <c r="N14" s="1010"/>
      <c r="O14" s="1010"/>
      <c r="P14" s="1011"/>
    </row>
    <row r="15" spans="1:21" s="25" customFormat="1" thickBot="1" x14ac:dyDescent="0.3"/>
    <row r="16" spans="1:21" s="25" customFormat="1" ht="15" x14ac:dyDescent="0.25">
      <c r="A16" s="285"/>
      <c r="B16" s="261"/>
      <c r="C16" s="261"/>
      <c r="D16" s="261"/>
      <c r="E16" s="261"/>
      <c r="F16" s="261"/>
      <c r="G16" s="261"/>
      <c r="H16" s="261"/>
      <c r="I16" s="261"/>
      <c r="J16" s="261"/>
      <c r="K16" s="261"/>
      <c r="L16" s="261"/>
      <c r="M16" s="261"/>
      <c r="N16" s="261"/>
      <c r="O16" s="261"/>
      <c r="P16" s="286"/>
    </row>
    <row r="17" spans="1:17" s="25" customFormat="1" ht="15" x14ac:dyDescent="0.25">
      <c r="A17" s="202" t="s">
        <v>293</v>
      </c>
      <c r="B17" s="30"/>
      <c r="C17" s="30"/>
      <c r="D17" s="30"/>
      <c r="E17" s="30"/>
      <c r="F17" s="30"/>
      <c r="G17" s="30"/>
      <c r="H17" s="30"/>
      <c r="I17" s="30"/>
      <c r="J17" s="30"/>
      <c r="K17" s="30"/>
      <c r="L17" s="30"/>
      <c r="P17" s="287"/>
    </row>
    <row r="18" spans="1:17" s="25" customFormat="1" ht="15" x14ac:dyDescent="0.25">
      <c r="A18" s="39"/>
      <c r="B18" s="40"/>
      <c r="C18" s="40"/>
      <c r="D18" s="40"/>
      <c r="E18" s="40"/>
      <c r="F18" s="40"/>
      <c r="G18" s="40"/>
      <c r="H18" s="40"/>
      <c r="I18" s="30"/>
      <c r="J18" s="70"/>
      <c r="K18" s="30"/>
      <c r="L18" s="30"/>
      <c r="P18" s="287"/>
    </row>
    <row r="19" spans="1:17" s="25" customFormat="1" ht="60" x14ac:dyDescent="0.25">
      <c r="B19" s="516" t="s">
        <v>294</v>
      </c>
      <c r="C19" s="516" t="s">
        <v>295</v>
      </c>
      <c r="D19" s="516" t="s">
        <v>296</v>
      </c>
      <c r="E19" s="516" t="s">
        <v>297</v>
      </c>
      <c r="F19" s="516" t="s">
        <v>298</v>
      </c>
      <c r="G19" s="516" t="s">
        <v>299</v>
      </c>
      <c r="H19" s="516" t="s">
        <v>300</v>
      </c>
      <c r="I19" s="660" t="s">
        <v>301</v>
      </c>
      <c r="J19" s="660" t="s">
        <v>302</v>
      </c>
      <c r="K19" s="660" t="s">
        <v>160</v>
      </c>
      <c r="L19" s="1154" t="s">
        <v>303</v>
      </c>
      <c r="M19" s="1154"/>
      <c r="N19" s="1154"/>
      <c r="O19" s="1154"/>
      <c r="P19" s="425" t="s">
        <v>191</v>
      </c>
      <c r="Q19" s="288"/>
    </row>
    <row r="20" spans="1:17" s="25" customFormat="1" ht="15" x14ac:dyDescent="0.25">
      <c r="A20" s="1146" t="s">
        <v>387</v>
      </c>
      <c r="B20" s="889"/>
      <c r="C20" s="408"/>
      <c r="D20" s="407"/>
      <c r="E20" s="409"/>
      <c r="F20" s="408"/>
      <c r="G20" s="596"/>
      <c r="H20" s="408"/>
      <c r="I20" s="410"/>
      <c r="J20" s="410"/>
      <c r="K20" s="411">
        <f>J20-I20</f>
        <v>0</v>
      </c>
      <c r="L20" s="1155"/>
      <c r="M20" s="1155"/>
      <c r="N20" s="1155"/>
      <c r="O20" s="1155"/>
      <c r="P20" s="426"/>
      <c r="Q20" s="288"/>
    </row>
    <row r="21" spans="1:17" s="25" customFormat="1" ht="15" x14ac:dyDescent="0.25">
      <c r="A21" s="1147"/>
      <c r="B21" s="890"/>
      <c r="C21" s="413"/>
      <c r="D21" s="412"/>
      <c r="E21" s="414"/>
      <c r="F21" s="413"/>
      <c r="G21" s="597"/>
      <c r="H21" s="413"/>
      <c r="I21" s="415"/>
      <c r="J21" s="415"/>
      <c r="K21" s="416">
        <f t="shared" ref="K21:K29" si="0">J21-I21</f>
        <v>0</v>
      </c>
      <c r="L21" s="1152"/>
      <c r="M21" s="1152"/>
      <c r="N21" s="1152"/>
      <c r="O21" s="1152"/>
      <c r="P21" s="427"/>
      <c r="Q21" s="288"/>
    </row>
    <row r="22" spans="1:17" s="25" customFormat="1" ht="15" x14ac:dyDescent="0.25">
      <c r="A22" s="1147"/>
      <c r="B22" s="890"/>
      <c r="C22" s="413"/>
      <c r="D22" s="412"/>
      <c r="E22" s="414"/>
      <c r="F22" s="413"/>
      <c r="G22" s="597"/>
      <c r="H22" s="413"/>
      <c r="I22" s="415"/>
      <c r="J22" s="415"/>
      <c r="K22" s="416">
        <f t="shared" si="0"/>
        <v>0</v>
      </c>
      <c r="L22" s="1152"/>
      <c r="M22" s="1152"/>
      <c r="N22" s="1152"/>
      <c r="O22" s="1152"/>
      <c r="P22" s="427"/>
      <c r="Q22" s="288"/>
    </row>
    <row r="23" spans="1:17" s="25" customFormat="1" ht="15" x14ac:dyDescent="0.25">
      <c r="A23" s="1147"/>
      <c r="B23" s="890"/>
      <c r="C23" s="413"/>
      <c r="D23" s="412"/>
      <c r="E23" s="414"/>
      <c r="F23" s="413"/>
      <c r="G23" s="597"/>
      <c r="H23" s="413"/>
      <c r="I23" s="415"/>
      <c r="J23" s="415"/>
      <c r="K23" s="416">
        <f t="shared" si="0"/>
        <v>0</v>
      </c>
      <c r="L23" s="1152"/>
      <c r="M23" s="1152"/>
      <c r="N23" s="1152"/>
      <c r="O23" s="1152"/>
      <c r="P23" s="427"/>
      <c r="Q23" s="288"/>
    </row>
    <row r="24" spans="1:17" s="25" customFormat="1" ht="15" x14ac:dyDescent="0.25">
      <c r="A24" s="1148"/>
      <c r="B24" s="890"/>
      <c r="C24" s="413"/>
      <c r="D24" s="412"/>
      <c r="E24" s="414"/>
      <c r="F24" s="413"/>
      <c r="G24" s="597"/>
      <c r="H24" s="413"/>
      <c r="I24" s="415"/>
      <c r="J24" s="415"/>
      <c r="K24" s="416">
        <f t="shared" si="0"/>
        <v>0</v>
      </c>
      <c r="L24" s="1152"/>
      <c r="M24" s="1152"/>
      <c r="N24" s="1152"/>
      <c r="O24" s="1152"/>
      <c r="P24" s="427"/>
      <c r="Q24" s="288"/>
    </row>
    <row r="25" spans="1:17" s="25" customFormat="1" ht="15" x14ac:dyDescent="0.25">
      <c r="A25" s="1146" t="s">
        <v>388</v>
      </c>
      <c r="B25" s="890"/>
      <c r="C25" s="413"/>
      <c r="D25" s="412"/>
      <c r="E25" s="414"/>
      <c r="F25" s="413"/>
      <c r="G25" s="597"/>
      <c r="H25" s="413"/>
      <c r="I25" s="415"/>
      <c r="J25" s="415"/>
      <c r="K25" s="416">
        <f t="shared" si="0"/>
        <v>0</v>
      </c>
      <c r="L25" s="1152"/>
      <c r="M25" s="1152"/>
      <c r="N25" s="1152"/>
      <c r="O25" s="1152"/>
      <c r="P25" s="427"/>
      <c r="Q25" s="288"/>
    </row>
    <row r="26" spans="1:17" s="25" customFormat="1" ht="15" x14ac:dyDescent="0.25">
      <c r="A26" s="1147"/>
      <c r="B26" s="890"/>
      <c r="C26" s="413"/>
      <c r="D26" s="412"/>
      <c r="E26" s="414"/>
      <c r="F26" s="413"/>
      <c r="G26" s="597"/>
      <c r="H26" s="413"/>
      <c r="I26" s="415"/>
      <c r="J26" s="415"/>
      <c r="K26" s="416">
        <f t="shared" si="0"/>
        <v>0</v>
      </c>
      <c r="L26" s="1152"/>
      <c r="M26" s="1152"/>
      <c r="N26" s="1152"/>
      <c r="O26" s="1152"/>
      <c r="P26" s="427"/>
      <c r="Q26" s="288"/>
    </row>
    <row r="27" spans="1:17" s="25" customFormat="1" ht="15" x14ac:dyDescent="0.25">
      <c r="A27" s="1147"/>
      <c r="B27" s="890"/>
      <c r="C27" s="413"/>
      <c r="D27" s="412"/>
      <c r="E27" s="417"/>
      <c r="F27" s="418"/>
      <c r="G27" s="597"/>
      <c r="H27" s="418"/>
      <c r="I27" s="419"/>
      <c r="J27" s="419"/>
      <c r="K27" s="416">
        <f t="shared" si="0"/>
        <v>0</v>
      </c>
      <c r="L27" s="1152"/>
      <c r="M27" s="1152"/>
      <c r="N27" s="1152"/>
      <c r="O27" s="1152"/>
      <c r="P27" s="427"/>
      <c r="Q27" s="288"/>
    </row>
    <row r="28" spans="1:17" s="25" customFormat="1" ht="15" x14ac:dyDescent="0.25">
      <c r="A28" s="1147"/>
      <c r="B28" s="890"/>
      <c r="C28" s="413"/>
      <c r="D28" s="412"/>
      <c r="E28" s="414"/>
      <c r="F28" s="413"/>
      <c r="G28" s="597"/>
      <c r="H28" s="413"/>
      <c r="I28" s="415"/>
      <c r="J28" s="415"/>
      <c r="K28" s="416">
        <f t="shared" si="0"/>
        <v>0</v>
      </c>
      <c r="L28" s="1152"/>
      <c r="M28" s="1152"/>
      <c r="N28" s="1152"/>
      <c r="O28" s="1152"/>
      <c r="P28" s="427"/>
      <c r="Q28" s="288"/>
    </row>
    <row r="29" spans="1:17" s="25" customFormat="1" ht="15" x14ac:dyDescent="0.25">
      <c r="A29" s="1148"/>
      <c r="B29" s="891"/>
      <c r="C29" s="421"/>
      <c r="D29" s="420"/>
      <c r="E29" s="422"/>
      <c r="F29" s="421"/>
      <c r="G29" s="598"/>
      <c r="H29" s="421"/>
      <c r="I29" s="423"/>
      <c r="J29" s="423"/>
      <c r="K29" s="424">
        <f t="shared" si="0"/>
        <v>0</v>
      </c>
      <c r="L29" s="1153"/>
      <c r="M29" s="1153"/>
      <c r="N29" s="1153"/>
      <c r="O29" s="1153"/>
      <c r="P29" s="428"/>
      <c r="Q29" s="288"/>
    </row>
    <row r="30" spans="1:17" s="25" customFormat="1" ht="15" x14ac:dyDescent="0.25">
      <c r="A30" s="38"/>
      <c r="B30" s="43"/>
      <c r="C30" s="203"/>
      <c r="D30" s="204"/>
      <c r="E30" s="204"/>
      <c r="F30" s="204"/>
      <c r="G30" s="204"/>
      <c r="H30" s="204"/>
      <c r="I30" s="204"/>
      <c r="J30" s="204"/>
      <c r="K30" s="43"/>
      <c r="L30" s="205"/>
      <c r="P30" s="287"/>
    </row>
    <row r="31" spans="1:17" s="25" customFormat="1" ht="15" x14ac:dyDescent="0.25">
      <c r="A31" s="38"/>
      <c r="B31" s="43"/>
      <c r="C31" s="203"/>
      <c r="D31" s="204"/>
      <c r="E31" s="204"/>
      <c r="F31" s="204"/>
      <c r="G31" s="204"/>
      <c r="H31" s="204"/>
      <c r="I31" s="204"/>
      <c r="J31" s="204"/>
      <c r="K31" s="43"/>
      <c r="L31" s="205"/>
      <c r="P31" s="287"/>
    </row>
    <row r="32" spans="1:17" s="25" customFormat="1" ht="15" x14ac:dyDescent="0.25">
      <c r="A32" s="202" t="s">
        <v>304</v>
      </c>
      <c r="B32" s="30"/>
      <c r="C32" s="30"/>
      <c r="D32" s="30"/>
      <c r="E32" s="30"/>
      <c r="F32" s="30"/>
      <c r="G32" s="30"/>
      <c r="H32" s="30"/>
      <c r="I32" s="30"/>
      <c r="J32" s="30"/>
      <c r="K32" s="30"/>
      <c r="L32" s="30"/>
      <c r="P32" s="287"/>
    </row>
    <row r="33" spans="1:17" s="25" customFormat="1" ht="15" x14ac:dyDescent="0.25">
      <c r="A33" s="39"/>
      <c r="B33" s="40"/>
      <c r="C33" s="40"/>
      <c r="D33" s="40"/>
      <c r="E33" s="40"/>
      <c r="F33" s="40"/>
      <c r="G33" s="40"/>
      <c r="H33" s="40"/>
      <c r="I33" s="40"/>
      <c r="J33" s="40"/>
      <c r="K33" s="40"/>
      <c r="L33" s="40"/>
      <c r="P33" s="287"/>
    </row>
    <row r="34" spans="1:17" s="25" customFormat="1" ht="60" x14ac:dyDescent="0.25">
      <c r="B34" s="516" t="s">
        <v>305</v>
      </c>
      <c r="C34" s="516" t="s">
        <v>306</v>
      </c>
      <c r="D34" s="516" t="s">
        <v>307</v>
      </c>
      <c r="E34" s="516" t="s">
        <v>297</v>
      </c>
      <c r="F34" s="516" t="s">
        <v>298</v>
      </c>
      <c r="G34" s="516" t="s">
        <v>299</v>
      </c>
      <c r="H34" s="516" t="s">
        <v>300</v>
      </c>
      <c r="I34" s="660" t="s">
        <v>301</v>
      </c>
      <c r="J34" s="660" t="s">
        <v>302</v>
      </c>
      <c r="K34" s="660" t="s">
        <v>160</v>
      </c>
      <c r="L34" s="1154" t="s">
        <v>303</v>
      </c>
      <c r="M34" s="1154"/>
      <c r="N34" s="1154"/>
      <c r="O34" s="1154"/>
      <c r="P34" s="425" t="s">
        <v>191</v>
      </c>
      <c r="Q34" s="288"/>
    </row>
    <row r="35" spans="1:17" s="25" customFormat="1" ht="15" x14ac:dyDescent="0.25">
      <c r="A35" s="1149" t="s">
        <v>389</v>
      </c>
      <c r="B35" s="407"/>
      <c r="C35" s="408"/>
      <c r="D35" s="407"/>
      <c r="E35" s="409"/>
      <c r="F35" s="408"/>
      <c r="G35" s="596"/>
      <c r="H35" s="408"/>
      <c r="I35" s="410"/>
      <c r="J35" s="410"/>
      <c r="K35" s="411">
        <f t="shared" ref="K35:K44" si="1">J35-I35</f>
        <v>0</v>
      </c>
      <c r="L35" s="1155"/>
      <c r="M35" s="1155"/>
      <c r="N35" s="1155"/>
      <c r="O35" s="1155"/>
      <c r="P35" s="426"/>
      <c r="Q35" s="288"/>
    </row>
    <row r="36" spans="1:17" s="25" customFormat="1" ht="15" x14ac:dyDescent="0.25">
      <c r="A36" s="1150"/>
      <c r="B36" s="412"/>
      <c r="C36" s="413"/>
      <c r="D36" s="412"/>
      <c r="E36" s="414"/>
      <c r="F36" s="413"/>
      <c r="G36" s="597"/>
      <c r="H36" s="413"/>
      <c r="I36" s="415"/>
      <c r="J36" s="415"/>
      <c r="K36" s="416">
        <f t="shared" si="1"/>
        <v>0</v>
      </c>
      <c r="L36" s="1152"/>
      <c r="M36" s="1152"/>
      <c r="N36" s="1152"/>
      <c r="O36" s="1152"/>
      <c r="P36" s="427"/>
      <c r="Q36" s="288"/>
    </row>
    <row r="37" spans="1:17" s="25" customFormat="1" ht="15" x14ac:dyDescent="0.25">
      <c r="A37" s="1150"/>
      <c r="B37" s="412"/>
      <c r="C37" s="413"/>
      <c r="D37" s="412"/>
      <c r="E37" s="414"/>
      <c r="F37" s="413"/>
      <c r="G37" s="597"/>
      <c r="H37" s="413"/>
      <c r="I37" s="415"/>
      <c r="J37" s="415"/>
      <c r="K37" s="416">
        <f t="shared" si="1"/>
        <v>0</v>
      </c>
      <c r="L37" s="1152"/>
      <c r="M37" s="1152"/>
      <c r="N37" s="1152"/>
      <c r="O37" s="1152"/>
      <c r="P37" s="427"/>
      <c r="Q37" s="288"/>
    </row>
    <row r="38" spans="1:17" s="25" customFormat="1" ht="15" x14ac:dyDescent="0.25">
      <c r="A38" s="1150"/>
      <c r="B38" s="412"/>
      <c r="C38" s="413"/>
      <c r="D38" s="412"/>
      <c r="E38" s="414"/>
      <c r="F38" s="413"/>
      <c r="G38" s="597"/>
      <c r="H38" s="413"/>
      <c r="I38" s="415"/>
      <c r="J38" s="415"/>
      <c r="K38" s="416">
        <f t="shared" si="1"/>
        <v>0</v>
      </c>
      <c r="L38" s="1152"/>
      <c r="M38" s="1152"/>
      <c r="N38" s="1152"/>
      <c r="O38" s="1152"/>
      <c r="P38" s="427"/>
      <c r="Q38" s="288"/>
    </row>
    <row r="39" spans="1:17" s="25" customFormat="1" ht="15" x14ac:dyDescent="0.25">
      <c r="A39" s="1151"/>
      <c r="B39" s="412"/>
      <c r="C39" s="413"/>
      <c r="D39" s="412"/>
      <c r="E39" s="414"/>
      <c r="F39" s="413"/>
      <c r="G39" s="597"/>
      <c r="H39" s="413"/>
      <c r="I39" s="415"/>
      <c r="J39" s="415"/>
      <c r="K39" s="416">
        <f t="shared" si="1"/>
        <v>0</v>
      </c>
      <c r="L39" s="1152"/>
      <c r="M39" s="1152"/>
      <c r="N39" s="1152"/>
      <c r="O39" s="1152"/>
      <c r="P39" s="427"/>
      <c r="Q39" s="288"/>
    </row>
    <row r="40" spans="1:17" s="25" customFormat="1" ht="15" x14ac:dyDescent="0.25">
      <c r="A40" s="1149" t="s">
        <v>390</v>
      </c>
      <c r="B40" s="412"/>
      <c r="C40" s="413"/>
      <c r="D40" s="412"/>
      <c r="E40" s="414"/>
      <c r="F40" s="413"/>
      <c r="G40" s="597"/>
      <c r="H40" s="413"/>
      <c r="I40" s="415"/>
      <c r="J40" s="415"/>
      <c r="K40" s="416">
        <f t="shared" si="1"/>
        <v>0</v>
      </c>
      <c r="L40" s="1152"/>
      <c r="M40" s="1152"/>
      <c r="N40" s="1152"/>
      <c r="O40" s="1152"/>
      <c r="P40" s="427"/>
      <c r="Q40" s="288"/>
    </row>
    <row r="41" spans="1:17" s="25" customFormat="1" ht="15" x14ac:dyDescent="0.25">
      <c r="A41" s="1150"/>
      <c r="B41" s="412"/>
      <c r="C41" s="413"/>
      <c r="D41" s="412"/>
      <c r="E41" s="414"/>
      <c r="F41" s="413"/>
      <c r="G41" s="597"/>
      <c r="H41" s="413"/>
      <c r="I41" s="415"/>
      <c r="J41" s="415"/>
      <c r="K41" s="416">
        <f t="shared" si="1"/>
        <v>0</v>
      </c>
      <c r="L41" s="1152"/>
      <c r="M41" s="1152"/>
      <c r="N41" s="1152"/>
      <c r="O41" s="1152"/>
      <c r="P41" s="427"/>
      <c r="Q41" s="288"/>
    </row>
    <row r="42" spans="1:17" s="25" customFormat="1" ht="15" x14ac:dyDescent="0.25">
      <c r="A42" s="1150"/>
      <c r="B42" s="412"/>
      <c r="C42" s="413"/>
      <c r="D42" s="412"/>
      <c r="E42" s="417"/>
      <c r="F42" s="418"/>
      <c r="G42" s="597"/>
      <c r="H42" s="418"/>
      <c r="I42" s="419"/>
      <c r="J42" s="419"/>
      <c r="K42" s="416">
        <f t="shared" si="1"/>
        <v>0</v>
      </c>
      <c r="L42" s="1152"/>
      <c r="M42" s="1152"/>
      <c r="N42" s="1152"/>
      <c r="O42" s="1152"/>
      <c r="P42" s="427"/>
      <c r="Q42" s="288"/>
    </row>
    <row r="43" spans="1:17" s="25" customFormat="1" ht="15" x14ac:dyDescent="0.25">
      <c r="A43" s="1150"/>
      <c r="B43" s="412"/>
      <c r="C43" s="413"/>
      <c r="D43" s="412"/>
      <c r="E43" s="414"/>
      <c r="F43" s="413"/>
      <c r="G43" s="597"/>
      <c r="H43" s="413"/>
      <c r="I43" s="415"/>
      <c r="J43" s="415"/>
      <c r="K43" s="416">
        <f t="shared" si="1"/>
        <v>0</v>
      </c>
      <c r="L43" s="1152"/>
      <c r="M43" s="1152"/>
      <c r="N43" s="1152"/>
      <c r="O43" s="1152"/>
      <c r="P43" s="427"/>
      <c r="Q43" s="288"/>
    </row>
    <row r="44" spans="1:17" s="25" customFormat="1" ht="15" x14ac:dyDescent="0.25">
      <c r="A44" s="1151"/>
      <c r="B44" s="420"/>
      <c r="C44" s="421"/>
      <c r="D44" s="420"/>
      <c r="E44" s="422"/>
      <c r="F44" s="421"/>
      <c r="G44" s="598"/>
      <c r="H44" s="421"/>
      <c r="I44" s="423"/>
      <c r="J44" s="423"/>
      <c r="K44" s="424">
        <f t="shared" si="1"/>
        <v>0</v>
      </c>
      <c r="L44" s="1153"/>
      <c r="M44" s="1153"/>
      <c r="N44" s="1153"/>
      <c r="O44" s="1153"/>
      <c r="P44" s="428"/>
      <c r="Q44" s="288"/>
    </row>
    <row r="45" spans="1:17" ht="17.25" thickBot="1" x14ac:dyDescent="0.35">
      <c r="A45" s="429"/>
      <c r="B45" s="430"/>
      <c r="C45" s="431"/>
      <c r="D45" s="432"/>
      <c r="E45" s="432"/>
      <c r="F45" s="432"/>
      <c r="G45" s="430"/>
      <c r="H45" s="430"/>
      <c r="I45" s="430"/>
      <c r="J45" s="430"/>
      <c r="K45" s="433"/>
      <c r="L45" s="434"/>
      <c r="M45" s="435"/>
      <c r="N45" s="435"/>
      <c r="O45" s="435"/>
      <c r="P45" s="436"/>
    </row>
  </sheetData>
  <sheetProtection formatCells="0" formatColumns="0" formatRows="0" insertColumns="0" insertRows="0" insertHyperlinks="0" deleteColumns="0" deleteRows="0" sort="0" autoFilter="0" pivotTables="0"/>
  <mergeCells count="43">
    <mergeCell ref="A11:P11"/>
    <mergeCell ref="A13:P13"/>
    <mergeCell ref="A14:P14"/>
    <mergeCell ref="A9:C9"/>
    <mergeCell ref="D9:E9"/>
    <mergeCell ref="F9:I9"/>
    <mergeCell ref="J9:K9"/>
    <mergeCell ref="L9:N9"/>
    <mergeCell ref="O9:P9"/>
    <mergeCell ref="D1:M2"/>
    <mergeCell ref="A3:P5"/>
    <mergeCell ref="E6:L7"/>
    <mergeCell ref="M6:N6"/>
    <mergeCell ref="O6:P6"/>
    <mergeCell ref="M7:N7"/>
    <mergeCell ref="O7:P7"/>
    <mergeCell ref="L20:O20"/>
    <mergeCell ref="L19:O19"/>
    <mergeCell ref="L21:O21"/>
    <mergeCell ref="L22:O22"/>
    <mergeCell ref="L23:O23"/>
    <mergeCell ref="L29:O29"/>
    <mergeCell ref="L24:O24"/>
    <mergeCell ref="L25:O25"/>
    <mergeCell ref="L26:O26"/>
    <mergeCell ref="L27:O27"/>
    <mergeCell ref="L28:O28"/>
    <mergeCell ref="A25:A29"/>
    <mergeCell ref="A20:A24"/>
    <mergeCell ref="A35:A39"/>
    <mergeCell ref="A40:A44"/>
    <mergeCell ref="O8:P8"/>
    <mergeCell ref="L43:O43"/>
    <mergeCell ref="L44:O44"/>
    <mergeCell ref="L40:O40"/>
    <mergeCell ref="L41:O41"/>
    <mergeCell ref="L42:O42"/>
    <mergeCell ref="L37:O37"/>
    <mergeCell ref="L38:O38"/>
    <mergeCell ref="L39:O39"/>
    <mergeCell ref="L34:O34"/>
    <mergeCell ref="L35:O35"/>
    <mergeCell ref="L36:O36"/>
  </mergeCells>
  <dataValidations count="3">
    <dataValidation type="list" allowBlank="1" showInputMessage="1" showErrorMessage="1" sqref="O9:P9" xr:uid="{00000000-0002-0000-0B00-000000000000}">
      <formula1>Diligences</formula1>
    </dataValidation>
    <dataValidation type="list" showInputMessage="1" showErrorMessage="1" sqref="D9:E9" xr:uid="{00000000-0002-0000-0B00-000001000000}">
      <formula1>RAS</formula1>
    </dataValidation>
    <dataValidation type="list" allowBlank="1" showInputMessage="1" showErrorMessage="1" sqref="L35:L44" xr:uid="{00000000-0002-0000-0B00-000002000000}">
      <formula1>$A$60:$A$61</formula1>
    </dataValidation>
  </dataValidations>
  <hyperlinks>
    <hyperlink ref="O8:P8" location="'S Synthèse'!A1" display="S Synthèse" xr:uid="{00000000-0004-0000-0B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2"/>
  <dimension ref="A1:U73"/>
  <sheetViews>
    <sheetView showGridLines="0" zoomScale="85" zoomScaleNormal="85" workbookViewId="0">
      <selection activeCell="A8" sqref="A8"/>
    </sheetView>
  </sheetViews>
  <sheetFormatPr baseColWidth="10" defaultColWidth="11.42578125" defaultRowHeight="15" x14ac:dyDescent="0.25"/>
  <cols>
    <col min="1" max="1" width="14.7109375" style="25" customWidth="1"/>
    <col min="2" max="2" width="26.42578125" style="25" customWidth="1"/>
    <col min="3" max="11" width="14.140625" style="25" customWidth="1"/>
    <col min="12" max="15" width="14.7109375" style="25" customWidth="1"/>
    <col min="16" max="16" width="14.140625" style="25" customWidth="1"/>
    <col min="17" max="16384" width="11.42578125" style="25"/>
  </cols>
  <sheetData>
    <row r="1" spans="1:21" s="33" customFormat="1" ht="15" customHeight="1" x14ac:dyDescent="0.2">
      <c r="A1" s="10"/>
      <c r="B1" s="11"/>
      <c r="C1" s="11"/>
      <c r="D1" s="1014" t="s">
        <v>0</v>
      </c>
      <c r="E1" s="1015"/>
      <c r="F1" s="1015"/>
      <c r="G1" s="1015"/>
      <c r="H1" s="1015"/>
      <c r="I1" s="1015"/>
      <c r="J1" s="1015"/>
      <c r="K1" s="1015"/>
      <c r="L1" s="1015"/>
      <c r="M1" s="1016"/>
      <c r="N1" s="11"/>
      <c r="O1" s="11"/>
      <c r="P1" s="12"/>
    </row>
    <row r="2" spans="1:21" s="33" customFormat="1" ht="15" customHeight="1" thickBot="1" x14ac:dyDescent="0.25">
      <c r="A2" s="13"/>
      <c r="B2" s="14"/>
      <c r="C2" s="14"/>
      <c r="D2" s="1017"/>
      <c r="E2" s="1018"/>
      <c r="F2" s="1018"/>
      <c r="G2" s="1018"/>
      <c r="H2" s="1018"/>
      <c r="I2" s="1018"/>
      <c r="J2" s="1018"/>
      <c r="K2" s="1018"/>
      <c r="L2" s="1018"/>
      <c r="M2" s="1019"/>
      <c r="N2" s="14"/>
      <c r="O2" s="14"/>
      <c r="P2" s="15"/>
    </row>
    <row r="3" spans="1:21" ht="15" customHeight="1" x14ac:dyDescent="0.25">
      <c r="A3" s="945" t="str">
        <f>'S Synthèse'!A3:O5</f>
        <v>STOCKS</v>
      </c>
      <c r="B3" s="946"/>
      <c r="C3" s="946"/>
      <c r="D3" s="946"/>
      <c r="E3" s="946"/>
      <c r="F3" s="946"/>
      <c r="G3" s="946"/>
      <c r="H3" s="946"/>
      <c r="I3" s="946"/>
      <c r="J3" s="946"/>
      <c r="K3" s="946"/>
      <c r="L3" s="946"/>
      <c r="M3" s="946"/>
      <c r="N3" s="946"/>
      <c r="O3" s="946"/>
      <c r="P3" s="947"/>
      <c r="R3" s="3"/>
      <c r="T3" s="5"/>
      <c r="U3" s="5"/>
    </row>
    <row r="4" spans="1:21" ht="15" customHeight="1" x14ac:dyDescent="0.25">
      <c r="A4" s="945"/>
      <c r="B4" s="946"/>
      <c r="C4" s="946"/>
      <c r="D4" s="946"/>
      <c r="E4" s="946"/>
      <c r="F4" s="946"/>
      <c r="G4" s="946"/>
      <c r="H4" s="946"/>
      <c r="I4" s="946"/>
      <c r="J4" s="946"/>
      <c r="K4" s="946"/>
      <c r="L4" s="946"/>
      <c r="M4" s="946"/>
      <c r="N4" s="946"/>
      <c r="O4" s="946"/>
      <c r="P4" s="947"/>
      <c r="R4" s="3"/>
      <c r="T4" s="5"/>
      <c r="U4" s="5"/>
    </row>
    <row r="5" spans="1:21" ht="15" customHeight="1" thickBot="1" x14ac:dyDescent="0.3">
      <c r="A5" s="948"/>
      <c r="B5" s="949"/>
      <c r="C5" s="949"/>
      <c r="D5" s="949"/>
      <c r="E5" s="949"/>
      <c r="F5" s="949"/>
      <c r="G5" s="949"/>
      <c r="H5" s="949"/>
      <c r="I5" s="949"/>
      <c r="J5" s="949"/>
      <c r="K5" s="949"/>
      <c r="L5" s="949"/>
      <c r="M5" s="949"/>
      <c r="N5" s="949"/>
      <c r="O5" s="949"/>
      <c r="P5" s="950"/>
      <c r="Q5" s="3"/>
      <c r="R5" s="34"/>
      <c r="S5" s="35"/>
      <c r="T5" s="35"/>
      <c r="U5" s="35"/>
    </row>
    <row r="6" spans="1:21" ht="15" customHeight="1" x14ac:dyDescent="0.25">
      <c r="A6" s="17" t="s">
        <v>6</v>
      </c>
      <c r="B6" s="476" t="str">
        <f>'S Synthèse'!B6</f>
        <v>BRA</v>
      </c>
      <c r="C6" s="17" t="s">
        <v>7</v>
      </c>
      <c r="D6" s="476">
        <f>'S Synthèse'!D6</f>
        <v>0</v>
      </c>
      <c r="E6" s="957" t="s">
        <v>56</v>
      </c>
      <c r="F6" s="958"/>
      <c r="G6" s="958"/>
      <c r="H6" s="958"/>
      <c r="I6" s="958"/>
      <c r="J6" s="958"/>
      <c r="K6" s="958"/>
      <c r="L6" s="959"/>
      <c r="M6" s="1020" t="s">
        <v>9</v>
      </c>
      <c r="N6" s="1021"/>
      <c r="O6" s="963" t="s">
        <v>10</v>
      </c>
      <c r="P6" s="964"/>
      <c r="R6" s="33"/>
      <c r="S6" s="33"/>
    </row>
    <row r="7" spans="1:21" ht="15" customHeight="1" thickBot="1" x14ac:dyDescent="0.3">
      <c r="A7" s="18" t="s">
        <v>12</v>
      </c>
      <c r="B7" s="477">
        <f>'S Synthèse'!B7</f>
        <v>0</v>
      </c>
      <c r="C7" s="18" t="s">
        <v>12</v>
      </c>
      <c r="D7" s="477">
        <f>'S Synthèse'!D7</f>
        <v>0</v>
      </c>
      <c r="E7" s="960"/>
      <c r="F7" s="961"/>
      <c r="G7" s="961"/>
      <c r="H7" s="961"/>
      <c r="I7" s="961"/>
      <c r="J7" s="961"/>
      <c r="K7" s="961"/>
      <c r="L7" s="962"/>
      <c r="M7" s="1022" t="str">
        <f>'S Synthèse'!M7:M7</f>
        <v>#DateClôture</v>
      </c>
      <c r="N7" s="1023"/>
      <c r="O7" s="965" t="s">
        <v>55</v>
      </c>
      <c r="P7" s="966"/>
    </row>
    <row r="8" spans="1:21" ht="21" customHeight="1" thickBot="1" x14ac:dyDescent="0.3">
      <c r="A8" s="19"/>
      <c r="B8" s="36"/>
      <c r="C8" s="20"/>
      <c r="D8" s="20"/>
      <c r="E8" s="37"/>
      <c r="F8" s="37"/>
      <c r="G8" s="37"/>
      <c r="H8" s="37"/>
      <c r="I8" s="37"/>
      <c r="J8" s="37"/>
      <c r="K8" s="37"/>
      <c r="L8" s="37"/>
      <c r="M8" s="22"/>
      <c r="N8" s="20"/>
      <c r="O8" s="1002" t="s">
        <v>63</v>
      </c>
      <c r="P8" s="1002"/>
    </row>
    <row r="9" spans="1:21" s="20" customFormat="1" ht="31.5" customHeight="1" thickBot="1" x14ac:dyDescent="0.25">
      <c r="A9" s="951" t="s">
        <v>17</v>
      </c>
      <c r="B9" s="952"/>
      <c r="C9" s="952"/>
      <c r="D9" s="1012" t="str">
        <f>'S Synthèse'!D9:E9</f>
        <v>Modéré</v>
      </c>
      <c r="E9" s="1013"/>
      <c r="F9" s="953" t="s">
        <v>18</v>
      </c>
      <c r="G9" s="954"/>
      <c r="H9" s="954"/>
      <c r="I9" s="954"/>
      <c r="J9" s="1004">
        <f>'S Synthèse'!J9:K9</f>
        <v>0</v>
      </c>
      <c r="K9" s="1005"/>
      <c r="L9" s="953" t="s">
        <v>19</v>
      </c>
      <c r="M9" s="954"/>
      <c r="N9" s="954"/>
      <c r="O9" s="1012" t="str">
        <f>'S Synthèse'!N9</f>
        <v>PE</v>
      </c>
      <c r="P9" s="1013"/>
    </row>
    <row r="10" spans="1:21" s="20" customFormat="1" ht="21" customHeight="1" thickBot="1" x14ac:dyDescent="0.25">
      <c r="A10" s="24"/>
      <c r="B10" s="24"/>
      <c r="C10" s="24"/>
      <c r="D10" s="24"/>
      <c r="E10" s="24"/>
      <c r="F10" s="24"/>
      <c r="G10" s="24"/>
      <c r="H10" s="24"/>
      <c r="I10" s="24"/>
      <c r="J10" s="24"/>
      <c r="K10" s="24"/>
      <c r="L10" s="24"/>
      <c r="M10" s="24"/>
      <c r="N10" s="24"/>
      <c r="O10" s="24"/>
      <c r="P10" s="24"/>
    </row>
    <row r="11" spans="1:21" ht="169.15" customHeight="1" thickBot="1" x14ac:dyDescent="0.3">
      <c r="A11" s="1006" t="s">
        <v>308</v>
      </c>
      <c r="B11" s="1007"/>
      <c r="C11" s="1007"/>
      <c r="D11" s="1007"/>
      <c r="E11" s="1007"/>
      <c r="F11" s="1007"/>
      <c r="G11" s="1007"/>
      <c r="H11" s="1007"/>
      <c r="I11" s="1007"/>
      <c r="J11" s="1007"/>
      <c r="K11" s="1007"/>
      <c r="L11" s="1007"/>
      <c r="M11" s="1007"/>
      <c r="N11" s="1007"/>
      <c r="O11" s="1007"/>
      <c r="P11" s="1008"/>
    </row>
    <row r="12" spans="1:21" ht="9" customHeight="1" thickBot="1" x14ac:dyDescent="0.3"/>
    <row r="13" spans="1:21" x14ac:dyDescent="0.25">
      <c r="A13" s="974" t="s">
        <v>67</v>
      </c>
      <c r="B13" s="975"/>
      <c r="C13" s="975"/>
      <c r="D13" s="975"/>
      <c r="E13" s="975"/>
      <c r="F13" s="975"/>
      <c r="G13" s="975"/>
      <c r="H13" s="975"/>
      <c r="I13" s="975"/>
      <c r="J13" s="975"/>
      <c r="K13" s="975"/>
      <c r="L13" s="975"/>
      <c r="M13" s="975"/>
      <c r="N13" s="975"/>
      <c r="O13" s="975"/>
      <c r="P13" s="976"/>
    </row>
    <row r="14" spans="1:21" ht="60" customHeight="1" thickBot="1" x14ac:dyDescent="0.3">
      <c r="A14" s="1009"/>
      <c r="B14" s="1010"/>
      <c r="C14" s="1010"/>
      <c r="D14" s="1010"/>
      <c r="E14" s="1010"/>
      <c r="F14" s="1010"/>
      <c r="G14" s="1010"/>
      <c r="H14" s="1010"/>
      <c r="I14" s="1010"/>
      <c r="J14" s="1010"/>
      <c r="K14" s="1010"/>
      <c r="L14" s="1010"/>
      <c r="M14" s="1010"/>
      <c r="N14" s="1010"/>
      <c r="O14" s="1010"/>
      <c r="P14" s="1011"/>
    </row>
    <row r="15" spans="1:21" ht="15.75" thickBot="1" x14ac:dyDescent="0.3"/>
    <row r="16" spans="1:21" x14ac:dyDescent="0.25">
      <c r="A16" s="285"/>
      <c r="B16" s="261"/>
      <c r="C16" s="261"/>
      <c r="D16" s="261"/>
      <c r="E16" s="261"/>
      <c r="F16" s="261"/>
      <c r="G16" s="261"/>
      <c r="H16" s="261"/>
      <c r="I16" s="261"/>
      <c r="J16" s="261"/>
      <c r="K16" s="261"/>
      <c r="L16" s="261"/>
      <c r="M16" s="261"/>
      <c r="N16" s="261"/>
      <c r="O16" s="261"/>
      <c r="P16" s="286"/>
    </row>
    <row r="17" spans="1:21" x14ac:dyDescent="0.25">
      <c r="A17" s="154" t="s">
        <v>309</v>
      </c>
      <c r="B17" s="206"/>
      <c r="P17" s="287"/>
    </row>
    <row r="18" spans="1:21" x14ac:dyDescent="0.25">
      <c r="A18" s="154"/>
      <c r="B18" s="207"/>
      <c r="P18" s="287"/>
    </row>
    <row r="19" spans="1:21" s="367" customFormat="1" ht="75" customHeight="1" x14ac:dyDescent="0.2">
      <c r="A19" s="1059" t="s">
        <v>64</v>
      </c>
      <c r="B19" s="1060"/>
      <c r="C19" s="1060"/>
      <c r="D19" s="1060"/>
      <c r="E19" s="1060"/>
      <c r="F19" s="1060"/>
      <c r="G19" s="1060"/>
      <c r="H19" s="1060"/>
      <c r="I19" s="1060"/>
      <c r="J19" s="1060"/>
      <c r="K19" s="1060"/>
      <c r="L19" s="1060"/>
      <c r="M19" s="1060"/>
      <c r="N19" s="1060"/>
      <c r="O19" s="1060"/>
      <c r="P19" s="1061"/>
      <c r="Q19" s="33"/>
      <c r="R19" s="33"/>
      <c r="S19" s="33"/>
      <c r="T19" s="33"/>
      <c r="U19" s="33"/>
    </row>
    <row r="20" spans="1:21" ht="15.75" thickBot="1" x14ac:dyDescent="0.3">
      <c r="A20" s="293"/>
      <c r="B20" s="262"/>
      <c r="C20" s="262"/>
      <c r="D20" s="262"/>
      <c r="E20" s="262"/>
      <c r="F20" s="262"/>
      <c r="G20" s="262"/>
      <c r="H20" s="262"/>
      <c r="I20" s="262"/>
      <c r="J20" s="262"/>
      <c r="K20" s="262"/>
      <c r="L20" s="262"/>
      <c r="M20" s="262"/>
      <c r="N20" s="262"/>
      <c r="O20" s="262"/>
      <c r="P20" s="294"/>
    </row>
    <row r="21" spans="1:21" ht="15.75" thickBot="1" x14ac:dyDescent="0.3"/>
    <row r="22" spans="1:21" x14ac:dyDescent="0.25">
      <c r="A22" s="285"/>
      <c r="B22" s="261"/>
      <c r="C22" s="261"/>
      <c r="D22" s="261"/>
      <c r="E22" s="261"/>
      <c r="F22" s="261"/>
      <c r="G22" s="261"/>
      <c r="H22" s="261"/>
      <c r="I22" s="261"/>
      <c r="J22" s="261"/>
      <c r="K22" s="261"/>
      <c r="L22" s="261"/>
      <c r="M22" s="261"/>
      <c r="N22" s="261"/>
      <c r="O22" s="261"/>
      <c r="P22" s="286"/>
    </row>
    <row r="23" spans="1:21" x14ac:dyDescent="0.25">
      <c r="A23" s="154" t="s">
        <v>310</v>
      </c>
      <c r="P23" s="287"/>
    </row>
    <row r="24" spans="1:21" x14ac:dyDescent="0.25">
      <c r="A24" s="288"/>
      <c r="P24" s="287"/>
    </row>
    <row r="25" spans="1:21" s="485" customFormat="1" ht="37.5" customHeight="1" x14ac:dyDescent="0.25">
      <c r="A25" s="1189" t="s">
        <v>311</v>
      </c>
      <c r="B25" s="1190"/>
      <c r="C25" s="480" t="s">
        <v>312</v>
      </c>
      <c r="D25" s="481" t="s">
        <v>313</v>
      </c>
      <c r="E25" s="481" t="s">
        <v>314</v>
      </c>
      <c r="F25" s="482" t="s">
        <v>315</v>
      </c>
      <c r="G25" s="483" t="s">
        <v>316</v>
      </c>
      <c r="H25" s="484" t="s">
        <v>317</v>
      </c>
      <c r="I25" s="484" t="s">
        <v>318</v>
      </c>
      <c r="J25" s="482" t="s">
        <v>319</v>
      </c>
      <c r="K25" s="438" t="s">
        <v>320</v>
      </c>
      <c r="L25" s="1201" t="s">
        <v>64</v>
      </c>
      <c r="M25" s="1202"/>
      <c r="N25" s="1202"/>
      <c r="O25" s="1203"/>
      <c r="P25" s="440" t="s">
        <v>373</v>
      </c>
    </row>
    <row r="26" spans="1:21" x14ac:dyDescent="0.25">
      <c r="A26" s="1179" t="s">
        <v>321</v>
      </c>
      <c r="B26" s="1180"/>
      <c r="C26" s="529"/>
      <c r="D26" s="530"/>
      <c r="E26" s="530">
        <f>+C26-D26</f>
        <v>0</v>
      </c>
      <c r="F26" s="531" t="e">
        <f>+D26/C26</f>
        <v>#DIV/0!</v>
      </c>
      <c r="G26" s="532"/>
      <c r="H26" s="532"/>
      <c r="I26" s="532">
        <f>+G26-H26</f>
        <v>0</v>
      </c>
      <c r="J26" s="533" t="e">
        <f>+H26/G26</f>
        <v>#DIV/0!</v>
      </c>
      <c r="K26" s="526" t="e">
        <f>(F26-J26)</f>
        <v>#DIV/0!</v>
      </c>
      <c r="L26" s="534"/>
      <c r="M26" s="535"/>
      <c r="N26" s="535"/>
      <c r="O26" s="536"/>
      <c r="P26" s="657" t="e">
        <f>K26*C26</f>
        <v>#DIV/0!</v>
      </c>
    </row>
    <row r="27" spans="1:21" x14ac:dyDescent="0.25">
      <c r="A27" s="1212" t="s">
        <v>322</v>
      </c>
      <c r="B27" s="1213"/>
      <c r="C27" s="493"/>
      <c r="D27" s="537"/>
      <c r="E27" s="537">
        <f>+C27-D27</f>
        <v>0</v>
      </c>
      <c r="F27" s="538" t="e">
        <f>+D27/C27</f>
        <v>#DIV/0!</v>
      </c>
      <c r="G27" s="491"/>
      <c r="H27" s="491"/>
      <c r="I27" s="491">
        <f>+G27-H27</f>
        <v>0</v>
      </c>
      <c r="J27" s="539" t="e">
        <f>+H27/G27</f>
        <v>#DIV/0!</v>
      </c>
      <c r="K27" s="527" t="e">
        <f>(F27-J27)</f>
        <v>#DIV/0!</v>
      </c>
      <c r="L27" s="540"/>
      <c r="M27" s="541"/>
      <c r="N27" s="541"/>
      <c r="O27" s="542"/>
      <c r="P27" s="657" t="e">
        <f t="shared" ref="P27:P29" si="0">K27*C27</f>
        <v>#DIV/0!</v>
      </c>
    </row>
    <row r="28" spans="1:21" x14ac:dyDescent="0.25">
      <c r="A28" s="1210" t="s">
        <v>323</v>
      </c>
      <c r="B28" s="1211"/>
      <c r="C28" s="493"/>
      <c r="D28" s="537"/>
      <c r="E28" s="537">
        <f>+C28-D28</f>
        <v>0</v>
      </c>
      <c r="F28" s="538" t="e">
        <f>+D28/C28</f>
        <v>#DIV/0!</v>
      </c>
      <c r="G28" s="491"/>
      <c r="H28" s="491"/>
      <c r="I28" s="491">
        <f>+G28-H28</f>
        <v>0</v>
      </c>
      <c r="J28" s="539" t="e">
        <f>+H28/G28</f>
        <v>#DIV/0!</v>
      </c>
      <c r="K28" s="527" t="e">
        <f>(F28-J28)</f>
        <v>#DIV/0!</v>
      </c>
      <c r="L28" s="540"/>
      <c r="M28" s="541"/>
      <c r="N28" s="541"/>
      <c r="O28" s="542"/>
      <c r="P28" s="657" t="e">
        <f t="shared" si="0"/>
        <v>#DIV/0!</v>
      </c>
    </row>
    <row r="29" spans="1:21" x14ac:dyDescent="0.25">
      <c r="A29" s="1181" t="s">
        <v>324</v>
      </c>
      <c r="B29" s="1182"/>
      <c r="C29" s="492"/>
      <c r="D29" s="543"/>
      <c r="E29" s="543">
        <f>+C29-D29</f>
        <v>0</v>
      </c>
      <c r="F29" s="544" t="e">
        <f>+D29/C29</f>
        <v>#DIV/0!</v>
      </c>
      <c r="G29" s="545"/>
      <c r="H29" s="546"/>
      <c r="I29" s="546">
        <f>+G29-H29</f>
        <v>0</v>
      </c>
      <c r="J29" s="547" t="e">
        <f>+H29/G29</f>
        <v>#DIV/0!</v>
      </c>
      <c r="K29" s="528" t="e">
        <f>(F29-J29)</f>
        <v>#DIV/0!</v>
      </c>
      <c r="L29" s="548"/>
      <c r="M29" s="549"/>
      <c r="N29" s="549"/>
      <c r="O29" s="550"/>
      <c r="P29" s="657" t="e">
        <f t="shared" si="0"/>
        <v>#DIV/0!</v>
      </c>
    </row>
    <row r="30" spans="1:21" x14ac:dyDescent="0.25">
      <c r="A30" s="1195" t="s">
        <v>84</v>
      </c>
      <c r="B30" s="1196"/>
      <c r="C30" s="551">
        <f>SUM(C26:C29)</f>
        <v>0</v>
      </c>
      <c r="D30" s="552">
        <f>SUM(D26:D29)</f>
        <v>0</v>
      </c>
      <c r="E30" s="552">
        <f>SUM(E26:E29)</f>
        <v>0</v>
      </c>
      <c r="F30" s="553" t="e">
        <f>+D30/C30</f>
        <v>#DIV/0!</v>
      </c>
      <c r="G30" s="551">
        <f>SUM(G26:G29)</f>
        <v>0</v>
      </c>
      <c r="H30" s="552">
        <f>SUM(H26:H29)</f>
        <v>0</v>
      </c>
      <c r="I30" s="552">
        <f>SUM(I26:I29)</f>
        <v>0</v>
      </c>
      <c r="J30" s="554" t="e">
        <f>+H30/G30</f>
        <v>#DIV/0!</v>
      </c>
      <c r="K30" s="555" t="e">
        <f>(F30-J30)</f>
        <v>#DIV/0!</v>
      </c>
      <c r="L30" s="1204"/>
      <c r="M30" s="1205"/>
      <c r="N30" s="1205"/>
      <c r="O30" s="1206"/>
      <c r="P30" s="441" t="e">
        <f>SUM(P26:P29)</f>
        <v>#DIV/0!</v>
      </c>
    </row>
    <row r="31" spans="1:21" x14ac:dyDescent="0.25">
      <c r="A31" s="208"/>
      <c r="C31" s="209"/>
      <c r="D31" s="209"/>
      <c r="E31" s="209"/>
      <c r="F31" s="209"/>
      <c r="G31" s="209"/>
      <c r="H31" s="209"/>
      <c r="I31" s="209"/>
      <c r="J31" s="210"/>
      <c r="K31" s="437"/>
      <c r="L31" s="211"/>
      <c r="M31" s="126"/>
      <c r="N31" s="126"/>
      <c r="P31" s="287"/>
    </row>
    <row r="32" spans="1:21" x14ac:dyDescent="0.25">
      <c r="A32" s="208"/>
      <c r="C32" s="229" t="s">
        <v>325</v>
      </c>
      <c r="D32" s="439">
        <f>+D30-H30</f>
        <v>0</v>
      </c>
      <c r="E32" s="525" t="s">
        <v>326</v>
      </c>
      <c r="F32" s="213"/>
      <c r="G32" s="212"/>
      <c r="H32" s="230"/>
      <c r="I32" s="230"/>
      <c r="J32" s="126"/>
      <c r="K32" s="126"/>
      <c r="L32" s="214"/>
      <c r="M32" s="126"/>
      <c r="N32" s="126"/>
      <c r="P32" s="287"/>
    </row>
    <row r="33" spans="1:21" ht="15.75" thickBot="1" x14ac:dyDescent="0.3">
      <c r="A33" s="293"/>
      <c r="B33" s="262"/>
      <c r="C33" s="262"/>
      <c r="D33" s="262"/>
      <c r="E33" s="262"/>
      <c r="F33" s="262"/>
      <c r="G33" s="262"/>
      <c r="H33" s="262"/>
      <c r="I33" s="262"/>
      <c r="J33" s="262"/>
      <c r="K33" s="262"/>
      <c r="L33" s="262"/>
      <c r="M33" s="262"/>
      <c r="N33" s="262"/>
      <c r="O33" s="262"/>
      <c r="P33" s="294"/>
    </row>
    <row r="34" spans="1:21" ht="15.75" thickBot="1" x14ac:dyDescent="0.3"/>
    <row r="35" spans="1:21" x14ac:dyDescent="0.25">
      <c r="A35" s="285"/>
      <c r="B35" s="261"/>
      <c r="C35" s="261"/>
      <c r="D35" s="261"/>
      <c r="E35" s="261"/>
      <c r="F35" s="261"/>
      <c r="G35" s="261"/>
      <c r="H35" s="261"/>
      <c r="I35" s="261"/>
      <c r="J35" s="261"/>
      <c r="K35" s="261"/>
      <c r="L35" s="261"/>
      <c r="M35" s="261"/>
      <c r="N35" s="261"/>
      <c r="O35" s="261"/>
      <c r="P35" s="286"/>
    </row>
    <row r="36" spans="1:21" x14ac:dyDescent="0.25">
      <c r="A36" s="154" t="s">
        <v>327</v>
      </c>
      <c r="P36" s="287"/>
    </row>
    <row r="37" spans="1:21" x14ac:dyDescent="0.25">
      <c r="A37" s="288"/>
      <c r="P37" s="287"/>
    </row>
    <row r="38" spans="1:21" ht="15" customHeight="1" x14ac:dyDescent="0.25">
      <c r="A38" s="442" t="s">
        <v>328</v>
      </c>
      <c r="B38" s="215"/>
      <c r="C38" s="40"/>
      <c r="D38" s="126"/>
      <c r="E38" s="215"/>
      <c r="F38" s="1194" t="s">
        <v>329</v>
      </c>
      <c r="G38" s="1194"/>
      <c r="H38" s="1194"/>
      <c r="I38" s="1194"/>
      <c r="J38" s="1194"/>
      <c r="K38" s="1194"/>
      <c r="L38" s="126"/>
      <c r="M38" s="126"/>
      <c r="N38" s="126"/>
      <c r="O38" s="126"/>
      <c r="P38" s="127"/>
    </row>
    <row r="39" spans="1:21" x14ac:dyDescent="0.25">
      <c r="A39" s="321"/>
      <c r="B39" s="682"/>
      <c r="C39" s="40"/>
      <c r="D39" s="682"/>
      <c r="E39" s="682"/>
      <c r="F39" s="682"/>
      <c r="G39" s="682"/>
      <c r="H39" s="682"/>
      <c r="I39" s="126"/>
      <c r="J39" s="126"/>
      <c r="K39" s="126"/>
      <c r="L39" s="126"/>
      <c r="M39" s="126"/>
      <c r="N39" s="126"/>
      <c r="O39" s="126"/>
      <c r="P39" s="127"/>
    </row>
    <row r="40" spans="1:21" x14ac:dyDescent="0.25">
      <c r="A40" s="1197" t="s">
        <v>330</v>
      </c>
      <c r="B40" s="1198"/>
      <c r="C40" s="1198"/>
      <c r="D40" s="1198"/>
      <c r="E40" s="1198"/>
      <c r="F40" s="1198"/>
      <c r="G40" s="1198"/>
      <c r="H40" s="1198"/>
      <c r="I40" s="126"/>
      <c r="J40" s="126"/>
      <c r="K40" s="126"/>
      <c r="L40" s="126"/>
      <c r="M40" s="126"/>
      <c r="N40" s="126"/>
      <c r="O40" s="126"/>
      <c r="P40" s="127"/>
    </row>
    <row r="41" spans="1:21" x14ac:dyDescent="0.25">
      <c r="A41" s="321"/>
      <c r="B41" s="682"/>
      <c r="C41" s="40"/>
      <c r="D41" s="682"/>
      <c r="E41" s="682"/>
      <c r="F41" s="682"/>
      <c r="G41" s="682"/>
      <c r="H41" s="682"/>
      <c r="I41" s="126"/>
      <c r="J41" s="126"/>
      <c r="K41" s="126"/>
      <c r="L41" s="126"/>
      <c r="M41" s="126"/>
      <c r="N41" s="126"/>
      <c r="O41" s="126"/>
      <c r="P41" s="127"/>
    </row>
    <row r="42" spans="1:21" s="367" customFormat="1" ht="75" customHeight="1" x14ac:dyDescent="0.2">
      <c r="A42" s="1059" t="s">
        <v>64</v>
      </c>
      <c r="B42" s="1060"/>
      <c r="C42" s="1060"/>
      <c r="D42" s="1060"/>
      <c r="E42" s="1060"/>
      <c r="F42" s="1060"/>
      <c r="G42" s="1060"/>
      <c r="H42" s="1060"/>
      <c r="I42" s="1060"/>
      <c r="J42" s="1060"/>
      <c r="K42" s="1060"/>
      <c r="L42" s="1060"/>
      <c r="M42" s="1060"/>
      <c r="N42" s="1060"/>
      <c r="O42" s="1060"/>
      <c r="P42" s="1061"/>
      <c r="Q42" s="33"/>
      <c r="R42" s="33"/>
      <c r="S42" s="33"/>
      <c r="T42" s="33"/>
      <c r="U42" s="33"/>
    </row>
    <row r="43" spans="1:21" x14ac:dyDescent="0.25">
      <c r="A43" s="216"/>
      <c r="B43" s="217"/>
      <c r="C43" s="218"/>
      <c r="D43" s="218"/>
      <c r="E43" s="218"/>
      <c r="F43" s="126"/>
      <c r="G43" s="126"/>
      <c r="H43" s="126"/>
      <c r="I43" s="126"/>
      <c r="J43" s="126"/>
      <c r="K43" s="126"/>
      <c r="L43" s="126"/>
      <c r="M43" s="126"/>
      <c r="N43" s="126"/>
      <c r="O43" s="126"/>
      <c r="P43" s="127"/>
    </row>
    <row r="44" spans="1:21" x14ac:dyDescent="0.25">
      <c r="A44" s="216"/>
      <c r="B44" s="217"/>
      <c r="C44" s="218"/>
      <c r="D44" s="218"/>
      <c r="E44" s="218"/>
      <c r="F44" s="126"/>
      <c r="G44" s="126"/>
      <c r="H44" s="126"/>
      <c r="I44" s="126"/>
      <c r="J44" s="126"/>
      <c r="K44" s="126"/>
      <c r="L44" s="126"/>
      <c r="M44" s="126"/>
      <c r="N44" s="126"/>
      <c r="O44" s="126"/>
      <c r="P44" s="127"/>
    </row>
    <row r="45" spans="1:21" x14ac:dyDescent="0.25">
      <c r="A45" s="1199" t="s">
        <v>331</v>
      </c>
      <c r="B45" s="1200"/>
      <c r="C45" s="218"/>
      <c r="D45" s="218"/>
      <c r="E45" s="218"/>
      <c r="F45" s="126"/>
      <c r="G45" s="126"/>
      <c r="H45" s="126"/>
      <c r="I45" s="126"/>
      <c r="J45" s="126"/>
      <c r="K45" s="126"/>
      <c r="L45" s="126"/>
      <c r="M45" s="126"/>
      <c r="N45" s="126"/>
      <c r="O45" s="126"/>
      <c r="P45" s="127"/>
    </row>
    <row r="46" spans="1:21" x14ac:dyDescent="0.25">
      <c r="A46" s="683"/>
      <c r="B46" s="684"/>
      <c r="C46" s="218"/>
      <c r="D46" s="218"/>
      <c r="E46" s="218"/>
      <c r="F46" s="126"/>
      <c r="G46" s="126"/>
      <c r="H46" s="126"/>
      <c r="I46" s="126"/>
      <c r="J46" s="126"/>
      <c r="K46" s="126"/>
      <c r="L46" s="126"/>
      <c r="M46" s="126"/>
      <c r="N46" s="126"/>
      <c r="O46" s="126"/>
      <c r="P46" s="127"/>
    </row>
    <row r="47" spans="1:21" x14ac:dyDescent="0.25">
      <c r="A47" s="219" t="s">
        <v>332</v>
      </c>
      <c r="B47" s="684"/>
      <c r="C47" s="220" t="s">
        <v>58</v>
      </c>
      <c r="D47" s="218"/>
      <c r="E47" s="218"/>
      <c r="F47" s="126"/>
      <c r="G47" s="126"/>
      <c r="H47" s="126"/>
      <c r="I47" s="126"/>
      <c r="J47" s="126"/>
      <c r="K47" s="126"/>
      <c r="L47" s="126"/>
      <c r="M47" s="126"/>
      <c r="N47" s="126"/>
      <c r="O47" s="126"/>
      <c r="P47" s="127"/>
    </row>
    <row r="48" spans="1:21" x14ac:dyDescent="0.25">
      <c r="A48" s="216"/>
      <c r="B48" s="217"/>
      <c r="C48" s="218"/>
      <c r="D48" s="218"/>
      <c r="E48" s="218"/>
      <c r="F48" s="126"/>
      <c r="G48" s="126"/>
      <c r="H48" s="126"/>
      <c r="I48" s="126"/>
      <c r="J48" s="126"/>
      <c r="K48" s="126"/>
      <c r="L48" s="126"/>
      <c r="M48" s="126"/>
      <c r="N48" s="126"/>
      <c r="O48" s="126"/>
      <c r="P48" s="127"/>
    </row>
    <row r="49" spans="1:16" x14ac:dyDescent="0.25">
      <c r="A49" s="219" t="s">
        <v>333</v>
      </c>
      <c r="B49" s="217"/>
      <c r="C49" s="218"/>
      <c r="D49" s="218"/>
      <c r="E49" s="218"/>
      <c r="F49" s="126"/>
      <c r="G49" s="126"/>
      <c r="H49" s="126"/>
      <c r="I49" s="126"/>
      <c r="J49" s="126"/>
      <c r="K49" s="126"/>
      <c r="L49" s="126"/>
      <c r="M49" s="126"/>
      <c r="N49" s="126"/>
      <c r="O49" s="126"/>
      <c r="P49" s="127"/>
    </row>
    <row r="50" spans="1:16" x14ac:dyDescent="0.25">
      <c r="A50" s="216"/>
      <c r="B50" s="217"/>
      <c r="C50" s="218"/>
      <c r="D50" s="218"/>
      <c r="E50" s="218"/>
      <c r="F50" s="126"/>
      <c r="G50" s="126"/>
      <c r="H50" s="126"/>
      <c r="I50" s="126"/>
      <c r="J50" s="126"/>
      <c r="K50" s="126"/>
      <c r="L50" s="126"/>
      <c r="M50" s="126"/>
      <c r="N50" s="126"/>
      <c r="O50" s="126"/>
      <c r="P50" s="127"/>
    </row>
    <row r="51" spans="1:16" x14ac:dyDescent="0.25">
      <c r="A51" s="221" t="s">
        <v>334</v>
      </c>
      <c r="B51" s="217"/>
      <c r="C51" s="218"/>
      <c r="D51" s="218"/>
      <c r="E51" s="218"/>
      <c r="F51" s="126"/>
      <c r="G51" s="126"/>
      <c r="H51" s="126"/>
      <c r="I51" s="126"/>
      <c r="J51" s="126"/>
      <c r="K51" s="126"/>
      <c r="L51" s="126"/>
      <c r="M51" s="126"/>
      <c r="N51" s="126"/>
      <c r="O51" s="126"/>
      <c r="P51" s="127"/>
    </row>
    <row r="52" spans="1:16" x14ac:dyDescent="0.25">
      <c r="A52" s="221" t="s">
        <v>335</v>
      </c>
      <c r="B52" s="217"/>
      <c r="C52" s="218"/>
      <c r="D52" s="218"/>
      <c r="E52" s="218"/>
      <c r="F52" s="126"/>
      <c r="G52" s="126"/>
      <c r="H52" s="126"/>
      <c r="I52" s="126"/>
      <c r="J52" s="126"/>
      <c r="K52" s="126"/>
      <c r="L52" s="126"/>
      <c r="M52" s="126"/>
      <c r="N52" s="126"/>
      <c r="O52" s="126"/>
      <c r="P52" s="127"/>
    </row>
    <row r="53" spans="1:16" x14ac:dyDescent="0.25">
      <c r="A53" s="221" t="s">
        <v>336</v>
      </c>
      <c r="B53" s="217"/>
      <c r="C53" s="218"/>
      <c r="D53" s="218"/>
      <c r="E53" s="218"/>
      <c r="F53" s="126"/>
      <c r="G53" s="126"/>
      <c r="H53" s="126"/>
      <c r="I53" s="126"/>
      <c r="J53" s="126"/>
      <c r="K53" s="126"/>
      <c r="L53" s="126"/>
      <c r="M53" s="126"/>
      <c r="N53" s="126"/>
      <c r="O53" s="126"/>
      <c r="P53" s="127"/>
    </row>
    <row r="54" spans="1:16" ht="54" customHeight="1" x14ac:dyDescent="0.25">
      <c r="A54" s="222"/>
      <c r="B54" s="223"/>
      <c r="C54" s="224"/>
      <c r="D54" s="225"/>
      <c r="E54" s="225"/>
      <c r="F54" s="225"/>
      <c r="G54" s="1183" t="s">
        <v>337</v>
      </c>
      <c r="H54" s="1184"/>
      <c r="I54" s="1184"/>
      <c r="J54" s="1185"/>
      <c r="K54" s="1183" t="s">
        <v>338</v>
      </c>
      <c r="L54" s="1184"/>
      <c r="M54" s="1185"/>
      <c r="N54" s="930"/>
      <c r="O54" s="225"/>
      <c r="P54" s="226"/>
    </row>
    <row r="55" spans="1:16" ht="25.5" x14ac:dyDescent="0.25">
      <c r="A55" s="931" t="s">
        <v>159</v>
      </c>
      <c r="B55" s="932" t="s">
        <v>194</v>
      </c>
      <c r="C55" s="932" t="s">
        <v>339</v>
      </c>
      <c r="D55" s="932" t="s">
        <v>340</v>
      </c>
      <c r="E55" s="932" t="s">
        <v>341</v>
      </c>
      <c r="F55" s="932" t="s">
        <v>342</v>
      </c>
      <c r="G55" s="932" t="s">
        <v>343</v>
      </c>
      <c r="H55" s="932" t="s">
        <v>344</v>
      </c>
      <c r="I55" s="932" t="s">
        <v>345</v>
      </c>
      <c r="J55" s="932" t="s">
        <v>346</v>
      </c>
      <c r="K55" s="932" t="s">
        <v>347</v>
      </c>
      <c r="L55" s="932" t="s">
        <v>348</v>
      </c>
      <c r="M55" s="933" t="s">
        <v>349</v>
      </c>
      <c r="N55" s="1167" t="s">
        <v>303</v>
      </c>
      <c r="O55" s="1168"/>
      <c r="P55" s="1169"/>
    </row>
    <row r="56" spans="1:16" x14ac:dyDescent="0.25">
      <c r="A56" s="451"/>
      <c r="B56" s="763"/>
      <c r="C56" s="764"/>
      <c r="D56" s="765"/>
      <c r="E56" s="452"/>
      <c r="F56" s="452"/>
      <c r="G56" s="765"/>
      <c r="H56" s="765"/>
      <c r="I56" s="765"/>
      <c r="J56" s="766" t="e">
        <f>H56/G56</f>
        <v>#DIV/0!</v>
      </c>
      <c r="K56" s="767"/>
      <c r="L56" s="767"/>
      <c r="M56" s="766" t="e">
        <f>+L56/G56</f>
        <v>#DIV/0!</v>
      </c>
      <c r="N56" s="1170"/>
      <c r="O56" s="1171"/>
      <c r="P56" s="1172"/>
    </row>
    <row r="57" spans="1:16" x14ac:dyDescent="0.25">
      <c r="A57" s="128"/>
      <c r="B57" s="768"/>
      <c r="C57" s="769"/>
      <c r="D57" s="770"/>
      <c r="E57" s="227"/>
      <c r="F57" s="227"/>
      <c r="G57" s="770"/>
      <c r="H57" s="770"/>
      <c r="I57" s="770"/>
      <c r="J57" s="771" t="e">
        <f>+H57/G57</f>
        <v>#DIV/0!</v>
      </c>
      <c r="K57" s="772"/>
      <c r="L57" s="772"/>
      <c r="M57" s="771" t="e">
        <f>+L57/G57</f>
        <v>#DIV/0!</v>
      </c>
      <c r="N57" s="1173"/>
      <c r="O57" s="1174"/>
      <c r="P57" s="1175"/>
    </row>
    <row r="58" spans="1:16" x14ac:dyDescent="0.25">
      <c r="A58" s="228"/>
      <c r="B58" s="773"/>
      <c r="C58" s="774"/>
      <c r="D58" s="775"/>
      <c r="E58" s="453"/>
      <c r="F58" s="453"/>
      <c r="G58" s="775"/>
      <c r="H58" s="775"/>
      <c r="I58" s="775"/>
      <c r="J58" s="776" t="e">
        <f>+H58/G58</f>
        <v>#DIV/0!</v>
      </c>
      <c r="K58" s="777"/>
      <c r="L58" s="777"/>
      <c r="M58" s="776" t="e">
        <f>+L58/G58</f>
        <v>#DIV/0!</v>
      </c>
      <c r="N58" s="1176"/>
      <c r="O58" s="1177"/>
      <c r="P58" s="1178"/>
    </row>
    <row r="59" spans="1:16" x14ac:dyDescent="0.25">
      <c r="A59" s="216"/>
      <c r="B59" s="217"/>
      <c r="C59" s="218"/>
      <c r="D59" s="218"/>
      <c r="E59" s="218"/>
      <c r="F59" s="126"/>
      <c r="G59" s="126"/>
      <c r="H59" s="126"/>
      <c r="I59" s="126"/>
      <c r="J59" s="231"/>
      <c r="K59" s="126"/>
      <c r="L59" s="126"/>
      <c r="M59" s="231"/>
      <c r="N59" s="126"/>
      <c r="O59" s="126"/>
      <c r="P59" s="127"/>
    </row>
    <row r="60" spans="1:16" x14ac:dyDescent="0.25">
      <c r="A60" s="222"/>
      <c r="B60" s="224"/>
      <c r="C60" s="224"/>
      <c r="D60" s="224"/>
      <c r="E60" s="224"/>
      <c r="F60" s="232"/>
      <c r="G60" s="126"/>
      <c r="H60" s="126"/>
      <c r="I60" s="126"/>
      <c r="J60" s="126"/>
      <c r="K60" s="126"/>
      <c r="L60" s="126"/>
      <c r="M60" s="126"/>
      <c r="N60" s="126"/>
      <c r="O60" s="126"/>
      <c r="P60" s="127"/>
    </row>
    <row r="61" spans="1:16" x14ac:dyDescent="0.25">
      <c r="A61" s="219" t="s">
        <v>350</v>
      </c>
      <c r="B61" s="223"/>
      <c r="C61" s="224"/>
      <c r="D61" s="224"/>
      <c r="E61" s="224"/>
      <c r="F61" s="232"/>
      <c r="G61" s="126"/>
      <c r="H61" s="126"/>
      <c r="I61" s="126"/>
      <c r="J61" s="126"/>
      <c r="K61" s="126"/>
      <c r="L61" s="126"/>
      <c r="M61" s="126"/>
      <c r="N61" s="126"/>
      <c r="O61" s="126"/>
      <c r="P61" s="127"/>
    </row>
    <row r="62" spans="1:16" x14ac:dyDescent="0.25">
      <c r="A62" s="219"/>
      <c r="B62" s="223"/>
      <c r="C62" s="224"/>
      <c r="D62" s="224"/>
      <c r="E62" s="224"/>
      <c r="F62" s="232"/>
      <c r="G62" s="126"/>
      <c r="H62" s="126"/>
      <c r="I62" s="126"/>
      <c r="J62" s="126"/>
      <c r="K62" s="126"/>
      <c r="L62" s="126"/>
      <c r="M62" s="126"/>
      <c r="N62" s="126"/>
      <c r="O62" s="126"/>
      <c r="P62" s="127"/>
    </row>
    <row r="63" spans="1:16" x14ac:dyDescent="0.25">
      <c r="A63" s="221" t="s">
        <v>351</v>
      </c>
      <c r="B63" s="223"/>
      <c r="C63" s="224"/>
      <c r="D63" s="224"/>
      <c r="E63" s="224"/>
      <c r="F63" s="232"/>
      <c r="G63" s="126"/>
      <c r="H63" s="126"/>
      <c r="I63" s="126"/>
      <c r="J63" s="126"/>
      <c r="K63" s="126"/>
      <c r="L63" s="126"/>
      <c r="M63" s="126"/>
      <c r="N63" s="126"/>
      <c r="O63" s="126"/>
      <c r="P63" s="127"/>
    </row>
    <row r="64" spans="1:16" ht="15" customHeight="1" x14ac:dyDescent="0.25">
      <c r="A64" s="1207" t="s">
        <v>352</v>
      </c>
      <c r="B64" s="1208"/>
      <c r="C64" s="1208"/>
      <c r="D64" s="1208"/>
      <c r="E64" s="1208"/>
      <c r="F64" s="1208"/>
      <c r="G64" s="1208"/>
      <c r="H64" s="1208"/>
      <c r="I64" s="1208"/>
      <c r="J64" s="1208"/>
      <c r="K64" s="1208"/>
      <c r="L64" s="1208"/>
      <c r="M64" s="1208"/>
      <c r="N64" s="1208"/>
      <c r="O64" s="1208"/>
      <c r="P64" s="1209"/>
    </row>
    <row r="65" spans="1:16" x14ac:dyDescent="0.25">
      <c r="A65" s="685"/>
      <c r="B65" s="686"/>
      <c r="C65" s="686"/>
      <c r="D65" s="686"/>
      <c r="E65" s="686"/>
      <c r="F65" s="686"/>
      <c r="G65" s="686"/>
      <c r="H65" s="686"/>
      <c r="I65" s="686"/>
      <c r="J65" s="686"/>
      <c r="K65" s="686"/>
      <c r="L65" s="126"/>
      <c r="M65" s="126"/>
      <c r="N65" s="126"/>
      <c r="O65" s="126"/>
      <c r="P65" s="127"/>
    </row>
    <row r="66" spans="1:16" ht="33.75" customHeight="1" x14ac:dyDescent="0.25">
      <c r="A66" s="222"/>
      <c r="B66" s="223"/>
      <c r="C66" s="224"/>
      <c r="D66" s="224"/>
      <c r="E66" s="1186" t="s">
        <v>353</v>
      </c>
      <c r="F66" s="1187"/>
      <c r="G66" s="1188"/>
      <c r="H66" s="126"/>
      <c r="I66" s="1191" t="s">
        <v>354</v>
      </c>
      <c r="J66" s="1192"/>
      <c r="K66" s="1193"/>
      <c r="L66" s="126"/>
      <c r="M66" s="126"/>
      <c r="N66" s="126"/>
      <c r="O66" s="126"/>
      <c r="P66" s="127"/>
    </row>
    <row r="67" spans="1:16" s="934" customFormat="1" ht="38.25" x14ac:dyDescent="0.2">
      <c r="A67" s="932" t="s">
        <v>159</v>
      </c>
      <c r="B67" s="932" t="s">
        <v>194</v>
      </c>
      <c r="C67" s="932" t="s">
        <v>339</v>
      </c>
      <c r="D67" s="932" t="s">
        <v>340</v>
      </c>
      <c r="E67" s="932" t="s">
        <v>355</v>
      </c>
      <c r="F67" s="932" t="s">
        <v>356</v>
      </c>
      <c r="G67" s="932" t="s">
        <v>346</v>
      </c>
      <c r="H67" s="932" t="s">
        <v>357</v>
      </c>
      <c r="I67" s="932" t="s">
        <v>358</v>
      </c>
      <c r="J67" s="932" t="s">
        <v>359</v>
      </c>
      <c r="K67" s="932" t="s">
        <v>360</v>
      </c>
      <c r="L67" s="1165" t="s">
        <v>303</v>
      </c>
      <c r="M67" s="1165"/>
      <c r="N67" s="1165"/>
      <c r="O67" s="1165"/>
      <c r="P67" s="1166"/>
    </row>
    <row r="68" spans="1:16" x14ac:dyDescent="0.25">
      <c r="A68" s="718"/>
      <c r="B68" s="778"/>
      <c r="C68" s="779"/>
      <c r="D68" s="779">
        <v>0</v>
      </c>
      <c r="E68" s="780"/>
      <c r="F68" s="780"/>
      <c r="G68" s="781" t="e">
        <f>+F68/E68</f>
        <v>#DIV/0!</v>
      </c>
      <c r="H68" s="455"/>
      <c r="I68" s="782"/>
      <c r="J68" s="782"/>
      <c r="K68" s="783" t="e">
        <f>(J68+F68)/(I68+E68)</f>
        <v>#DIV/0!</v>
      </c>
      <c r="L68" s="1162"/>
      <c r="M68" s="1163"/>
      <c r="N68" s="1163"/>
      <c r="O68" s="1163"/>
      <c r="P68" s="1164"/>
    </row>
    <row r="69" spans="1:16" x14ac:dyDescent="0.25">
      <c r="A69" s="729"/>
      <c r="B69" s="784"/>
      <c r="C69" s="785"/>
      <c r="D69" s="785">
        <v>0</v>
      </c>
      <c r="E69" s="770"/>
      <c r="F69" s="770"/>
      <c r="G69" s="771" t="e">
        <f>+F69/E69</f>
        <v>#DIV/0!</v>
      </c>
      <c r="H69" s="227"/>
      <c r="I69" s="772"/>
      <c r="J69" s="772"/>
      <c r="K69" s="786" t="e">
        <f>(J69+F69)/(I69+E69)</f>
        <v>#DIV/0!</v>
      </c>
      <c r="L69" s="1159"/>
      <c r="M69" s="1160"/>
      <c r="N69" s="1160"/>
      <c r="O69" s="1160"/>
      <c r="P69" s="1161"/>
    </row>
    <row r="70" spans="1:16" x14ac:dyDescent="0.25">
      <c r="A70" s="454"/>
      <c r="B70" s="681"/>
      <c r="C70" s="787"/>
      <c r="D70" s="787">
        <v>0</v>
      </c>
      <c r="E70" s="788"/>
      <c r="F70" s="788"/>
      <c r="G70" s="789" t="e">
        <f>+F70/E70</f>
        <v>#DIV/0!</v>
      </c>
      <c r="H70" s="456"/>
      <c r="I70" s="790"/>
      <c r="J70" s="790"/>
      <c r="K70" s="791" t="e">
        <f>(J70+F70)/(I70+E70)</f>
        <v>#DIV/0!</v>
      </c>
      <c r="L70" s="1156"/>
      <c r="M70" s="1157"/>
      <c r="N70" s="1157"/>
      <c r="O70" s="1157"/>
      <c r="P70" s="1158"/>
    </row>
    <row r="71" spans="1:16" ht="15.75" thickBot="1" x14ac:dyDescent="0.3">
      <c r="A71" s="443"/>
      <c r="B71" s="444"/>
      <c r="C71" s="445"/>
      <c r="D71" s="445"/>
      <c r="E71" s="445"/>
      <c r="F71" s="446"/>
      <c r="G71" s="447"/>
      <c r="H71" s="447"/>
      <c r="I71" s="447"/>
      <c r="J71" s="447"/>
      <c r="K71" s="448"/>
      <c r="L71" s="447"/>
      <c r="M71" s="447"/>
      <c r="N71" s="447"/>
      <c r="O71" s="447"/>
      <c r="P71" s="449"/>
    </row>
    <row r="72" spans="1:16" x14ac:dyDescent="0.25">
      <c r="A72" s="216"/>
      <c r="B72" s="223"/>
      <c r="C72" s="224"/>
      <c r="D72" s="224"/>
      <c r="E72" s="224"/>
      <c r="F72" s="232"/>
      <c r="G72" s="126"/>
      <c r="H72" s="126"/>
      <c r="I72" s="126"/>
      <c r="J72" s="126"/>
      <c r="K72" s="126"/>
      <c r="L72" s="126"/>
      <c r="M72" s="126"/>
      <c r="N72" s="126"/>
      <c r="O72" s="126"/>
      <c r="P72" s="450"/>
    </row>
    <row r="73" spans="1:16" x14ac:dyDescent="0.25">
      <c r="A73" s="216"/>
      <c r="B73" s="223"/>
      <c r="C73" s="224"/>
      <c r="D73" s="224"/>
      <c r="E73" s="224"/>
      <c r="F73" s="232"/>
      <c r="G73" s="126"/>
      <c r="H73" s="126"/>
      <c r="I73" s="126"/>
      <c r="J73" s="126"/>
      <c r="K73" s="126"/>
      <c r="L73" s="126"/>
      <c r="M73" s="126"/>
      <c r="N73" s="126"/>
      <c r="O73" s="126"/>
      <c r="P73" s="126"/>
    </row>
  </sheetData>
  <sheetProtection formatCells="0" formatColumns="0" formatRows="0" insertColumns="0" insertRows="0" insertHyperlinks="0" deleteColumns="0" deleteRows="0" sort="0" autoFilter="0" pivotTables="0"/>
  <mergeCells count="43">
    <mergeCell ref="A25:B25"/>
    <mergeCell ref="A9:C9"/>
    <mergeCell ref="D9:E9"/>
    <mergeCell ref="F9:I9"/>
    <mergeCell ref="I66:K66"/>
    <mergeCell ref="A19:P19"/>
    <mergeCell ref="F38:K38"/>
    <mergeCell ref="A30:B30"/>
    <mergeCell ref="A40:H40"/>
    <mergeCell ref="A45:B45"/>
    <mergeCell ref="L25:O25"/>
    <mergeCell ref="L30:O30"/>
    <mergeCell ref="A42:P42"/>
    <mergeCell ref="A64:P64"/>
    <mergeCell ref="A28:B28"/>
    <mergeCell ref="A27:B27"/>
    <mergeCell ref="A26:B26"/>
    <mergeCell ref="A29:B29"/>
    <mergeCell ref="G54:J54"/>
    <mergeCell ref="K54:M54"/>
    <mergeCell ref="E66:G66"/>
    <mergeCell ref="D1:M2"/>
    <mergeCell ref="A3:P5"/>
    <mergeCell ref="E6:L7"/>
    <mergeCell ref="M6:N6"/>
    <mergeCell ref="O6:P6"/>
    <mergeCell ref="M7:N7"/>
    <mergeCell ref="O7:P7"/>
    <mergeCell ref="J9:K9"/>
    <mergeCell ref="L9:N9"/>
    <mergeCell ref="A11:P11"/>
    <mergeCell ref="A13:P13"/>
    <mergeCell ref="A14:P14"/>
    <mergeCell ref="O8:P8"/>
    <mergeCell ref="L70:P70"/>
    <mergeCell ref="L69:P69"/>
    <mergeCell ref="L68:P68"/>
    <mergeCell ref="L67:P67"/>
    <mergeCell ref="O9:P9"/>
    <mergeCell ref="N55:P55"/>
    <mergeCell ref="N56:P56"/>
    <mergeCell ref="N57:P57"/>
    <mergeCell ref="N58:P58"/>
  </mergeCells>
  <dataValidations count="2">
    <dataValidation type="list" showInputMessage="1" showErrorMessage="1" sqref="D9:E9" xr:uid="{00000000-0002-0000-0C00-000000000000}">
      <formula1>RAS</formula1>
    </dataValidation>
    <dataValidation type="list" allowBlank="1" showInputMessage="1" showErrorMessage="1" sqref="O9:P9" xr:uid="{00000000-0002-0000-0C00-000001000000}">
      <formula1>Diligences</formula1>
    </dataValidation>
  </dataValidations>
  <hyperlinks>
    <hyperlink ref="O8:P8" location="'S Synthèse'!A1" display="S Synthèse" xr:uid="{00000000-0004-0000-0C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3"/>
  <dimension ref="A1:U32"/>
  <sheetViews>
    <sheetView showGridLines="0" topLeftCell="A11" zoomScale="85" zoomScaleNormal="85" workbookViewId="0">
      <selection activeCell="H18" sqref="H18"/>
    </sheetView>
  </sheetViews>
  <sheetFormatPr baseColWidth="10" defaultColWidth="11.42578125" defaultRowHeight="15" x14ac:dyDescent="0.25"/>
  <cols>
    <col min="1" max="1" width="20.28515625" style="25" customWidth="1"/>
    <col min="2" max="2" width="11.42578125" style="25" customWidth="1"/>
    <col min="3" max="7" width="13.85546875" style="25" customWidth="1"/>
    <col min="8" max="8" width="14.5703125" style="25" customWidth="1"/>
    <col min="9" max="10" width="15.28515625" style="25" customWidth="1"/>
    <col min="11" max="13" width="13.85546875" style="25" customWidth="1"/>
    <col min="14" max="14" width="15.7109375" style="25" customWidth="1"/>
    <col min="15" max="15" width="15.140625" style="25" customWidth="1"/>
    <col min="16" max="16" width="20.7109375" style="25" customWidth="1"/>
    <col min="17" max="17" width="11.42578125" style="25"/>
    <col min="18" max="18" width="0" style="25" hidden="1" customWidth="1"/>
    <col min="19" max="16384" width="11.42578125" style="25"/>
  </cols>
  <sheetData>
    <row r="1" spans="1:21" s="33" customFormat="1" ht="15" customHeight="1" x14ac:dyDescent="0.2">
      <c r="A1" s="10"/>
      <c r="B1" s="11"/>
      <c r="C1" s="11"/>
      <c r="D1" s="1014" t="str">
        <f>'S Synthèse'!D1:M2</f>
        <v>#NomClient</v>
      </c>
      <c r="E1" s="1015"/>
      <c r="F1" s="1015"/>
      <c r="G1" s="1015"/>
      <c r="H1" s="1015"/>
      <c r="I1" s="1015"/>
      <c r="J1" s="1015"/>
      <c r="K1" s="1015"/>
      <c r="L1" s="1015"/>
      <c r="M1" s="1016"/>
      <c r="N1" s="11"/>
      <c r="O1" s="11"/>
      <c r="P1" s="12"/>
    </row>
    <row r="2" spans="1:21" s="33" customFormat="1" ht="15" customHeight="1" thickBot="1" x14ac:dyDescent="0.25">
      <c r="A2" s="13"/>
      <c r="B2" s="14"/>
      <c r="C2" s="14"/>
      <c r="D2" s="1017"/>
      <c r="E2" s="1018"/>
      <c r="F2" s="1018"/>
      <c r="G2" s="1018"/>
      <c r="H2" s="1018"/>
      <c r="I2" s="1018"/>
      <c r="J2" s="1018"/>
      <c r="K2" s="1018"/>
      <c r="L2" s="1018"/>
      <c r="M2" s="1019"/>
      <c r="N2" s="14"/>
      <c r="O2" s="14"/>
      <c r="P2" s="15"/>
    </row>
    <row r="3" spans="1:21" ht="15" customHeight="1" x14ac:dyDescent="0.25">
      <c r="A3" s="945" t="s">
        <v>3</v>
      </c>
      <c r="B3" s="946"/>
      <c r="C3" s="946"/>
      <c r="D3" s="946"/>
      <c r="E3" s="946"/>
      <c r="F3" s="946"/>
      <c r="G3" s="946"/>
      <c r="H3" s="946"/>
      <c r="I3" s="946"/>
      <c r="J3" s="946"/>
      <c r="K3" s="946"/>
      <c r="L3" s="946"/>
      <c r="M3" s="946"/>
      <c r="N3" s="946"/>
      <c r="O3" s="946"/>
      <c r="P3" s="947"/>
      <c r="R3" s="3"/>
      <c r="T3" s="5"/>
      <c r="U3" s="5"/>
    </row>
    <row r="4" spans="1:21" ht="15" customHeight="1" x14ac:dyDescent="0.25">
      <c r="A4" s="945"/>
      <c r="B4" s="946"/>
      <c r="C4" s="946"/>
      <c r="D4" s="946"/>
      <c r="E4" s="946"/>
      <c r="F4" s="946"/>
      <c r="G4" s="946"/>
      <c r="H4" s="946"/>
      <c r="I4" s="946"/>
      <c r="J4" s="946"/>
      <c r="K4" s="946"/>
      <c r="L4" s="946"/>
      <c r="M4" s="946"/>
      <c r="N4" s="946"/>
      <c r="O4" s="946"/>
      <c r="P4" s="947"/>
      <c r="R4" s="3"/>
      <c r="T4" s="5"/>
      <c r="U4" s="5"/>
    </row>
    <row r="5" spans="1:21" ht="15" customHeight="1" thickBot="1" x14ac:dyDescent="0.3">
      <c r="A5" s="948"/>
      <c r="B5" s="949"/>
      <c r="C5" s="949"/>
      <c r="D5" s="949"/>
      <c r="E5" s="949"/>
      <c r="F5" s="949"/>
      <c r="G5" s="949"/>
      <c r="H5" s="949"/>
      <c r="I5" s="949"/>
      <c r="J5" s="949"/>
      <c r="K5" s="949"/>
      <c r="L5" s="949"/>
      <c r="M5" s="949"/>
      <c r="N5" s="949"/>
      <c r="O5" s="949"/>
      <c r="P5" s="950"/>
      <c r="Q5" s="3"/>
      <c r="R5" s="34"/>
      <c r="S5" s="35"/>
      <c r="T5" s="35"/>
      <c r="U5" s="35"/>
    </row>
    <row r="6" spans="1:21" ht="15" customHeight="1" x14ac:dyDescent="0.25">
      <c r="A6" s="17" t="s">
        <v>6</v>
      </c>
      <c r="B6" s="476" t="str">
        <f>'S Synthèse'!B6</f>
        <v>BRA</v>
      </c>
      <c r="C6" s="17" t="s">
        <v>7</v>
      </c>
      <c r="D6" s="476">
        <f>'S Synthèse'!D6</f>
        <v>0</v>
      </c>
      <c r="E6" s="957" t="s">
        <v>59</v>
      </c>
      <c r="F6" s="958"/>
      <c r="G6" s="958"/>
      <c r="H6" s="958"/>
      <c r="I6" s="958"/>
      <c r="J6" s="958"/>
      <c r="K6" s="958"/>
      <c r="L6" s="959"/>
      <c r="M6" s="1020" t="s">
        <v>9</v>
      </c>
      <c r="N6" s="1021"/>
      <c r="O6" s="963" t="s">
        <v>10</v>
      </c>
      <c r="P6" s="964"/>
      <c r="R6" s="33"/>
      <c r="S6" s="33"/>
    </row>
    <row r="7" spans="1:21" ht="15" customHeight="1" thickBot="1" x14ac:dyDescent="0.3">
      <c r="A7" s="18" t="s">
        <v>12</v>
      </c>
      <c r="B7" s="477">
        <f>'S Synthèse'!B7</f>
        <v>0</v>
      </c>
      <c r="C7" s="18" t="s">
        <v>12</v>
      </c>
      <c r="D7" s="477">
        <f>'S Synthèse'!D7</f>
        <v>0</v>
      </c>
      <c r="E7" s="960"/>
      <c r="F7" s="961"/>
      <c r="G7" s="961"/>
      <c r="H7" s="961"/>
      <c r="I7" s="961"/>
      <c r="J7" s="961"/>
      <c r="K7" s="961"/>
      <c r="L7" s="962"/>
      <c r="M7" s="1022" t="str">
        <f>'S Synthèse'!M7:M7</f>
        <v>#DateClôture</v>
      </c>
      <c r="N7" s="1023"/>
      <c r="O7" s="965" t="s">
        <v>58</v>
      </c>
      <c r="P7" s="966"/>
    </row>
    <row r="8" spans="1:21" ht="21" customHeight="1" thickBot="1" x14ac:dyDescent="0.3">
      <c r="A8" s="19"/>
      <c r="B8" s="36"/>
      <c r="C8" s="20"/>
      <c r="D8" s="20"/>
      <c r="E8" s="37"/>
      <c r="F8" s="37"/>
      <c r="G8" s="37"/>
      <c r="H8" s="37"/>
      <c r="I8" s="37"/>
      <c r="J8" s="37"/>
      <c r="K8" s="37"/>
      <c r="L8" s="37"/>
      <c r="M8" s="22"/>
      <c r="N8" s="20"/>
      <c r="O8" s="1002" t="s">
        <v>63</v>
      </c>
      <c r="P8" s="1002"/>
    </row>
    <row r="9" spans="1:21" s="20" customFormat="1" ht="31.5" customHeight="1" thickBot="1" x14ac:dyDescent="0.25">
      <c r="A9" s="951" t="s">
        <v>17</v>
      </c>
      <c r="B9" s="952"/>
      <c r="C9" s="952"/>
      <c r="D9" s="1012" t="str">
        <f>'S Synthèse'!D9:E9</f>
        <v>Modéré</v>
      </c>
      <c r="E9" s="1013"/>
      <c r="F9" s="953" t="s">
        <v>18</v>
      </c>
      <c r="G9" s="954"/>
      <c r="H9" s="954"/>
      <c r="I9" s="954"/>
      <c r="J9" s="1004">
        <f>'S Synthèse'!J9:K9</f>
        <v>0</v>
      </c>
      <c r="K9" s="1005"/>
      <c r="L9" s="953" t="s">
        <v>19</v>
      </c>
      <c r="M9" s="954"/>
      <c r="N9" s="954"/>
      <c r="O9" s="1012" t="str">
        <f>'S Synthèse'!N9</f>
        <v>PE</v>
      </c>
      <c r="P9" s="1013"/>
    </row>
    <row r="10" spans="1:21" s="20" customFormat="1" ht="21" customHeight="1" thickBot="1" x14ac:dyDescent="0.25">
      <c r="A10" s="24"/>
      <c r="B10" s="24"/>
      <c r="C10" s="24"/>
      <c r="D10" s="24"/>
      <c r="E10" s="24"/>
      <c r="F10" s="24"/>
      <c r="G10" s="24"/>
      <c r="H10" s="24"/>
      <c r="I10" s="24"/>
      <c r="J10" s="24"/>
      <c r="K10" s="24"/>
      <c r="L10" s="24"/>
      <c r="M10" s="24"/>
      <c r="N10" s="24"/>
      <c r="O10" s="24"/>
      <c r="P10" s="24"/>
    </row>
    <row r="11" spans="1:21" ht="138" customHeight="1" thickBot="1" x14ac:dyDescent="0.3">
      <c r="A11" s="1006" t="s">
        <v>361</v>
      </c>
      <c r="B11" s="1007"/>
      <c r="C11" s="1007"/>
      <c r="D11" s="1007"/>
      <c r="E11" s="1007"/>
      <c r="F11" s="1007"/>
      <c r="G11" s="1007"/>
      <c r="H11" s="1007"/>
      <c r="I11" s="1007"/>
      <c r="J11" s="1007"/>
      <c r="K11" s="1007"/>
      <c r="L11" s="1007"/>
      <c r="M11" s="1007"/>
      <c r="N11" s="1007"/>
      <c r="O11" s="1007"/>
      <c r="P11" s="1008"/>
    </row>
    <row r="12" spans="1:21" ht="9" customHeight="1" thickBot="1" x14ac:dyDescent="0.3"/>
    <row r="13" spans="1:21" x14ac:dyDescent="0.25">
      <c r="A13" s="974" t="s">
        <v>67</v>
      </c>
      <c r="B13" s="975"/>
      <c r="C13" s="975"/>
      <c r="D13" s="975"/>
      <c r="E13" s="975"/>
      <c r="F13" s="975"/>
      <c r="G13" s="975"/>
      <c r="H13" s="975"/>
      <c r="I13" s="975"/>
      <c r="J13" s="975"/>
      <c r="K13" s="975"/>
      <c r="L13" s="975"/>
      <c r="M13" s="975"/>
      <c r="N13" s="975"/>
      <c r="O13" s="975"/>
      <c r="P13" s="976"/>
    </row>
    <row r="14" spans="1:21" ht="60" customHeight="1" thickBot="1" x14ac:dyDescent="0.3">
      <c r="A14" s="1009"/>
      <c r="B14" s="1010"/>
      <c r="C14" s="1010"/>
      <c r="D14" s="1010"/>
      <c r="E14" s="1010"/>
      <c r="F14" s="1010"/>
      <c r="G14" s="1010"/>
      <c r="H14" s="1010"/>
      <c r="I14" s="1010"/>
      <c r="J14" s="1010"/>
      <c r="K14" s="1010"/>
      <c r="L14" s="1010"/>
      <c r="M14" s="1010"/>
      <c r="N14" s="1010"/>
      <c r="O14" s="1010"/>
      <c r="P14" s="1011"/>
    </row>
    <row r="15" spans="1:21" ht="15.75" thickBot="1" x14ac:dyDescent="0.3"/>
    <row r="16" spans="1:21" x14ac:dyDescent="0.25">
      <c r="A16" s="285"/>
      <c r="B16" s="261"/>
      <c r="C16" s="261"/>
      <c r="D16" s="261"/>
      <c r="E16" s="261"/>
      <c r="F16" s="261"/>
      <c r="G16" s="261"/>
      <c r="H16" s="261"/>
      <c r="I16" s="261"/>
      <c r="J16" s="261"/>
      <c r="K16" s="261"/>
      <c r="L16" s="261"/>
      <c r="M16" s="261"/>
      <c r="N16" s="261"/>
      <c r="O16" s="261"/>
      <c r="P16" s="286"/>
    </row>
    <row r="17" spans="1:21" s="934" customFormat="1" ht="45" customHeight="1" x14ac:dyDescent="0.2">
      <c r="A17" s="935" t="s">
        <v>362</v>
      </c>
      <c r="B17" s="936" t="s">
        <v>363</v>
      </c>
      <c r="C17" s="937" t="s">
        <v>364</v>
      </c>
      <c r="D17" s="938" t="s">
        <v>365</v>
      </c>
      <c r="E17" s="937" t="s">
        <v>366</v>
      </c>
      <c r="F17" s="938" t="s">
        <v>367</v>
      </c>
      <c r="G17" s="932" t="s">
        <v>368</v>
      </c>
      <c r="H17" s="1168" t="s">
        <v>391</v>
      </c>
      <c r="I17" s="1168"/>
      <c r="J17" s="1217"/>
      <c r="K17" s="937" t="s">
        <v>369</v>
      </c>
      <c r="L17" s="939" t="s">
        <v>319</v>
      </c>
      <c r="M17" s="938" t="s">
        <v>315</v>
      </c>
      <c r="N17" s="1214" t="s">
        <v>370</v>
      </c>
      <c r="O17" s="1215"/>
      <c r="P17" s="1216"/>
    </row>
    <row r="18" spans="1:21" x14ac:dyDescent="0.25">
      <c r="A18" s="457"/>
      <c r="B18" s="233"/>
      <c r="C18" s="460"/>
      <c r="D18" s="461"/>
      <c r="E18" s="462"/>
      <c r="F18" s="469"/>
      <c r="G18" s="913"/>
      <c r="H18" s="908"/>
      <c r="I18" s="893"/>
      <c r="J18" s="894"/>
      <c r="K18" s="501">
        <f>F18-E18</f>
        <v>0</v>
      </c>
      <c r="L18" s="495" t="e">
        <f t="shared" ref="L18:M22" si="0">E18/C18</f>
        <v>#DIV/0!</v>
      </c>
      <c r="M18" s="496" t="e">
        <f t="shared" si="0"/>
        <v>#DIV/0!</v>
      </c>
      <c r="N18" s="901"/>
      <c r="O18" s="902"/>
      <c r="P18" s="903"/>
    </row>
    <row r="19" spans="1:21" x14ac:dyDescent="0.25">
      <c r="A19" s="235"/>
      <c r="B19" s="234"/>
      <c r="C19" s="463"/>
      <c r="D19" s="464"/>
      <c r="E19" s="465"/>
      <c r="F19" s="470"/>
      <c r="G19" s="913"/>
      <c r="H19" s="909"/>
      <c r="I19" s="895"/>
      <c r="J19" s="896"/>
      <c r="K19" s="502">
        <f>F19-E19</f>
        <v>0</v>
      </c>
      <c r="L19" s="497" t="e">
        <f t="shared" si="0"/>
        <v>#DIV/0!</v>
      </c>
      <c r="M19" s="498" t="e">
        <f t="shared" si="0"/>
        <v>#DIV/0!</v>
      </c>
      <c r="N19" s="850"/>
      <c r="O19" s="895"/>
      <c r="P19" s="474"/>
      <c r="S19" s="25" t="s">
        <v>1</v>
      </c>
    </row>
    <row r="20" spans="1:21" x14ac:dyDescent="0.25">
      <c r="A20" s="235"/>
      <c r="B20" s="236"/>
      <c r="C20" s="463"/>
      <c r="D20" s="464"/>
      <c r="E20" s="465"/>
      <c r="F20" s="470"/>
      <c r="G20" s="913"/>
      <c r="H20" s="909"/>
      <c r="I20" s="895"/>
      <c r="J20" s="896"/>
      <c r="K20" s="502">
        <f>F20-E20</f>
        <v>0</v>
      </c>
      <c r="L20" s="497" t="e">
        <f t="shared" si="0"/>
        <v>#DIV/0!</v>
      </c>
      <c r="M20" s="498" t="e">
        <f t="shared" si="0"/>
        <v>#DIV/0!</v>
      </c>
      <c r="N20" s="850"/>
      <c r="O20" s="895"/>
      <c r="P20" s="474"/>
      <c r="S20" s="25" t="s">
        <v>2</v>
      </c>
    </row>
    <row r="21" spans="1:21" x14ac:dyDescent="0.25">
      <c r="A21" s="458"/>
      <c r="B21" s="237"/>
      <c r="C21" s="463"/>
      <c r="D21" s="464"/>
      <c r="E21" s="463"/>
      <c r="F21" s="471"/>
      <c r="G21" s="913"/>
      <c r="H21" s="910"/>
      <c r="I21" s="895"/>
      <c r="J21" s="896"/>
      <c r="K21" s="502">
        <f>F21-E21</f>
        <v>0</v>
      </c>
      <c r="L21" s="497" t="e">
        <f t="shared" si="0"/>
        <v>#DIV/0!</v>
      </c>
      <c r="M21" s="498" t="e">
        <f t="shared" si="0"/>
        <v>#DIV/0!</v>
      </c>
      <c r="N21" s="850"/>
      <c r="O21" s="895"/>
      <c r="P21" s="475"/>
    </row>
    <row r="22" spans="1:21" x14ac:dyDescent="0.25">
      <c r="A22" s="459"/>
      <c r="B22" s="238"/>
      <c r="C22" s="466"/>
      <c r="D22" s="467"/>
      <c r="E22" s="466"/>
      <c r="F22" s="472"/>
      <c r="G22" s="914"/>
      <c r="H22" s="911"/>
      <c r="I22" s="897"/>
      <c r="J22" s="898"/>
      <c r="K22" s="503">
        <f>F22-E22</f>
        <v>0</v>
      </c>
      <c r="L22" s="499" t="e">
        <f t="shared" si="0"/>
        <v>#DIV/0!</v>
      </c>
      <c r="M22" s="500" t="e">
        <f t="shared" si="0"/>
        <v>#DIV/0!</v>
      </c>
      <c r="N22" s="904"/>
      <c r="O22" s="897"/>
      <c r="P22" s="905"/>
    </row>
    <row r="23" spans="1:21" ht="14.45" customHeight="1" x14ac:dyDescent="0.25">
      <c r="A23" s="239" t="s">
        <v>84</v>
      </c>
      <c r="B23" s="240"/>
      <c r="C23" s="506">
        <f>SUM(C18:C22)</f>
        <v>0</v>
      </c>
      <c r="D23" s="507">
        <f>SUM(D18:D22)</f>
        <v>0</v>
      </c>
      <c r="E23" s="506">
        <f>SUM(E18:E22)</f>
        <v>0</v>
      </c>
      <c r="F23" s="505">
        <f>SUM(F18:F22)</f>
        <v>0</v>
      </c>
      <c r="G23" s="473"/>
      <c r="H23" s="912"/>
      <c r="I23" s="899"/>
      <c r="J23" s="900"/>
      <c r="K23" s="504">
        <f>SUM(K18:K22)</f>
        <v>0</v>
      </c>
      <c r="L23" s="473"/>
      <c r="M23" s="473"/>
      <c r="N23" s="906"/>
      <c r="O23" s="899"/>
      <c r="P23" s="907"/>
    </row>
    <row r="24" spans="1:21" x14ac:dyDescent="0.25">
      <c r="A24" s="38"/>
      <c r="B24" s="241"/>
      <c r="C24" s="242"/>
      <c r="D24" s="242"/>
      <c r="E24" s="243"/>
      <c r="F24" s="468"/>
      <c r="G24" s="134"/>
      <c r="H24" s="134"/>
      <c r="K24" s="134"/>
      <c r="L24" s="134"/>
      <c r="M24" s="153"/>
      <c r="P24" s="133"/>
    </row>
    <row r="25" spans="1:21" x14ac:dyDescent="0.25">
      <c r="A25" s="39"/>
      <c r="B25" s="244"/>
      <c r="C25" s="244"/>
      <c r="D25" s="892" t="s">
        <v>371</v>
      </c>
      <c r="E25" s="245"/>
      <c r="F25" s="245"/>
      <c r="G25" s="243"/>
      <c r="H25" s="243"/>
      <c r="K25" s="243"/>
      <c r="L25" s="246"/>
      <c r="M25" s="246"/>
      <c r="P25" s="247"/>
    </row>
    <row r="26" spans="1:21" x14ac:dyDescent="0.25">
      <c r="A26" s="38"/>
      <c r="B26" s="129"/>
      <c r="C26" s="129"/>
      <c r="D26" s="129"/>
      <c r="E26" s="248"/>
      <c r="F26" s="248"/>
      <c r="G26" s="249"/>
      <c r="H26" s="249"/>
      <c r="K26" s="250"/>
      <c r="L26" s="250"/>
      <c r="M26" s="250"/>
      <c r="P26" s="133"/>
    </row>
    <row r="27" spans="1:21" x14ac:dyDescent="0.25">
      <c r="A27" s="136"/>
      <c r="B27" s="137"/>
      <c r="C27" s="137"/>
      <c r="D27" s="137"/>
      <c r="E27" s="134"/>
      <c r="F27" s="134"/>
      <c r="G27" s="134"/>
      <c r="H27" s="134"/>
      <c r="K27" s="134"/>
      <c r="L27" s="134"/>
      <c r="M27" s="134"/>
      <c r="P27" s="138"/>
    </row>
    <row r="28" spans="1:21" x14ac:dyDescent="0.25">
      <c r="A28" s="251"/>
      <c r="B28" s="135"/>
      <c r="C28" s="135"/>
      <c r="D28" s="794" t="s">
        <v>372</v>
      </c>
      <c r="E28" s="915" t="e">
        <f>E23/E25</f>
        <v>#DIV/0!</v>
      </c>
      <c r="F28" s="915" t="e">
        <f>F23/F25</f>
        <v>#DIV/0!</v>
      </c>
      <c r="G28" s="252"/>
      <c r="H28" s="252"/>
      <c r="K28" s="250"/>
      <c r="L28" s="250"/>
      <c r="M28" s="250"/>
      <c r="P28" s="140"/>
    </row>
    <row r="29" spans="1:21" x14ac:dyDescent="0.25">
      <c r="A29" s="139"/>
      <c r="B29" s="135"/>
      <c r="C29" s="141"/>
      <c r="D29" s="141"/>
      <c r="E29" s="142"/>
      <c r="F29" s="143"/>
      <c r="G29" s="143"/>
      <c r="H29" s="143"/>
      <c r="I29" s="143"/>
      <c r="J29" s="143"/>
      <c r="K29" s="143"/>
      <c r="L29" s="143"/>
      <c r="M29" s="253"/>
      <c r="N29" s="30"/>
      <c r="O29" s="126"/>
      <c r="P29" s="127"/>
    </row>
    <row r="30" spans="1:21" x14ac:dyDescent="0.25">
      <c r="A30" s="139"/>
      <c r="B30" s="135"/>
      <c r="C30" s="126"/>
      <c r="D30" s="145"/>
      <c r="E30" s="146"/>
      <c r="F30" s="147"/>
      <c r="G30" s="147"/>
      <c r="H30" s="147"/>
      <c r="I30" s="147"/>
      <c r="J30" s="147"/>
      <c r="K30" s="148"/>
      <c r="L30" s="148"/>
      <c r="M30" s="254"/>
      <c r="N30" s="30"/>
      <c r="O30" s="126"/>
      <c r="P30" s="127"/>
    </row>
    <row r="31" spans="1:21" s="367" customFormat="1" ht="75" customHeight="1" x14ac:dyDescent="0.2">
      <c r="A31" s="1059" t="s">
        <v>64</v>
      </c>
      <c r="B31" s="1060"/>
      <c r="C31" s="1060"/>
      <c r="D31" s="1060"/>
      <c r="E31" s="1060"/>
      <c r="F31" s="1060"/>
      <c r="G31" s="1060"/>
      <c r="H31" s="1060"/>
      <c r="I31" s="1060"/>
      <c r="J31" s="1060"/>
      <c r="K31" s="1060"/>
      <c r="L31" s="1060"/>
      <c r="M31" s="1060"/>
      <c r="N31" s="1060"/>
      <c r="O31" s="1060"/>
      <c r="P31" s="1061"/>
      <c r="Q31" s="33"/>
      <c r="R31" s="33"/>
      <c r="S31" s="33"/>
      <c r="T31" s="33"/>
      <c r="U31" s="33"/>
    </row>
    <row r="32" spans="1:21" ht="15.75" thickBot="1" x14ac:dyDescent="0.3">
      <c r="A32" s="293"/>
      <c r="B32" s="262"/>
      <c r="C32" s="262"/>
      <c r="D32" s="262"/>
      <c r="E32" s="262"/>
      <c r="F32" s="262"/>
      <c r="G32" s="262"/>
      <c r="H32" s="262"/>
      <c r="I32" s="262"/>
      <c r="J32" s="262"/>
      <c r="K32" s="262"/>
      <c r="L32" s="262"/>
      <c r="M32" s="262"/>
      <c r="N32" s="262"/>
      <c r="O32" s="262"/>
      <c r="P32" s="294"/>
    </row>
  </sheetData>
  <sheetProtection formatCells="0" formatColumns="0" formatRows="0" insertColumns="0" insertRows="0" insertHyperlinks="0" deleteColumns="0" deleteRows="0" sort="0" autoFilter="0" pivotTables="0"/>
  <mergeCells count="20">
    <mergeCell ref="A11:P11"/>
    <mergeCell ref="A13:P13"/>
    <mergeCell ref="A14:P14"/>
    <mergeCell ref="A31:P31"/>
    <mergeCell ref="O9:P9"/>
    <mergeCell ref="A9:C9"/>
    <mergeCell ref="D9:E9"/>
    <mergeCell ref="F9:I9"/>
    <mergeCell ref="J9:K9"/>
    <mergeCell ref="L9:N9"/>
    <mergeCell ref="N17:P17"/>
    <mergeCell ref="H17:J17"/>
    <mergeCell ref="O8:P8"/>
    <mergeCell ref="D1:M2"/>
    <mergeCell ref="A3:P5"/>
    <mergeCell ref="E6:L7"/>
    <mergeCell ref="M6:N6"/>
    <mergeCell ref="O6:P6"/>
    <mergeCell ref="M7:N7"/>
    <mergeCell ref="O7:P7"/>
  </mergeCells>
  <dataValidations count="3">
    <dataValidation type="list" allowBlank="1" showInputMessage="1" showErrorMessage="1" sqref="O9:P9" xr:uid="{00000000-0002-0000-0D00-000000000000}">
      <formula1>Diligences</formula1>
    </dataValidation>
    <dataValidation type="list" showInputMessage="1" showErrorMessage="1" sqref="D9:E9" xr:uid="{00000000-0002-0000-0D00-000001000000}">
      <formula1>RAS</formula1>
    </dataValidation>
    <dataValidation type="list" allowBlank="1" showInputMessage="1" showErrorMessage="1" sqref="G18:G22" xr:uid="{00000000-0002-0000-0D00-000002000000}">
      <formula1>$S$19:$S$20</formula1>
    </dataValidation>
  </dataValidations>
  <hyperlinks>
    <hyperlink ref="O8:P8" location="'S Synthèse'!A1" display="S Synthèse" xr:uid="{00000000-0004-0000-0D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D3FFDFD4C05D14DADD40B72BFB892F2" ma:contentTypeVersion="12" ma:contentTypeDescription="Crée un document." ma:contentTypeScope="" ma:versionID="a1e612abde7994f04a20992d1f580c2e">
  <xsd:schema xmlns:xsd="http://www.w3.org/2001/XMLSchema" xmlns:xs="http://www.w3.org/2001/XMLSchema" xmlns:p="http://schemas.microsoft.com/office/2006/metadata/properties" xmlns:ns2="27d32b71-31f9-4ffd-a7f0-416f695e1477" xmlns:ns3="d905335e-07f7-449f-8325-7d00af0e6b96" targetNamespace="http://schemas.microsoft.com/office/2006/metadata/properties" ma:root="true" ma:fieldsID="ec4aa46a3384ff861a570c8849968e95" ns2:_="" ns3:_="">
    <xsd:import namespace="27d32b71-31f9-4ffd-a7f0-416f695e1477"/>
    <xsd:import namespace="d905335e-07f7-449f-8325-7d00af0e6b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d32b71-31f9-4ffd-a7f0-416f695e14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e55a836-def3-43e3-8f00-2a26c919754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05335e-07f7-449f-8325-7d00af0e6b9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e981c32-6aaa-40cd-9bf7-e0202a3392a7}" ma:internalName="TaxCatchAll" ma:showField="CatchAllData" ma:web="d905335e-07f7-449f-8325-7d00af0e6b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7d32b71-31f9-4ffd-a7f0-416f695e1477">
      <Terms xmlns="http://schemas.microsoft.com/office/infopath/2007/PartnerControls"/>
    </lcf76f155ced4ddcb4097134ff3c332f>
    <TaxCatchAll xmlns="d905335e-07f7-449f-8325-7d00af0e6b96" xsi:nil="true"/>
  </documentManagement>
</p:properties>
</file>

<file path=customXml/itemProps1.xml><?xml version="1.0" encoding="utf-8"?>
<ds:datastoreItem xmlns:ds="http://schemas.openxmlformats.org/officeDocument/2006/customXml" ds:itemID="{7C45D5F2-B479-4A1A-BA4E-1BFA7B00BAD6}"/>
</file>

<file path=customXml/itemProps2.xml><?xml version="1.0" encoding="utf-8"?>
<ds:datastoreItem xmlns:ds="http://schemas.openxmlformats.org/officeDocument/2006/customXml" ds:itemID="{F86164FE-A969-4DDB-BBE6-D1C0B31FB5E4}">
  <ds:schemaRefs>
    <ds:schemaRef ds:uri="http://schemas.microsoft.com/sharepoint/v3/contenttype/forms"/>
  </ds:schemaRefs>
</ds:datastoreItem>
</file>

<file path=customXml/itemProps3.xml><?xml version="1.0" encoding="utf-8"?>
<ds:datastoreItem xmlns:ds="http://schemas.openxmlformats.org/officeDocument/2006/customXml" ds:itemID="{449EFEC9-8438-4354-B803-B0CABD0BF5A9}">
  <ds:schemaRefs>
    <ds:schemaRef ds:uri="http://purl.org/dc/terms/"/>
    <ds:schemaRef ds:uri="http://schemas.openxmlformats.org/package/2006/metadata/core-properties"/>
    <ds:schemaRef ds:uri="9d7aee5f-c6d7-4567-bea9-00a4b0c47d6f"/>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aed0d0bd-a659-4dbf-bbaa-a56f4efa3b0c"/>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13</vt:i4>
      </vt:variant>
      <vt:variant>
        <vt:lpstr>Plages nommées</vt:lpstr>
      </vt:variant>
      <vt:variant>
        <vt:i4>16</vt:i4>
      </vt:variant>
    </vt:vector>
  </HeadingPairs>
  <TitlesOfParts>
    <vt:vector size="29" baseType="lpstr">
      <vt:lpstr>S Synthèse</vt:lpstr>
      <vt:lpstr>S100 Tableau var stocks</vt:lpstr>
      <vt:lpstr>S200 Rappro états stock-compta</vt:lpstr>
      <vt:lpstr>S300 Rotation stocks</vt:lpstr>
      <vt:lpstr>S400 Réconciliation IP</vt:lpstr>
      <vt:lpstr>S510 Valo MP</vt:lpstr>
      <vt:lpstr>S511 Contrôle var PU MP</vt:lpstr>
      <vt:lpstr>S512 Test détail valo MP</vt:lpstr>
      <vt:lpstr>S520 Valo EC</vt:lpstr>
      <vt:lpstr>S530 Valo PF</vt:lpstr>
      <vt:lpstr>S600 Cut-off</vt:lpstr>
      <vt:lpstr>S700 Dépréciation stocks</vt:lpstr>
      <vt:lpstr>S710 Dép N-1 et dénouement</vt:lpstr>
      <vt:lpstr>Diligences</vt:lpstr>
      <vt:lpstr>Etat</vt:lpstr>
      <vt:lpstr>RAS</vt:lpstr>
      <vt:lpstr>'S Synthèse'!Zone_d_impression</vt:lpstr>
      <vt:lpstr>'S100 Tableau var stocks'!Zone_d_impression</vt:lpstr>
      <vt:lpstr>'S200 Rappro états stock-compta'!Zone_d_impression</vt:lpstr>
      <vt:lpstr>'S300 Rotation stocks'!Zone_d_impression</vt:lpstr>
      <vt:lpstr>'S400 Réconciliation IP'!Zone_d_impression</vt:lpstr>
      <vt:lpstr>'S510 Valo MP'!Zone_d_impression</vt:lpstr>
      <vt:lpstr>'S511 Contrôle var PU MP'!Zone_d_impression</vt:lpstr>
      <vt:lpstr>'S512 Test détail valo MP'!Zone_d_impression</vt:lpstr>
      <vt:lpstr>'S520 Valo EC'!Zone_d_impression</vt:lpstr>
      <vt:lpstr>'S530 Valo PF'!Zone_d_impression</vt:lpstr>
      <vt:lpstr>'S600 Cut-off'!Zone_d_impression</vt:lpstr>
      <vt:lpstr>'S700 Dépréciation stocks'!Zone_d_impression</vt:lpstr>
      <vt:lpstr>'S710 Dép N-1 et dénouement'!Zone_d_impression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Charles CHA. ARNAUD</dc:creator>
  <cp:keywords/>
  <dc:description/>
  <cp:lastModifiedBy>BRIAN BRY. RAULY</cp:lastModifiedBy>
  <cp:revision/>
  <dcterms:created xsi:type="dcterms:W3CDTF">2017-01-24T11:12:27Z</dcterms:created>
  <dcterms:modified xsi:type="dcterms:W3CDTF">2024-07-08T07:38:11Z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0x010100BD3FFDFD4C05D14DADD40B72BFB892F2</vt:lpwstr>
  </property>
</Properties>
</file>