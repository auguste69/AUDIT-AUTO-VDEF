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Srvdcvil\collaborateurs\2-COLLABORATEURS\Brian\Modèles\Dossier annuel\I- Immobilisations\"/>
    </mc:Choice>
  </mc:AlternateContent>
  <xr:revisionPtr revIDLastSave="0" documentId="13_ncr:1_{08283C37-426A-49E7-9476-895E96A210D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 Synthèse" sheetId="4" r:id="rId1"/>
    <sheet name="I850 Titres et créances ratta" sheetId="2" r:id="rId2"/>
    <sheet name="I900 Autres immos fi." sheetId="3" state="hidden" r:id="rId3"/>
  </sheets>
  <externalReferences>
    <externalReference r:id="rId4"/>
    <externalReference r:id="rId5"/>
  </externalReferences>
  <definedNames>
    <definedName name="ça">"$#REF !.$B$508:$R$508"</definedName>
    <definedName name="CA_N">[1]SIG!$B$8</definedName>
    <definedName name="CA_N_1">[1]SIG!$D$8</definedName>
    <definedName name="çb">"$#REF !.$A$48:$K$48"</definedName>
    <definedName name="çi">"$#REF !.$R$11:$R$508"</definedName>
    <definedName name="cloture">"$#REF !.$G$9"</definedName>
    <definedName name="çp">"$#REF !.$B$44:$F$44"</definedName>
    <definedName name="çr">"$#REF !.$B$62:$H$62"</definedName>
    <definedName name="çs">"$#REF !.$B$161:$L$161"</definedName>
    <definedName name="dateCloture" localSheetId="0">#REF!</definedName>
    <definedName name="dateCloture" localSheetId="1">#REF!</definedName>
    <definedName name="dateCloture" localSheetId="2">#REF!</definedName>
    <definedName name="dateCloture">#REF!</definedName>
    <definedName name="DatesCloture">"$#REF !.$F$9:$#REF !.$M$9"</definedName>
    <definedName name="Diligences" localSheetId="0">'I Synthèse'!$Q$7:$Q$9</definedName>
    <definedName name="Diligences" localSheetId="1">'I850 Titres et créances ratta'!#REF!</definedName>
    <definedName name="Diligences" localSheetId="2">'I900 Autres immos fi.'!#REF!</definedName>
    <definedName name="Diligences">'[2]I Synthèse'!$R$7:$R$9</definedName>
    <definedName name="Etat" localSheetId="0">'I Synthèse'!$Q$1:$Q$3</definedName>
    <definedName name="Etat" localSheetId="1">'I850 Titres et créances ratta'!#REF!</definedName>
    <definedName name="Etat" localSheetId="2">'I900 Autres immos fi.'!#REF!</definedName>
    <definedName name="Etat">'[2]I Synthèse'!$R$1:$R$3</definedName>
    <definedName name="NomDossier">"$#REF !.$E$1"</definedName>
    <definedName name="RAS" localSheetId="0">'I Synthèse'!$Q$4:$Q$6</definedName>
    <definedName name="RAS" localSheetId="1">'I850 Titres et créances ratta'!#REF!</definedName>
    <definedName name="RAS" localSheetId="2">'I900 Autres immos fi.'!#REF!</definedName>
    <definedName name="RAS">'[2]I Synthèse'!$R$4:$R$6</definedName>
    <definedName name="referenceDossier" localSheetId="0">#REF!</definedName>
    <definedName name="referenceDossier" localSheetId="1">#REF!</definedName>
    <definedName name="referenceDossier" localSheetId="2">#REF!</definedName>
    <definedName name="referenceDossier">#REF!</definedName>
    <definedName name="sold6037">"$#REF !.$A$85:$I$85"</definedName>
    <definedName name="sold607">"$#REF !.$A$84:$I$84"</definedName>
    <definedName name="sold701">"$#REF !.$A$73:$I$73"</definedName>
    <definedName name="sold706">"$#REF !.$A$74:$I$74"</definedName>
    <definedName name="sold707">"$#REF !.$A$72:$I$72"</definedName>
    <definedName name="sold71">"$#REF !.$A$75:$I$75"</definedName>
    <definedName name="sold781">"$#REF !.$A$151:$I$151"</definedName>
    <definedName name="sold791">"$#REF !.$A$82:$I$82"</definedName>
    <definedName name="soldesCapitaux">"$#REF !.$A$55:$J$66"</definedName>
    <definedName name="start_toc" localSheetId="0">#REF!</definedName>
    <definedName name="start_toc" localSheetId="1">#REF!</definedName>
    <definedName name="start_toc" localSheetId="2">#REF!</definedName>
    <definedName name="start_toc">#REF!</definedName>
    <definedName name="TOTAL1_N">'[1]BILAN PASSIF'!$F$24</definedName>
    <definedName name="TOTAL1_N_1">'[1]BILAN PASSIF'!$H$24</definedName>
    <definedName name="TOTAL2_N">'[1]BILAN PASSIF'!$F$29</definedName>
    <definedName name="TOTAL2_N_1">'[1]BILAN PASSIF'!$H$29</definedName>
    <definedName name="TOTAL3_N">'[1]BILAN PASSIF'!$F$34</definedName>
    <definedName name="TOTAL3_N_1">'[1]BILAN PASSIF'!$H$34</definedName>
    <definedName name="TOTAL4_N">'[1]BILAN PASSIF'!$F$54</definedName>
    <definedName name="TOTAL4_N_1">'[1]BILAN PASSIF'!$H$54</definedName>
    <definedName name="TOTAL5_N">'[1]BILAN PASSIF'!$F$56</definedName>
    <definedName name="TOTAL5_N_1">'[1]BILAN PASSIF'!$H$56</definedName>
    <definedName name="TOTALGEN_N">'[1]BILAN PASSIF'!$F$58</definedName>
    <definedName name="TOTALGEN_N_1">'[1]BILAN PASSIF'!$H$58</definedName>
    <definedName name="uniteMonetaire" localSheetId="0">#REF!</definedName>
    <definedName name="uniteMonetaire" localSheetId="1">#REF!</definedName>
    <definedName name="uniteMonetaire" localSheetId="2">#REF!</definedName>
    <definedName name="uniteMonetaire">#REF!</definedName>
    <definedName name="Z_11CE3843_8765_4D4C_AA39_79A83C002DF6_.wvu.PrintArea" localSheetId="0" hidden="1">'I Synthèse'!$A$1:$O$14</definedName>
    <definedName name="Z_11CE3843_8765_4D4C_AA39_79A83C002DF6_.wvu.PrintArea" localSheetId="1" hidden="1">'I850 Titres et créances ratta'!$A$1:$P$10</definedName>
    <definedName name="Z_11CE3843_8765_4D4C_AA39_79A83C002DF6_.wvu.PrintArea" localSheetId="2" hidden="1">'I900 Autres immos fi.'!$A$1:$P$10</definedName>
    <definedName name="Z_3BBE5D10_E029_4BF5_BC04_29D3FAA5A0EB_.wvu.PrintArea" localSheetId="0" hidden="1">'I Synthèse'!$A$1:$O$14</definedName>
    <definedName name="Z_3BBE5D10_E029_4BF5_BC04_29D3FAA5A0EB_.wvu.PrintArea" localSheetId="1" hidden="1">'I850 Titres et créances ratta'!$A$1:$P$10</definedName>
    <definedName name="Z_3BBE5D10_E029_4BF5_BC04_29D3FAA5A0EB_.wvu.PrintArea" localSheetId="2" hidden="1">'I900 Autres immos fi.'!$A$1:$P$10</definedName>
    <definedName name="_xlnm.Print_Area" localSheetId="0">'I Synthèse'!$A$1:$O$33</definedName>
    <definedName name="_xlnm.Print_Area" localSheetId="1">'I850 Titres et créances ratta'!$A$1:$P$51</definedName>
    <definedName name="_xlnm.Print_Area" localSheetId="2">'I900 Autres immos fi.'!$A$1:$P$33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3" l="1"/>
  <c r="O9" i="2"/>
  <c r="A31" i="2" l="1"/>
  <c r="A32" i="2"/>
  <c r="A33" i="2"/>
  <c r="A34" i="2"/>
  <c r="A35" i="2"/>
  <c r="A30" i="2"/>
  <c r="H43" i="2"/>
  <c r="J43" i="2" s="1"/>
  <c r="I20" i="2"/>
  <c r="A43" i="2" l="1"/>
  <c r="E36" i="2"/>
  <c r="D36" i="2"/>
  <c r="C36" i="2"/>
  <c r="F35" i="2"/>
  <c r="I35" i="2" s="1"/>
  <c r="F34" i="2"/>
  <c r="I34" i="2" s="1"/>
  <c r="F33" i="2"/>
  <c r="I33" i="2" s="1"/>
  <c r="F32" i="2"/>
  <c r="I32" i="2" s="1"/>
  <c r="F31" i="2"/>
  <c r="I31" i="2" s="1"/>
  <c r="F30" i="2"/>
  <c r="I30" i="2" s="1"/>
  <c r="I21" i="2"/>
  <c r="I22" i="2"/>
  <c r="I23" i="2"/>
  <c r="I24" i="2"/>
  <c r="I25" i="2"/>
  <c r="F20" i="2"/>
  <c r="F36" i="2" l="1"/>
  <c r="D1" i="3"/>
  <c r="D1" i="2"/>
  <c r="F21" i="2" l="1"/>
  <c r="C44" i="2" s="1"/>
  <c r="F22" i="2"/>
  <c r="C45" i="2" s="1"/>
  <c r="F23" i="2"/>
  <c r="C46" i="2" s="1"/>
  <c r="F24" i="2"/>
  <c r="C47" i="2" s="1"/>
  <c r="F25" i="2"/>
  <c r="C48" i="2" s="1"/>
  <c r="I26" i="2" l="1"/>
  <c r="A44" i="2"/>
  <c r="A45" i="2"/>
  <c r="A46" i="2"/>
  <c r="A47" i="2"/>
  <c r="A48" i="2"/>
  <c r="A3" i="3"/>
  <c r="A3" i="2"/>
  <c r="M7" i="3"/>
  <c r="D7" i="3"/>
  <c r="B7" i="3"/>
  <c r="D6" i="3"/>
  <c r="B6" i="3"/>
  <c r="M7" i="2"/>
  <c r="D7" i="2"/>
  <c r="B7" i="2"/>
  <c r="D6" i="2"/>
  <c r="B6" i="2"/>
  <c r="J9" i="3"/>
  <c r="D9" i="3"/>
  <c r="J9" i="2"/>
  <c r="D9" i="2"/>
  <c r="C13" i="4"/>
  <c r="C12" i="4"/>
  <c r="E26" i="2"/>
  <c r="D26" i="2"/>
  <c r="C26" i="2"/>
  <c r="G47" i="2"/>
  <c r="H47" i="2" s="1"/>
  <c r="J47" i="2" s="1"/>
  <c r="I49" i="2"/>
  <c r="E49" i="2"/>
  <c r="G48" i="2"/>
  <c r="H48" i="2" s="1"/>
  <c r="J48" i="2" s="1"/>
  <c r="G46" i="2"/>
  <c r="H46" i="2" s="1"/>
  <c r="J46" i="2" s="1"/>
  <c r="G45" i="2"/>
  <c r="H45" i="2" s="1"/>
  <c r="J45" i="2" s="1"/>
  <c r="G44" i="2"/>
  <c r="H44" i="2" s="1"/>
  <c r="J44" i="2" l="1"/>
  <c r="H49" i="2"/>
  <c r="F26" i="2"/>
  <c r="C49" i="2"/>
  <c r="G49" i="2"/>
  <c r="J49" i="2" l="1"/>
</calcChain>
</file>

<file path=xl/sharedStrings.xml><?xml version="1.0" encoding="utf-8"?>
<sst xmlns="http://schemas.openxmlformats.org/spreadsheetml/2006/main" count="117" uniqueCount="69">
  <si>
    <t>#NomClient</t>
  </si>
  <si>
    <t>OUI</t>
  </si>
  <si>
    <t>NON</t>
  </si>
  <si>
    <t>IMMOBILISATIONS FINANCIERES</t>
  </si>
  <si>
    <t>Faible</t>
  </si>
  <si>
    <t>Modéré</t>
  </si>
  <si>
    <t>Fait par :</t>
  </si>
  <si>
    <t>Revu par :</t>
  </si>
  <si>
    <t>Synthèse du cycle</t>
  </si>
  <si>
    <t>Date Clôture</t>
  </si>
  <si>
    <t>XRef</t>
  </si>
  <si>
    <t>Elevé</t>
  </si>
  <si>
    <t>Le :</t>
  </si>
  <si>
    <t>#DateClôture</t>
  </si>
  <si>
    <t>I</t>
  </si>
  <si>
    <t>PB</t>
  </si>
  <si>
    <t>PE</t>
  </si>
  <si>
    <t>Risque d'anomalies significatives</t>
  </si>
  <si>
    <t>Seuil d'investigation</t>
  </si>
  <si>
    <t>Niveau de diligences</t>
  </si>
  <si>
    <t>PE + VP</t>
  </si>
  <si>
    <t>Xref</t>
  </si>
  <si>
    <t>Contrôles</t>
  </si>
  <si>
    <t>Diligences à tester</t>
  </si>
  <si>
    <t>Liens</t>
  </si>
  <si>
    <t>I850</t>
  </si>
  <si>
    <t>I850 Titres financiers</t>
  </si>
  <si>
    <t>I900</t>
  </si>
  <si>
    <t>I900 Autres immos fi.</t>
  </si>
  <si>
    <t>Revue analytique</t>
  </si>
  <si>
    <t>CONCLUSION</t>
  </si>
  <si>
    <t>Oui</t>
  </si>
  <si>
    <t>Non</t>
  </si>
  <si>
    <t>Analyse de la détention et de la dépréciation des titres et créances rattachées</t>
  </si>
  <si>
    <t>I Synthèse</t>
  </si>
  <si>
    <r>
      <t>Objectif</t>
    </r>
    <r>
      <rPr>
        <sz val="11"/>
        <rFont val="Calibri"/>
        <family val="2"/>
        <scheme val="minor"/>
      </rPr>
      <t xml:space="preserve">
Contrôler l'évaluation des titres de participation et des créances rattachées
S'assurer de l''exhaustivité de la dépréciation comptabilisée
</t>
    </r>
    <r>
      <rPr>
        <b/>
        <u/>
        <sz val="11"/>
        <rFont val="Calibri"/>
        <family val="2"/>
        <scheme val="minor"/>
      </rPr>
      <t>Travail effectué</t>
    </r>
    <r>
      <rPr>
        <sz val="11"/>
        <rFont val="Calibri"/>
        <family val="2"/>
        <scheme val="minor"/>
      </rPr>
      <t xml:space="preserve">
Evaluation des titres de participation et des créances rattachées et / ou CC Actif, par examen de la dernière clôture / situation des filiales et par comparaison de la Quote-Part de l'actif net détenu avec la valeur brute des Titres de Participation et des créances rattachées
Remonter en synthèse les dotations / reprises devant être retraitées au niveau du résultat fiscal</t>
    </r>
  </si>
  <si>
    <t>Conclusion sur le contrôle</t>
  </si>
  <si>
    <t>1° Variation des immobilisations financières</t>
  </si>
  <si>
    <t>Société</t>
  </si>
  <si>
    <t>Titres détenus 
à la clôture N-1</t>
  </si>
  <si>
    <t>acquisitions</t>
  </si>
  <si>
    <t>X-Ref</t>
  </si>
  <si>
    <t>cessions</t>
  </si>
  <si>
    <t>Titres détenus 
à la clôture N</t>
  </si>
  <si>
    <t>Commentaires</t>
  </si>
  <si>
    <t>TOTAL</t>
  </si>
  <si>
    <t>Créances rattachées à la clôture N-1</t>
  </si>
  <si>
    <t>2° Valorisation des immobilisations financières</t>
  </si>
  <si>
    <t>Valeur brute des titres</t>
  </si>
  <si>
    <t>% Dét.</t>
  </si>
  <si>
    <t>Capitaux propres</t>
  </si>
  <si>
    <t>Revue des autres immobilisations financières</t>
  </si>
  <si>
    <r>
      <t>Objectif</t>
    </r>
    <r>
      <rPr>
        <sz val="11"/>
        <rFont val="Calibri"/>
        <family val="2"/>
        <scheme val="minor"/>
      </rPr>
      <t xml:space="preserve">
S'assurer de la réalité  et la valorisation des autres immobilisations financière à la clôture
</t>
    </r>
    <r>
      <rPr>
        <b/>
        <u/>
        <sz val="11"/>
        <rFont val="Calibri"/>
        <family val="2"/>
        <scheme val="minor"/>
      </rPr>
      <t>Travail effectué</t>
    </r>
    <r>
      <rPr>
        <sz val="11"/>
        <rFont val="Calibri"/>
        <family val="2"/>
        <scheme val="minor"/>
      </rPr>
      <t xml:space="preserve">
Obtenir le détail des mouvements des autres immobilisations financières (dépôts et cautionnement versés, etc…)
Obtenir les documents justificatifs pour les principales variations</t>
    </r>
  </si>
  <si>
    <t xml:space="preserve"> </t>
  </si>
  <si>
    <t>Plus/moins values constatées</t>
  </si>
  <si>
    <t>Prix cession</t>
  </si>
  <si>
    <t>Reprise dépréciation</t>
  </si>
  <si>
    <t>Augmentation</t>
  </si>
  <si>
    <t>Diminution</t>
  </si>
  <si>
    <t>Reprise de dépréciation</t>
  </si>
  <si>
    <t>Créances rattachées brutes 
à la clôture N</t>
  </si>
  <si>
    <t>Créances rattachées nettes 
à la clôture N</t>
  </si>
  <si>
    <t>Dotation de dépréciation</t>
  </si>
  <si>
    <t>Quôte part de détention</t>
  </si>
  <si>
    <t>Plus/moins values latentes</t>
  </si>
  <si>
    <t>Dépréciation comptabilisée</t>
  </si>
  <si>
    <t>Dépréciation complémentaire</t>
  </si>
  <si>
    <t>BRA</t>
  </si>
  <si>
    <r>
      <t xml:space="preserve">cf. </t>
    </r>
    <r>
      <rPr>
        <b/>
        <sz val="12"/>
        <color rgb="FFFF0000"/>
        <rFont val="Calibri"/>
        <family val="2"/>
        <scheme val="minor"/>
      </rPr>
      <t>Ifi0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</si>
</sst>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2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Calibri"/>
      <family val="2"/>
      <scheme val="minor"/>
    </font>
    <font>
      <b/>
      <i/>
      <sz val="13"/>
      <name val="Calibri"/>
      <family val="2"/>
      <scheme val="minor"/>
    </font>
    <font>
      <sz val="12"/>
      <name val="Calibri"/>
      <family val="2"/>
      <scheme val="minor"/>
    </font>
    <font>
      <b/>
      <sz val="17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3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Wingdings 2"/>
      <family val="1"/>
      <charset val="2"/>
    </font>
    <font>
      <b/>
      <sz val="11"/>
      <color rgb="FFFF0000"/>
      <name val="Wingdings"/>
      <charset val="2"/>
    </font>
    <font>
      <b/>
      <sz val="11"/>
      <color rgb="FFFF0000"/>
      <name val="Calibri"/>
      <family val="2"/>
    </font>
    <font>
      <b/>
      <sz val="11"/>
      <color rgb="FFFF0000"/>
      <name val="Wingdings 3"/>
      <family val="1"/>
      <charset val="2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1"/>
      </patternFill>
    </fill>
    <fill>
      <patternFill patternType="solid">
        <fgColor rgb="FF00206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/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3" fillId="0" borderId="0"/>
    <xf numFmtId="164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245">
    <xf numFmtId="0" fontId="0" fillId="0" borderId="0" xfId="0"/>
    <xf numFmtId="0" fontId="6" fillId="0" borderId="1" xfId="0" applyFont="1" applyBorder="1" applyAlignment="1" applyProtection="1">
      <alignment horizontal="left" vertical="top"/>
      <protection locked="0"/>
    </xf>
    <xf numFmtId="14" fontId="4" fillId="0" borderId="1" xfId="0" applyNumberFormat="1" applyFont="1" applyBorder="1" applyAlignment="1" applyProtection="1">
      <alignment vertical="center"/>
      <protection locked="0"/>
    </xf>
    <xf numFmtId="14" fontId="4" fillId="0" borderId="2" xfId="0" applyNumberFormat="1" applyFont="1" applyBorder="1" applyAlignment="1" applyProtection="1">
      <alignment vertical="center"/>
      <protection locked="0"/>
    </xf>
    <xf numFmtId="14" fontId="4" fillId="0" borderId="3" xfId="0" applyNumberFormat="1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0" xfId="0" applyFont="1" applyAlignment="1">
      <alignment vertical="center"/>
    </xf>
    <xf numFmtId="14" fontId="4" fillId="0" borderId="4" xfId="0" applyNumberFormat="1" applyFont="1" applyBorder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14" fontId="4" fillId="0" borderId="8" xfId="0" applyNumberFormat="1" applyFont="1" applyBorder="1" applyAlignment="1" applyProtection="1">
      <alignment vertical="center"/>
      <protection locked="0"/>
    </xf>
    <xf numFmtId="0" fontId="6" fillId="0" borderId="0" xfId="0" applyFont="1"/>
    <xf numFmtId="0" fontId="8" fillId="0" borderId="0" xfId="0" applyFont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right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0" fontId="8" fillId="0" borderId="5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14" fontId="10" fillId="0" borderId="0" xfId="0" applyNumberFormat="1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49" fontId="15" fillId="0" borderId="0" xfId="0" applyNumberFormat="1" applyFont="1" applyAlignment="1" applyProtection="1">
      <alignment horizontal="center" vertical="center"/>
      <protection locked="0"/>
    </xf>
    <xf numFmtId="14" fontId="11" fillId="0" borderId="0" xfId="0" applyNumberFormat="1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vertical="center" wrapText="1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0" fontId="11" fillId="0" borderId="1" xfId="0" applyFont="1" applyBorder="1" applyAlignment="1" applyProtection="1">
      <alignment vertical="center"/>
      <protection locked="0"/>
    </xf>
    <xf numFmtId="0" fontId="11" fillId="0" borderId="2" xfId="0" applyFont="1" applyBorder="1" applyAlignment="1" applyProtection="1">
      <alignment vertical="center"/>
      <protection locked="0"/>
    </xf>
    <xf numFmtId="0" fontId="11" fillId="0" borderId="3" xfId="0" applyFont="1" applyBorder="1" applyAlignment="1" applyProtection="1">
      <alignment vertical="center"/>
      <protection locked="0"/>
    </xf>
    <xf numFmtId="0" fontId="11" fillId="0" borderId="8" xfId="0" applyFont="1" applyBorder="1" applyAlignment="1" applyProtection="1">
      <alignment vertical="center"/>
      <protection locked="0"/>
    </xf>
    <xf numFmtId="0" fontId="11" fillId="0" borderId="0" xfId="0" applyFont="1" applyProtection="1">
      <protection locked="0"/>
    </xf>
    <xf numFmtId="9" fontId="11" fillId="0" borderId="16" xfId="3" applyFont="1" applyBorder="1" applyAlignment="1" applyProtection="1">
      <alignment horizontal="center" vertical="center"/>
      <protection locked="0"/>
    </xf>
    <xf numFmtId="165" fontId="11" fillId="2" borderId="16" xfId="2" applyNumberFormat="1" applyFont="1" applyFill="1" applyBorder="1" applyAlignment="1" applyProtection="1">
      <alignment vertical="center"/>
      <protection locked="0"/>
    </xf>
    <xf numFmtId="0" fontId="19" fillId="0" borderId="0" xfId="0" applyFont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2" fillId="0" borderId="0" xfId="0" applyFont="1" applyAlignment="1" applyProtection="1">
      <alignment horizontal="center"/>
      <protection locked="0"/>
    </xf>
    <xf numFmtId="0" fontId="10" fillId="0" borderId="33" xfId="0" applyFont="1" applyBorder="1" applyAlignment="1" applyProtection="1">
      <alignment horizontal="left" vertical="center"/>
      <protection locked="0"/>
    </xf>
    <xf numFmtId="0" fontId="10" fillId="0" borderId="33" xfId="0" applyFont="1" applyBorder="1" applyAlignment="1" applyProtection="1">
      <alignment vertical="center"/>
      <protection locked="0"/>
    </xf>
    <xf numFmtId="14" fontId="10" fillId="0" borderId="34" xfId="0" applyNumberFormat="1" applyFont="1" applyBorder="1" applyAlignment="1" applyProtection="1">
      <alignment horizontal="left" vertical="center"/>
      <protection locked="0"/>
    </xf>
    <xf numFmtId="0" fontId="11" fillId="0" borderId="4" xfId="0" applyFont="1" applyBorder="1" applyAlignment="1" applyProtection="1">
      <alignment vertical="center"/>
      <protection locked="0"/>
    </xf>
    <xf numFmtId="0" fontId="8" fillId="0" borderId="4" xfId="0" applyFont="1" applyBorder="1" applyAlignment="1" applyProtection="1">
      <alignment vertical="center"/>
      <protection locked="0"/>
    </xf>
    <xf numFmtId="4" fontId="18" fillId="0" borderId="5" xfId="0" applyNumberFormat="1" applyFont="1" applyBorder="1" applyAlignment="1">
      <alignment wrapText="1"/>
    </xf>
    <xf numFmtId="4" fontId="18" fillId="0" borderId="6" xfId="0" applyNumberFormat="1" applyFont="1" applyBorder="1" applyAlignment="1">
      <alignment horizontal="right"/>
    </xf>
    <xf numFmtId="4" fontId="11" fillId="0" borderId="6" xfId="0" applyNumberFormat="1" applyFont="1" applyBorder="1"/>
    <xf numFmtId="0" fontId="11" fillId="0" borderId="6" xfId="1" applyFont="1" applyBorder="1" applyAlignment="1">
      <alignment horizontal="center" vertical="center"/>
    </xf>
    <xf numFmtId="0" fontId="11" fillId="0" borderId="6" xfId="0" applyFont="1" applyBorder="1" applyAlignment="1" applyProtection="1">
      <alignment vertical="center"/>
      <protection locked="0"/>
    </xf>
    <xf numFmtId="0" fontId="11" fillId="0" borderId="7" xfId="0" applyFont="1" applyBorder="1" applyAlignment="1" applyProtection="1">
      <alignment vertical="center"/>
      <protection locked="0"/>
    </xf>
    <xf numFmtId="4" fontId="18" fillId="0" borderId="4" xfId="0" applyNumberFormat="1" applyFont="1" applyBorder="1" applyAlignment="1">
      <alignment wrapText="1"/>
    </xf>
    <xf numFmtId="4" fontId="18" fillId="0" borderId="0" xfId="0" applyNumberFormat="1" applyFont="1" applyAlignment="1">
      <alignment horizontal="right"/>
    </xf>
    <xf numFmtId="4" fontId="11" fillId="0" borderId="0" xfId="0" applyNumberFormat="1" applyFont="1"/>
    <xf numFmtId="0" fontId="11" fillId="0" borderId="0" xfId="1" applyFont="1" applyAlignment="1">
      <alignment horizontal="center" vertical="center"/>
    </xf>
    <xf numFmtId="0" fontId="11" fillId="0" borderId="5" xfId="0" applyFont="1" applyBorder="1" applyAlignment="1" applyProtection="1">
      <alignment vertical="center"/>
      <protection locked="0"/>
    </xf>
    <xf numFmtId="165" fontId="11" fillId="0" borderId="21" xfId="2" applyNumberFormat="1" applyFont="1" applyBorder="1" applyAlignment="1" applyProtection="1">
      <alignment vertical="center"/>
      <protection locked="0"/>
    </xf>
    <xf numFmtId="9" fontId="11" fillId="0" borderId="21" xfId="3" applyFont="1" applyBorder="1" applyAlignment="1" applyProtection="1">
      <alignment horizontal="center" vertical="center"/>
      <protection locked="0"/>
    </xf>
    <xf numFmtId="165" fontId="11" fillId="2" borderId="21" xfId="2" applyNumberFormat="1" applyFont="1" applyFill="1" applyBorder="1" applyAlignment="1" applyProtection="1">
      <alignment vertical="center"/>
      <protection locked="0"/>
    </xf>
    <xf numFmtId="165" fontId="11" fillId="0" borderId="21" xfId="2" applyNumberFormat="1" applyFont="1" applyFill="1" applyBorder="1" applyAlignment="1" applyProtection="1">
      <alignment vertical="center"/>
      <protection locked="0"/>
    </xf>
    <xf numFmtId="165" fontId="11" fillId="0" borderId="23" xfId="2" applyNumberFormat="1" applyFont="1" applyBorder="1" applyAlignment="1" applyProtection="1">
      <alignment vertical="center"/>
      <protection locked="0"/>
    </xf>
    <xf numFmtId="9" fontId="11" fillId="0" borderId="23" xfId="3" applyFont="1" applyBorder="1" applyAlignment="1" applyProtection="1">
      <alignment horizontal="center" vertical="center"/>
      <protection locked="0"/>
    </xf>
    <xf numFmtId="165" fontId="11" fillId="2" borderId="23" xfId="2" applyNumberFormat="1" applyFont="1" applyFill="1" applyBorder="1" applyAlignment="1" applyProtection="1">
      <alignment vertical="center"/>
      <protection locked="0"/>
    </xf>
    <xf numFmtId="165" fontId="11" fillId="0" borderId="23" xfId="2" applyNumberFormat="1" applyFont="1" applyFill="1" applyBorder="1" applyAlignment="1" applyProtection="1">
      <alignment vertical="center"/>
      <protection locked="0"/>
    </xf>
    <xf numFmtId="165" fontId="11" fillId="0" borderId="25" xfId="2" applyNumberFormat="1" applyFont="1" applyBorder="1" applyAlignment="1" applyProtection="1">
      <alignment vertical="center"/>
      <protection locked="0"/>
    </xf>
    <xf numFmtId="9" fontId="11" fillId="0" borderId="25" xfId="3" applyFont="1" applyBorder="1" applyAlignment="1" applyProtection="1">
      <alignment horizontal="center" vertical="center"/>
      <protection locked="0"/>
    </xf>
    <xf numFmtId="165" fontId="11" fillId="2" borderId="25" xfId="2" applyNumberFormat="1" applyFont="1" applyFill="1" applyBorder="1" applyAlignment="1" applyProtection="1">
      <alignment vertical="center"/>
      <protection locked="0"/>
    </xf>
    <xf numFmtId="165" fontId="11" fillId="0" borderId="25" xfId="2" applyNumberFormat="1" applyFont="1" applyFill="1" applyBorder="1" applyAlignment="1" applyProtection="1">
      <alignment vertical="center"/>
      <protection locked="0"/>
    </xf>
    <xf numFmtId="3" fontId="11" fillId="0" borderId="21" xfId="0" applyNumberFormat="1" applyFont="1" applyBorder="1" applyAlignment="1">
      <alignment vertical="center"/>
    </xf>
    <xf numFmtId="3" fontId="11" fillId="0" borderId="22" xfId="3" applyNumberFormat="1" applyFont="1" applyFill="1" applyBorder="1" applyAlignment="1">
      <alignment vertical="center"/>
    </xf>
    <xf numFmtId="3" fontId="11" fillId="0" borderId="23" xfId="0" applyNumberFormat="1" applyFont="1" applyBorder="1" applyAlignment="1">
      <alignment vertical="center"/>
    </xf>
    <xf numFmtId="3" fontId="11" fillId="0" borderId="24" xfId="3" applyNumberFormat="1" applyFont="1" applyFill="1" applyBorder="1" applyAlignment="1">
      <alignment vertical="center"/>
    </xf>
    <xf numFmtId="3" fontId="11" fillId="0" borderId="41" xfId="0" applyNumberFormat="1" applyFont="1" applyBorder="1" applyAlignment="1">
      <alignment vertical="center"/>
    </xf>
    <xf numFmtId="3" fontId="11" fillId="0" borderId="42" xfId="3" applyNumberFormat="1" applyFont="1" applyFill="1" applyBorder="1" applyAlignment="1">
      <alignment vertical="center"/>
    </xf>
    <xf numFmtId="49" fontId="11" fillId="0" borderId="18" xfId="0" applyNumberFormat="1" applyFont="1" applyBorder="1" applyAlignment="1" applyProtection="1">
      <alignment vertical="center"/>
      <protection locked="0"/>
    </xf>
    <xf numFmtId="0" fontId="11" fillId="0" borderId="18" xfId="0" applyFont="1" applyBorder="1" applyAlignment="1" applyProtection="1">
      <alignment vertical="center"/>
      <protection locked="0"/>
    </xf>
    <xf numFmtId="0" fontId="11" fillId="0" borderId="11" xfId="0" applyFont="1" applyBorder="1" applyAlignment="1" applyProtection="1">
      <alignment vertical="center" wrapText="1"/>
      <protection locked="0"/>
    </xf>
    <xf numFmtId="0" fontId="11" fillId="0" borderId="12" xfId="0" applyFont="1" applyBorder="1" applyAlignment="1" applyProtection="1">
      <alignment vertical="center" wrapText="1"/>
      <protection locked="0"/>
    </xf>
    <xf numFmtId="165" fontId="11" fillId="0" borderId="11" xfId="5" applyNumberFormat="1" applyFont="1" applyFill="1" applyBorder="1" applyAlignment="1" applyProtection="1">
      <alignment vertical="center" wrapText="1"/>
      <protection locked="0"/>
    </xf>
    <xf numFmtId="165" fontId="11" fillId="0" borderId="12" xfId="5" applyNumberFormat="1" applyFont="1" applyFill="1" applyBorder="1" applyAlignment="1" applyProtection="1">
      <alignment vertical="center" wrapText="1"/>
      <protection locked="0"/>
    </xf>
    <xf numFmtId="3" fontId="26" fillId="0" borderId="35" xfId="0" applyNumberFormat="1" applyFont="1" applyBorder="1" applyAlignment="1">
      <alignment vertical="center"/>
    </xf>
    <xf numFmtId="3" fontId="26" fillId="0" borderId="38" xfId="0" applyNumberFormat="1" applyFont="1" applyBorder="1" applyAlignment="1">
      <alignment vertical="center"/>
    </xf>
    <xf numFmtId="3" fontId="26" fillId="0" borderId="44" xfId="0" applyNumberFormat="1" applyFont="1" applyBorder="1" applyAlignment="1">
      <alignment vertical="center"/>
    </xf>
    <xf numFmtId="3" fontId="18" fillId="0" borderId="20" xfId="0" applyNumberFormat="1" applyFont="1" applyBorder="1"/>
    <xf numFmtId="4" fontId="8" fillId="4" borderId="0" xfId="0" applyNumberFormat="1" applyFont="1" applyFill="1" applyAlignment="1">
      <alignment horizontal="right"/>
    </xf>
    <xf numFmtId="3" fontId="8" fillId="5" borderId="0" xfId="0" applyNumberFormat="1" applyFont="1" applyFill="1"/>
    <xf numFmtId="3" fontId="18" fillId="4" borderId="0" xfId="0" applyNumberFormat="1" applyFont="1" applyFill="1"/>
    <xf numFmtId="3" fontId="11" fillId="5" borderId="0" xfId="0" applyNumberFormat="1" applyFont="1" applyFill="1" applyAlignment="1">
      <alignment horizontal="center" vertical="center"/>
    </xf>
    <xf numFmtId="3" fontId="11" fillId="4" borderId="0" xfId="0" applyNumberFormat="1" applyFont="1" applyFill="1" applyAlignment="1">
      <alignment vertical="center"/>
    </xf>
    <xf numFmtId="0" fontId="11" fillId="4" borderId="0" xfId="0" applyFont="1" applyFill="1" applyAlignment="1" applyProtection="1">
      <alignment vertical="center"/>
      <protection locked="0"/>
    </xf>
    <xf numFmtId="0" fontId="11" fillId="4" borderId="0" xfId="0" applyFont="1" applyFill="1" applyProtection="1">
      <protection locked="0"/>
    </xf>
    <xf numFmtId="4" fontId="8" fillId="0" borderId="20" xfId="0" applyNumberFormat="1" applyFont="1" applyBorder="1" applyAlignment="1">
      <alignment horizontal="right"/>
    </xf>
    <xf numFmtId="0" fontId="11" fillId="0" borderId="19" xfId="0" applyFont="1" applyBorder="1" applyAlignment="1" applyProtection="1">
      <alignment horizontal="right" vertical="center"/>
      <protection locked="0"/>
    </xf>
    <xf numFmtId="165" fontId="11" fillId="0" borderId="38" xfId="2" applyNumberFormat="1" applyFont="1" applyBorder="1" applyAlignment="1" applyProtection="1">
      <alignment horizontal="left" vertical="center"/>
      <protection locked="0"/>
    </xf>
    <xf numFmtId="165" fontId="11" fillId="0" borderId="23" xfId="2" applyNumberFormat="1" applyFont="1" applyFill="1" applyBorder="1" applyAlignment="1">
      <alignment vertical="center"/>
    </xf>
    <xf numFmtId="165" fontId="11" fillId="0" borderId="44" xfId="2" applyNumberFormat="1" applyFont="1" applyBorder="1" applyAlignment="1" applyProtection="1">
      <alignment horizontal="left" vertical="center"/>
      <protection locked="0"/>
    </xf>
    <xf numFmtId="165" fontId="11" fillId="0" borderId="20" xfId="2" applyNumberFormat="1" applyFont="1" applyBorder="1" applyAlignment="1" applyProtection="1">
      <alignment vertical="center"/>
      <protection locked="0"/>
    </xf>
    <xf numFmtId="165" fontId="8" fillId="3" borderId="16" xfId="2" applyNumberFormat="1" applyFont="1" applyFill="1" applyBorder="1"/>
    <xf numFmtId="165" fontId="11" fillId="0" borderId="35" xfId="2" applyNumberFormat="1" applyFont="1" applyBorder="1" applyAlignment="1" applyProtection="1">
      <alignment horizontal="left" vertical="center"/>
      <protection locked="0"/>
    </xf>
    <xf numFmtId="165" fontId="11" fillId="0" borderId="21" xfId="2" applyNumberFormat="1" applyFont="1" applyFill="1" applyBorder="1" applyAlignment="1">
      <alignment vertical="center"/>
    </xf>
    <xf numFmtId="165" fontId="11" fillId="3" borderId="16" xfId="2" applyNumberFormat="1" applyFont="1" applyFill="1" applyBorder="1" applyAlignment="1">
      <alignment vertical="center"/>
    </xf>
    <xf numFmtId="165" fontId="8" fillId="3" borderId="19" xfId="2" applyNumberFormat="1" applyFont="1" applyFill="1" applyBorder="1"/>
    <xf numFmtId="3" fontId="26" fillId="0" borderId="43" xfId="0" applyNumberFormat="1" applyFont="1" applyBorder="1" applyAlignment="1">
      <alignment vertical="center"/>
    </xf>
    <xf numFmtId="165" fontId="11" fillId="0" borderId="25" xfId="2" applyNumberFormat="1" applyFont="1" applyFill="1" applyBorder="1" applyAlignment="1">
      <alignment vertical="center"/>
    </xf>
    <xf numFmtId="3" fontId="11" fillId="0" borderId="35" xfId="0" applyNumberFormat="1" applyFont="1" applyBorder="1" applyAlignment="1">
      <alignment vertical="center" wrapText="1"/>
    </xf>
    <xf numFmtId="3" fontId="11" fillId="0" borderId="36" xfId="0" applyNumberFormat="1" applyFont="1" applyBorder="1" applyAlignment="1">
      <alignment vertical="center" wrapText="1"/>
    </xf>
    <xf numFmtId="3" fontId="11" fillId="0" borderId="38" xfId="0" applyNumberFormat="1" applyFont="1" applyBorder="1" applyAlignment="1">
      <alignment vertical="center" wrapText="1"/>
    </xf>
    <xf numFmtId="3" fontId="11" fillId="0" borderId="39" xfId="0" applyNumberFormat="1" applyFont="1" applyBorder="1" applyAlignment="1">
      <alignment vertical="center" wrapText="1"/>
    </xf>
    <xf numFmtId="0" fontId="11" fillId="0" borderId="36" xfId="0" applyFont="1" applyBorder="1" applyAlignment="1" applyProtection="1">
      <alignment vertical="center"/>
      <protection locked="0"/>
    </xf>
    <xf numFmtId="0" fontId="11" fillId="0" borderId="37" xfId="0" applyFont="1" applyBorder="1" applyAlignment="1" applyProtection="1">
      <alignment vertical="center"/>
      <protection locked="0"/>
    </xf>
    <xf numFmtId="0" fontId="11" fillId="0" borderId="39" xfId="0" applyFont="1" applyBorder="1" applyAlignment="1" applyProtection="1">
      <alignment vertical="center"/>
      <protection locked="0"/>
    </xf>
    <xf numFmtId="0" fontId="11" fillId="0" borderId="40" xfId="0" applyFont="1" applyBorder="1" applyAlignment="1" applyProtection="1">
      <alignment vertical="center"/>
      <protection locked="0"/>
    </xf>
    <xf numFmtId="3" fontId="11" fillId="0" borderId="44" xfId="0" applyNumberFormat="1" applyFont="1" applyBorder="1" applyAlignment="1">
      <alignment vertical="center" wrapText="1"/>
    </xf>
    <xf numFmtId="3" fontId="11" fillId="0" borderId="49" xfId="0" applyNumberFormat="1" applyFont="1" applyBorder="1" applyAlignment="1">
      <alignment vertical="center" wrapText="1"/>
    </xf>
    <xf numFmtId="0" fontId="11" fillId="0" borderId="49" xfId="0" applyFont="1" applyBorder="1" applyAlignment="1" applyProtection="1">
      <alignment vertical="center"/>
      <protection locked="0"/>
    </xf>
    <xf numFmtId="0" fontId="11" fillId="0" borderId="50" xfId="0" applyFont="1" applyBorder="1" applyAlignment="1" applyProtection="1">
      <alignment vertical="center"/>
      <protection locked="0"/>
    </xf>
    <xf numFmtId="3" fontId="11" fillId="0" borderId="20" xfId="0" applyNumberFormat="1" applyFont="1" applyBorder="1" applyAlignment="1">
      <alignment vertical="center" wrapText="1"/>
    </xf>
    <xf numFmtId="3" fontId="11" fillId="0" borderId="18" xfId="0" applyNumberFormat="1" applyFont="1" applyBorder="1" applyAlignment="1">
      <alignment vertical="center" wrapText="1"/>
    </xf>
    <xf numFmtId="0" fontId="11" fillId="0" borderId="28" xfId="0" applyFont="1" applyBorder="1" applyAlignment="1" applyProtection="1">
      <alignment vertical="center"/>
      <protection locked="0"/>
    </xf>
    <xf numFmtId="165" fontId="11" fillId="0" borderId="35" xfId="2" applyNumberFormat="1" applyFont="1" applyFill="1" applyBorder="1" applyAlignment="1">
      <alignment vertical="center"/>
    </xf>
    <xf numFmtId="165" fontId="11" fillId="0" borderId="38" xfId="2" applyNumberFormat="1" applyFont="1" applyFill="1" applyBorder="1" applyAlignment="1">
      <alignment vertical="center"/>
    </xf>
    <xf numFmtId="165" fontId="8" fillId="3" borderId="20" xfId="2" applyNumberFormat="1" applyFont="1" applyFill="1" applyBorder="1"/>
    <xf numFmtId="3" fontId="11" fillId="4" borderId="51" xfId="0" applyNumberFormat="1" applyFont="1" applyFill="1" applyBorder="1" applyAlignment="1">
      <alignment vertical="center"/>
    </xf>
    <xf numFmtId="165" fontId="11" fillId="3" borderId="21" xfId="2" applyNumberFormat="1" applyFont="1" applyFill="1" applyBorder="1" applyAlignment="1">
      <alignment vertical="center"/>
    </xf>
    <xf numFmtId="165" fontId="11" fillId="3" borderId="23" xfId="2" applyNumberFormat="1" applyFont="1" applyFill="1" applyBorder="1" applyAlignment="1">
      <alignment vertical="center"/>
    </xf>
    <xf numFmtId="165" fontId="11" fillId="3" borderId="25" xfId="2" applyNumberFormat="1" applyFont="1" applyFill="1" applyBorder="1" applyAlignment="1">
      <alignment vertical="center"/>
    </xf>
    <xf numFmtId="0" fontId="18" fillId="0" borderId="35" xfId="0" applyFont="1" applyBorder="1" applyAlignment="1" applyProtection="1">
      <alignment horizontal="center" vertical="center"/>
      <protection locked="0"/>
    </xf>
    <xf numFmtId="0" fontId="18" fillId="0" borderId="38" xfId="0" applyFont="1" applyBorder="1" applyAlignment="1" applyProtection="1">
      <alignment horizontal="center" vertical="center"/>
      <protection locked="0"/>
    </xf>
    <xf numFmtId="0" fontId="18" fillId="0" borderId="44" xfId="0" applyFont="1" applyBorder="1" applyAlignment="1" applyProtection="1">
      <alignment horizontal="center" vertical="center"/>
      <protection locked="0"/>
    </xf>
    <xf numFmtId="0" fontId="18" fillId="0" borderId="20" xfId="0" applyFont="1" applyBorder="1" applyAlignment="1" applyProtection="1">
      <alignment horizontal="center" vertical="center"/>
      <protection locked="0"/>
    </xf>
    <xf numFmtId="0" fontId="8" fillId="0" borderId="52" xfId="0" applyFont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center" vertical="center"/>
      <protection locked="0"/>
    </xf>
    <xf numFmtId="0" fontId="11" fillId="0" borderId="56" xfId="0" applyFont="1" applyBorder="1" applyAlignment="1" applyProtection="1">
      <alignment horizontal="center" vertical="center"/>
      <protection locked="0"/>
    </xf>
    <xf numFmtId="4" fontId="27" fillId="3" borderId="16" xfId="0" applyNumberFormat="1" applyFont="1" applyFill="1" applyBorder="1" applyAlignment="1">
      <alignment horizontal="center" vertical="center" wrapText="1"/>
    </xf>
    <xf numFmtId="4" fontId="28" fillId="3" borderId="16" xfId="0" applyNumberFormat="1" applyFont="1" applyFill="1" applyBorder="1" applyAlignment="1">
      <alignment horizontal="center" vertical="center" wrapText="1"/>
    </xf>
    <xf numFmtId="0" fontId="27" fillId="2" borderId="16" xfId="0" applyFont="1" applyFill="1" applyBorder="1" applyAlignment="1" applyProtection="1">
      <alignment horizontal="center" vertical="center" wrapText="1"/>
      <protection locked="0"/>
    </xf>
    <xf numFmtId="0" fontId="11" fillId="0" borderId="53" xfId="0" applyFont="1" applyBorder="1" applyAlignment="1" applyProtection="1">
      <alignment horizontal="center"/>
      <protection locked="0"/>
    </xf>
    <xf numFmtId="14" fontId="13" fillId="0" borderId="54" xfId="0" applyNumberFormat="1" applyFont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0" fontId="6" fillId="0" borderId="3" xfId="0" applyFont="1" applyBorder="1" applyAlignment="1" applyProtection="1">
      <alignment horizontal="left" vertical="top"/>
      <protection locked="0"/>
    </xf>
    <xf numFmtId="0" fontId="6" fillId="0" borderId="4" xfId="0" applyFont="1" applyBorder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6" fillId="0" borderId="8" xfId="0" applyFont="1" applyBorder="1" applyAlignment="1" applyProtection="1">
      <alignment horizontal="left" vertical="top"/>
      <protection locked="0"/>
    </xf>
    <xf numFmtId="0" fontId="6" fillId="0" borderId="5" xfId="0" applyFont="1" applyBorder="1" applyAlignment="1" applyProtection="1">
      <alignment horizontal="left" vertical="top"/>
      <protection locked="0"/>
    </xf>
    <xf numFmtId="0" fontId="6" fillId="0" borderId="6" xfId="0" applyFont="1" applyBorder="1" applyAlignment="1" applyProtection="1">
      <alignment horizontal="left" vertical="top"/>
      <protection locked="0"/>
    </xf>
    <xf numFmtId="0" fontId="6" fillId="0" borderId="7" xfId="0" applyFont="1" applyBorder="1" applyAlignment="1" applyProtection="1">
      <alignment horizontal="left" vertical="top"/>
      <protection locked="0"/>
    </xf>
    <xf numFmtId="0" fontId="14" fillId="0" borderId="1" xfId="0" applyFont="1" applyBorder="1" applyAlignment="1" applyProtection="1">
      <alignment horizontal="left" vertical="top"/>
      <protection locked="0"/>
    </xf>
    <xf numFmtId="0" fontId="14" fillId="0" borderId="2" xfId="0" applyFont="1" applyBorder="1" applyAlignment="1" applyProtection="1">
      <alignment horizontal="left" vertical="top"/>
      <protection locked="0"/>
    </xf>
    <xf numFmtId="0" fontId="14" fillId="0" borderId="3" xfId="0" applyFont="1" applyBorder="1" applyAlignment="1" applyProtection="1">
      <alignment horizontal="left" vertical="top"/>
      <protection locked="0"/>
    </xf>
    <xf numFmtId="0" fontId="14" fillId="0" borderId="4" xfId="0" applyFont="1" applyBorder="1" applyAlignment="1" applyProtection="1">
      <alignment horizontal="left" vertical="top"/>
      <protection locked="0"/>
    </xf>
    <xf numFmtId="0" fontId="14" fillId="0" borderId="0" xfId="0" applyFont="1" applyAlignment="1" applyProtection="1">
      <alignment horizontal="left" vertical="top"/>
      <protection locked="0"/>
    </xf>
    <xf numFmtId="0" fontId="14" fillId="0" borderId="8" xfId="0" applyFont="1" applyBorder="1" applyAlignment="1" applyProtection="1">
      <alignment horizontal="left" vertical="top"/>
      <protection locked="0"/>
    </xf>
    <xf numFmtId="0" fontId="14" fillId="0" borderId="5" xfId="0" applyFont="1" applyBorder="1" applyAlignment="1" applyProtection="1">
      <alignment horizontal="left" vertical="top"/>
      <protection locked="0"/>
    </xf>
    <xf numFmtId="0" fontId="14" fillId="0" borderId="6" xfId="0" applyFont="1" applyBorder="1" applyAlignment="1" applyProtection="1">
      <alignment horizontal="left" vertical="top"/>
      <protection locked="0"/>
    </xf>
    <xf numFmtId="0" fontId="14" fillId="0" borderId="7" xfId="0" applyFont="1" applyBorder="1" applyAlignment="1" applyProtection="1">
      <alignment horizontal="left" vertical="top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14" fontId="7" fillId="0" borderId="0" xfId="0" applyNumberFormat="1" applyFont="1" applyAlignment="1" applyProtection="1">
      <alignment horizontal="center" vertical="center"/>
      <protection locked="0"/>
    </xf>
    <xf numFmtId="14" fontId="7" fillId="0" borderId="8" xfId="0" applyNumberFormat="1" applyFont="1" applyBorder="1" applyAlignment="1" applyProtection="1">
      <alignment horizontal="center" vertical="center"/>
      <protection locked="0"/>
    </xf>
    <xf numFmtId="14" fontId="7" fillId="0" borderId="5" xfId="0" applyNumberFormat="1" applyFont="1" applyBorder="1" applyAlignment="1" applyProtection="1">
      <alignment horizontal="center" vertical="center"/>
      <protection locked="0"/>
    </xf>
    <xf numFmtId="14" fontId="7" fillId="0" borderId="6" xfId="0" applyNumberFormat="1" applyFont="1" applyBorder="1" applyAlignment="1" applyProtection="1">
      <alignment horizontal="center" vertical="center"/>
      <protection locked="0"/>
    </xf>
    <xf numFmtId="14" fontId="7" fillId="0" borderId="7" xfId="0" applyNumberFormat="1" applyFont="1" applyBorder="1" applyAlignment="1" applyProtection="1">
      <alignment horizontal="center" vertical="center"/>
      <protection locked="0"/>
    </xf>
    <xf numFmtId="49" fontId="12" fillId="0" borderId="1" xfId="0" applyNumberFormat="1" applyFont="1" applyBorder="1" applyAlignment="1" applyProtection="1">
      <alignment horizontal="center" vertical="center"/>
      <protection locked="0"/>
    </xf>
    <xf numFmtId="49" fontId="12" fillId="0" borderId="2" xfId="0" applyNumberFormat="1" applyFont="1" applyBorder="1" applyAlignment="1" applyProtection="1">
      <alignment horizontal="center" vertical="center"/>
      <protection locked="0"/>
    </xf>
    <xf numFmtId="49" fontId="12" fillId="0" borderId="3" xfId="0" applyNumberFormat="1" applyFont="1" applyBorder="1" applyAlignment="1" applyProtection="1">
      <alignment horizontal="center" vertical="center"/>
      <protection locked="0"/>
    </xf>
    <xf numFmtId="49" fontId="12" fillId="0" borderId="5" xfId="0" applyNumberFormat="1" applyFont="1" applyBorder="1" applyAlignment="1" applyProtection="1">
      <alignment horizontal="center" vertical="center"/>
      <protection locked="0"/>
    </xf>
    <xf numFmtId="49" fontId="12" fillId="0" borderId="6" xfId="0" applyNumberFormat="1" applyFont="1" applyBorder="1" applyAlignment="1" applyProtection="1">
      <alignment horizontal="center" vertical="center"/>
      <protection locked="0"/>
    </xf>
    <xf numFmtId="49" fontId="12" fillId="0" borderId="7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8" fillId="0" borderId="29" xfId="0" applyFont="1" applyBorder="1" applyAlignment="1" applyProtection="1">
      <alignment horizontal="center" vertical="center"/>
      <protection locked="0"/>
    </xf>
    <xf numFmtId="0" fontId="18" fillId="0" borderId="30" xfId="0" applyFont="1" applyBorder="1" applyAlignment="1" applyProtection="1">
      <alignment horizontal="center" vertical="center"/>
      <protection locked="0"/>
    </xf>
    <xf numFmtId="0" fontId="11" fillId="0" borderId="31" xfId="0" applyFont="1" applyBorder="1" applyAlignment="1" applyProtection="1">
      <alignment horizontal="left" vertical="center"/>
      <protection locked="0"/>
    </xf>
    <xf numFmtId="0" fontId="24" fillId="0" borderId="31" xfId="6" applyFont="1" applyFill="1" applyBorder="1" applyAlignment="1" applyProtection="1">
      <alignment horizontal="left" vertical="center"/>
      <protection locked="0"/>
    </xf>
    <xf numFmtId="0" fontId="24" fillId="0" borderId="32" xfId="6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horizontal="left" vertical="center"/>
      <protection locked="0"/>
    </xf>
    <xf numFmtId="0" fontId="8" fillId="0" borderId="2" xfId="0" applyFont="1" applyBorder="1" applyAlignment="1" applyProtection="1">
      <alignment horizontal="left" vertical="center"/>
      <protection locked="0"/>
    </xf>
    <xf numFmtId="0" fontId="8" fillId="0" borderId="3" xfId="0" applyFont="1" applyBorder="1" applyAlignment="1" applyProtection="1">
      <alignment horizontal="left" vertical="center"/>
      <protection locked="0"/>
    </xf>
    <xf numFmtId="0" fontId="8" fillId="0" borderId="9" xfId="0" applyFont="1" applyBorder="1" applyAlignment="1" applyProtection="1">
      <alignment horizontal="left" vertical="center" wrapText="1" indent="2"/>
      <protection locked="0"/>
    </xf>
    <xf numFmtId="0" fontId="8" fillId="0" borderId="10" xfId="0" applyFont="1" applyBorder="1" applyAlignment="1" applyProtection="1">
      <alignment horizontal="left" vertical="center" wrapText="1" indent="2"/>
      <protection locked="0"/>
    </xf>
    <xf numFmtId="0" fontId="8" fillId="0" borderId="9" xfId="0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horizontal="center" vertical="center" wrapText="1"/>
      <protection locked="0"/>
    </xf>
    <xf numFmtId="0" fontId="18" fillId="0" borderId="17" xfId="0" applyFont="1" applyBorder="1" applyAlignment="1" applyProtection="1">
      <alignment horizontal="center" vertical="center"/>
      <protection locked="0"/>
    </xf>
    <xf numFmtId="0" fontId="18" fillId="0" borderId="19" xfId="0" applyFont="1" applyBorder="1" applyAlignment="1" applyProtection="1">
      <alignment horizontal="center" vertical="center"/>
      <protection locked="0"/>
    </xf>
    <xf numFmtId="0" fontId="24" fillId="6" borderId="18" xfId="6" applyFont="1" applyFill="1" applyBorder="1" applyAlignment="1" applyProtection="1">
      <alignment horizontal="left" vertical="center"/>
      <protection locked="0"/>
    </xf>
    <xf numFmtId="0" fontId="24" fillId="6" borderId="28" xfId="6" applyFont="1" applyFill="1" applyBorder="1" applyAlignment="1" applyProtection="1">
      <alignment horizontal="left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0" fontId="8" fillId="0" borderId="14" xfId="0" applyFont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27" xfId="0" applyFont="1" applyBorder="1" applyAlignment="1" applyProtection="1">
      <alignment horizontal="left" vertical="center" wrapText="1" indent="3"/>
      <protection locked="0"/>
    </xf>
    <xf numFmtId="0" fontId="8" fillId="0" borderId="10" xfId="0" applyFont="1" applyBorder="1" applyAlignment="1" applyProtection="1">
      <alignment horizontal="left" vertical="center" wrapText="1" indent="3"/>
      <protection locked="0"/>
    </xf>
    <xf numFmtId="0" fontId="8" fillId="0" borderId="10" xfId="0" applyFont="1" applyBorder="1" applyAlignment="1" applyProtection="1">
      <alignment horizontal="center" wrapText="1"/>
      <protection locked="0"/>
    </xf>
    <xf numFmtId="0" fontId="8" fillId="0" borderId="12" xfId="0" applyFont="1" applyBorder="1" applyAlignment="1" applyProtection="1">
      <alignment horizontal="center" wrapText="1"/>
      <protection locked="0"/>
    </xf>
    <xf numFmtId="0" fontId="24" fillId="0" borderId="14" xfId="6" applyFont="1" applyFill="1" applyBorder="1" applyAlignment="1" applyProtection="1">
      <alignment horizontal="left" vertical="center"/>
      <protection locked="0"/>
    </xf>
    <xf numFmtId="0" fontId="24" fillId="0" borderId="15" xfId="6" applyFont="1" applyFill="1" applyBorder="1" applyAlignment="1" applyProtection="1">
      <alignment horizontal="left" vertical="center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0" fontId="8" fillId="0" borderId="26" xfId="0" applyFont="1" applyBorder="1" applyAlignment="1" applyProtection="1">
      <alignment horizontal="center" vertical="center"/>
      <protection locked="0"/>
    </xf>
    <xf numFmtId="0" fontId="11" fillId="0" borderId="46" xfId="0" applyFont="1" applyBorder="1" applyAlignment="1" applyProtection="1">
      <alignment horizontal="left" vertical="center"/>
      <protection locked="0"/>
    </xf>
    <xf numFmtId="0" fontId="11" fillId="0" borderId="24" xfId="0" applyFont="1" applyBorder="1" applyAlignment="1" applyProtection="1">
      <alignment horizontal="left" vertical="center"/>
      <protection locked="0"/>
    </xf>
    <xf numFmtId="0" fontId="11" fillId="0" borderId="47" xfId="0" applyFont="1" applyBorder="1" applyAlignment="1" applyProtection="1">
      <alignment horizontal="left" vertical="center"/>
      <protection locked="0"/>
    </xf>
    <xf numFmtId="0" fontId="11" fillId="0" borderId="48" xfId="0" applyFont="1" applyBorder="1" applyAlignment="1" applyProtection="1">
      <alignment horizontal="left" vertical="center"/>
      <protection locked="0"/>
    </xf>
    <xf numFmtId="4" fontId="27" fillId="3" borderId="20" xfId="0" applyNumberFormat="1" applyFont="1" applyFill="1" applyBorder="1" applyAlignment="1">
      <alignment horizontal="center" vertical="center" wrapText="1"/>
    </xf>
    <xf numFmtId="4" fontId="27" fillId="3" borderId="18" xfId="0" applyNumberFormat="1" applyFont="1" applyFill="1" applyBorder="1" applyAlignment="1">
      <alignment horizontal="center" vertical="center" wrapText="1"/>
    </xf>
    <xf numFmtId="4" fontId="27" fillId="3" borderId="28" xfId="0" applyNumberFormat="1" applyFont="1" applyFill="1" applyBorder="1" applyAlignment="1">
      <alignment horizontal="center" vertical="center" wrapText="1"/>
    </xf>
    <xf numFmtId="0" fontId="27" fillId="2" borderId="16" xfId="0" applyFont="1" applyFill="1" applyBorder="1" applyAlignment="1" applyProtection="1">
      <alignment horizontal="center" vertical="center"/>
      <protection locked="0"/>
    </xf>
    <xf numFmtId="0" fontId="11" fillId="0" borderId="45" xfId="0" applyFont="1" applyBorder="1" applyAlignment="1" applyProtection="1">
      <alignment horizontal="left" vertical="center"/>
      <protection locked="0"/>
    </xf>
    <xf numFmtId="0" fontId="11" fillId="0" borderId="22" xfId="0" applyFont="1" applyBorder="1" applyAlignment="1" applyProtection="1">
      <alignment horizontal="left" vertical="center"/>
      <protection locked="0"/>
    </xf>
    <xf numFmtId="3" fontId="26" fillId="4" borderId="39" xfId="0" applyNumberFormat="1" applyFont="1" applyFill="1" applyBorder="1" applyAlignment="1">
      <alignment horizontal="center" vertical="center"/>
    </xf>
    <xf numFmtId="165" fontId="11" fillId="4" borderId="18" xfId="2" applyNumberFormat="1" applyFont="1" applyFill="1" applyBorder="1" applyAlignment="1" applyProtection="1">
      <alignment horizontal="center" vertical="center"/>
      <protection locked="0"/>
    </xf>
    <xf numFmtId="3" fontId="26" fillId="4" borderId="49" xfId="0" applyNumberFormat="1" applyFont="1" applyFill="1" applyBorder="1" applyAlignment="1">
      <alignment horizontal="center" vertical="center"/>
    </xf>
    <xf numFmtId="0" fontId="25" fillId="0" borderId="10" xfId="6" applyFont="1" applyBorder="1" applyAlignment="1" applyProtection="1">
      <alignment horizontal="center" vertical="center"/>
      <protection locked="0"/>
    </xf>
    <xf numFmtId="0" fontId="17" fillId="0" borderId="9" xfId="0" applyFont="1" applyBorder="1" applyAlignment="1" applyProtection="1">
      <alignment horizontal="left" vertical="center" wrapText="1"/>
      <protection locked="0"/>
    </xf>
    <xf numFmtId="0" fontId="11" fillId="0" borderId="10" xfId="0" applyFont="1" applyBorder="1" applyAlignment="1" applyProtection="1">
      <alignment horizontal="left" vertical="center"/>
      <protection locked="0"/>
    </xf>
    <xf numFmtId="0" fontId="11" fillId="0" borderId="12" xfId="0" applyFont="1" applyBorder="1" applyAlignment="1" applyProtection="1">
      <alignment horizontal="left" vertical="center"/>
      <protection locked="0"/>
    </xf>
    <xf numFmtId="0" fontId="11" fillId="0" borderId="11" xfId="0" applyFont="1" applyBorder="1" applyAlignment="1" applyProtection="1">
      <alignment horizontal="center" vertical="center" wrapText="1"/>
      <protection locked="0"/>
    </xf>
    <xf numFmtId="0" fontId="11" fillId="0" borderId="12" xfId="0" applyFont="1" applyBorder="1" applyAlignment="1" applyProtection="1">
      <alignment horizontal="center" vertical="center" wrapText="1"/>
      <protection locked="0"/>
    </xf>
    <xf numFmtId="0" fontId="8" fillId="0" borderId="9" xfId="0" applyFont="1" applyBorder="1" applyAlignment="1" applyProtection="1">
      <alignment horizontal="left" vertical="center" wrapText="1"/>
      <protection locked="0"/>
    </xf>
    <xf numFmtId="0" fontId="8" fillId="0" borderId="10" xfId="0" applyFont="1" applyBorder="1" applyAlignment="1" applyProtection="1">
      <alignment horizontal="left" vertical="center" wrapText="1"/>
      <protection locked="0"/>
    </xf>
    <xf numFmtId="165" fontId="11" fillId="0" borderId="11" xfId="2" applyNumberFormat="1" applyFont="1" applyFill="1" applyBorder="1" applyAlignment="1" applyProtection="1">
      <alignment horizontal="center" vertical="center" wrapText="1"/>
      <protection locked="0"/>
    </xf>
    <xf numFmtId="165" fontId="11" fillId="0" borderId="12" xfId="2" applyNumberFormat="1" applyFont="1" applyFill="1" applyBorder="1" applyAlignment="1" applyProtection="1">
      <alignment horizontal="center" vertical="center" wrapText="1"/>
      <protection locked="0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14" fontId="5" fillId="0" borderId="3" xfId="0" applyNumberFormat="1" applyFont="1" applyBorder="1" applyAlignment="1" applyProtection="1">
      <alignment horizontal="center" vertical="center"/>
      <protection locked="0"/>
    </xf>
    <xf numFmtId="14" fontId="5" fillId="0" borderId="5" xfId="0" applyNumberFormat="1" applyFont="1" applyBorder="1" applyAlignment="1" applyProtection="1">
      <alignment horizontal="center" vertical="center"/>
      <protection locked="0"/>
    </xf>
    <xf numFmtId="14" fontId="5" fillId="0" borderId="6" xfId="0" applyNumberFormat="1" applyFont="1" applyBorder="1" applyAlignment="1" applyProtection="1">
      <alignment horizontal="center" vertical="center"/>
      <protection locked="0"/>
    </xf>
    <xf numFmtId="14" fontId="5" fillId="0" borderId="7" xfId="0" applyNumberFormat="1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14" fontId="13" fillId="0" borderId="5" xfId="0" applyNumberFormat="1" applyFont="1" applyBorder="1" applyAlignment="1" applyProtection="1">
      <alignment horizontal="center" vertic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left" vertical="center"/>
      <protection locked="0"/>
    </xf>
    <xf numFmtId="0" fontId="8" fillId="0" borderId="14" xfId="0" applyFont="1" applyBorder="1" applyAlignment="1" applyProtection="1">
      <alignment horizontal="left" vertical="center"/>
      <protection locked="0"/>
    </xf>
    <xf numFmtId="0" fontId="8" fillId="0" borderId="15" xfId="0" applyFont="1" applyBorder="1" applyAlignment="1" applyProtection="1">
      <alignment horizontal="left" vertical="center"/>
      <protection locked="0"/>
    </xf>
    <xf numFmtId="0" fontId="17" fillId="0" borderId="5" xfId="0" applyFont="1" applyBorder="1" applyAlignment="1" applyProtection="1">
      <alignment horizontal="left" vertical="top" wrapText="1"/>
      <protection locked="0"/>
    </xf>
    <xf numFmtId="0" fontId="11" fillId="0" borderId="6" xfId="0" applyFont="1" applyBorder="1" applyAlignment="1" applyProtection="1">
      <alignment horizontal="left" vertical="top"/>
      <protection locked="0"/>
    </xf>
    <xf numFmtId="0" fontId="11" fillId="0" borderId="7" xfId="0" applyFont="1" applyBorder="1" applyAlignment="1" applyProtection="1">
      <alignment horizontal="left" vertical="top"/>
      <protection locked="0"/>
    </xf>
    <xf numFmtId="0" fontId="27" fillId="2" borderId="20" xfId="0" applyFont="1" applyFill="1" applyBorder="1" applyAlignment="1" applyProtection="1">
      <alignment horizontal="center" vertical="center" wrapText="1"/>
      <protection locked="0"/>
    </xf>
    <xf numFmtId="0" fontId="27" fillId="2" borderId="18" xfId="0" applyFont="1" applyFill="1" applyBorder="1" applyAlignment="1" applyProtection="1">
      <alignment horizontal="center" vertical="center" wrapText="1"/>
      <protection locked="0"/>
    </xf>
    <xf numFmtId="0" fontId="27" fillId="2" borderId="28" xfId="0" applyFont="1" applyFill="1" applyBorder="1" applyAlignment="1" applyProtection="1">
      <alignment horizontal="center" vertical="center" wrapText="1"/>
      <protection locked="0"/>
    </xf>
    <xf numFmtId="3" fontId="26" fillId="4" borderId="36" xfId="0" applyNumberFormat="1" applyFont="1" applyFill="1" applyBorder="1" applyAlignment="1">
      <alignment horizontal="center" vertical="center"/>
    </xf>
  </cellXfs>
  <cellStyles count="7">
    <cellStyle name="Lien hypertexte" xfId="6" builtinId="8"/>
    <cellStyle name="Milliers" xfId="2" builtinId="3"/>
    <cellStyle name="Milliers 2" xfId="5" xr:uid="{00000000-0005-0000-0000-000002000000}"/>
    <cellStyle name="NiveauLigne_4" xfId="1" builtinId="1" iLevel="3"/>
    <cellStyle name="Normal" xfId="0" builtinId="0"/>
    <cellStyle name="Normal 2" xfId="4" xr:uid="{00000000-0005-0000-0000-000005000000}"/>
    <cellStyle name="Pourcentag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dclyo\Collaborateurs\CHA\CAC%20-%20Dossier%20annuel%2020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irex1.sharepoint.com/sites/firexaudit/Documents%20partages/DOCUMENTATION/MISSIONS/01%20PACK%20DOSSIER%20ANNUEL/01%20COMPTES%20SOCIAUX/07%20DOSSIER%20ANNUEL/2017/I%20-%20Immobilis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Dossier Annuel"/>
      <sheetName val="Programme de travail"/>
      <sheetName val="Seuils de signification"/>
      <sheetName val="Quest Lutte contre blanchiment"/>
      <sheetName val="Quest Maintien mission"/>
      <sheetName val="Quest Fin de mission"/>
      <sheetName val="Quest Evènements post."/>
      <sheetName val="Quest Continuité exploi"/>
      <sheetName val="Quest Fraudes"/>
      <sheetName val="Quest Text légaux"/>
      <sheetName val="Quest Expert compt."/>
      <sheetName val="Quest Dirigeant"/>
      <sheetName val="Prépa. Décalration act."/>
      <sheetName val="Contrôle Annexe"/>
      <sheetName val="Contrôle Juridique (SAS)"/>
      <sheetName val="Contrôle Juridique (SA)"/>
      <sheetName val="Synthèse des ajustements"/>
      <sheetName val="B synth"/>
      <sheetName val="b10 quest"/>
      <sheetName val="B20"/>
      <sheetName val="B30"/>
      <sheetName val="B 40"/>
      <sheetName val="B 50"/>
      <sheetName val="B 60"/>
      <sheetName val="C synth"/>
      <sheetName val="C 10"/>
      <sheetName val="C 20"/>
      <sheetName val="D synth"/>
      <sheetName val="D.10 quest"/>
      <sheetName val="D15"/>
      <sheetName val="D 20"/>
      <sheetName val="D 30"/>
      <sheetName val="D 40"/>
      <sheetName val="D 50 "/>
      <sheetName val="D 55"/>
      <sheetName val="D60"/>
      <sheetName val="E synthèse"/>
      <sheetName val="E10 quest"/>
      <sheetName val="E 20"/>
      <sheetName val="E 30"/>
      <sheetName val="E 35"/>
      <sheetName val="E 40"/>
      <sheetName val="E 50"/>
      <sheetName val="E 60"/>
      <sheetName val="E 70"/>
      <sheetName val="E 75"/>
      <sheetName val="E80"/>
      <sheetName val="E85"/>
      <sheetName val="E 90"/>
      <sheetName val="F synthèse"/>
      <sheetName val="F10 quest"/>
      <sheetName val="F 20"/>
      <sheetName val="F 30"/>
      <sheetName val="F 40"/>
      <sheetName val="F50"/>
      <sheetName val="F60"/>
      <sheetName val="G synthèse"/>
      <sheetName val="H synthèse"/>
      <sheetName val="H10 quest"/>
      <sheetName val=" J synthèse"/>
      <sheetName val="K synthèse"/>
      <sheetName val="K 10"/>
      <sheetName val="L synthèse"/>
      <sheetName val="M synthèse"/>
      <sheetName val="M.10 quest"/>
      <sheetName val="M 20"/>
      <sheetName val="M 30"/>
      <sheetName val="M 35"/>
      <sheetName val="M 40"/>
      <sheetName val="M 50"/>
      <sheetName val="M 60"/>
      <sheetName val="M 65"/>
      <sheetName val="M70"/>
      <sheetName val="M75"/>
      <sheetName val="N synthèse"/>
      <sheetName val="N.10 quest"/>
      <sheetName val="N 01"/>
      <sheetName val="N 20"/>
      <sheetName val="N 30"/>
      <sheetName val="N 40"/>
      <sheetName val="N 50"/>
      <sheetName val="N 60"/>
      <sheetName val="P synth"/>
      <sheetName val="P10 quest"/>
      <sheetName val="P 20"/>
      <sheetName val="P 301"/>
      <sheetName val="P 302"/>
      <sheetName val="P 40"/>
      <sheetName val="P 50"/>
      <sheetName val="P 55"/>
      <sheetName val="P 60"/>
      <sheetName val="P 70"/>
      <sheetName val="P 80"/>
      <sheetName val="S synth"/>
      <sheetName val="T synth"/>
      <sheetName val="Tableau pour NDS"/>
      <sheetName val="BILAN ACTIF"/>
      <sheetName val="BILAN PASSIF"/>
      <sheetName val="SIG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>
        <row r="24">
          <cell r="F24">
            <v>0</v>
          </cell>
          <cell r="H24">
            <v>0</v>
          </cell>
        </row>
        <row r="29">
          <cell r="F29">
            <v>0</v>
          </cell>
          <cell r="H29">
            <v>0</v>
          </cell>
        </row>
        <row r="34">
          <cell r="F34">
            <v>0</v>
          </cell>
          <cell r="H34">
            <v>0</v>
          </cell>
        </row>
        <row r="54">
          <cell r="F54">
            <v>0</v>
          </cell>
          <cell r="H54">
            <v>0</v>
          </cell>
        </row>
        <row r="56">
          <cell r="F56" t="str">
            <v>#DC{£AED=1}</v>
          </cell>
          <cell r="H56" t="str">
            <v>#DC{£AED_1=1}</v>
          </cell>
        </row>
        <row r="58">
          <cell r="F58" t="e">
            <v>#VALUE!</v>
          </cell>
          <cell r="H58" t="e">
            <v>#VALUE!</v>
          </cell>
        </row>
      </sheetData>
      <sheetData sheetId="99">
        <row r="8">
          <cell r="B8" t="str">
            <v>#DC{£DS1=1}</v>
          </cell>
          <cell r="D8" t="str">
            <v>#DC{£DS1_1=1}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 Synthèse"/>
      <sheetName val="Qestionnaire"/>
      <sheetName val="I100 Centralisation immos."/>
      <sheetName val="I200 Variation immos"/>
      <sheetName val="I210 Acquisitions immos"/>
      <sheetName val="I220 Sorties immos"/>
      <sheetName val="I230 Immos en cours"/>
      <sheetName val="I240 Charges activables"/>
      <sheetName val="I250 Taux moyen d'amortissement"/>
    </sheetNames>
    <sheetDataSet>
      <sheetData sheetId="0">
        <row r="1">
          <cell r="R1" t="str">
            <v>N/A</v>
          </cell>
        </row>
        <row r="2">
          <cell r="R2" t="str">
            <v>A faire</v>
          </cell>
        </row>
        <row r="3">
          <cell r="R3" t="str">
            <v>Terminé</v>
          </cell>
        </row>
        <row r="4">
          <cell r="R4" t="str">
            <v>Faible</v>
          </cell>
        </row>
        <row r="5">
          <cell r="R5" t="str">
            <v>Modéré</v>
          </cell>
        </row>
        <row r="6">
          <cell r="R6" t="str">
            <v>Elevé</v>
          </cell>
        </row>
        <row r="7">
          <cell r="R7" t="str">
            <v>PB</v>
          </cell>
        </row>
        <row r="8">
          <cell r="R8" t="str">
            <v>PE</v>
          </cell>
        </row>
        <row r="9">
          <cell r="R9" t="str">
            <v>PE + VP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W33"/>
  <sheetViews>
    <sheetView showGridLines="0" tabSelected="1" zoomScale="90" zoomScaleNormal="90" workbookViewId="0">
      <selection activeCell="A28" sqref="A28:O33"/>
    </sheetView>
  </sheetViews>
  <sheetFormatPr baseColWidth="10" defaultColWidth="11.42578125" defaultRowHeight="15.75" x14ac:dyDescent="0.25"/>
  <cols>
    <col min="1" max="12" width="14.7109375" style="26" customWidth="1"/>
    <col min="13" max="13" width="23.42578125" style="26" customWidth="1"/>
    <col min="14" max="15" width="14.7109375" style="26" customWidth="1"/>
    <col min="16" max="16" width="4.7109375" style="26" customWidth="1"/>
    <col min="17" max="17" width="13.140625" style="26" hidden="1" customWidth="1"/>
    <col min="18" max="18" width="13.140625" style="26" customWidth="1"/>
    <col min="19" max="16384" width="11.42578125" style="26"/>
  </cols>
  <sheetData>
    <row r="1" spans="1:23" s="5" customFormat="1" ht="15" customHeight="1" x14ac:dyDescent="0.25">
      <c r="A1" s="2"/>
      <c r="B1" s="3"/>
      <c r="C1" s="3"/>
      <c r="D1" s="188" t="s">
        <v>0</v>
      </c>
      <c r="E1" s="189"/>
      <c r="F1" s="189"/>
      <c r="G1" s="189"/>
      <c r="H1" s="189"/>
      <c r="I1" s="189"/>
      <c r="J1" s="189"/>
      <c r="K1" s="189"/>
      <c r="L1" s="189"/>
      <c r="M1" s="190"/>
      <c r="N1" s="3"/>
      <c r="O1" s="4"/>
      <c r="Q1" s="6" t="s">
        <v>1</v>
      </c>
      <c r="R1" s="34"/>
      <c r="S1" s="26"/>
      <c r="T1" s="26"/>
      <c r="U1" s="34"/>
      <c r="V1" s="26"/>
      <c r="W1" s="26"/>
    </row>
    <row r="2" spans="1:23" s="5" customFormat="1" ht="15" customHeight="1" thickBot="1" x14ac:dyDescent="0.25">
      <c r="A2" s="7"/>
      <c r="B2" s="8"/>
      <c r="C2" s="8"/>
      <c r="D2" s="191"/>
      <c r="E2" s="192"/>
      <c r="F2" s="192"/>
      <c r="G2" s="192"/>
      <c r="H2" s="192"/>
      <c r="I2" s="192"/>
      <c r="J2" s="192"/>
      <c r="K2" s="192"/>
      <c r="L2" s="192"/>
      <c r="M2" s="193"/>
      <c r="N2" s="8"/>
      <c r="O2" s="9"/>
      <c r="Q2" s="6" t="s">
        <v>2</v>
      </c>
      <c r="R2" s="35"/>
      <c r="U2" s="35"/>
    </row>
    <row r="3" spans="1:23" ht="15" customHeight="1" x14ac:dyDescent="0.25">
      <c r="A3" s="153" t="s">
        <v>3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5"/>
      <c r="Q3" s="10"/>
      <c r="R3" s="36"/>
      <c r="S3" s="5"/>
      <c r="T3" s="5"/>
      <c r="U3" s="36"/>
      <c r="V3" s="5"/>
      <c r="W3" s="5"/>
    </row>
    <row r="4" spans="1:23" ht="15" customHeight="1" x14ac:dyDescent="0.25">
      <c r="A4" s="153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5"/>
      <c r="Q4" s="6" t="s">
        <v>4</v>
      </c>
      <c r="R4" s="35"/>
      <c r="S4" s="5"/>
      <c r="T4" s="5"/>
      <c r="U4" s="35"/>
      <c r="V4" s="5"/>
      <c r="W4" s="5"/>
    </row>
    <row r="5" spans="1:23" ht="15" customHeight="1" thickBot="1" x14ac:dyDescent="0.3">
      <c r="A5" s="156"/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8"/>
      <c r="Q5" s="6" t="s">
        <v>5</v>
      </c>
      <c r="R5" s="37"/>
      <c r="S5" s="5"/>
      <c r="T5" s="5"/>
      <c r="U5" s="37"/>
      <c r="V5" s="5"/>
      <c r="W5" s="5"/>
    </row>
    <row r="6" spans="1:23" ht="15" customHeight="1" x14ac:dyDescent="0.25">
      <c r="A6" s="15" t="s">
        <v>6</v>
      </c>
      <c r="B6" s="38" t="s">
        <v>67</v>
      </c>
      <c r="C6" s="15" t="s">
        <v>7</v>
      </c>
      <c r="D6" s="39"/>
      <c r="E6" s="159" t="s">
        <v>8</v>
      </c>
      <c r="F6" s="160"/>
      <c r="G6" s="160"/>
      <c r="H6" s="160"/>
      <c r="I6" s="160"/>
      <c r="J6" s="160"/>
      <c r="K6" s="160"/>
      <c r="L6" s="161"/>
      <c r="M6" s="134" t="s">
        <v>9</v>
      </c>
      <c r="N6" s="165" t="s">
        <v>10</v>
      </c>
      <c r="O6" s="166"/>
      <c r="Q6" s="10" t="s">
        <v>11</v>
      </c>
      <c r="R6" s="37"/>
      <c r="S6" s="5"/>
      <c r="T6" s="5"/>
      <c r="U6" s="37"/>
      <c r="V6" s="5"/>
      <c r="W6" s="5"/>
    </row>
    <row r="7" spans="1:23" ht="15" customHeight="1" thickBot="1" x14ac:dyDescent="0.3">
      <c r="A7" s="16" t="s">
        <v>12</v>
      </c>
      <c r="B7" s="40"/>
      <c r="C7" s="16" t="s">
        <v>12</v>
      </c>
      <c r="D7" s="40"/>
      <c r="E7" s="162"/>
      <c r="F7" s="163"/>
      <c r="G7" s="163"/>
      <c r="H7" s="163"/>
      <c r="I7" s="163"/>
      <c r="J7" s="163"/>
      <c r="K7" s="163"/>
      <c r="L7" s="164"/>
      <c r="M7" s="135" t="s">
        <v>13</v>
      </c>
      <c r="N7" s="167" t="s">
        <v>14</v>
      </c>
      <c r="O7" s="168"/>
      <c r="Q7" s="6" t="s">
        <v>15</v>
      </c>
      <c r="R7" s="35"/>
      <c r="S7" s="5"/>
      <c r="T7" s="5"/>
      <c r="U7" s="35"/>
      <c r="V7" s="5"/>
      <c r="W7" s="5"/>
    </row>
    <row r="8" spans="1:23" ht="21" customHeight="1" thickBot="1" x14ac:dyDescent="0.3">
      <c r="A8" s="17"/>
      <c r="B8" s="18"/>
      <c r="C8" s="19"/>
      <c r="D8" s="19"/>
      <c r="E8" s="20"/>
      <c r="F8" s="20"/>
      <c r="G8" s="20"/>
      <c r="H8" s="20"/>
      <c r="I8" s="20"/>
      <c r="J8" s="20"/>
      <c r="K8" s="20"/>
      <c r="L8" s="20"/>
      <c r="M8" s="21"/>
      <c r="N8" s="22"/>
      <c r="O8" s="22"/>
      <c r="Q8" s="6" t="s">
        <v>16</v>
      </c>
    </row>
    <row r="9" spans="1:23" s="19" customFormat="1" ht="31.5" customHeight="1" thickBot="1" x14ac:dyDescent="0.3">
      <c r="A9" s="177" t="s">
        <v>17</v>
      </c>
      <c r="B9" s="178"/>
      <c r="C9" s="178"/>
      <c r="D9" s="74" t="s">
        <v>4</v>
      </c>
      <c r="E9" s="75"/>
      <c r="F9" s="179" t="s">
        <v>18</v>
      </c>
      <c r="G9" s="180"/>
      <c r="H9" s="180"/>
      <c r="I9" s="180"/>
      <c r="J9" s="76"/>
      <c r="K9" s="77"/>
      <c r="L9" s="179" t="s">
        <v>19</v>
      </c>
      <c r="M9" s="180"/>
      <c r="N9" s="74" t="s">
        <v>15</v>
      </c>
      <c r="O9" s="75"/>
      <c r="Q9" s="10" t="s">
        <v>20</v>
      </c>
      <c r="S9" s="34"/>
    </row>
    <row r="10" spans="1:23" s="24" customFormat="1" ht="21" customHeight="1" thickBot="1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</row>
    <row r="11" spans="1:23" ht="15" customHeight="1" thickBot="1" x14ac:dyDescent="0.3">
      <c r="A11" s="200" t="s">
        <v>21</v>
      </c>
      <c r="B11" s="201"/>
      <c r="C11" s="194" t="s">
        <v>22</v>
      </c>
      <c r="D11" s="195"/>
      <c r="E11" s="195"/>
      <c r="F11" s="195"/>
      <c r="G11" s="195"/>
      <c r="H11" s="195"/>
      <c r="I11" s="195"/>
      <c r="J11" s="195"/>
      <c r="K11" s="195"/>
      <c r="L11" s="195"/>
      <c r="M11" s="128" t="s">
        <v>23</v>
      </c>
      <c r="N11" s="196" t="s">
        <v>24</v>
      </c>
      <c r="O11" s="197"/>
      <c r="P11" s="34"/>
    </row>
    <row r="12" spans="1:23" s="5" customFormat="1" ht="15" customHeight="1" x14ac:dyDescent="0.2">
      <c r="A12" s="181" t="s">
        <v>25</v>
      </c>
      <c r="B12" s="182"/>
      <c r="C12" s="72" t="str">
        <f>'I850 Titres et créances ratta'!E6</f>
        <v>Analyse de la détention et de la dépréciation des titres et créances rattachées</v>
      </c>
      <c r="D12" s="73"/>
      <c r="E12" s="73"/>
      <c r="F12" s="73"/>
      <c r="G12" s="73"/>
      <c r="H12" s="73"/>
      <c r="I12" s="73"/>
      <c r="J12" s="73"/>
      <c r="K12" s="73"/>
      <c r="L12" s="73"/>
      <c r="M12" s="129" t="s">
        <v>1</v>
      </c>
      <c r="N12" s="198" t="s">
        <v>26</v>
      </c>
      <c r="O12" s="199"/>
      <c r="P12" s="35"/>
    </row>
    <row r="13" spans="1:23" s="5" customFormat="1" ht="15" customHeight="1" x14ac:dyDescent="0.25">
      <c r="A13" s="181"/>
      <c r="B13" s="182"/>
      <c r="C13" s="72" t="str">
        <f>'I900 Autres immos fi.'!E6</f>
        <v>Revue des autres immobilisations financières</v>
      </c>
      <c r="D13" s="73"/>
      <c r="E13" s="73"/>
      <c r="F13" s="73"/>
      <c r="G13" s="73"/>
      <c r="H13" s="73"/>
      <c r="I13" s="73"/>
      <c r="J13" s="73"/>
      <c r="K13" s="73"/>
      <c r="L13" s="73"/>
      <c r="M13" s="129" t="s">
        <v>2</v>
      </c>
      <c r="N13" s="183" t="s">
        <v>28</v>
      </c>
      <c r="O13" s="184"/>
      <c r="P13" s="36"/>
      <c r="T13" s="35"/>
    </row>
    <row r="14" spans="1:23" s="5" customFormat="1" ht="15" customHeight="1" thickBot="1" x14ac:dyDescent="0.25">
      <c r="A14" s="169"/>
      <c r="B14" s="170"/>
      <c r="C14" s="171"/>
      <c r="D14" s="171"/>
      <c r="E14" s="171"/>
      <c r="F14" s="171"/>
      <c r="G14" s="171"/>
      <c r="H14" s="171"/>
      <c r="I14" s="171"/>
      <c r="J14" s="171"/>
      <c r="K14" s="171"/>
      <c r="L14" s="171"/>
      <c r="M14" s="130"/>
      <c r="N14" s="172"/>
      <c r="O14" s="173"/>
      <c r="P14" s="35"/>
    </row>
    <row r="15" spans="1:23" s="5" customFormat="1" ht="15" customHeight="1" thickBot="1" x14ac:dyDescent="0.3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7"/>
    </row>
    <row r="16" spans="1:23" s="31" customFormat="1" ht="17.25" customHeight="1" thickBot="1" x14ac:dyDescent="0.3">
      <c r="A16" s="174" t="s">
        <v>29</v>
      </c>
      <c r="B16" s="175"/>
      <c r="C16" s="175"/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76"/>
      <c r="P16" s="37"/>
      <c r="Q16" s="5"/>
      <c r="R16" s="5"/>
      <c r="T16" s="35"/>
    </row>
    <row r="17" spans="1:15" ht="9.9499999999999993" customHeight="1" x14ac:dyDescent="0.25">
      <c r="A17" s="1" t="s">
        <v>68</v>
      </c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7"/>
    </row>
    <row r="18" spans="1:15" ht="9.9499999999999993" customHeight="1" x14ac:dyDescent="0.25">
      <c r="A18" s="138"/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40"/>
    </row>
    <row r="19" spans="1:15" ht="9.9499999999999993" customHeight="1" x14ac:dyDescent="0.25">
      <c r="A19" s="138"/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40"/>
    </row>
    <row r="20" spans="1:15" ht="9.9499999999999993" customHeight="1" x14ac:dyDescent="0.25">
      <c r="A20" s="138"/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40"/>
    </row>
    <row r="21" spans="1:15" ht="9.9499999999999993" customHeight="1" x14ac:dyDescent="0.25">
      <c r="A21" s="138"/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40"/>
    </row>
    <row r="22" spans="1:15" ht="9.9499999999999993" customHeight="1" x14ac:dyDescent="0.25">
      <c r="A22" s="138"/>
      <c r="B22" s="139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40"/>
    </row>
    <row r="23" spans="1:15" ht="9.9499999999999993" customHeight="1" x14ac:dyDescent="0.25">
      <c r="A23" s="138"/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40"/>
    </row>
    <row r="24" spans="1:15" ht="9.9499999999999993" customHeight="1" x14ac:dyDescent="0.25">
      <c r="A24" s="138"/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40"/>
    </row>
    <row r="25" spans="1:15" ht="9.9499999999999993" customHeight="1" thickBot="1" x14ac:dyDescent="0.3">
      <c r="A25" s="141"/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3"/>
    </row>
    <row r="26" spans="1:15" s="31" customFormat="1" ht="15" customHeight="1" thickBot="1" x14ac:dyDescent="0.3"/>
    <row r="27" spans="1:15" s="31" customFormat="1" ht="18" customHeight="1" thickBot="1" x14ac:dyDescent="0.3">
      <c r="A27" s="185" t="s">
        <v>30</v>
      </c>
      <c r="B27" s="186"/>
      <c r="C27" s="186"/>
      <c r="D27" s="186"/>
      <c r="E27" s="186"/>
      <c r="F27" s="186"/>
      <c r="G27" s="186"/>
      <c r="H27" s="186"/>
      <c r="I27" s="186"/>
      <c r="J27" s="186"/>
      <c r="K27" s="186"/>
      <c r="L27" s="186"/>
      <c r="M27" s="186"/>
      <c r="N27" s="186"/>
      <c r="O27" s="187"/>
    </row>
    <row r="28" spans="1:15" ht="9.9499999999999993" customHeight="1" x14ac:dyDescent="0.25">
      <c r="A28" s="144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6"/>
    </row>
    <row r="29" spans="1:15" ht="9.9499999999999993" customHeight="1" x14ac:dyDescent="0.25">
      <c r="A29" s="147"/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9"/>
    </row>
    <row r="30" spans="1:15" ht="9.9499999999999993" customHeight="1" x14ac:dyDescent="0.25">
      <c r="A30" s="147"/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9"/>
    </row>
    <row r="31" spans="1:15" ht="9.9499999999999993" customHeight="1" x14ac:dyDescent="0.25">
      <c r="A31" s="147"/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9"/>
    </row>
    <row r="32" spans="1:15" ht="9.9499999999999993" customHeight="1" x14ac:dyDescent="0.25">
      <c r="A32" s="147"/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9"/>
    </row>
    <row r="33" spans="1:15" ht="9.9499999999999993" customHeight="1" thickBot="1" x14ac:dyDescent="0.3">
      <c r="A33" s="150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2"/>
    </row>
  </sheetData>
  <sheetProtection formatCells="0" formatColumns="0" formatRows="0" insertColumns="0" insertRows="0" insertHyperlinks="0" deleteColumns="0" deleteRows="0" sort="0" autoFilter="0" pivotTables="0"/>
  <mergeCells count="22">
    <mergeCell ref="D1:M2"/>
    <mergeCell ref="C11:L11"/>
    <mergeCell ref="N11:O11"/>
    <mergeCell ref="A12:B12"/>
    <mergeCell ref="N12:O12"/>
    <mergeCell ref="A11:B11"/>
    <mergeCell ref="A17:O25"/>
    <mergeCell ref="A28:O33"/>
    <mergeCell ref="A3:O5"/>
    <mergeCell ref="E6:L7"/>
    <mergeCell ref="N6:O6"/>
    <mergeCell ref="N7:O7"/>
    <mergeCell ref="A14:B14"/>
    <mergeCell ref="C14:L14"/>
    <mergeCell ref="N14:O14"/>
    <mergeCell ref="A16:O16"/>
    <mergeCell ref="A9:C9"/>
    <mergeCell ref="F9:I9"/>
    <mergeCell ref="L9:M9"/>
    <mergeCell ref="A13:B13"/>
    <mergeCell ref="N13:O13"/>
    <mergeCell ref="A27:O27"/>
  </mergeCells>
  <dataValidations count="3">
    <dataValidation type="list" allowBlank="1" showInputMessage="1" showErrorMessage="1" sqref="N9:O9" xr:uid="{00000000-0002-0000-0000-000000000000}">
      <formula1>Diligences</formula1>
    </dataValidation>
    <dataValidation type="list" showInputMessage="1" showErrorMessage="1" sqref="D9:E9" xr:uid="{00000000-0002-0000-0000-000001000000}">
      <formula1>RAS</formula1>
    </dataValidation>
    <dataValidation type="list" allowBlank="1" showInputMessage="1" showErrorMessage="1" sqref="M12:M14" xr:uid="{00000000-0002-0000-0000-000002000000}">
      <formula1>Etat</formula1>
    </dataValidation>
  </dataValidations>
  <hyperlinks>
    <hyperlink ref="N12:O12" location="'I850 Titres et créances ratta'!A1" display="I850 Titres financiers" xr:uid="{00000000-0004-0000-0000-000000000000}"/>
    <hyperlink ref="N13:O13" location="'I900 Autres immos fi.'!A1" display="I900 Autres immos fi." xr:uid="{00000000-0004-0000-0000-000001000000}"/>
    <hyperlink ref="N12:O12" location="'I800 Fonds de commerce'!A1" display="I800 Fonds de commerce" xr:uid="{00000000-0004-0000-0000-000002000000}"/>
  </hyperlinks>
  <printOptions horizontalCentered="1"/>
  <pageMargins left="0.27559055118110237" right="0.27559055118110237" top="0.39370078740157483" bottom="0.39370078740157483" header="0.51181102362204722" footer="0.51181102362204722"/>
  <pageSetup paperSize="9" scale="65" orientation="portrait" r:id="rId1"/>
  <headerFooter alignWithMargins="0"/>
  <ignoredErrors>
    <ignoredError sqref="C12:C1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pageSetUpPr fitToPage="1"/>
  </sheetPr>
  <dimension ref="A1:U54"/>
  <sheetViews>
    <sheetView showGridLines="0" zoomScale="90" zoomScaleNormal="90" zoomScaleSheetLayoutView="85" workbookViewId="0">
      <selection activeCell="A11" sqref="A11:P11"/>
    </sheetView>
  </sheetViews>
  <sheetFormatPr baseColWidth="10" defaultColWidth="11.42578125" defaultRowHeight="15.75" x14ac:dyDescent="0.25"/>
  <cols>
    <col min="1" max="1" width="14.7109375" style="5" customWidth="1"/>
    <col min="2" max="2" width="18.85546875" style="5" customWidth="1"/>
    <col min="3" max="9" width="16" style="5" customWidth="1"/>
    <col min="10" max="16" width="11.7109375" style="5" customWidth="1"/>
    <col min="17" max="17" width="11.42578125" style="5"/>
    <col min="18" max="18" width="11.42578125" style="26" hidden="1" customWidth="1"/>
    <col min="19" max="16384" width="11.42578125" style="5"/>
  </cols>
  <sheetData>
    <row r="1" spans="1:21" ht="15" customHeight="1" x14ac:dyDescent="0.2">
      <c r="A1" s="2"/>
      <c r="B1" s="3"/>
      <c r="C1" s="3"/>
      <c r="D1" s="225" t="str">
        <f>'I Synthèse'!D1</f>
        <v>#NomClient</v>
      </c>
      <c r="E1" s="226"/>
      <c r="F1" s="226"/>
      <c r="G1" s="226"/>
      <c r="H1" s="226"/>
      <c r="I1" s="226"/>
      <c r="J1" s="226"/>
      <c r="K1" s="226"/>
      <c r="L1" s="226"/>
      <c r="M1" s="227"/>
      <c r="N1" s="3"/>
      <c r="O1" s="3"/>
      <c r="P1" s="4"/>
      <c r="R1" s="6" t="s">
        <v>31</v>
      </c>
    </row>
    <row r="2" spans="1:21" ht="15" customHeight="1" thickBot="1" x14ac:dyDescent="0.25">
      <c r="A2" s="7"/>
      <c r="B2" s="8"/>
      <c r="C2" s="8"/>
      <c r="D2" s="228"/>
      <c r="E2" s="229"/>
      <c r="F2" s="229"/>
      <c r="G2" s="229"/>
      <c r="H2" s="229"/>
      <c r="I2" s="229"/>
      <c r="J2" s="229"/>
      <c r="K2" s="229"/>
      <c r="L2" s="229"/>
      <c r="M2" s="230"/>
      <c r="N2" s="8"/>
      <c r="O2" s="8"/>
      <c r="P2" s="9"/>
      <c r="R2" s="6" t="s">
        <v>32</v>
      </c>
    </row>
    <row r="3" spans="1:21" ht="15" customHeight="1" x14ac:dyDescent="0.25">
      <c r="A3" s="153" t="str">
        <f>'I Synthèse'!A3:O5</f>
        <v>IMMOBILISATIONS FINANCIERES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5"/>
      <c r="R3" s="10"/>
      <c r="T3" s="11"/>
      <c r="U3" s="12"/>
    </row>
    <row r="4" spans="1:21" ht="15" customHeight="1" x14ac:dyDescent="0.2">
      <c r="A4" s="153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5"/>
      <c r="R4" s="6" t="s">
        <v>4</v>
      </c>
      <c r="T4" s="11"/>
      <c r="U4" s="12"/>
    </row>
    <row r="5" spans="1:21" ht="15" customHeight="1" thickBot="1" x14ac:dyDescent="0.25">
      <c r="A5" s="156"/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8"/>
      <c r="Q5" s="13"/>
      <c r="R5" s="6" t="s">
        <v>5</v>
      </c>
      <c r="S5" s="14"/>
      <c r="T5" s="14"/>
      <c r="U5" s="14"/>
    </row>
    <row r="6" spans="1:21" ht="15" customHeight="1" x14ac:dyDescent="0.25">
      <c r="A6" s="15" t="s">
        <v>6</v>
      </c>
      <c r="B6" s="38" t="str">
        <f>'I Synthèse'!B6</f>
        <v>BRA</v>
      </c>
      <c r="C6" s="15" t="s">
        <v>7</v>
      </c>
      <c r="D6" s="38">
        <f>'I Synthèse'!D6</f>
        <v>0</v>
      </c>
      <c r="E6" s="159" t="s">
        <v>33</v>
      </c>
      <c r="F6" s="160"/>
      <c r="G6" s="160"/>
      <c r="H6" s="160"/>
      <c r="I6" s="160"/>
      <c r="J6" s="160"/>
      <c r="K6" s="160"/>
      <c r="L6" s="161"/>
      <c r="M6" s="231" t="s">
        <v>9</v>
      </c>
      <c r="N6" s="232"/>
      <c r="O6" s="165" t="s">
        <v>10</v>
      </c>
      <c r="P6" s="166"/>
      <c r="R6" s="10" t="s">
        <v>11</v>
      </c>
    </row>
    <row r="7" spans="1:21" ht="15" customHeight="1" thickBot="1" x14ac:dyDescent="0.25">
      <c r="A7" s="16" t="s">
        <v>12</v>
      </c>
      <c r="B7" s="40">
        <f>'I Synthèse'!B7</f>
        <v>0</v>
      </c>
      <c r="C7" s="16" t="s">
        <v>12</v>
      </c>
      <c r="D7" s="40">
        <f>'I Synthèse'!D7</f>
        <v>0</v>
      </c>
      <c r="E7" s="162"/>
      <c r="F7" s="163"/>
      <c r="G7" s="163"/>
      <c r="H7" s="163"/>
      <c r="I7" s="163"/>
      <c r="J7" s="163"/>
      <c r="K7" s="163"/>
      <c r="L7" s="164"/>
      <c r="M7" s="233" t="str">
        <f>'I Synthèse'!M7:M7</f>
        <v>#DateClôture</v>
      </c>
      <c r="N7" s="234"/>
      <c r="O7" s="167" t="s">
        <v>25</v>
      </c>
      <c r="P7" s="168"/>
      <c r="R7" s="6" t="s">
        <v>15</v>
      </c>
    </row>
    <row r="8" spans="1:21" ht="21" customHeight="1" thickBot="1" x14ac:dyDescent="0.25">
      <c r="A8" s="17"/>
      <c r="B8" s="18"/>
      <c r="C8" s="19"/>
      <c r="D8" s="19"/>
      <c r="E8" s="20"/>
      <c r="F8" s="20"/>
      <c r="G8" s="20"/>
      <c r="H8" s="20"/>
      <c r="I8" s="20"/>
      <c r="J8" s="20"/>
      <c r="K8" s="20"/>
      <c r="L8" s="20"/>
      <c r="M8" s="21"/>
      <c r="N8" s="19"/>
      <c r="O8" s="215" t="s">
        <v>34</v>
      </c>
      <c r="P8" s="215"/>
      <c r="R8" s="6" t="s">
        <v>16</v>
      </c>
    </row>
    <row r="9" spans="1:21" s="19" customFormat="1" ht="31.5" customHeight="1" thickBot="1" x14ac:dyDescent="0.3">
      <c r="A9" s="221" t="s">
        <v>17</v>
      </c>
      <c r="B9" s="222"/>
      <c r="C9" s="222"/>
      <c r="D9" s="219" t="str">
        <f>'I Synthèse'!D9:E9</f>
        <v>Faible</v>
      </c>
      <c r="E9" s="220"/>
      <c r="F9" s="179" t="s">
        <v>18</v>
      </c>
      <c r="G9" s="180"/>
      <c r="H9" s="180"/>
      <c r="I9" s="180"/>
      <c r="J9" s="223">
        <f>'I Synthèse'!J9:K9</f>
        <v>0</v>
      </c>
      <c r="K9" s="224"/>
      <c r="L9" s="179" t="s">
        <v>19</v>
      </c>
      <c r="M9" s="180"/>
      <c r="N9" s="180"/>
      <c r="O9" s="219" t="str">
        <f>'I Synthèse'!N9</f>
        <v>PB</v>
      </c>
      <c r="P9" s="220"/>
      <c r="R9" s="10" t="s">
        <v>20</v>
      </c>
    </row>
    <row r="10" spans="1:21" s="19" customFormat="1" ht="21" customHeight="1" thickBot="1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R10" s="24"/>
    </row>
    <row r="11" spans="1:21" s="25" customFormat="1" ht="107.25" customHeight="1" thickBot="1" x14ac:dyDescent="0.3">
      <c r="A11" s="216" t="s">
        <v>35</v>
      </c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7"/>
      <c r="N11" s="217"/>
      <c r="O11" s="217"/>
      <c r="P11" s="218"/>
      <c r="R11" s="26"/>
    </row>
    <row r="12" spans="1:21" s="25" customFormat="1" ht="9" customHeight="1" thickBot="1" x14ac:dyDescent="0.25">
      <c r="R12" s="5"/>
    </row>
    <row r="13" spans="1:21" s="25" customFormat="1" x14ac:dyDescent="0.2">
      <c r="A13" s="235" t="s">
        <v>36</v>
      </c>
      <c r="B13" s="236"/>
      <c r="C13" s="236"/>
      <c r="D13" s="236"/>
      <c r="E13" s="236"/>
      <c r="F13" s="236"/>
      <c r="G13" s="236"/>
      <c r="H13" s="236"/>
      <c r="I13" s="236"/>
      <c r="J13" s="236"/>
      <c r="K13" s="236"/>
      <c r="L13" s="236"/>
      <c r="M13" s="236"/>
      <c r="N13" s="236"/>
      <c r="O13" s="236"/>
      <c r="P13" s="237"/>
      <c r="R13" s="5"/>
    </row>
    <row r="14" spans="1:21" s="25" customFormat="1" ht="94.5" customHeight="1" thickBot="1" x14ac:dyDescent="0.25">
      <c r="A14" s="238"/>
      <c r="B14" s="239"/>
      <c r="C14" s="239"/>
      <c r="D14" s="239"/>
      <c r="E14" s="239"/>
      <c r="F14" s="239"/>
      <c r="G14" s="239"/>
      <c r="H14" s="239"/>
      <c r="I14" s="239"/>
      <c r="J14" s="239"/>
      <c r="K14" s="239"/>
      <c r="L14" s="239"/>
      <c r="M14" s="239"/>
      <c r="N14" s="239"/>
      <c r="O14" s="239"/>
      <c r="P14" s="240"/>
      <c r="R14" s="5"/>
    </row>
    <row r="15" spans="1:21" s="25" customFormat="1" ht="21" customHeight="1" thickBot="1" x14ac:dyDescent="0.3">
      <c r="R15" s="31"/>
    </row>
    <row r="16" spans="1:21" s="25" customFormat="1" ht="15" x14ac:dyDescent="0.25">
      <c r="A16" s="27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9"/>
      <c r="R16" s="31"/>
    </row>
    <row r="17" spans="1:18" s="25" customFormat="1" ht="15" x14ac:dyDescent="0.25">
      <c r="A17" s="42" t="s">
        <v>37</v>
      </c>
      <c r="P17" s="30"/>
      <c r="R17" s="31"/>
    </row>
    <row r="18" spans="1:18" s="25" customFormat="1" ht="15" x14ac:dyDescent="0.25">
      <c r="A18" s="41"/>
      <c r="P18" s="30"/>
      <c r="R18" s="31"/>
    </row>
    <row r="19" spans="1:18" s="25" customFormat="1" ht="30" customHeight="1" x14ac:dyDescent="0.2">
      <c r="A19" s="209" t="s">
        <v>38</v>
      </c>
      <c r="B19" s="209"/>
      <c r="C19" s="131" t="s">
        <v>39</v>
      </c>
      <c r="D19" s="131" t="s">
        <v>40</v>
      </c>
      <c r="E19" s="131" t="s">
        <v>42</v>
      </c>
      <c r="F19" s="131" t="s">
        <v>43</v>
      </c>
      <c r="G19" s="131" t="s">
        <v>55</v>
      </c>
      <c r="H19" s="131" t="s">
        <v>56</v>
      </c>
      <c r="I19" s="131" t="s">
        <v>54</v>
      </c>
      <c r="J19" s="132" t="s">
        <v>41</v>
      </c>
      <c r="K19" s="206" t="s">
        <v>44</v>
      </c>
      <c r="L19" s="207"/>
      <c r="M19" s="207"/>
      <c r="N19" s="207"/>
      <c r="O19" s="207"/>
      <c r="P19" s="208"/>
    </row>
    <row r="20" spans="1:18" s="25" customFormat="1" ht="15" x14ac:dyDescent="0.2">
      <c r="A20" s="210"/>
      <c r="B20" s="211"/>
      <c r="C20" s="66"/>
      <c r="D20" s="67"/>
      <c r="E20" s="66"/>
      <c r="F20" s="121">
        <f t="shared" ref="F20:F26" si="0">C20+D20-E20</f>
        <v>0</v>
      </c>
      <c r="G20" s="96"/>
      <c r="H20" s="78"/>
      <c r="I20" s="97">
        <f>G20-E20+H20</f>
        <v>0</v>
      </c>
      <c r="J20" s="78"/>
      <c r="K20" s="102"/>
      <c r="L20" s="103"/>
      <c r="M20" s="103"/>
      <c r="N20" s="106"/>
      <c r="O20" s="106"/>
      <c r="P20" s="107"/>
    </row>
    <row r="21" spans="1:18" s="25" customFormat="1" ht="15" x14ac:dyDescent="0.2">
      <c r="A21" s="202"/>
      <c r="B21" s="203"/>
      <c r="C21" s="68"/>
      <c r="D21" s="69"/>
      <c r="E21" s="68"/>
      <c r="F21" s="122">
        <f t="shared" si="0"/>
        <v>0</v>
      </c>
      <c r="G21" s="91"/>
      <c r="H21" s="79"/>
      <c r="I21" s="92">
        <f t="shared" ref="I21:I25" si="1">G21-E21+H21</f>
        <v>0</v>
      </c>
      <c r="J21" s="79"/>
      <c r="K21" s="104"/>
      <c r="L21" s="105"/>
      <c r="M21" s="105"/>
      <c r="N21" s="108"/>
      <c r="O21" s="108"/>
      <c r="P21" s="109"/>
    </row>
    <row r="22" spans="1:18" s="25" customFormat="1" ht="15" x14ac:dyDescent="0.2">
      <c r="A22" s="202"/>
      <c r="B22" s="203"/>
      <c r="C22" s="68"/>
      <c r="D22" s="69"/>
      <c r="E22" s="68"/>
      <c r="F22" s="122">
        <f t="shared" si="0"/>
        <v>0</v>
      </c>
      <c r="G22" s="91"/>
      <c r="H22" s="79"/>
      <c r="I22" s="92">
        <f t="shared" si="1"/>
        <v>0</v>
      </c>
      <c r="J22" s="79"/>
      <c r="K22" s="104"/>
      <c r="L22" s="105"/>
      <c r="M22" s="105"/>
      <c r="N22" s="108"/>
      <c r="O22" s="108"/>
      <c r="P22" s="109"/>
    </row>
    <row r="23" spans="1:18" s="25" customFormat="1" ht="15" x14ac:dyDescent="0.2">
      <c r="A23" s="202"/>
      <c r="B23" s="203"/>
      <c r="C23" s="68"/>
      <c r="D23" s="69"/>
      <c r="E23" s="68"/>
      <c r="F23" s="122">
        <f t="shared" si="0"/>
        <v>0</v>
      </c>
      <c r="G23" s="91"/>
      <c r="H23" s="79"/>
      <c r="I23" s="92">
        <f t="shared" si="1"/>
        <v>0</v>
      </c>
      <c r="J23" s="79"/>
      <c r="K23" s="104"/>
      <c r="L23" s="105"/>
      <c r="M23" s="105"/>
      <c r="N23" s="108"/>
      <c r="O23" s="108"/>
      <c r="P23" s="109"/>
    </row>
    <row r="24" spans="1:18" s="25" customFormat="1" ht="15" x14ac:dyDescent="0.2">
      <c r="A24" s="202"/>
      <c r="B24" s="203"/>
      <c r="C24" s="68"/>
      <c r="D24" s="69"/>
      <c r="E24" s="68"/>
      <c r="F24" s="122">
        <f t="shared" si="0"/>
        <v>0</v>
      </c>
      <c r="G24" s="91"/>
      <c r="H24" s="79"/>
      <c r="I24" s="92">
        <f t="shared" si="1"/>
        <v>0</v>
      </c>
      <c r="J24" s="79"/>
      <c r="K24" s="104"/>
      <c r="L24" s="105"/>
      <c r="M24" s="105"/>
      <c r="N24" s="108"/>
      <c r="O24" s="108"/>
      <c r="P24" s="109"/>
    </row>
    <row r="25" spans="1:18" s="25" customFormat="1" ht="15" x14ac:dyDescent="0.2">
      <c r="A25" s="204"/>
      <c r="B25" s="205"/>
      <c r="C25" s="70"/>
      <c r="D25" s="71"/>
      <c r="E25" s="70"/>
      <c r="F25" s="123">
        <f t="shared" si="0"/>
        <v>0</v>
      </c>
      <c r="G25" s="93"/>
      <c r="H25" s="80"/>
      <c r="I25" s="101">
        <f t="shared" si="1"/>
        <v>0</v>
      </c>
      <c r="J25" s="80"/>
      <c r="K25" s="110"/>
      <c r="L25" s="111"/>
      <c r="M25" s="111"/>
      <c r="N25" s="112"/>
      <c r="O25" s="112"/>
      <c r="P25" s="113"/>
    </row>
    <row r="26" spans="1:18" s="25" customFormat="1" ht="15" x14ac:dyDescent="0.25">
      <c r="A26" s="89" t="s">
        <v>45</v>
      </c>
      <c r="B26" s="90"/>
      <c r="C26" s="99">
        <f>SUM(C20:C25)</f>
        <v>0</v>
      </c>
      <c r="D26" s="95">
        <f>SUM(D20:D25)</f>
        <v>0</v>
      </c>
      <c r="E26" s="95">
        <f>SUM(E20:E25)</f>
        <v>0</v>
      </c>
      <c r="F26" s="98">
        <f t="shared" si="0"/>
        <v>0</v>
      </c>
      <c r="G26" s="94"/>
      <c r="H26" s="81"/>
      <c r="I26" s="95">
        <f>SUM(I20:I25)</f>
        <v>0</v>
      </c>
      <c r="J26" s="81"/>
      <c r="K26" s="114"/>
      <c r="L26" s="115"/>
      <c r="M26" s="115"/>
      <c r="N26" s="73"/>
      <c r="O26" s="73"/>
      <c r="P26" s="116"/>
    </row>
    <row r="27" spans="1:18" s="87" customFormat="1" ht="15" x14ac:dyDescent="0.25">
      <c r="A27" s="82"/>
      <c r="C27" s="82"/>
      <c r="D27" s="82"/>
      <c r="E27" s="83"/>
      <c r="F27" s="83"/>
      <c r="G27" s="84"/>
      <c r="H27" s="83"/>
      <c r="K27" s="84"/>
      <c r="L27" s="85"/>
      <c r="M27" s="85"/>
      <c r="N27" s="86"/>
      <c r="O27" s="86"/>
      <c r="P27" s="120"/>
      <c r="R27" s="88"/>
    </row>
    <row r="28" spans="1:18" s="25" customFormat="1" ht="15" x14ac:dyDescent="0.25">
      <c r="A28" s="41"/>
      <c r="P28" s="30"/>
      <c r="R28" s="31"/>
    </row>
    <row r="29" spans="1:18" s="25" customFormat="1" ht="48" customHeight="1" x14ac:dyDescent="0.2">
      <c r="A29" s="209" t="s">
        <v>38</v>
      </c>
      <c r="B29" s="209"/>
      <c r="C29" s="131" t="s">
        <v>46</v>
      </c>
      <c r="D29" s="131" t="s">
        <v>57</v>
      </c>
      <c r="E29" s="131" t="s">
        <v>58</v>
      </c>
      <c r="F29" s="131" t="s">
        <v>60</v>
      </c>
      <c r="G29" s="131" t="s">
        <v>62</v>
      </c>
      <c r="H29" s="131" t="s">
        <v>59</v>
      </c>
      <c r="I29" s="131" t="s">
        <v>61</v>
      </c>
      <c r="J29" s="132" t="s">
        <v>41</v>
      </c>
      <c r="K29" s="206" t="s">
        <v>44</v>
      </c>
      <c r="L29" s="207"/>
      <c r="M29" s="207"/>
      <c r="N29" s="207"/>
      <c r="O29" s="207"/>
      <c r="P29" s="208"/>
    </row>
    <row r="30" spans="1:18" s="25" customFormat="1" ht="15" x14ac:dyDescent="0.2">
      <c r="A30" s="210">
        <f>A20</f>
        <v>0</v>
      </c>
      <c r="B30" s="211"/>
      <c r="C30" s="66"/>
      <c r="D30" s="67"/>
      <c r="E30" s="66"/>
      <c r="F30" s="121">
        <f t="shared" ref="F30:F36" si="2">C30+D30-E30</f>
        <v>0</v>
      </c>
      <c r="G30" s="78"/>
      <c r="H30" s="97"/>
      <c r="I30" s="117">
        <f>F30+G30-H30</f>
        <v>0</v>
      </c>
      <c r="J30" s="78"/>
      <c r="K30" s="102"/>
      <c r="L30" s="103"/>
      <c r="M30" s="103"/>
      <c r="N30" s="106"/>
      <c r="O30" s="106"/>
      <c r="P30" s="107"/>
    </row>
    <row r="31" spans="1:18" s="25" customFormat="1" ht="15" x14ac:dyDescent="0.2">
      <c r="A31" s="202">
        <f t="shared" ref="A31:A35" si="3">A21</f>
        <v>0</v>
      </c>
      <c r="B31" s="203"/>
      <c r="C31" s="68"/>
      <c r="D31" s="69"/>
      <c r="E31" s="68"/>
      <c r="F31" s="122">
        <f t="shared" si="2"/>
        <v>0</v>
      </c>
      <c r="G31" s="79"/>
      <c r="H31" s="92"/>
      <c r="I31" s="118">
        <f>F31+G31-H31</f>
        <v>0</v>
      </c>
      <c r="J31" s="79"/>
      <c r="K31" s="104"/>
      <c r="L31" s="105"/>
      <c r="M31" s="105"/>
      <c r="N31" s="108"/>
      <c r="O31" s="108"/>
      <c r="P31" s="109"/>
    </row>
    <row r="32" spans="1:18" s="25" customFormat="1" ht="15" x14ac:dyDescent="0.2">
      <c r="A32" s="202">
        <f t="shared" si="3"/>
        <v>0</v>
      </c>
      <c r="B32" s="203"/>
      <c r="C32" s="68"/>
      <c r="D32" s="69"/>
      <c r="E32" s="68"/>
      <c r="F32" s="122">
        <f t="shared" si="2"/>
        <v>0</v>
      </c>
      <c r="G32" s="79"/>
      <c r="H32" s="92"/>
      <c r="I32" s="118">
        <f t="shared" ref="I32:I35" si="4">F32+G32-H32</f>
        <v>0</v>
      </c>
      <c r="J32" s="79"/>
      <c r="K32" s="104"/>
      <c r="L32" s="105"/>
      <c r="M32" s="105"/>
      <c r="N32" s="108"/>
      <c r="O32" s="108"/>
      <c r="P32" s="109"/>
    </row>
    <row r="33" spans="1:18" s="25" customFormat="1" ht="15" x14ac:dyDescent="0.2">
      <c r="A33" s="202">
        <f t="shared" si="3"/>
        <v>0</v>
      </c>
      <c r="B33" s="203"/>
      <c r="C33" s="68"/>
      <c r="D33" s="69"/>
      <c r="E33" s="68"/>
      <c r="F33" s="122">
        <f t="shared" si="2"/>
        <v>0</v>
      </c>
      <c r="G33" s="79"/>
      <c r="H33" s="92"/>
      <c r="I33" s="118">
        <f t="shared" si="4"/>
        <v>0</v>
      </c>
      <c r="J33" s="79"/>
      <c r="K33" s="104"/>
      <c r="L33" s="105"/>
      <c r="M33" s="105"/>
      <c r="N33" s="108"/>
      <c r="O33" s="108"/>
      <c r="P33" s="109"/>
    </row>
    <row r="34" spans="1:18" s="25" customFormat="1" ht="15" x14ac:dyDescent="0.2">
      <c r="A34" s="202">
        <f t="shared" si="3"/>
        <v>0</v>
      </c>
      <c r="B34" s="203"/>
      <c r="C34" s="68"/>
      <c r="D34" s="69"/>
      <c r="E34" s="68"/>
      <c r="F34" s="122">
        <f t="shared" si="2"/>
        <v>0</v>
      </c>
      <c r="G34" s="79"/>
      <c r="H34" s="92"/>
      <c r="I34" s="118">
        <f t="shared" si="4"/>
        <v>0</v>
      </c>
      <c r="J34" s="79"/>
      <c r="K34" s="104"/>
      <c r="L34" s="105"/>
      <c r="M34" s="105"/>
      <c r="N34" s="108"/>
      <c r="O34" s="108"/>
      <c r="P34" s="109"/>
    </row>
    <row r="35" spans="1:18" s="25" customFormat="1" ht="15" x14ac:dyDescent="0.2">
      <c r="A35" s="204">
        <f t="shared" si="3"/>
        <v>0</v>
      </c>
      <c r="B35" s="205"/>
      <c r="C35" s="70"/>
      <c r="D35" s="71"/>
      <c r="E35" s="70"/>
      <c r="F35" s="123">
        <f t="shared" si="2"/>
        <v>0</v>
      </c>
      <c r="G35" s="80"/>
      <c r="H35" s="101"/>
      <c r="I35" s="118">
        <f t="shared" si="4"/>
        <v>0</v>
      </c>
      <c r="J35" s="80"/>
      <c r="K35" s="110"/>
      <c r="L35" s="111"/>
      <c r="M35" s="111"/>
      <c r="N35" s="112"/>
      <c r="O35" s="112"/>
      <c r="P35" s="113"/>
    </row>
    <row r="36" spans="1:18" s="25" customFormat="1" ht="15" x14ac:dyDescent="0.25">
      <c r="A36" s="89" t="s">
        <v>45</v>
      </c>
      <c r="B36" s="90"/>
      <c r="C36" s="99">
        <f>SUM(C30:C35)</f>
        <v>0</v>
      </c>
      <c r="D36" s="95">
        <f>SUM(D30:D35)</f>
        <v>0</v>
      </c>
      <c r="E36" s="95">
        <f>SUM(E30:E35)</f>
        <v>0</v>
      </c>
      <c r="F36" s="98">
        <f t="shared" si="2"/>
        <v>0</v>
      </c>
      <c r="G36" s="81"/>
      <c r="H36" s="95"/>
      <c r="I36" s="119"/>
      <c r="J36" s="81"/>
      <c r="K36" s="114"/>
      <c r="L36" s="115"/>
      <c r="M36" s="115"/>
      <c r="N36" s="73"/>
      <c r="O36" s="73"/>
      <c r="P36" s="116"/>
    </row>
    <row r="37" spans="1:18" s="25" customFormat="1" thickBot="1" x14ac:dyDescent="0.3">
      <c r="A37" s="43"/>
      <c r="B37" s="44"/>
      <c r="C37" s="45"/>
      <c r="D37" s="45"/>
      <c r="E37" s="45"/>
      <c r="F37" s="45"/>
      <c r="G37" s="44"/>
      <c r="H37" s="45"/>
      <c r="I37" s="46"/>
      <c r="J37" s="44"/>
      <c r="K37" s="47"/>
      <c r="L37" s="47"/>
      <c r="M37" s="47"/>
      <c r="N37" s="47"/>
      <c r="O37" s="47"/>
      <c r="P37" s="48"/>
      <c r="R37" s="31"/>
    </row>
    <row r="38" spans="1:18" s="25" customFormat="1" thickBot="1" x14ac:dyDescent="0.3">
      <c r="A38" s="49"/>
      <c r="B38" s="50"/>
      <c r="C38" s="51"/>
      <c r="D38" s="51"/>
      <c r="E38" s="51"/>
      <c r="F38" s="51"/>
      <c r="G38" s="50"/>
      <c r="H38" s="51"/>
      <c r="I38" s="52"/>
      <c r="J38" s="50"/>
      <c r="R38" s="31"/>
    </row>
    <row r="39" spans="1:18" s="25" customFormat="1" ht="15" x14ac:dyDescent="0.25">
      <c r="A39" s="27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9"/>
      <c r="R39" s="31"/>
    </row>
    <row r="40" spans="1:18" s="25" customFormat="1" ht="15" x14ac:dyDescent="0.25">
      <c r="A40" s="17" t="s">
        <v>47</v>
      </c>
      <c r="P40" s="30"/>
      <c r="R40" s="31"/>
    </row>
    <row r="41" spans="1:18" s="25" customFormat="1" ht="15" x14ac:dyDescent="0.25">
      <c r="A41" s="41"/>
      <c r="P41" s="30"/>
      <c r="R41" s="31"/>
    </row>
    <row r="42" spans="1:18" s="19" customFormat="1" ht="32.25" customHeight="1" x14ac:dyDescent="0.2">
      <c r="A42" s="209" t="s">
        <v>38</v>
      </c>
      <c r="B42" s="209"/>
      <c r="C42" s="133" t="s">
        <v>48</v>
      </c>
      <c r="D42" s="133" t="s">
        <v>49</v>
      </c>
      <c r="E42" s="133" t="s">
        <v>50</v>
      </c>
      <c r="F42" s="132" t="s">
        <v>41</v>
      </c>
      <c r="G42" s="133" t="s">
        <v>63</v>
      </c>
      <c r="H42" s="133" t="s">
        <v>64</v>
      </c>
      <c r="I42" s="133" t="s">
        <v>65</v>
      </c>
      <c r="J42" s="133" t="s">
        <v>66</v>
      </c>
      <c r="K42" s="241" t="s">
        <v>44</v>
      </c>
      <c r="L42" s="242"/>
      <c r="M42" s="242"/>
      <c r="N42" s="242"/>
      <c r="O42" s="242"/>
      <c r="P42" s="243"/>
    </row>
    <row r="43" spans="1:18" s="25" customFormat="1" ht="15" x14ac:dyDescent="0.2">
      <c r="A43" s="210">
        <f t="shared" ref="A43:A48" si="5">A20</f>
        <v>0</v>
      </c>
      <c r="B43" s="211"/>
      <c r="C43" s="54"/>
      <c r="D43" s="55"/>
      <c r="E43" s="54"/>
      <c r="F43" s="78"/>
      <c r="G43" s="56"/>
      <c r="H43" s="54">
        <f>G43-C43</f>
        <v>0</v>
      </c>
      <c r="I43" s="57"/>
      <c r="J43" s="57">
        <f>IF(H43&lt;0,C43-G43-I43,0)</f>
        <v>0</v>
      </c>
      <c r="K43" s="124"/>
      <c r="L43" s="244"/>
      <c r="M43" s="244"/>
      <c r="N43" s="244"/>
      <c r="O43" s="244"/>
      <c r="P43" s="107"/>
    </row>
    <row r="44" spans="1:18" s="25" customFormat="1" ht="15" x14ac:dyDescent="0.2">
      <c r="A44" s="202">
        <f t="shared" si="5"/>
        <v>0</v>
      </c>
      <c r="B44" s="203"/>
      <c r="C44" s="58">
        <f t="shared" ref="C44:C48" si="6">F21</f>
        <v>0</v>
      </c>
      <c r="D44" s="59"/>
      <c r="E44" s="58"/>
      <c r="F44" s="79"/>
      <c r="G44" s="60">
        <f t="shared" ref="G44:G48" si="7">D44*E44</f>
        <v>0</v>
      </c>
      <c r="H44" s="58">
        <f t="shared" ref="H44:H48" si="8">G44-C44</f>
        <v>0</v>
      </c>
      <c r="I44" s="61"/>
      <c r="J44" s="61">
        <f t="shared" ref="J44:J48" si="9">IF(H44&lt;0,C44-G44-I44,0)</f>
        <v>0</v>
      </c>
      <c r="K44" s="125"/>
      <c r="L44" s="212"/>
      <c r="M44" s="212"/>
      <c r="N44" s="212"/>
      <c r="O44" s="212"/>
      <c r="P44" s="109"/>
    </row>
    <row r="45" spans="1:18" s="25" customFormat="1" ht="15" x14ac:dyDescent="0.2">
      <c r="A45" s="202">
        <f t="shared" si="5"/>
        <v>0</v>
      </c>
      <c r="B45" s="203"/>
      <c r="C45" s="58">
        <f t="shared" si="6"/>
        <v>0</v>
      </c>
      <c r="D45" s="59"/>
      <c r="E45" s="58"/>
      <c r="F45" s="79"/>
      <c r="G45" s="60">
        <f t="shared" si="7"/>
        <v>0</v>
      </c>
      <c r="H45" s="58">
        <f t="shared" si="8"/>
        <v>0</v>
      </c>
      <c r="I45" s="61"/>
      <c r="J45" s="61">
        <f t="shared" si="9"/>
        <v>0</v>
      </c>
      <c r="K45" s="125"/>
      <c r="L45" s="212"/>
      <c r="M45" s="212"/>
      <c r="N45" s="212"/>
      <c r="O45" s="212"/>
      <c r="P45" s="109"/>
    </row>
    <row r="46" spans="1:18" s="25" customFormat="1" ht="15" x14ac:dyDescent="0.2">
      <c r="A46" s="202">
        <f t="shared" si="5"/>
        <v>0</v>
      </c>
      <c r="B46" s="203"/>
      <c r="C46" s="58">
        <f t="shared" si="6"/>
        <v>0</v>
      </c>
      <c r="D46" s="59"/>
      <c r="E46" s="58"/>
      <c r="F46" s="79"/>
      <c r="G46" s="60">
        <f t="shared" si="7"/>
        <v>0</v>
      </c>
      <c r="H46" s="58">
        <f t="shared" si="8"/>
        <v>0</v>
      </c>
      <c r="I46" s="61"/>
      <c r="J46" s="61">
        <f t="shared" si="9"/>
        <v>0</v>
      </c>
      <c r="K46" s="125"/>
      <c r="L46" s="212"/>
      <c r="M46" s="212"/>
      <c r="N46" s="212"/>
      <c r="O46" s="212"/>
      <c r="P46" s="109"/>
    </row>
    <row r="47" spans="1:18" s="25" customFormat="1" ht="15" x14ac:dyDescent="0.2">
      <c r="A47" s="202">
        <f t="shared" si="5"/>
        <v>0</v>
      </c>
      <c r="B47" s="203"/>
      <c r="C47" s="58">
        <f t="shared" si="6"/>
        <v>0</v>
      </c>
      <c r="D47" s="59"/>
      <c r="E47" s="58"/>
      <c r="F47" s="79"/>
      <c r="G47" s="60">
        <f t="shared" si="7"/>
        <v>0</v>
      </c>
      <c r="H47" s="58">
        <f t="shared" si="8"/>
        <v>0</v>
      </c>
      <c r="I47" s="61"/>
      <c r="J47" s="61">
        <f t="shared" si="9"/>
        <v>0</v>
      </c>
      <c r="K47" s="125"/>
      <c r="L47" s="212"/>
      <c r="M47" s="212"/>
      <c r="N47" s="212"/>
      <c r="O47" s="212"/>
      <c r="P47" s="109"/>
    </row>
    <row r="48" spans="1:18" s="25" customFormat="1" ht="15" x14ac:dyDescent="0.2">
      <c r="A48" s="204">
        <f t="shared" si="5"/>
        <v>0</v>
      </c>
      <c r="B48" s="205"/>
      <c r="C48" s="62">
        <f t="shared" si="6"/>
        <v>0</v>
      </c>
      <c r="D48" s="63"/>
      <c r="E48" s="62"/>
      <c r="F48" s="100"/>
      <c r="G48" s="64">
        <f t="shared" si="7"/>
        <v>0</v>
      </c>
      <c r="H48" s="62">
        <f t="shared" si="8"/>
        <v>0</v>
      </c>
      <c r="I48" s="65"/>
      <c r="J48" s="65">
        <f t="shared" si="9"/>
        <v>0</v>
      </c>
      <c r="K48" s="126"/>
      <c r="L48" s="214"/>
      <c r="M48" s="214"/>
      <c r="N48" s="214"/>
      <c r="O48" s="214"/>
      <c r="P48" s="113"/>
    </row>
    <row r="49" spans="1:18" s="25" customFormat="1" ht="15" x14ac:dyDescent="0.25">
      <c r="A49" s="89" t="s">
        <v>45</v>
      </c>
      <c r="B49" s="90"/>
      <c r="C49" s="33">
        <f>SUM(C43:C48)</f>
        <v>0</v>
      </c>
      <c r="D49" s="32"/>
      <c r="E49" s="33">
        <f>SUM(E43:E48)</f>
        <v>0</v>
      </c>
      <c r="F49" s="81"/>
      <c r="G49" s="33">
        <f>SUM(G43:G48)</f>
        <v>0</v>
      </c>
      <c r="H49" s="33">
        <f>SUM(H43:H48)</f>
        <v>0</v>
      </c>
      <c r="I49" s="33">
        <f>SUM(I43:I48)</f>
        <v>0</v>
      </c>
      <c r="J49" s="33">
        <f>SUM(J43:J48)</f>
        <v>0</v>
      </c>
      <c r="K49" s="127"/>
      <c r="L49" s="213"/>
      <c r="M49" s="213"/>
      <c r="N49" s="213"/>
      <c r="O49" s="213"/>
      <c r="P49" s="116"/>
    </row>
    <row r="50" spans="1:18" s="25" customFormat="1" thickBot="1" x14ac:dyDescent="0.3">
      <c r="A50" s="53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8"/>
      <c r="R50" s="31"/>
    </row>
    <row r="51" spans="1:18" s="25" customFormat="1" ht="15" x14ac:dyDescent="0.25">
      <c r="R51" s="31"/>
    </row>
    <row r="52" spans="1:18" s="25" customFormat="1" ht="15" x14ac:dyDescent="0.25">
      <c r="R52" s="31"/>
    </row>
    <row r="53" spans="1:18" s="25" customFormat="1" ht="15" x14ac:dyDescent="0.25">
      <c r="R53" s="31"/>
    </row>
    <row r="54" spans="1:18" s="25" customFormat="1" ht="15" x14ac:dyDescent="0.25">
      <c r="R54" s="31"/>
    </row>
  </sheetData>
  <sheetProtection formatCells="0" formatColumns="0" formatRows="0" insertColumns="0" insertRows="0" insertHyperlinks="0" deleteColumns="0" deleteRows="0" sort="0" autoFilter="0" pivotTables="0"/>
  <mergeCells count="48">
    <mergeCell ref="A48:B48"/>
    <mergeCell ref="A19:B19"/>
    <mergeCell ref="A42:B42"/>
    <mergeCell ref="A13:P13"/>
    <mergeCell ref="A14:P14"/>
    <mergeCell ref="A22:B22"/>
    <mergeCell ref="A23:B23"/>
    <mergeCell ref="A24:B24"/>
    <mergeCell ref="A25:B25"/>
    <mergeCell ref="A43:B43"/>
    <mergeCell ref="A44:B44"/>
    <mergeCell ref="A45:B45"/>
    <mergeCell ref="A46:B46"/>
    <mergeCell ref="A47:B47"/>
    <mergeCell ref="K42:P42"/>
    <mergeCell ref="L43:O43"/>
    <mergeCell ref="D1:M2"/>
    <mergeCell ref="A3:P5"/>
    <mergeCell ref="E6:L7"/>
    <mergeCell ref="M6:N6"/>
    <mergeCell ref="O6:P6"/>
    <mergeCell ref="M7:N7"/>
    <mergeCell ref="O7:P7"/>
    <mergeCell ref="O8:P8"/>
    <mergeCell ref="A11:P11"/>
    <mergeCell ref="O9:P9"/>
    <mergeCell ref="A9:C9"/>
    <mergeCell ref="D9:E9"/>
    <mergeCell ref="F9:I9"/>
    <mergeCell ref="J9:K9"/>
    <mergeCell ref="L9:N9"/>
    <mergeCell ref="L44:O44"/>
    <mergeCell ref="L45:O45"/>
    <mergeCell ref="L49:O49"/>
    <mergeCell ref="L46:O46"/>
    <mergeCell ref="L47:O47"/>
    <mergeCell ref="L48:O48"/>
    <mergeCell ref="A32:B32"/>
    <mergeCell ref="A33:B33"/>
    <mergeCell ref="A34:B34"/>
    <mergeCell ref="A35:B35"/>
    <mergeCell ref="K19:P19"/>
    <mergeCell ref="A29:B29"/>
    <mergeCell ref="K29:P29"/>
    <mergeCell ref="A30:B30"/>
    <mergeCell ref="A31:B31"/>
    <mergeCell ref="A20:B20"/>
    <mergeCell ref="A21:B21"/>
  </mergeCells>
  <dataValidations count="2">
    <dataValidation type="list" showInputMessage="1" showErrorMessage="1" sqref="D9:E9" xr:uid="{00000000-0002-0000-0100-000000000000}">
      <formula1>$R$4:$R$6</formula1>
    </dataValidation>
    <dataValidation type="list" allowBlank="1" showInputMessage="1" showErrorMessage="1" sqref="O9:P9" xr:uid="{00000000-0002-0000-0100-000001000000}">
      <formula1>$R$7:$R$9</formula1>
    </dataValidation>
  </dataValidations>
  <hyperlinks>
    <hyperlink ref="O8:P8" location="'I Synthèse'!A1" display="I Synthèse" xr:uid="{00000000-0004-0000-0100-000000000000}"/>
  </hyperlinks>
  <printOptions horizontalCentered="1"/>
  <pageMargins left="0.27559055118110237" right="0.27559055118110237" top="0.39370078740157483" bottom="0.39370078740157483" header="0.51181102362204722" footer="0.51181102362204722"/>
  <pageSetup paperSize="9" scale="69" fitToHeight="0" orientation="landscape" r:id="rId1"/>
  <headerFooter alignWithMargins="0"/>
  <ignoredErrors>
    <ignoredError sqref="I44:I49 A45:B47 J49 A44 A49:B49 A48 D44:E49 C44:C48 G44:G49 H43:H48 A30:B35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U33"/>
  <sheetViews>
    <sheetView showGridLines="0" zoomScale="90" zoomScaleNormal="90" zoomScaleSheetLayoutView="85" workbookViewId="0">
      <selection activeCell="N10" sqref="N10"/>
    </sheetView>
  </sheetViews>
  <sheetFormatPr baseColWidth="10" defaultColWidth="11.42578125" defaultRowHeight="15.75" x14ac:dyDescent="0.25"/>
  <cols>
    <col min="1" max="16" width="14.28515625" style="5" customWidth="1"/>
    <col min="17" max="17" width="11.42578125" style="5"/>
    <col min="18" max="18" width="11.42578125" style="26" hidden="1" customWidth="1"/>
    <col min="19" max="16384" width="11.42578125" style="5"/>
  </cols>
  <sheetData>
    <row r="1" spans="1:21" ht="15" customHeight="1" x14ac:dyDescent="0.2">
      <c r="A1" s="2"/>
      <c r="B1" s="3"/>
      <c r="C1" s="3"/>
      <c r="D1" s="225" t="str">
        <f>'I Synthèse'!D1</f>
        <v>#NomClient</v>
      </c>
      <c r="E1" s="226"/>
      <c r="F1" s="226"/>
      <c r="G1" s="226"/>
      <c r="H1" s="226"/>
      <c r="I1" s="226"/>
      <c r="J1" s="226"/>
      <c r="K1" s="226"/>
      <c r="L1" s="226"/>
      <c r="M1" s="227"/>
      <c r="N1" s="3"/>
      <c r="O1" s="3"/>
      <c r="P1" s="4"/>
      <c r="R1" s="6" t="s">
        <v>31</v>
      </c>
    </row>
    <row r="2" spans="1:21" ht="15" customHeight="1" thickBot="1" x14ac:dyDescent="0.25">
      <c r="A2" s="7"/>
      <c r="B2" s="8"/>
      <c r="C2" s="8"/>
      <c r="D2" s="228"/>
      <c r="E2" s="229"/>
      <c r="F2" s="229"/>
      <c r="G2" s="229"/>
      <c r="H2" s="229"/>
      <c r="I2" s="229"/>
      <c r="J2" s="229"/>
      <c r="K2" s="229"/>
      <c r="L2" s="229"/>
      <c r="M2" s="230"/>
      <c r="N2" s="8"/>
      <c r="O2" s="8"/>
      <c r="P2" s="9"/>
      <c r="R2" s="6" t="s">
        <v>32</v>
      </c>
    </row>
    <row r="3" spans="1:21" ht="15" customHeight="1" x14ac:dyDescent="0.25">
      <c r="A3" s="153" t="str">
        <f>'I Synthèse'!A3:O5</f>
        <v>IMMOBILISATIONS FINANCIERES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5"/>
      <c r="R3" s="10"/>
      <c r="T3" s="11"/>
      <c r="U3" s="12"/>
    </row>
    <row r="4" spans="1:21" ht="15" customHeight="1" x14ac:dyDescent="0.2">
      <c r="A4" s="153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5"/>
      <c r="R4" s="6" t="s">
        <v>4</v>
      </c>
      <c r="T4" s="11"/>
      <c r="U4" s="12"/>
    </row>
    <row r="5" spans="1:21" ht="15" customHeight="1" thickBot="1" x14ac:dyDescent="0.25">
      <c r="A5" s="156"/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8"/>
      <c r="Q5" s="13"/>
      <c r="R5" s="6" t="s">
        <v>5</v>
      </c>
      <c r="S5" s="14"/>
      <c r="T5" s="14"/>
      <c r="U5" s="14"/>
    </row>
    <row r="6" spans="1:21" ht="15" customHeight="1" x14ac:dyDescent="0.25">
      <c r="A6" s="15" t="s">
        <v>6</v>
      </c>
      <c r="B6" s="38" t="str">
        <f>'I Synthèse'!B6</f>
        <v>BRA</v>
      </c>
      <c r="C6" s="15" t="s">
        <v>7</v>
      </c>
      <c r="D6" s="38">
        <f>'I Synthèse'!D6</f>
        <v>0</v>
      </c>
      <c r="E6" s="159" t="s">
        <v>51</v>
      </c>
      <c r="F6" s="160"/>
      <c r="G6" s="160"/>
      <c r="H6" s="160"/>
      <c r="I6" s="160"/>
      <c r="J6" s="160"/>
      <c r="K6" s="160"/>
      <c r="L6" s="161"/>
      <c r="M6" s="231" t="s">
        <v>9</v>
      </c>
      <c r="N6" s="232"/>
      <c r="O6" s="165" t="s">
        <v>10</v>
      </c>
      <c r="P6" s="166"/>
      <c r="R6" s="10" t="s">
        <v>11</v>
      </c>
    </row>
    <row r="7" spans="1:21" ht="15" customHeight="1" thickBot="1" x14ac:dyDescent="0.25">
      <c r="A7" s="16" t="s">
        <v>12</v>
      </c>
      <c r="B7" s="40">
        <f>'I Synthèse'!B7</f>
        <v>0</v>
      </c>
      <c r="C7" s="16" t="s">
        <v>12</v>
      </c>
      <c r="D7" s="40">
        <f>'I Synthèse'!D7</f>
        <v>0</v>
      </c>
      <c r="E7" s="162"/>
      <c r="F7" s="163"/>
      <c r="G7" s="163"/>
      <c r="H7" s="163"/>
      <c r="I7" s="163"/>
      <c r="J7" s="163"/>
      <c r="K7" s="163"/>
      <c r="L7" s="164"/>
      <c r="M7" s="233" t="str">
        <f>'I Synthèse'!M7:M7</f>
        <v>#DateClôture</v>
      </c>
      <c r="N7" s="234"/>
      <c r="O7" s="167" t="s">
        <v>27</v>
      </c>
      <c r="P7" s="168"/>
      <c r="R7" s="6" t="s">
        <v>15</v>
      </c>
    </row>
    <row r="8" spans="1:21" ht="21" customHeight="1" thickBot="1" x14ac:dyDescent="0.25">
      <c r="A8" s="17"/>
      <c r="B8" s="18"/>
      <c r="C8" s="19"/>
      <c r="D8" s="19"/>
      <c r="E8" s="20"/>
      <c r="F8" s="20"/>
      <c r="G8" s="20"/>
      <c r="H8" s="20"/>
      <c r="I8" s="20"/>
      <c r="J8" s="20"/>
      <c r="K8" s="20"/>
      <c r="L8" s="20"/>
      <c r="M8" s="21"/>
      <c r="N8" s="19"/>
      <c r="O8" s="215" t="s">
        <v>34</v>
      </c>
      <c r="P8" s="215"/>
      <c r="R8" s="6" t="s">
        <v>16</v>
      </c>
    </row>
    <row r="9" spans="1:21" s="19" customFormat="1" ht="31.5" customHeight="1" thickBot="1" x14ac:dyDescent="0.3">
      <c r="A9" s="221" t="s">
        <v>17</v>
      </c>
      <c r="B9" s="222"/>
      <c r="C9" s="222"/>
      <c r="D9" s="219" t="str">
        <f>'I Synthèse'!D9:E9</f>
        <v>Faible</v>
      </c>
      <c r="E9" s="220"/>
      <c r="F9" s="179" t="s">
        <v>18</v>
      </c>
      <c r="G9" s="180"/>
      <c r="H9" s="180"/>
      <c r="I9" s="180"/>
      <c r="J9" s="223">
        <f>'I Synthèse'!J9:K9</f>
        <v>0</v>
      </c>
      <c r="K9" s="224"/>
      <c r="L9" s="179" t="s">
        <v>19</v>
      </c>
      <c r="M9" s="180"/>
      <c r="N9" s="180"/>
      <c r="O9" s="219" t="str">
        <f>'I Synthèse'!N9</f>
        <v>PB</v>
      </c>
      <c r="P9" s="220"/>
      <c r="R9" s="10" t="s">
        <v>20</v>
      </c>
    </row>
    <row r="10" spans="1:21" s="19" customFormat="1" ht="21" customHeight="1" thickBot="1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R10" s="24"/>
    </row>
    <row r="11" spans="1:21" s="25" customFormat="1" ht="91.5" customHeight="1" thickBot="1" x14ac:dyDescent="0.3">
      <c r="A11" s="216" t="s">
        <v>52</v>
      </c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7"/>
      <c r="N11" s="217"/>
      <c r="O11" s="217"/>
      <c r="P11" s="218"/>
      <c r="R11" s="26"/>
      <c r="T11" s="25" t="s">
        <v>53</v>
      </c>
    </row>
    <row r="12" spans="1:21" s="25" customFormat="1" ht="9" customHeight="1" thickBot="1" x14ac:dyDescent="0.25">
      <c r="R12" s="5"/>
    </row>
    <row r="13" spans="1:21" s="25" customFormat="1" ht="16.5" thickBot="1" x14ac:dyDescent="0.25">
      <c r="A13" s="235" t="s">
        <v>36</v>
      </c>
      <c r="B13" s="236"/>
      <c r="C13" s="236"/>
      <c r="D13" s="236"/>
      <c r="E13" s="236"/>
      <c r="F13" s="236"/>
      <c r="G13" s="236"/>
      <c r="H13" s="236"/>
      <c r="I13" s="236"/>
      <c r="J13" s="236"/>
      <c r="K13" s="236"/>
      <c r="L13" s="236"/>
      <c r="M13" s="236"/>
      <c r="N13" s="236"/>
      <c r="O13" s="236"/>
      <c r="P13" s="237"/>
      <c r="R13" s="5"/>
    </row>
    <row r="14" spans="1:21" s="26" customFormat="1" ht="9.9499999999999993" customHeight="1" x14ac:dyDescent="0.25">
      <c r="A14" s="1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7"/>
    </row>
    <row r="15" spans="1:21" s="26" customFormat="1" ht="9.9499999999999993" customHeight="1" x14ac:dyDescent="0.25">
      <c r="A15" s="138"/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40"/>
    </row>
    <row r="16" spans="1:21" s="26" customFormat="1" ht="9.9499999999999993" customHeight="1" x14ac:dyDescent="0.25">
      <c r="A16" s="138"/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40"/>
    </row>
    <row r="17" spans="1:16" s="26" customFormat="1" ht="9.9499999999999993" customHeight="1" x14ac:dyDescent="0.25">
      <c r="A17" s="138"/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</row>
    <row r="18" spans="1:16" s="26" customFormat="1" ht="9.75" customHeight="1" x14ac:dyDescent="0.25">
      <c r="A18" s="138"/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40"/>
    </row>
    <row r="19" spans="1:16" s="26" customFormat="1" ht="9.75" customHeight="1" x14ac:dyDescent="0.25">
      <c r="A19" s="138"/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40"/>
    </row>
    <row r="20" spans="1:16" s="26" customFormat="1" ht="9.9499999999999993" customHeight="1" x14ac:dyDescent="0.25">
      <c r="A20" s="138"/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40"/>
    </row>
    <row r="21" spans="1:16" s="26" customFormat="1" ht="9.9499999999999993" customHeight="1" x14ac:dyDescent="0.25">
      <c r="A21" s="138"/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40"/>
    </row>
    <row r="22" spans="1:16" s="26" customFormat="1" ht="9.9499999999999993" customHeight="1" x14ac:dyDescent="0.25">
      <c r="A22" s="138"/>
      <c r="B22" s="139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40"/>
    </row>
    <row r="23" spans="1:16" s="26" customFormat="1" ht="9.9499999999999993" customHeight="1" x14ac:dyDescent="0.25">
      <c r="A23" s="138"/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40"/>
    </row>
    <row r="24" spans="1:16" s="26" customFormat="1" ht="9.9499999999999993" customHeight="1" x14ac:dyDescent="0.25">
      <c r="A24" s="138"/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40"/>
    </row>
    <row r="25" spans="1:16" s="26" customFormat="1" ht="9.9499999999999993" customHeight="1" x14ac:dyDescent="0.25">
      <c r="A25" s="138"/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40"/>
    </row>
    <row r="26" spans="1:16" s="26" customFormat="1" ht="9.9499999999999993" customHeight="1" x14ac:dyDescent="0.25">
      <c r="A26" s="138"/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40"/>
    </row>
    <row r="27" spans="1:16" s="26" customFormat="1" ht="9.9499999999999993" customHeight="1" x14ac:dyDescent="0.25">
      <c r="A27" s="138"/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40"/>
    </row>
    <row r="28" spans="1:16" s="26" customFormat="1" ht="9.9499999999999993" customHeight="1" x14ac:dyDescent="0.25">
      <c r="A28" s="138"/>
      <c r="B28" s="139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40"/>
    </row>
    <row r="29" spans="1:16" s="26" customFormat="1" ht="9.9499999999999993" customHeight="1" x14ac:dyDescent="0.25">
      <c r="A29" s="138"/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40"/>
    </row>
    <row r="30" spans="1:16" s="26" customFormat="1" ht="9.9499999999999993" customHeight="1" x14ac:dyDescent="0.25">
      <c r="A30" s="138"/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40"/>
    </row>
    <row r="31" spans="1:16" s="26" customFormat="1" ht="9.9499999999999993" customHeight="1" x14ac:dyDescent="0.25">
      <c r="A31" s="138"/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40"/>
    </row>
    <row r="32" spans="1:16" s="26" customFormat="1" ht="9.9499999999999993" customHeight="1" x14ac:dyDescent="0.25">
      <c r="A32" s="138"/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40"/>
    </row>
    <row r="33" spans="1:16" s="26" customFormat="1" ht="9.9499999999999993" customHeight="1" thickBot="1" x14ac:dyDescent="0.3">
      <c r="A33" s="141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3"/>
    </row>
  </sheetData>
  <sheetProtection formatCells="0" formatColumns="0" formatRows="0" insertColumns="0" insertRows="0" insertHyperlinks="0" deleteColumns="0" deleteRows="0" sort="0" autoFilter="0" pivotTables="0"/>
  <mergeCells count="17">
    <mergeCell ref="D1:M2"/>
    <mergeCell ref="A3:P5"/>
    <mergeCell ref="E6:L7"/>
    <mergeCell ref="M6:N6"/>
    <mergeCell ref="O6:P6"/>
    <mergeCell ref="M7:N7"/>
    <mergeCell ref="O7:P7"/>
    <mergeCell ref="A14:P33"/>
    <mergeCell ref="O8:P8"/>
    <mergeCell ref="A11:P11"/>
    <mergeCell ref="A13:P13"/>
    <mergeCell ref="A9:C9"/>
    <mergeCell ref="D9:E9"/>
    <mergeCell ref="F9:I9"/>
    <mergeCell ref="J9:K9"/>
    <mergeCell ref="L9:N9"/>
    <mergeCell ref="O9:P9"/>
  </mergeCells>
  <dataValidations count="2">
    <dataValidation type="list" showInputMessage="1" showErrorMessage="1" sqref="D9:E9" xr:uid="{00000000-0002-0000-0200-000000000000}">
      <formula1>$R$4:$R$6</formula1>
    </dataValidation>
    <dataValidation type="list" allowBlank="1" showInputMessage="1" showErrorMessage="1" sqref="O9:P9" xr:uid="{00000000-0002-0000-0200-000001000000}">
      <formula1>$R$7:$R$9</formula1>
    </dataValidation>
  </dataValidations>
  <hyperlinks>
    <hyperlink ref="O8:P8" location="'I Synthèse'!A1" display="I Synthèse" xr:uid="{00000000-0004-0000-0200-000000000000}"/>
  </hyperlinks>
  <printOptions horizontalCentered="1"/>
  <pageMargins left="0.27559055118110237" right="0.27559055118110237" top="0.39370078740157483" bottom="0.39370078740157483" header="0.51181102362204722" footer="0.51181102362204722"/>
  <pageSetup paperSize="9" scale="65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3FFDFD4C05D14DADD40B72BFB892F2" ma:contentTypeVersion="12" ma:contentTypeDescription="Crée un document." ma:contentTypeScope="" ma:versionID="a1e612abde7994f04a20992d1f580c2e">
  <xsd:schema xmlns:xsd="http://www.w3.org/2001/XMLSchema" xmlns:xs="http://www.w3.org/2001/XMLSchema" xmlns:p="http://schemas.microsoft.com/office/2006/metadata/properties" xmlns:ns2="27d32b71-31f9-4ffd-a7f0-416f695e1477" xmlns:ns3="d905335e-07f7-449f-8325-7d00af0e6b96" targetNamespace="http://schemas.microsoft.com/office/2006/metadata/properties" ma:root="true" ma:fieldsID="ec4aa46a3384ff861a570c8849968e95" ns2:_="" ns3:_="">
    <xsd:import namespace="27d32b71-31f9-4ffd-a7f0-416f695e1477"/>
    <xsd:import namespace="d905335e-07f7-449f-8325-7d00af0e6b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d32b71-31f9-4ffd-a7f0-416f695e14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e55a836-def3-43e3-8f00-2a26c91975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05335e-07f7-449f-8325-7d00af0e6b9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e981c32-6aaa-40cd-9bf7-e0202a3392a7}" ma:internalName="TaxCatchAll" ma:showField="CatchAllData" ma:web="d905335e-07f7-449f-8325-7d00af0e6b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d32b71-31f9-4ffd-a7f0-416f695e1477">
      <Terms xmlns="http://schemas.microsoft.com/office/infopath/2007/PartnerControls"/>
    </lcf76f155ced4ddcb4097134ff3c332f>
    <TaxCatchAll xmlns="d905335e-07f7-449f-8325-7d00af0e6b96" xsi:nil="true"/>
  </documentManagement>
</p:properties>
</file>

<file path=customXml/itemProps1.xml><?xml version="1.0" encoding="utf-8"?>
<ds:datastoreItem xmlns:ds="http://schemas.openxmlformats.org/officeDocument/2006/customXml" ds:itemID="{868E2F7B-F326-4E64-A808-6B7F867DBE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88D719-DA05-4340-A1E5-3399AD4710C6}"/>
</file>

<file path=customXml/itemProps3.xml><?xml version="1.0" encoding="utf-8"?>
<ds:datastoreItem xmlns:ds="http://schemas.openxmlformats.org/officeDocument/2006/customXml" ds:itemID="{82587EC2-E233-4467-A4CA-1E04B30A29B0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9d7aee5f-c6d7-4567-bea9-00a4b0c47d6f"/>
    <ds:schemaRef ds:uri="aed0d0bd-a659-4dbf-bbaa-a56f4efa3b0c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6</vt:i4>
      </vt:variant>
    </vt:vector>
  </HeadingPairs>
  <TitlesOfParts>
    <vt:vector size="9" baseType="lpstr">
      <vt:lpstr>I Synthèse</vt:lpstr>
      <vt:lpstr>I850 Titres et créances ratta</vt:lpstr>
      <vt:lpstr>I900 Autres immos fi.</vt:lpstr>
      <vt:lpstr>'I Synthèse'!Diligences</vt:lpstr>
      <vt:lpstr>'I Synthèse'!Etat</vt:lpstr>
      <vt:lpstr>'I Synthèse'!RAS</vt:lpstr>
      <vt:lpstr>'I Synthèse'!Zone_d_impression</vt:lpstr>
      <vt:lpstr>'I850 Titres et créances ratta'!Zone_d_impression</vt:lpstr>
      <vt:lpstr>'I900 Autres immos fi.'!Zone_d_impression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Charles CHA. ARNAUD</dc:creator>
  <cp:keywords/>
  <dc:description/>
  <cp:lastModifiedBy>BRIAN BRY. RAULY</cp:lastModifiedBy>
  <cp:revision/>
  <dcterms:created xsi:type="dcterms:W3CDTF">2017-10-16T12:39:08Z</dcterms:created>
  <dcterms:modified xsi:type="dcterms:W3CDTF">2024-07-08T07:26:48Z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0x010100BD3FFDFD4C05D14DADD40B72BFB892F2</vt:lpwstr>
  </property>
</Properties>
</file>