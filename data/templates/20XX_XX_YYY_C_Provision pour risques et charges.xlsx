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Srvdcvil\collaborateurs\2-COLLABORATEURS\Brian\Modèles\Dossier annuel\C- Capitaux propres + PRC\"/>
    </mc:Choice>
  </mc:AlternateContent>
  <xr:revisionPtr revIDLastSave="0" documentId="13_ncr:1_{59F9A217-CE30-4E6C-8232-B5E7711D8E84}" xr6:coauthVersionLast="47" xr6:coauthVersionMax="47" xr10:uidLastSave="{00000000-0000-0000-0000-000000000000}"/>
  <bookViews>
    <workbookView xWindow="-28920" yWindow="-120" windowWidth="29040" windowHeight="15720" tabRatio="728" xr2:uid="{00000000-000D-0000-FFFF-FFFF00000000}"/>
  </bookViews>
  <sheets>
    <sheet name="C Synthèse" sheetId="1" r:id="rId1"/>
    <sheet name="C400 Revue des PRC" sheetId="26" state="hidden" r:id="rId2"/>
    <sheet name="C410 Honoraires avocat" sheetId="28" r:id="rId3"/>
  </sheets>
  <externalReferences>
    <externalReference r:id="rId4"/>
  </externalReferences>
  <definedNames>
    <definedName name="ça">"$#REF !.$B$508:$R$508"</definedName>
    <definedName name="CA_N">[1]SIG!$B$8</definedName>
    <definedName name="CA_N_1">[1]SIG!$D$8</definedName>
    <definedName name="çb">"$#REF !.$A$48:$K$48"</definedName>
    <definedName name="çi">"$#REF !.$R$11:$R$508"</definedName>
    <definedName name="cloture">"$#REF !.$G$9"</definedName>
    <definedName name="çp">"$#REF !.$B$44:$F$44"</definedName>
    <definedName name="çr">"$#REF !.$B$62:$H$62"</definedName>
    <definedName name="çs">"$#REF !.$B$161:$L$161"</definedName>
    <definedName name="dateCloture" localSheetId="1">#REF!</definedName>
    <definedName name="dateCloture" localSheetId="2">#REF!</definedName>
    <definedName name="dateCloture">#REF!</definedName>
    <definedName name="DatesCloture">"$#REF !.$F$9:$#REF !.$M$9"</definedName>
    <definedName name="Diligences" localSheetId="1">'C400 Revue des PRC'!#REF!</definedName>
    <definedName name="Diligences" localSheetId="2">'C410 Honoraires avocat'!#REF!</definedName>
    <definedName name="Diligences">'C Synthèse'!$Q$7:$Q$9</definedName>
    <definedName name="Etat" localSheetId="1">'C400 Revue des PRC'!#REF!</definedName>
    <definedName name="Etat" localSheetId="2">'C410 Honoraires avocat'!#REF!</definedName>
    <definedName name="Etat">'C Synthèse'!$Q$1:$Q$3</definedName>
    <definedName name="NomDossier">"$#REF !.$E$1"</definedName>
    <definedName name="RAS" localSheetId="1">'C400 Revue des PRC'!#REF!</definedName>
    <definedName name="RAS" localSheetId="2">'C410 Honoraires avocat'!#REF!</definedName>
    <definedName name="RAS">'C Synthèse'!$Q$4:$Q$6</definedName>
    <definedName name="referenceDossier" localSheetId="1">#REF!</definedName>
    <definedName name="referenceDossier" localSheetId="2">#REF!</definedName>
    <definedName name="referenceDossier">#REF!</definedName>
    <definedName name="sold6037">"$#REF !.$A$85:$I$85"</definedName>
    <definedName name="sold607">"$#REF !.$A$84:$I$84"</definedName>
    <definedName name="sold701">"$#REF !.$A$73:$I$73"</definedName>
    <definedName name="sold706">"$#REF !.$A$74:$I$74"</definedName>
    <definedName name="sold707">"$#REF !.$A$72:$I$72"</definedName>
    <definedName name="sold71">"$#REF !.$A$75:$I$75"</definedName>
    <definedName name="sold781">"$#REF !.$A$151:$I$151"</definedName>
    <definedName name="sold791">"$#REF !.$A$82:$I$82"</definedName>
    <definedName name="soldesCapitaux">"$#REF !.$A$55:$J$66"</definedName>
    <definedName name="start_toc" localSheetId="1">#REF!</definedName>
    <definedName name="start_toc" localSheetId="2">#REF!</definedName>
    <definedName name="start_toc">#REF!</definedName>
    <definedName name="TOTAL1_N">'[1]BILAN PASSIF'!$F$24</definedName>
    <definedName name="TOTAL1_N_1">'[1]BILAN PASSIF'!$H$24</definedName>
    <definedName name="TOTAL2_N">'[1]BILAN PASSIF'!$F$29</definedName>
    <definedName name="TOTAL2_N_1">'[1]BILAN PASSIF'!$H$29</definedName>
    <definedName name="TOTAL3_N">'[1]BILAN PASSIF'!$F$34</definedName>
    <definedName name="TOTAL3_N_1">'[1]BILAN PASSIF'!$H$34</definedName>
    <definedName name="TOTAL4_N">'[1]BILAN PASSIF'!$F$54</definedName>
    <definedName name="TOTAL4_N_1">'[1]BILAN PASSIF'!$H$54</definedName>
    <definedName name="TOTAL5_N">'[1]BILAN PASSIF'!$F$56</definedName>
    <definedName name="TOTAL5_N_1">'[1]BILAN PASSIF'!$H$56</definedName>
    <definedName name="TOTALGEN_N">'[1]BILAN PASSIF'!$F$58</definedName>
    <definedName name="TOTALGEN_N_1">'[1]BILAN PASSIF'!$H$58</definedName>
    <definedName name="uniteMonetaire" localSheetId="1">#REF!</definedName>
    <definedName name="uniteMonetaire" localSheetId="2">#REF!</definedName>
    <definedName name="uniteMonetaire">#REF!</definedName>
    <definedName name="Z_11CE3843_8765_4D4C_AA39_79A83C002DF6_.wvu.PrintArea" localSheetId="0" hidden="1">'C Synthèse'!$A$1:$O$14</definedName>
    <definedName name="Z_11CE3843_8765_4D4C_AA39_79A83C002DF6_.wvu.PrintArea" localSheetId="1" hidden="1">'C400 Revue des PRC'!$A$1:$P$10</definedName>
    <definedName name="Z_11CE3843_8765_4D4C_AA39_79A83C002DF6_.wvu.PrintArea" localSheetId="2" hidden="1">'C410 Honoraires avocat'!$A$1:$P$10</definedName>
    <definedName name="Z_3BBE5D10_E029_4BF5_BC04_29D3FAA5A0EB_.wvu.PrintArea" localSheetId="0" hidden="1">'C Synthèse'!$A$1:$O$14</definedName>
    <definedName name="Z_3BBE5D10_E029_4BF5_BC04_29D3FAA5A0EB_.wvu.PrintArea" localSheetId="1" hidden="1">'C400 Revue des PRC'!$A$1:$P$10</definedName>
    <definedName name="Z_3BBE5D10_E029_4BF5_BC04_29D3FAA5A0EB_.wvu.PrintArea" localSheetId="2" hidden="1">'C410 Honoraires avocat'!$A$1:$P$10</definedName>
    <definedName name="_xlnm.Print_Area" localSheetId="0">'C Synthèse'!$A$1:$O$27</definedName>
    <definedName name="_xlnm.Print_Area" localSheetId="1">'C400 Revue des PRC'!$A$1:$P$14</definedName>
    <definedName name="_xlnm.Print_Area" localSheetId="2">'C410 Honoraires avocat'!$A$1:$P$14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28" l="1"/>
  <c r="O9" i="26"/>
  <c r="J9" i="28" l="1"/>
  <c r="D9" i="28"/>
  <c r="M7" i="28"/>
  <c r="D7" i="28"/>
  <c r="B7" i="28"/>
  <c r="D6" i="28"/>
  <c r="B6" i="28"/>
  <c r="D1" i="28"/>
  <c r="M22" i="26" l="1"/>
  <c r="M21" i="26"/>
  <c r="M20" i="26"/>
  <c r="M7" i="26" l="1"/>
  <c r="D7" i="26" l="1"/>
  <c r="D6" i="26"/>
  <c r="B7" i="26"/>
  <c r="B6" i="26"/>
  <c r="D1" i="26"/>
  <c r="K23" i="26" l="1"/>
  <c r="M23" i="26"/>
  <c r="I23" i="26"/>
  <c r="G23" i="26"/>
  <c r="E23" i="26"/>
  <c r="C12" i="1" l="1"/>
  <c r="J9" i="26"/>
  <c r="D9" i="26"/>
</calcChain>
</file>

<file path=xl/sharedStrings.xml><?xml version="1.0" encoding="utf-8"?>
<sst xmlns="http://schemas.openxmlformats.org/spreadsheetml/2006/main" count="89" uniqueCount="58">
  <si>
    <t>#NomClient</t>
  </si>
  <si>
    <t>OUI</t>
  </si>
  <si>
    <t>NON</t>
  </si>
  <si>
    <t>PROVISION POUR RISQUES ET CHARGES</t>
  </si>
  <si>
    <t>Faible</t>
  </si>
  <si>
    <t>Modéré</t>
  </si>
  <si>
    <t>Fait par :</t>
  </si>
  <si>
    <t>BRA</t>
  </si>
  <si>
    <t>Revu par :</t>
  </si>
  <si>
    <t>Synthèse du cycle</t>
  </si>
  <si>
    <t>Date Clôture</t>
  </si>
  <si>
    <t>XRef</t>
  </si>
  <si>
    <t>Elevé</t>
  </si>
  <si>
    <t>Le :</t>
  </si>
  <si>
    <t>#DateClôture</t>
  </si>
  <si>
    <t>C</t>
  </si>
  <si>
    <t>PB</t>
  </si>
  <si>
    <t>PE</t>
  </si>
  <si>
    <t>Risque d'anomalies significatives</t>
  </si>
  <si>
    <t>Seuil d'investigation</t>
  </si>
  <si>
    <t>Niveau de diligences</t>
  </si>
  <si>
    <t>PE + VP</t>
  </si>
  <si>
    <t>Xref</t>
  </si>
  <si>
    <t>Contrôles</t>
  </si>
  <si>
    <t>Diligence à tester</t>
  </si>
  <si>
    <t>Liens</t>
  </si>
  <si>
    <t>C400 Revue des PRC</t>
  </si>
  <si>
    <t>C410</t>
  </si>
  <si>
    <t>Revue des honoraires d'avocats</t>
  </si>
  <si>
    <t>C410 Honoraires avocat</t>
  </si>
  <si>
    <t>Revue analytique</t>
  </si>
  <si>
    <t>Cf. CPRC</t>
  </si>
  <si>
    <t>CONCLUSION</t>
  </si>
  <si>
    <t>Revue des provisions pour risques et charges</t>
  </si>
  <si>
    <t>C400</t>
  </si>
  <si>
    <t>C Synthèse</t>
  </si>
  <si>
    <r>
      <t>Objectif</t>
    </r>
    <r>
      <rPr>
        <sz val="11"/>
        <rFont val="Calibri"/>
        <family val="2"/>
        <scheme val="minor"/>
      </rPr>
      <t xml:space="preserve">
Contrôle de l'évaluation et de l'exhaustivité des PRC
</t>
    </r>
    <r>
      <rPr>
        <b/>
        <u/>
        <sz val="11"/>
        <rFont val="Calibri"/>
        <family val="2"/>
        <scheme val="minor"/>
      </rPr>
      <t>Travail effectué</t>
    </r>
    <r>
      <rPr>
        <sz val="11"/>
        <rFont val="Calibri"/>
        <family val="2"/>
        <scheme val="minor"/>
      </rPr>
      <t xml:space="preserve">
1/ Obtenir (ou établir) le tableau de variations des provisions pour risques et charges,  le rapprocher de la comptabilité générale et effectuer les contrôles arithmétiques nécessaires.
2/ Par entretien avec le responsable du suivi des litiges (responsable du personnel pour les prud'hommes), faire le suivi des litiges existants à l'ouverture et analyser les nouveaux litiges. Obtenir les documents justificatifs :
- pour les nouveaux litiges : avis d'assignation en justice (convocation au tribunal précisant les demandes), rapports d'expertise (fixant la valorisation des préjudices), échanges de courriers avec l'avocat…
- pour les litiges résolus sur l'exercice : notification de jugement (Jugement TGI, Arrêt Cour d'Appel,  Arrêt Cassation) et justificatif de l'absence de procédure d'appel (certificat de non appel délivré par le greffe)
- autres justificatifs éventuels : convocation fixant la date de Jugement ou le report de la date d'audience ou de Jugement…
3/ Par entretien, s'assurer qu'il n'existe pas d'autres litiges non provisionnés à la clôture (licenciements, restructurations…). S'assurer également de l'absence / existence de litiges postérieurs à la clôture.
4/ Corroborer les informations obtenues avec les réponses aux circularisations avocats.
5/ S'assurer que les litiges significatifs et les litiges postérieurs à la clôture font l'objet d'une information en annexes (cf. travaux de CAC)</t>
    </r>
  </si>
  <si>
    <t>Conclusion sur le contrôle</t>
  </si>
  <si>
    <t>Conclure sur les points énoncés ci-dessus</t>
  </si>
  <si>
    <t>1/ Revue analytique des provisions</t>
  </si>
  <si>
    <t>N° Compte</t>
  </si>
  <si>
    <t>Catégorie</t>
  </si>
  <si>
    <t>N-1</t>
  </si>
  <si>
    <t>Dotation</t>
  </si>
  <si>
    <t>Reprise utilisée</t>
  </si>
  <si>
    <t>Reprise non utilisée</t>
  </si>
  <si>
    <t>N</t>
  </si>
  <si>
    <t>X-Ref</t>
  </si>
  <si>
    <t>Total</t>
  </si>
  <si>
    <t>Conclusion RA</t>
  </si>
  <si>
    <t>2/ Analyse des honoraires</t>
  </si>
  <si>
    <t>Cf. C410</t>
  </si>
  <si>
    <t>3/ Entretien avec la direction</t>
  </si>
  <si>
    <t>4/ Exploitation des circularisations avocats</t>
  </si>
  <si>
    <r>
      <t>Objectif</t>
    </r>
    <r>
      <rPr>
        <sz val="11"/>
        <rFont val="Calibri"/>
        <family val="2"/>
        <scheme val="minor"/>
      </rPr>
      <t xml:space="preserve">
Contrôle de l'évaluation et de l'exhaustivité des PRC
</t>
    </r>
    <r>
      <rPr>
        <b/>
        <u/>
        <sz val="11"/>
        <rFont val="Calibri"/>
        <family val="2"/>
        <scheme val="minor"/>
      </rPr>
      <t>Travail effectué</t>
    </r>
    <r>
      <rPr>
        <sz val="11"/>
        <rFont val="Calibri"/>
        <family val="2"/>
        <scheme val="minor"/>
      </rPr>
      <t xml:space="preserve">
A partir de l'extrait du compte #6226XX, retour sur l'ensemble des factures d'avocat et identification de l'objet de la facture.
En cas de litige identifié prendre une copie/scan de la facture. Rapprochement du litige avec la provision en comptabilité.
En l'absence de provision, valorisation du risque non provisionné.</t>
    </r>
  </si>
  <si>
    <t>1° Revue analytique des comptes d'honoraires sur l'exercice N</t>
  </si>
  <si>
    <t>Copier/coller ici l'extration des comptes #6226 à partir du FEC / GL</t>
  </si>
  <si>
    <t>2° Revue analytique des comptes d'honoraires sur l'exercice N+1 (à la date d'intervention)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</si>
</sst>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#,##0.00\ &quot;F&quot;;[Red]\-#,##0.00\ &quot;F&quot;"/>
    <numFmt numFmtId="166" formatCode="_-* #,##0\ _€_-;\-* #,##0\ _€_-;_-* &quot;-&quot;??\ _€_-;_-@_-"/>
    <numFmt numFmtId="167" formatCode="#,##0_ ;\-#,##0\ "/>
  </numFmts>
  <fonts count="2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3"/>
      <name val="Calibri"/>
      <family val="2"/>
      <scheme val="minor"/>
    </font>
    <font>
      <i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2"/>
      <name val="Calibri"/>
      <family val="2"/>
      <scheme val="minor"/>
    </font>
    <font>
      <b/>
      <sz val="17"/>
      <name val="Calibri"/>
      <family val="2"/>
      <scheme val="minor"/>
    </font>
    <font>
      <u/>
      <sz val="12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indexed="22"/>
      <name val="Calibri"/>
      <family val="2"/>
      <scheme val="minor"/>
    </font>
    <font>
      <sz val="10"/>
      <name val="Trebuchet MS"/>
      <family val="2"/>
    </font>
    <font>
      <u/>
      <sz val="8"/>
      <color theme="10"/>
      <name val="Arial"/>
      <family val="2"/>
    </font>
    <font>
      <b/>
      <i/>
      <sz val="11"/>
      <name val="Calibri"/>
      <family val="2"/>
      <scheme val="minor"/>
    </font>
    <font>
      <u/>
      <sz val="8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4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/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49" fontId="2" fillId="2" borderId="0" applyFont="0" applyBorder="0" applyProtection="0">
      <alignment vertical="center" readingOrder="1"/>
    </xf>
    <xf numFmtId="0" fontId="22" fillId="0" borderId="0"/>
    <xf numFmtId="0" fontId="23" fillId="0" borderId="0" applyNumberFormat="0" applyFill="0" applyBorder="0" applyAlignment="0" applyProtection="0">
      <alignment vertical="top"/>
      <protection locked="0"/>
    </xf>
  </cellStyleXfs>
  <cellXfs count="203">
    <xf numFmtId="0" fontId="0" fillId="0" borderId="0" xfId="0"/>
    <xf numFmtId="0" fontId="3" fillId="0" borderId="0" xfId="0" applyFont="1" applyAlignment="1" applyProtection="1">
      <alignment vertical="center"/>
      <protection locked="0"/>
    </xf>
    <xf numFmtId="49" fontId="5" fillId="0" borderId="0" xfId="0" applyNumberFormat="1" applyFont="1" applyAlignment="1" applyProtection="1">
      <alignment horizontal="right"/>
      <protection locked="0"/>
    </xf>
    <xf numFmtId="49" fontId="3" fillId="0" borderId="0" xfId="0" applyNumberFormat="1" applyFont="1" applyAlignment="1" applyProtection="1">
      <alignment horizontal="right"/>
      <protection locked="0"/>
    </xf>
    <xf numFmtId="0" fontId="5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49" fontId="4" fillId="0" borderId="0" xfId="0" applyNumberFormat="1" applyFont="1" applyAlignment="1" applyProtection="1">
      <alignment horizontal="right"/>
      <protection locked="0"/>
    </xf>
    <xf numFmtId="14" fontId="6" fillId="0" borderId="8" xfId="0" applyNumberFormat="1" applyFont="1" applyBorder="1" applyAlignment="1" applyProtection="1">
      <alignment vertical="center"/>
      <protection locked="0"/>
    </xf>
    <xf numFmtId="14" fontId="6" fillId="0" borderId="9" xfId="0" applyNumberFormat="1" applyFont="1" applyBorder="1" applyAlignment="1" applyProtection="1">
      <alignment vertical="center"/>
      <protection locked="0"/>
    </xf>
    <xf numFmtId="14" fontId="6" fillId="0" borderId="10" xfId="0" applyNumberFormat="1" applyFont="1" applyBorder="1" applyAlignment="1" applyProtection="1">
      <alignment vertical="center"/>
      <protection locked="0"/>
    </xf>
    <xf numFmtId="14" fontId="6" fillId="0" borderId="11" xfId="0" applyNumberFormat="1" applyFont="1" applyBorder="1" applyAlignment="1" applyProtection="1">
      <alignment vertical="center"/>
      <protection locked="0"/>
    </xf>
    <xf numFmtId="14" fontId="6" fillId="0" borderId="0" xfId="0" applyNumberFormat="1" applyFont="1" applyAlignment="1" applyProtection="1">
      <alignment vertical="center"/>
      <protection locked="0"/>
    </xf>
    <xf numFmtId="14" fontId="6" fillId="0" borderId="12" xfId="0" applyNumberFormat="1" applyFont="1" applyBorder="1" applyAlignment="1" applyProtection="1">
      <alignment vertical="center"/>
      <protection locked="0"/>
    </xf>
    <xf numFmtId="14" fontId="9" fillId="0" borderId="0" xfId="0" applyNumberFormat="1" applyFont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49" fontId="7" fillId="0" borderId="0" xfId="0" applyNumberFormat="1" applyFont="1" applyAlignment="1" applyProtection="1">
      <alignment horizontal="center" vertical="center"/>
      <protection locked="0"/>
    </xf>
    <xf numFmtId="14" fontId="8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5" fillId="0" borderId="9" xfId="0" applyFont="1" applyBorder="1" applyAlignment="1" applyProtection="1">
      <alignment vertical="center" wrapText="1"/>
      <protection locked="0"/>
    </xf>
    <xf numFmtId="0" fontId="8" fillId="0" borderId="0" xfId="0" applyFont="1" applyProtection="1">
      <protection locked="0"/>
    </xf>
    <xf numFmtId="0" fontId="16" fillId="0" borderId="0" xfId="0" applyFont="1" applyAlignment="1" applyProtection="1">
      <alignment vertical="center"/>
      <protection locked="0"/>
    </xf>
    <xf numFmtId="0" fontId="16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9" fillId="0" borderId="0" xfId="0" applyFont="1" applyProtection="1">
      <protection locked="0"/>
    </xf>
    <xf numFmtId="0" fontId="3" fillId="0" borderId="0" xfId="0" applyFont="1" applyAlignment="1" applyProtection="1">
      <alignment wrapText="1"/>
      <protection locked="0"/>
    </xf>
    <xf numFmtId="0" fontId="24" fillId="0" borderId="11" xfId="0" applyFont="1" applyBorder="1" applyAlignment="1">
      <alignment horizontal="left"/>
    </xf>
    <xf numFmtId="0" fontId="8" fillId="0" borderId="0" xfId="5" applyFont="1"/>
    <xf numFmtId="0" fontId="8" fillId="0" borderId="11" xfId="5" applyFont="1" applyBorder="1"/>
    <xf numFmtId="4" fontId="8" fillId="0" borderId="11" xfId="0" applyNumberFormat="1" applyFont="1" applyBorder="1"/>
    <xf numFmtId="4" fontId="8" fillId="0" borderId="0" xfId="0" applyNumberFormat="1" applyFont="1"/>
    <xf numFmtId="4" fontId="5" fillId="0" borderId="0" xfId="0" applyNumberFormat="1" applyFont="1" applyAlignment="1">
      <alignment horizontal="left"/>
    </xf>
    <xf numFmtId="4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right"/>
    </xf>
    <xf numFmtId="0" fontId="5" fillId="0" borderId="0" xfId="5" applyFont="1" applyAlignment="1">
      <alignment horizontal="center"/>
    </xf>
    <xf numFmtId="0" fontId="8" fillId="0" borderId="0" xfId="5" quotePrefix="1" applyFont="1" applyAlignment="1">
      <alignment vertical="top" wrapText="1"/>
    </xf>
    <xf numFmtId="0" fontId="8" fillId="0" borderId="11" xfId="5" quotePrefix="1" applyFont="1" applyBorder="1" applyAlignment="1">
      <alignment horizontal="left" vertical="center" wrapText="1"/>
    </xf>
    <xf numFmtId="0" fontId="8" fillId="0" borderId="0" xfId="5" quotePrefix="1" applyFont="1" applyAlignment="1">
      <alignment horizontal="left" vertical="center" wrapText="1"/>
    </xf>
    <xf numFmtId="0" fontId="8" fillId="0" borderId="8" xfId="5" quotePrefix="1" applyFont="1" applyBorder="1" applyAlignment="1">
      <alignment horizontal="left" vertical="center" wrapText="1"/>
    </xf>
    <xf numFmtId="0" fontId="8" fillId="0" borderId="9" xfId="5" quotePrefix="1" applyFont="1" applyBorder="1" applyAlignment="1">
      <alignment horizontal="left" vertical="center" wrapText="1"/>
    </xf>
    <xf numFmtId="0" fontId="3" fillId="0" borderId="9" xfId="0" applyFont="1" applyBorder="1" applyProtection="1">
      <protection locked="0"/>
    </xf>
    <xf numFmtId="0" fontId="3" fillId="0" borderId="10" xfId="0" applyFont="1" applyBorder="1" applyProtection="1">
      <protection locked="0"/>
    </xf>
    <xf numFmtId="0" fontId="3" fillId="0" borderId="12" xfId="0" applyFont="1" applyBorder="1" applyProtection="1">
      <protection locked="0"/>
    </xf>
    <xf numFmtId="0" fontId="3" fillId="0" borderId="13" xfId="0" applyFont="1" applyBorder="1" applyProtection="1">
      <protection locked="0"/>
    </xf>
    <xf numFmtId="0" fontId="3" fillId="0" borderId="14" xfId="0" applyFont="1" applyBorder="1" applyProtection="1">
      <protection locked="0"/>
    </xf>
    <xf numFmtId="0" fontId="3" fillId="0" borderId="15" xfId="0" applyFont="1" applyBorder="1" applyProtection="1">
      <protection locked="0"/>
    </xf>
    <xf numFmtId="0" fontId="8" fillId="0" borderId="8" xfId="5" quotePrefix="1" applyFont="1" applyBorder="1" applyAlignment="1">
      <alignment vertical="top" wrapText="1"/>
    </xf>
    <xf numFmtId="0" fontId="8" fillId="0" borderId="9" xfId="5" quotePrefix="1" applyFont="1" applyBorder="1" applyAlignment="1">
      <alignment vertical="top" wrapText="1"/>
    </xf>
    <xf numFmtId="0" fontId="8" fillId="0" borderId="9" xfId="5" applyFont="1" applyBorder="1"/>
    <xf numFmtId="0" fontId="8" fillId="0" borderId="13" xfId="5" quotePrefix="1" applyFont="1" applyBorder="1" applyAlignment="1">
      <alignment horizontal="left" vertical="center" wrapText="1"/>
    </xf>
    <xf numFmtId="0" fontId="8" fillId="0" borderId="14" xfId="5" quotePrefix="1" applyFont="1" applyBorder="1" applyAlignment="1">
      <alignment horizontal="left" vertical="center" wrapText="1"/>
    </xf>
    <xf numFmtId="0" fontId="8" fillId="0" borderId="8" xfId="5" applyFont="1" applyBorder="1"/>
    <xf numFmtId="0" fontId="8" fillId="0" borderId="13" xfId="5" applyFont="1" applyBorder="1"/>
    <xf numFmtId="0" fontId="8" fillId="0" borderId="14" xfId="5" applyFont="1" applyBorder="1"/>
    <xf numFmtId="0" fontId="25" fillId="0" borderId="14" xfId="6" quotePrefix="1" applyFont="1" applyBorder="1" applyAlignment="1" applyProtection="1">
      <alignment horizontal="center"/>
    </xf>
    <xf numFmtId="0" fontId="5" fillId="0" borderId="14" xfId="5" applyFont="1" applyBorder="1"/>
    <xf numFmtId="0" fontId="3" fillId="0" borderId="8" xfId="0" applyFont="1" applyBorder="1" applyProtection="1">
      <protection locked="0"/>
    </xf>
    <xf numFmtId="4" fontId="5" fillId="3" borderId="28" xfId="0" applyNumberFormat="1" applyFont="1" applyFill="1" applyBorder="1" applyAlignment="1">
      <alignment horizontal="center" vertical="center" wrapText="1"/>
    </xf>
    <xf numFmtId="4" fontId="8" fillId="0" borderId="28" xfId="0" applyNumberFormat="1" applyFont="1" applyBorder="1"/>
    <xf numFmtId="4" fontId="5" fillId="0" borderId="28" xfId="0" applyNumberFormat="1" applyFont="1" applyBorder="1" applyAlignment="1">
      <alignment horizontal="center"/>
    </xf>
    <xf numFmtId="4" fontId="8" fillId="0" borderId="13" xfId="0" applyNumberFormat="1" applyFont="1" applyBorder="1"/>
    <xf numFmtId="4" fontId="8" fillId="0" borderId="14" xfId="0" applyNumberFormat="1" applyFont="1" applyBorder="1"/>
    <xf numFmtId="4" fontId="5" fillId="0" borderId="14" xfId="0" applyNumberFormat="1" applyFont="1" applyBorder="1" applyAlignment="1">
      <alignment horizontal="left"/>
    </xf>
    <xf numFmtId="4" fontId="5" fillId="0" borderId="14" xfId="0" applyNumberFormat="1" applyFont="1" applyBorder="1" applyAlignment="1">
      <alignment horizontal="center"/>
    </xf>
    <xf numFmtId="4" fontId="5" fillId="0" borderId="14" xfId="0" applyNumberFormat="1" applyFont="1" applyBorder="1" applyAlignment="1">
      <alignment horizontal="right"/>
    </xf>
    <xf numFmtId="0" fontId="26" fillId="0" borderId="0" xfId="0" applyFont="1" applyProtection="1">
      <protection locked="0"/>
    </xf>
    <xf numFmtId="0" fontId="9" fillId="0" borderId="30" xfId="0" applyFont="1" applyBorder="1" applyAlignment="1" applyProtection="1">
      <alignment horizontal="left" vertical="center"/>
      <protection locked="0"/>
    </xf>
    <xf numFmtId="14" fontId="9" fillId="0" borderId="31" xfId="0" applyNumberFormat="1" applyFont="1" applyBorder="1" applyAlignment="1" applyProtection="1">
      <alignment horizontal="left" vertical="center"/>
      <protection locked="0"/>
    </xf>
    <xf numFmtId="0" fontId="3" fillId="0" borderId="0" xfId="0" applyFont="1" applyAlignment="1">
      <alignment vertical="center"/>
    </xf>
    <xf numFmtId="0" fontId="5" fillId="0" borderId="11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4" fontId="5" fillId="0" borderId="11" xfId="0" applyNumberFormat="1" applyFont="1" applyBorder="1" applyAlignment="1">
      <alignment horizontal="center"/>
    </xf>
    <xf numFmtId="0" fontId="12" fillId="0" borderId="0" xfId="5" applyFont="1" applyAlignment="1">
      <alignment horizontal="center"/>
    </xf>
    <xf numFmtId="0" fontId="12" fillId="0" borderId="12" xfId="5" applyFont="1" applyBorder="1" applyAlignment="1">
      <alignment horizontal="center"/>
    </xf>
    <xf numFmtId="0" fontId="5" fillId="0" borderId="37" xfId="0" applyFont="1" applyBorder="1" applyAlignment="1" applyProtection="1">
      <alignment horizontal="center"/>
      <protection locked="0"/>
    </xf>
    <xf numFmtId="0" fontId="8" fillId="0" borderId="40" xfId="0" applyFont="1" applyBorder="1" applyAlignment="1" applyProtection="1">
      <alignment horizontal="center" vertical="center"/>
      <protection locked="0"/>
    </xf>
    <xf numFmtId="0" fontId="27" fillId="0" borderId="12" xfId="6" applyFont="1" applyFill="1" applyBorder="1" applyAlignment="1" applyProtection="1">
      <alignment horizontal="left" vertical="center"/>
      <protection locked="0"/>
    </xf>
    <xf numFmtId="14" fontId="23" fillId="0" borderId="8" xfId="6" quotePrefix="1" applyNumberFormat="1" applyBorder="1" applyAlignment="1" applyProtection="1">
      <alignment vertical="center"/>
      <protection locked="0"/>
    </xf>
    <xf numFmtId="14" fontId="11" fillId="0" borderId="11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2" fillId="0" borderId="34" xfId="0" applyFont="1" applyBorder="1" applyAlignment="1" applyProtection="1">
      <alignment horizontal="left" vertical="top" wrapText="1"/>
      <protection locked="0"/>
    </xf>
    <xf numFmtId="0" fontId="12" fillId="0" borderId="35" xfId="0" applyFont="1" applyBorder="1" applyAlignment="1" applyProtection="1">
      <alignment horizontal="left" vertical="top" wrapText="1"/>
      <protection locked="0"/>
    </xf>
    <xf numFmtId="0" fontId="12" fillId="0" borderId="36" xfId="0" applyFont="1" applyBorder="1" applyAlignment="1" applyProtection="1">
      <alignment horizontal="left" vertical="top" wrapText="1"/>
      <protection locked="0"/>
    </xf>
    <xf numFmtId="0" fontId="28" fillId="0" borderId="11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12" xfId="0" applyFont="1" applyBorder="1" applyAlignment="1">
      <alignment horizontal="left" vertical="top" wrapText="1"/>
    </xf>
    <xf numFmtId="0" fontId="28" fillId="0" borderId="13" xfId="0" applyFont="1" applyBorder="1" applyAlignment="1">
      <alignment horizontal="left" vertical="top" wrapText="1"/>
    </xf>
    <xf numFmtId="0" fontId="28" fillId="0" borderId="14" xfId="0" applyFont="1" applyBorder="1" applyAlignment="1">
      <alignment horizontal="left" vertical="top" wrapText="1"/>
    </xf>
    <xf numFmtId="0" fontId="28" fillId="0" borderId="15" xfId="0" applyFont="1" applyBorder="1" applyAlignment="1">
      <alignment horizontal="left" vertical="top" wrapText="1"/>
    </xf>
    <xf numFmtId="14" fontId="17" fillId="0" borderId="11" xfId="0" applyNumberFormat="1" applyFont="1" applyBorder="1" applyAlignment="1" applyProtection="1">
      <alignment horizontal="center" vertical="center"/>
      <protection locked="0"/>
    </xf>
    <xf numFmtId="14" fontId="17" fillId="0" borderId="0" xfId="0" applyNumberFormat="1" applyFont="1" applyAlignment="1" applyProtection="1">
      <alignment horizontal="center" vertical="center"/>
      <protection locked="0"/>
    </xf>
    <xf numFmtId="14" fontId="17" fillId="0" borderId="12" xfId="0" applyNumberFormat="1" applyFont="1" applyBorder="1" applyAlignment="1" applyProtection="1">
      <alignment horizontal="center" vertical="center"/>
      <protection locked="0"/>
    </xf>
    <xf numFmtId="14" fontId="17" fillId="0" borderId="13" xfId="0" applyNumberFormat="1" applyFont="1" applyBorder="1" applyAlignment="1" applyProtection="1">
      <alignment horizontal="center" vertical="center"/>
      <protection locked="0"/>
    </xf>
    <xf numFmtId="14" fontId="17" fillId="0" borderId="14" xfId="0" applyNumberFormat="1" applyFont="1" applyBorder="1" applyAlignment="1" applyProtection="1">
      <alignment horizontal="center" vertical="center"/>
      <protection locked="0"/>
    </xf>
    <xf numFmtId="14" fontId="17" fillId="0" borderId="15" xfId="0" applyNumberFormat="1" applyFont="1" applyBorder="1" applyAlignment="1" applyProtection="1">
      <alignment horizontal="center" vertical="center"/>
      <protection locked="0"/>
    </xf>
    <xf numFmtId="0" fontId="12" fillId="0" borderId="35" xfId="0" applyFont="1" applyBorder="1" applyAlignment="1" applyProtection="1">
      <alignment horizontal="left" vertical="top"/>
      <protection locked="0"/>
    </xf>
    <xf numFmtId="0" fontId="12" fillId="0" borderId="36" xfId="0" applyFont="1" applyBorder="1" applyAlignment="1" applyProtection="1">
      <alignment horizontal="left" vertical="top"/>
      <protection locked="0"/>
    </xf>
    <xf numFmtId="0" fontId="28" fillId="0" borderId="11" xfId="0" applyFont="1" applyBorder="1" applyAlignment="1">
      <alignment horizontal="left" vertical="top"/>
    </xf>
    <xf numFmtId="0" fontId="28" fillId="0" borderId="0" xfId="0" applyFont="1" applyAlignment="1">
      <alignment horizontal="left" vertical="top"/>
    </xf>
    <xf numFmtId="0" fontId="28" fillId="0" borderId="12" xfId="0" applyFont="1" applyBorder="1" applyAlignment="1">
      <alignment horizontal="left" vertical="top"/>
    </xf>
    <xf numFmtId="0" fontId="28" fillId="0" borderId="13" xfId="0" applyFont="1" applyBorder="1" applyAlignment="1">
      <alignment horizontal="left" vertical="top"/>
    </xf>
    <xf numFmtId="0" fontId="28" fillId="0" borderId="14" xfId="0" applyFont="1" applyBorder="1" applyAlignment="1">
      <alignment horizontal="left" vertical="top"/>
    </xf>
    <xf numFmtId="0" fontId="28" fillId="0" borderId="15" xfId="0" applyFont="1" applyBorder="1" applyAlignment="1">
      <alignment horizontal="left" vertical="top"/>
    </xf>
    <xf numFmtId="0" fontId="12" fillId="0" borderId="20" xfId="0" applyFont="1" applyBorder="1" applyAlignment="1" applyProtection="1">
      <alignment horizontal="center" vertical="center"/>
      <protection locked="0"/>
    </xf>
    <xf numFmtId="0" fontId="12" fillId="0" borderId="23" xfId="0" applyFont="1" applyBorder="1" applyAlignment="1" applyProtection="1">
      <alignment horizontal="center" vertical="center"/>
      <protection locked="0"/>
    </xf>
    <xf numFmtId="0" fontId="27" fillId="4" borderId="2" xfId="6" applyFont="1" applyFill="1" applyBorder="1" applyAlignment="1" applyProtection="1">
      <alignment horizontal="left" vertical="center"/>
      <protection locked="0"/>
    </xf>
    <xf numFmtId="0" fontId="27" fillId="4" borderId="24" xfId="6" applyFont="1" applyFill="1" applyBorder="1" applyAlignment="1" applyProtection="1">
      <alignment horizontal="left" vertical="center"/>
      <protection locked="0"/>
    </xf>
    <xf numFmtId="49" fontId="21" fillId="0" borderId="21" xfId="0" applyNumberFormat="1" applyFont="1" applyBorder="1" applyAlignment="1" applyProtection="1">
      <alignment horizontal="center" vertical="center"/>
      <protection locked="0"/>
    </xf>
    <xf numFmtId="49" fontId="21" fillId="0" borderId="2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left"/>
      <protection locked="0"/>
    </xf>
    <xf numFmtId="0" fontId="5" fillId="0" borderId="6" xfId="0" applyFont="1" applyBorder="1" applyAlignment="1" applyProtection="1">
      <alignment horizontal="center" wrapText="1"/>
      <protection locked="0"/>
    </xf>
    <xf numFmtId="0" fontId="12" fillId="0" borderId="32" xfId="0" applyFont="1" applyBorder="1" applyAlignment="1" applyProtection="1">
      <alignment horizontal="center" vertical="center"/>
      <protection locked="0"/>
    </xf>
    <xf numFmtId="0" fontId="12" fillId="0" borderId="42" xfId="0" applyFont="1" applyBorder="1" applyAlignment="1" applyProtection="1">
      <alignment horizontal="center" vertical="center"/>
      <protection locked="0"/>
    </xf>
    <xf numFmtId="4" fontId="14" fillId="0" borderId="32" xfId="0" applyNumberFormat="1" applyFont="1" applyBorder="1" applyAlignment="1">
      <alignment horizontal="left" vertical="top"/>
    </xf>
    <xf numFmtId="4" fontId="14" fillId="0" borderId="3" xfId="0" applyNumberFormat="1" applyFont="1" applyBorder="1" applyAlignment="1">
      <alignment horizontal="left" vertical="top"/>
    </xf>
    <xf numFmtId="4" fontId="14" fillId="0" borderId="33" xfId="0" applyNumberFormat="1" applyFont="1" applyBorder="1" applyAlignment="1">
      <alignment horizontal="left" vertical="top"/>
    </xf>
    <xf numFmtId="0" fontId="12" fillId="0" borderId="4" xfId="5" applyFont="1" applyBorder="1" applyAlignment="1">
      <alignment horizontal="center"/>
    </xf>
    <xf numFmtId="0" fontId="12" fillId="0" borderId="29" xfId="5" applyFont="1" applyBorder="1" applyAlignment="1">
      <alignment horizontal="center"/>
    </xf>
    <xf numFmtId="166" fontId="8" fillId="0" borderId="4" xfId="1" applyNumberFormat="1" applyFont="1" applyFill="1" applyBorder="1" applyAlignment="1" applyProtection="1">
      <alignment horizontal="center" vertical="center"/>
    </xf>
    <xf numFmtId="166" fontId="8" fillId="3" borderId="4" xfId="1" applyNumberFormat="1" applyFont="1" applyFill="1" applyBorder="1" applyAlignment="1" applyProtection="1">
      <alignment horizontal="center" vertical="center"/>
    </xf>
    <xf numFmtId="0" fontId="23" fillId="0" borderId="6" xfId="6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15" fillId="0" borderId="5" xfId="0" applyFont="1" applyBorder="1" applyAlignment="1" applyProtection="1">
      <alignment horizontal="left" vertical="top" wrapText="1"/>
      <protection locked="0"/>
    </xf>
    <xf numFmtId="0" fontId="8" fillId="0" borderId="6" xfId="0" applyFont="1" applyBorder="1" applyAlignment="1" applyProtection="1">
      <alignment horizontal="left" vertical="top"/>
      <protection locked="0"/>
    </xf>
    <xf numFmtId="0" fontId="8" fillId="0" borderId="7" xfId="0" applyFont="1" applyBorder="1" applyAlignment="1" applyProtection="1">
      <alignment horizontal="left" vertical="top"/>
      <protection locked="0"/>
    </xf>
    <xf numFmtId="0" fontId="8" fillId="0" borderId="11" xfId="5" quotePrefix="1" applyFont="1" applyBorder="1" applyAlignment="1">
      <alignment horizontal="left" vertical="center" wrapText="1"/>
    </xf>
    <xf numFmtId="0" fontId="8" fillId="0" borderId="0" xfId="5" quotePrefix="1" applyFont="1" applyAlignment="1">
      <alignment horizontal="left" vertical="center" wrapText="1"/>
    </xf>
    <xf numFmtId="0" fontId="8" fillId="0" borderId="12" xfId="5" quotePrefix="1" applyFont="1" applyBorder="1" applyAlignment="1">
      <alignment horizontal="left" vertical="center" wrapText="1"/>
    </xf>
    <xf numFmtId="167" fontId="5" fillId="3" borderId="4" xfId="1" applyNumberFormat="1" applyFont="1" applyFill="1" applyBorder="1" applyAlignment="1" applyProtection="1">
      <alignment horizontal="center" vertical="center"/>
    </xf>
    <xf numFmtId="4" fontId="5" fillId="0" borderId="4" xfId="0" applyNumberFormat="1" applyFont="1" applyBorder="1" applyAlignment="1">
      <alignment horizontal="center"/>
    </xf>
    <xf numFmtId="4" fontId="8" fillId="0" borderId="4" xfId="0" applyNumberFormat="1" applyFont="1" applyBorder="1" applyAlignment="1">
      <alignment horizontal="center"/>
    </xf>
    <xf numFmtId="0" fontId="5" fillId="0" borderId="5" xfId="0" applyFont="1" applyBorder="1" applyAlignment="1" applyProtection="1">
      <alignment horizontal="left" vertical="center" wrapText="1" indent="2"/>
      <protection locked="0"/>
    </xf>
    <xf numFmtId="0" fontId="5" fillId="0" borderId="6" xfId="0" applyFont="1" applyBorder="1" applyAlignment="1" applyProtection="1">
      <alignment horizontal="left" vertical="center" wrapText="1" indent="2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166" fontId="8" fillId="0" borderId="16" xfId="1" applyNumberFormat="1" applyFont="1" applyFill="1" applyBorder="1" applyAlignment="1" applyProtection="1">
      <alignment horizontal="center" vertical="center" wrapText="1"/>
      <protection locked="0"/>
    </xf>
    <xf numFmtId="166" fontId="8" fillId="0" borderId="7" xfId="1" applyNumberFormat="1" applyFont="1" applyFill="1" applyBorder="1" applyAlignment="1" applyProtection="1">
      <alignment horizontal="center" vertical="center" wrapText="1"/>
      <protection locked="0"/>
    </xf>
    <xf numFmtId="14" fontId="11" fillId="0" borderId="8" xfId="0" applyNumberFormat="1" applyFont="1" applyBorder="1" applyAlignment="1" applyProtection="1">
      <alignment horizontal="center" vertical="center"/>
      <protection locked="0"/>
    </xf>
    <xf numFmtId="14" fontId="11" fillId="0" borderId="9" xfId="0" applyNumberFormat="1" applyFont="1" applyBorder="1" applyAlignment="1" applyProtection="1">
      <alignment horizontal="center" vertical="center"/>
      <protection locked="0"/>
    </xf>
    <xf numFmtId="14" fontId="11" fillId="0" borderId="10" xfId="0" applyNumberFormat="1" applyFont="1" applyBorder="1" applyAlignment="1" applyProtection="1">
      <alignment horizontal="center" vertical="center"/>
      <protection locked="0"/>
    </xf>
    <xf numFmtId="14" fontId="11" fillId="0" borderId="13" xfId="0" applyNumberFormat="1" applyFont="1" applyBorder="1" applyAlignment="1" applyProtection="1">
      <alignment horizontal="center" vertical="center"/>
      <protection locked="0"/>
    </xf>
    <xf numFmtId="14" fontId="11" fillId="0" borderId="14" xfId="0" applyNumberFormat="1" applyFont="1" applyBorder="1" applyAlignment="1" applyProtection="1">
      <alignment horizontal="center" vertical="center"/>
      <protection locked="0"/>
    </xf>
    <xf numFmtId="14" fontId="11" fillId="0" borderId="15" xfId="0" applyNumberFormat="1" applyFont="1" applyBorder="1" applyAlignment="1" applyProtection="1">
      <alignment horizontal="center" vertical="center"/>
      <protection locked="0"/>
    </xf>
    <xf numFmtId="49" fontId="13" fillId="0" borderId="8" xfId="0" applyNumberFormat="1" applyFont="1" applyBorder="1" applyAlignment="1" applyProtection="1">
      <alignment horizontal="center" vertical="center"/>
      <protection locked="0"/>
    </xf>
    <xf numFmtId="49" fontId="13" fillId="0" borderId="9" xfId="0" applyNumberFormat="1" applyFont="1" applyBorder="1" applyAlignment="1" applyProtection="1">
      <alignment horizontal="center" vertical="center"/>
      <protection locked="0"/>
    </xf>
    <xf numFmtId="49" fontId="13" fillId="0" borderId="10" xfId="0" applyNumberFormat="1" applyFont="1" applyBorder="1" applyAlignment="1" applyProtection="1">
      <alignment horizontal="center" vertical="center"/>
      <protection locked="0"/>
    </xf>
    <xf numFmtId="49" fontId="13" fillId="0" borderId="13" xfId="0" applyNumberFormat="1" applyFont="1" applyBorder="1" applyAlignment="1" applyProtection="1">
      <alignment horizontal="center" vertical="center"/>
      <protection locked="0"/>
    </xf>
    <xf numFmtId="49" fontId="13" fillId="0" borderId="14" xfId="0" applyNumberFormat="1" applyFont="1" applyBorder="1" applyAlignment="1" applyProtection="1">
      <alignment horizontal="center" vertical="center"/>
      <protection locked="0"/>
    </xf>
    <xf numFmtId="49" fontId="13" fillId="0" borderId="15" xfId="0" applyNumberFormat="1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14" fontId="14" fillId="0" borderId="13" xfId="0" applyNumberFormat="1" applyFont="1" applyBorder="1" applyAlignment="1" applyProtection="1">
      <alignment horizontal="center" vertical="center"/>
      <protection locked="0"/>
    </xf>
    <xf numFmtId="0" fontId="14" fillId="0" borderId="15" xfId="0" applyFont="1" applyBorder="1" applyAlignment="1" applyProtection="1">
      <alignment horizontal="center" vertical="center"/>
      <protection locked="0"/>
    </xf>
    <xf numFmtId="0" fontId="10" fillId="0" borderId="14" xfId="0" applyFont="1" applyBorder="1" applyAlignment="1" applyProtection="1">
      <alignment horizontal="center" vertical="center"/>
      <protection locked="0"/>
    </xf>
    <xf numFmtId="0" fontId="10" fillId="0" borderId="15" xfId="0" applyFont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left"/>
      <protection locked="0"/>
    </xf>
    <xf numFmtId="0" fontId="5" fillId="0" borderId="18" xfId="0" applyFont="1" applyBorder="1" applyAlignment="1" applyProtection="1">
      <alignment horizontal="left"/>
      <protection locked="0"/>
    </xf>
    <xf numFmtId="0" fontId="5" fillId="0" borderId="19" xfId="0" applyFont="1" applyBorder="1" applyAlignment="1" applyProtection="1">
      <alignment horizontal="left"/>
      <protection locked="0"/>
    </xf>
    <xf numFmtId="0" fontId="14" fillId="0" borderId="13" xfId="0" applyFont="1" applyBorder="1" applyAlignment="1" applyProtection="1">
      <alignment horizontal="left" vertical="top" wrapText="1"/>
      <protection locked="0"/>
    </xf>
    <xf numFmtId="0" fontId="14" fillId="0" borderId="14" xfId="0" applyFont="1" applyBorder="1" applyAlignment="1" applyProtection="1">
      <alignment horizontal="left" vertical="top"/>
      <protection locked="0"/>
    </xf>
    <xf numFmtId="0" fontId="14" fillId="0" borderId="15" xfId="0" applyFont="1" applyBorder="1" applyAlignment="1" applyProtection="1">
      <alignment horizontal="left" vertical="top"/>
      <protection locked="0"/>
    </xf>
    <xf numFmtId="0" fontId="12" fillId="3" borderId="4" xfId="5" applyFont="1" applyFill="1" applyBorder="1" applyAlignment="1">
      <alignment horizontal="center" vertical="center" wrapText="1"/>
    </xf>
    <xf numFmtId="0" fontId="12" fillId="3" borderId="29" xfId="5" applyFont="1" applyFill="1" applyBorder="1" applyAlignment="1">
      <alignment horizontal="center" vertical="center" wrapText="1"/>
    </xf>
    <xf numFmtId="4" fontId="5" fillId="3" borderId="4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8" fillId="0" borderId="38" xfId="0" applyFont="1" applyBorder="1" applyAlignment="1" applyProtection="1">
      <alignment horizontal="center"/>
      <protection locked="0"/>
    </xf>
    <xf numFmtId="14" fontId="14" fillId="0" borderId="39" xfId="0" applyNumberFormat="1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vertical="center"/>
      <protection locked="0"/>
    </xf>
    <xf numFmtId="0" fontId="8" fillId="0" borderId="7" xfId="0" applyFont="1" applyBorder="1" applyAlignment="1" applyProtection="1">
      <alignment vertical="center"/>
      <protection locked="0"/>
    </xf>
    <xf numFmtId="166" fontId="8" fillId="0" borderId="16" xfId="1" applyNumberFormat="1" applyFont="1" applyFill="1" applyBorder="1" applyAlignment="1" applyProtection="1">
      <alignment vertical="center" wrapText="1"/>
      <protection locked="0"/>
    </xf>
    <xf numFmtId="166" fontId="8" fillId="0" borderId="7" xfId="1" applyNumberFormat="1" applyFont="1" applyFill="1" applyBorder="1" applyAlignment="1" applyProtection="1">
      <alignment vertical="center" wrapText="1"/>
      <protection locked="0"/>
    </xf>
    <xf numFmtId="0" fontId="8" fillId="0" borderId="16" xfId="0" applyFont="1" applyBorder="1" applyAlignment="1" applyProtection="1">
      <alignment vertical="center" wrapText="1"/>
      <protection locked="0"/>
    </xf>
    <xf numFmtId="0" fontId="8" fillId="0" borderId="7" xfId="0" applyFont="1" applyBorder="1" applyAlignment="1" applyProtection="1">
      <alignment vertical="center" wrapText="1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5" fillId="0" borderId="26" xfId="0" applyFont="1" applyBorder="1" applyAlignment="1" applyProtection="1">
      <alignment vertical="center" wrapText="1"/>
      <protection locked="0"/>
    </xf>
    <xf numFmtId="0" fontId="5" fillId="0" borderId="6" xfId="0" applyFont="1" applyBorder="1" applyAlignment="1" applyProtection="1">
      <alignment vertical="center" wrapText="1"/>
      <protection locked="0"/>
    </xf>
    <xf numFmtId="0" fontId="5" fillId="0" borderId="7" xfId="0" applyFont="1" applyBorder="1" applyAlignment="1" applyProtection="1">
      <alignment horizontal="center" wrapText="1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49" fontId="8" fillId="0" borderId="2" xfId="0" applyNumberFormat="1" applyFont="1" applyBorder="1" applyAlignment="1" applyProtection="1">
      <alignment vertical="center"/>
      <protection locked="0"/>
    </xf>
    <xf numFmtId="0" fontId="8" fillId="0" borderId="18" xfId="0" applyFont="1" applyBorder="1" applyAlignment="1" applyProtection="1">
      <alignment vertical="center"/>
      <protection locked="0"/>
    </xf>
    <xf numFmtId="49" fontId="8" fillId="0" borderId="0" xfId="0" applyNumberFormat="1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12" fillId="0" borderId="27" xfId="0" applyFont="1" applyBorder="1" applyAlignment="1" applyProtection="1">
      <alignment horizontal="center" vertical="center"/>
      <protection locked="0"/>
    </xf>
    <xf numFmtId="0" fontId="8" fillId="0" borderId="21" xfId="0" applyFont="1" applyBorder="1" applyAlignment="1" applyProtection="1">
      <alignment horizontal="left" vertical="center"/>
      <protection locked="0"/>
    </xf>
    <xf numFmtId="0" fontId="8" fillId="0" borderId="41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left"/>
      <protection locked="0"/>
    </xf>
    <xf numFmtId="0" fontId="5" fillId="0" borderId="10" xfId="0" applyFont="1" applyBorder="1" applyAlignment="1" applyProtection="1">
      <alignment horizontal="left"/>
      <protection locked="0"/>
    </xf>
  </cellXfs>
  <cellStyles count="7">
    <cellStyle name="Lien hypertexte" xfId="6" builtinId="8"/>
    <cellStyle name="Milliers" xfId="1" builtinId="3"/>
    <cellStyle name="Milliers 2_DA CAC VASA 12.07" xfId="2" xr:uid="{00000000-0005-0000-0000-000002000000}"/>
    <cellStyle name="Normal" xfId="0" builtinId="0"/>
    <cellStyle name="Normal 2" xfId="3" xr:uid="{00000000-0005-0000-0000-000004000000}"/>
    <cellStyle name="Normal 3" xfId="5" xr:uid="{00000000-0005-0000-0000-000005000000}"/>
    <cellStyle name="Texte de fond" xfId="4" xr:uid="{00000000-0005-0000-0000-000006000000}"/>
  </cellStyles>
  <dxfs count="1">
    <dxf>
      <fill>
        <patternFill>
          <bgColor indexed="22"/>
        </patternFill>
      </fill>
    </dxf>
  </dxfs>
  <tableStyles count="0" defaultTableStyle="TableStyleMedium2" defaultPivotStyle="PivotStyleLight16"/>
  <colors>
    <mruColors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clyo\Collaborateurs\CHA\CAC%20-%20Dossier%20annuel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Dossier Annuel"/>
      <sheetName val="Programme de travail"/>
      <sheetName val="Seuils de signification"/>
      <sheetName val="Quest Lutte contre blanchiment"/>
      <sheetName val="Quest Maintien mission"/>
      <sheetName val="Quest Fin de mission"/>
      <sheetName val="Quest Evènements post."/>
      <sheetName val="Quest Continuité exploi"/>
      <sheetName val="Quest Fraudes"/>
      <sheetName val="Quest Text légaux"/>
      <sheetName val="Quest Expert compt."/>
      <sheetName val="Quest Dirigeant"/>
      <sheetName val="Prépa. Décalration act."/>
      <sheetName val="Contrôle Annexe"/>
      <sheetName val="Contrôle Juridique (SAS)"/>
      <sheetName val="Contrôle Juridique (SA)"/>
      <sheetName val="Synthèse des ajustements"/>
      <sheetName val="B synth"/>
      <sheetName val="b10 quest"/>
      <sheetName val="B20"/>
      <sheetName val="B30"/>
      <sheetName val="B 40"/>
      <sheetName val="B 50"/>
      <sheetName val="B 60"/>
      <sheetName val="C synth"/>
      <sheetName val="C 10"/>
      <sheetName val="C 20"/>
      <sheetName val="D synth"/>
      <sheetName val="D.10 quest"/>
      <sheetName val="D15"/>
      <sheetName val="D 20"/>
      <sheetName val="D 30"/>
      <sheetName val="D 40"/>
      <sheetName val="D 50 "/>
      <sheetName val="D 55"/>
      <sheetName val="D60"/>
      <sheetName val="E synthèse"/>
      <sheetName val="E10 quest"/>
      <sheetName val="E 20"/>
      <sheetName val="E 30"/>
      <sheetName val="E 35"/>
      <sheetName val="E 40"/>
      <sheetName val="E 50"/>
      <sheetName val="E 60"/>
      <sheetName val="E 70"/>
      <sheetName val="E 75"/>
      <sheetName val="E80"/>
      <sheetName val="E85"/>
      <sheetName val="E 90"/>
      <sheetName val="F synthèse"/>
      <sheetName val="F10 quest"/>
      <sheetName val="F 20"/>
      <sheetName val="F 30"/>
      <sheetName val="F 40"/>
      <sheetName val="F50"/>
      <sheetName val="F60"/>
      <sheetName val="G synthèse"/>
      <sheetName val="H synthèse"/>
      <sheetName val="H10 quest"/>
      <sheetName val=" J synthèse"/>
      <sheetName val="K synthèse"/>
      <sheetName val="K 10"/>
      <sheetName val="L synthèse"/>
      <sheetName val="M synthèse"/>
      <sheetName val="M.10 quest"/>
      <sheetName val="M 20"/>
      <sheetName val="M 30"/>
      <sheetName val="M 35"/>
      <sheetName val="M 40"/>
      <sheetName val="M 50"/>
      <sheetName val="M 60"/>
      <sheetName val="M 65"/>
      <sheetName val="M70"/>
      <sheetName val="M75"/>
      <sheetName val="N synthèse"/>
      <sheetName val="N.10 quest"/>
      <sheetName val="N 01"/>
      <sheetName val="N 20"/>
      <sheetName val="N 30"/>
      <sheetName val="N 40"/>
      <sheetName val="N 50"/>
      <sheetName val="N 60"/>
      <sheetName val="P synth"/>
      <sheetName val="P10 quest"/>
      <sheetName val="P 20"/>
      <sheetName val="P 301"/>
      <sheetName val="P 302"/>
      <sheetName val="P 40"/>
      <sheetName val="P 50"/>
      <sheetName val="P 55"/>
      <sheetName val="P 60"/>
      <sheetName val="P 70"/>
      <sheetName val="P 80"/>
      <sheetName val="S synth"/>
      <sheetName val="T synth"/>
      <sheetName val="Tableau pour NDS"/>
      <sheetName val="BILAN ACTIF"/>
      <sheetName val="BILAN PASSIF"/>
      <sheetName val="SIG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27"/>
  <sheetViews>
    <sheetView showGridLines="0" tabSelected="1" zoomScale="90" zoomScaleNormal="90" workbookViewId="0">
      <selection activeCell="A28" sqref="A28"/>
    </sheetView>
  </sheetViews>
  <sheetFormatPr defaultColWidth="11.42578125" defaultRowHeight="15.75"/>
  <cols>
    <col min="1" max="12" width="14.7109375" style="25" customWidth="1"/>
    <col min="13" max="13" width="23.42578125" style="25" customWidth="1"/>
    <col min="14" max="15" width="14.7109375" style="25" customWidth="1"/>
    <col min="16" max="16" width="4.7109375" style="25" customWidth="1"/>
    <col min="17" max="17" width="6.28515625" style="25" hidden="1" customWidth="1"/>
    <col min="18" max="16384" width="11.42578125" style="25"/>
  </cols>
  <sheetData>
    <row r="1" spans="1:23" s="24" customFormat="1" ht="15" customHeight="1">
      <c r="A1" s="8"/>
      <c r="B1" s="9"/>
      <c r="C1" s="9"/>
      <c r="D1" s="85" t="s">
        <v>0</v>
      </c>
      <c r="E1" s="86"/>
      <c r="F1" s="86"/>
      <c r="G1" s="86"/>
      <c r="H1" s="86"/>
      <c r="I1" s="86"/>
      <c r="J1" s="86"/>
      <c r="K1" s="86"/>
      <c r="L1" s="86"/>
      <c r="M1" s="87"/>
      <c r="N1" s="9"/>
      <c r="O1" s="10"/>
      <c r="P1" s="1"/>
      <c r="Q1" s="74" t="s">
        <v>1</v>
      </c>
      <c r="R1" s="1"/>
      <c r="S1" s="1"/>
      <c r="T1" s="1"/>
      <c r="U1" s="1"/>
      <c r="V1" s="1"/>
      <c r="W1" s="1"/>
    </row>
    <row r="2" spans="1:23" s="24" customFormat="1" ht="15" customHeight="1" thickBot="1">
      <c r="A2" s="11"/>
      <c r="B2" s="12"/>
      <c r="C2" s="12"/>
      <c r="D2" s="88"/>
      <c r="E2" s="89"/>
      <c r="F2" s="89"/>
      <c r="G2" s="89"/>
      <c r="H2" s="89"/>
      <c r="I2" s="89"/>
      <c r="J2" s="89"/>
      <c r="K2" s="89"/>
      <c r="L2" s="89"/>
      <c r="M2" s="90"/>
      <c r="N2" s="12"/>
      <c r="O2" s="13"/>
      <c r="P2" s="1"/>
      <c r="Q2" s="74" t="s">
        <v>2</v>
      </c>
      <c r="R2" s="1"/>
      <c r="S2" s="1"/>
      <c r="T2" s="1"/>
      <c r="U2" s="1"/>
      <c r="V2" s="1"/>
      <c r="W2" s="1"/>
    </row>
    <row r="3" spans="1:23" ht="15" customHeight="1">
      <c r="A3" s="100" t="s">
        <v>3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2"/>
      <c r="P3" s="6"/>
      <c r="Q3" s="178"/>
      <c r="R3" s="6"/>
      <c r="S3" s="6"/>
      <c r="T3" s="2"/>
      <c r="U3" s="6"/>
      <c r="V3" s="4"/>
      <c r="W3" s="5"/>
    </row>
    <row r="4" spans="1:23" ht="15" customHeight="1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2"/>
      <c r="P4" s="6"/>
      <c r="Q4" s="74" t="s">
        <v>4</v>
      </c>
      <c r="R4" s="26"/>
      <c r="S4" s="6"/>
      <c r="T4" s="2"/>
      <c r="U4" s="6"/>
      <c r="V4" s="4"/>
      <c r="W4" s="5"/>
    </row>
    <row r="5" spans="1:23" ht="15" customHeight="1" thickBot="1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5"/>
      <c r="P5" s="6"/>
      <c r="Q5" s="74" t="s">
        <v>5</v>
      </c>
      <c r="R5" s="6"/>
      <c r="S5" s="7"/>
      <c r="T5" s="3"/>
      <c r="U5" s="21"/>
      <c r="V5" s="21"/>
      <c r="W5" s="21"/>
    </row>
    <row r="6" spans="1:23" ht="15" customHeight="1">
      <c r="A6" s="15" t="s">
        <v>6</v>
      </c>
      <c r="B6" s="72" t="s">
        <v>7</v>
      </c>
      <c r="C6" s="15" t="s">
        <v>8</v>
      </c>
      <c r="D6" s="72"/>
      <c r="E6" s="155" t="s">
        <v>9</v>
      </c>
      <c r="F6" s="156"/>
      <c r="G6" s="156"/>
      <c r="H6" s="156"/>
      <c r="I6" s="156"/>
      <c r="J6" s="156"/>
      <c r="K6" s="156"/>
      <c r="L6" s="157"/>
      <c r="M6" s="179" t="s">
        <v>10</v>
      </c>
      <c r="N6" s="163" t="s">
        <v>11</v>
      </c>
      <c r="O6" s="164"/>
      <c r="P6" s="6"/>
      <c r="Q6" s="178" t="s">
        <v>12</v>
      </c>
      <c r="R6" s="27"/>
      <c r="S6" s="6"/>
      <c r="T6" s="1"/>
      <c r="U6" s="1"/>
      <c r="V6" s="6"/>
      <c r="W6" s="6"/>
    </row>
    <row r="7" spans="1:23" ht="15" customHeight="1" thickBot="1">
      <c r="A7" s="16" t="s">
        <v>13</v>
      </c>
      <c r="B7" s="73"/>
      <c r="C7" s="16" t="s">
        <v>13</v>
      </c>
      <c r="D7" s="73"/>
      <c r="E7" s="158"/>
      <c r="F7" s="159"/>
      <c r="G7" s="159"/>
      <c r="H7" s="159"/>
      <c r="I7" s="159"/>
      <c r="J7" s="159"/>
      <c r="K7" s="159"/>
      <c r="L7" s="160"/>
      <c r="M7" s="180" t="s">
        <v>14</v>
      </c>
      <c r="N7" s="167" t="s">
        <v>15</v>
      </c>
      <c r="O7" s="168"/>
      <c r="P7" s="6"/>
      <c r="Q7" s="74" t="s">
        <v>16</v>
      </c>
      <c r="R7" s="6"/>
      <c r="S7" s="6"/>
      <c r="T7" s="6"/>
      <c r="U7" s="6"/>
      <c r="V7" s="6"/>
      <c r="W7" s="6"/>
    </row>
    <row r="8" spans="1:23" ht="21" customHeight="1" thickBot="1">
      <c r="A8" s="17"/>
      <c r="B8" s="14"/>
      <c r="C8" s="18"/>
      <c r="D8" s="18"/>
      <c r="E8" s="19"/>
      <c r="F8" s="19"/>
      <c r="G8" s="19"/>
      <c r="H8" s="19"/>
      <c r="I8" s="19"/>
      <c r="J8" s="19"/>
      <c r="K8" s="19"/>
      <c r="L8" s="19"/>
      <c r="M8" s="20"/>
      <c r="N8" s="181"/>
      <c r="O8" s="181"/>
      <c r="P8" s="6"/>
      <c r="Q8" s="74" t="s">
        <v>17</v>
      </c>
      <c r="R8" s="6"/>
      <c r="S8" s="6"/>
      <c r="T8" s="6"/>
      <c r="U8" s="6"/>
      <c r="V8" s="6"/>
      <c r="W8" s="6"/>
    </row>
    <row r="9" spans="1:23" s="28" customFormat="1" ht="31.5" customHeight="1" thickBot="1">
      <c r="A9" s="143" t="s">
        <v>18</v>
      </c>
      <c r="B9" s="144"/>
      <c r="C9" s="144"/>
      <c r="D9" s="182" t="s">
        <v>5</v>
      </c>
      <c r="E9" s="183"/>
      <c r="F9" s="145" t="s">
        <v>19</v>
      </c>
      <c r="G9" s="146"/>
      <c r="H9" s="146"/>
      <c r="I9" s="146"/>
      <c r="J9" s="184"/>
      <c r="K9" s="185"/>
      <c r="L9" s="145" t="s">
        <v>20</v>
      </c>
      <c r="M9" s="146"/>
      <c r="N9" s="186" t="s">
        <v>17</v>
      </c>
      <c r="O9" s="187"/>
      <c r="P9" s="18"/>
      <c r="Q9" s="178" t="s">
        <v>21</v>
      </c>
      <c r="R9" s="18"/>
      <c r="S9" s="18"/>
      <c r="T9" s="18"/>
      <c r="U9" s="18"/>
      <c r="V9" s="18"/>
      <c r="W9" s="18"/>
    </row>
    <row r="10" spans="1:23" s="29" customFormat="1" ht="21" customHeight="1" thickBo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</row>
    <row r="11" spans="1:23" ht="15" customHeight="1" thickBot="1">
      <c r="A11" s="188" t="s">
        <v>22</v>
      </c>
      <c r="B11" s="189"/>
      <c r="C11" s="190" t="s">
        <v>23</v>
      </c>
      <c r="D11" s="191"/>
      <c r="E11" s="191"/>
      <c r="F11" s="191"/>
      <c r="G11" s="191"/>
      <c r="H11" s="191"/>
      <c r="I11" s="191"/>
      <c r="J11" s="191"/>
      <c r="K11" s="191"/>
      <c r="L11" s="191"/>
      <c r="M11" s="81" t="s">
        <v>24</v>
      </c>
      <c r="N11" s="121" t="s">
        <v>25</v>
      </c>
      <c r="O11" s="192"/>
      <c r="P11" s="6"/>
      <c r="Q11" s="6"/>
      <c r="R11" s="6"/>
      <c r="S11" s="6"/>
      <c r="T11" s="6"/>
      <c r="U11" s="6"/>
      <c r="V11" s="6"/>
      <c r="W11" s="6"/>
    </row>
    <row r="12" spans="1:23" s="24" customFormat="1" ht="15" customHeight="1" thickBot="1">
      <c r="A12" s="115"/>
      <c r="B12" s="193"/>
      <c r="C12" s="194" t="str">
        <f>'C400 Revue des PRC'!E6</f>
        <v>Revue des provisions pour risques et charges</v>
      </c>
      <c r="D12" s="195"/>
      <c r="E12" s="195"/>
      <c r="F12" s="195"/>
      <c r="G12" s="195"/>
      <c r="H12" s="195"/>
      <c r="I12" s="195"/>
      <c r="J12" s="195"/>
      <c r="K12" s="195"/>
      <c r="L12" s="195"/>
      <c r="M12" s="82" t="s">
        <v>1</v>
      </c>
      <c r="N12" s="116" t="s">
        <v>26</v>
      </c>
      <c r="O12" s="117"/>
      <c r="P12" s="1"/>
      <c r="Q12" s="1"/>
      <c r="R12" s="1"/>
      <c r="S12" s="1"/>
      <c r="T12" s="1"/>
      <c r="U12" s="1"/>
      <c r="V12" s="1"/>
      <c r="W12" s="1"/>
    </row>
    <row r="13" spans="1:23" s="24" customFormat="1" ht="15" customHeight="1">
      <c r="A13" s="122" t="s">
        <v>27</v>
      </c>
      <c r="B13" s="123"/>
      <c r="C13" s="196" t="s">
        <v>28</v>
      </c>
      <c r="D13" s="197"/>
      <c r="E13" s="197"/>
      <c r="F13" s="197"/>
      <c r="G13" s="197"/>
      <c r="H13" s="197"/>
      <c r="I13" s="197"/>
      <c r="J13" s="197"/>
      <c r="K13" s="197"/>
      <c r="L13" s="197"/>
      <c r="M13" s="82" t="s">
        <v>1</v>
      </c>
      <c r="N13" s="84" t="s">
        <v>29</v>
      </c>
      <c r="O13" s="83"/>
      <c r="P13" s="1"/>
      <c r="Q13" s="1"/>
      <c r="R13" s="1"/>
      <c r="S13" s="1"/>
      <c r="T13" s="1"/>
      <c r="U13" s="1"/>
      <c r="V13" s="1"/>
      <c r="W13" s="1"/>
    </row>
    <row r="14" spans="1:23" s="24" customFormat="1" ht="15" customHeight="1" thickBot="1">
      <c r="A14" s="114"/>
      <c r="B14" s="198"/>
      <c r="C14" s="199"/>
      <c r="D14" s="199"/>
      <c r="E14" s="199"/>
      <c r="F14" s="199"/>
      <c r="G14" s="199"/>
      <c r="H14" s="199"/>
      <c r="I14" s="199"/>
      <c r="J14" s="199"/>
      <c r="K14" s="199"/>
      <c r="L14" s="199"/>
      <c r="M14" s="200"/>
      <c r="N14" s="118"/>
      <c r="O14" s="119"/>
      <c r="P14" s="1"/>
      <c r="Q14" s="1"/>
      <c r="R14" s="1"/>
      <c r="S14" s="1"/>
      <c r="T14" s="1"/>
      <c r="U14" s="1"/>
      <c r="V14" s="1"/>
      <c r="W14" s="1"/>
    </row>
    <row r="15" spans="1:23" s="30" customFormat="1" ht="21" customHeight="1" thickBo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spans="1:23" s="71" customFormat="1" ht="15">
      <c r="A16" s="120" t="s">
        <v>30</v>
      </c>
      <c r="B16" s="201"/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2"/>
      <c r="P16" s="23"/>
      <c r="Q16" s="23"/>
      <c r="R16" s="23"/>
      <c r="S16" s="23"/>
      <c r="T16" s="23"/>
      <c r="U16" s="23"/>
      <c r="V16" s="23"/>
      <c r="W16" s="23"/>
    </row>
    <row r="17" spans="1:15" s="71" customFormat="1" ht="9.9499999999999993" customHeight="1">
      <c r="A17" s="91" t="s">
        <v>31</v>
      </c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7"/>
    </row>
    <row r="18" spans="1:15" s="71" customFormat="1" ht="9.9499999999999993" customHeight="1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10"/>
    </row>
    <row r="19" spans="1:15" s="71" customFormat="1" ht="9.9499999999999993" customHeight="1">
      <c r="A19" s="108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10"/>
    </row>
    <row r="20" spans="1:15" s="71" customFormat="1" ht="9.9499999999999993" customHeight="1" thickBot="1">
      <c r="A20" s="111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3"/>
    </row>
    <row r="21" spans="1:15" s="30" customFormat="1" ht="21" customHeight="1" thickBo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1:15" s="30" customFormat="1" ht="15">
      <c r="A22" s="169" t="s">
        <v>32</v>
      </c>
      <c r="B22" s="170"/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1"/>
    </row>
    <row r="23" spans="1:15" s="71" customFormat="1" ht="9.9499999999999993" customHeight="1">
      <c r="A23" s="91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3"/>
    </row>
    <row r="24" spans="1:15" s="71" customFormat="1" ht="9.9499999999999993" customHeight="1">
      <c r="A24" s="94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6"/>
    </row>
    <row r="25" spans="1:15" s="71" customFormat="1" ht="9.9499999999999993" customHeight="1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6"/>
    </row>
    <row r="26" spans="1:15" s="71" customFormat="1" ht="9.9499999999999993" customHeight="1">
      <c r="A26" s="94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6"/>
    </row>
    <row r="27" spans="1:15" s="71" customFormat="1" ht="9.9499999999999993" customHeight="1" thickBot="1">
      <c r="A27" s="97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9"/>
    </row>
  </sheetData>
  <sheetProtection formatCells="0" formatColumns="0" formatRows="0" insertColumns="0" insertRows="0" insertHyperlinks="0" deleteColumns="0" deleteRows="0" sort="0" autoFilter="0" pivotTables="0"/>
  <mergeCells count="20">
    <mergeCell ref="C14:L14"/>
    <mergeCell ref="A16:O16"/>
    <mergeCell ref="N11:O11"/>
    <mergeCell ref="A13:B13"/>
    <mergeCell ref="D1:M2"/>
    <mergeCell ref="E6:L7"/>
    <mergeCell ref="N6:O6"/>
    <mergeCell ref="N7:O7"/>
    <mergeCell ref="A23:O27"/>
    <mergeCell ref="A3:O5"/>
    <mergeCell ref="F9:I9"/>
    <mergeCell ref="L9:M9"/>
    <mergeCell ref="A9:C9"/>
    <mergeCell ref="A17:O20"/>
    <mergeCell ref="A22:O22"/>
    <mergeCell ref="A11:B11"/>
    <mergeCell ref="A14:B14"/>
    <mergeCell ref="A12:B12"/>
    <mergeCell ref="N12:O12"/>
    <mergeCell ref="N14:O14"/>
  </mergeCells>
  <conditionalFormatting sqref="N14">
    <cfRule type="cellIs" dxfId="0" priority="6" stopIfTrue="1" operator="notEqual">
      <formula>0</formula>
    </cfRule>
  </conditionalFormatting>
  <dataValidations count="4">
    <dataValidation type="list" showInputMessage="1" showErrorMessage="1" sqref="D9:E9" xr:uid="{00000000-0002-0000-0000-000000000000}">
      <formula1>RAS</formula1>
    </dataValidation>
    <dataValidation type="list" allowBlank="1" showInputMessage="1" showErrorMessage="1" sqref="N9:O9" xr:uid="{00000000-0002-0000-0000-000001000000}">
      <formula1>Diligences</formula1>
    </dataValidation>
    <dataValidation type="list" allowBlank="1" showInputMessage="1" showErrorMessage="1" sqref="M14" xr:uid="{00000000-0002-0000-0000-000002000000}">
      <formula1>Etat</formula1>
    </dataValidation>
    <dataValidation type="list" allowBlank="1" showInputMessage="1" showErrorMessage="1" sqref="M12:M13" xr:uid="{00000000-0002-0000-0000-000003000000}">
      <formula1>$Q$1:$Q$2</formula1>
    </dataValidation>
  </dataValidations>
  <hyperlinks>
    <hyperlink ref="N12:O12" location="'C400 Revue des PRC'!A1" display="C400 Revue des PRC" xr:uid="{00000000-0004-0000-0000-000000000000}"/>
    <hyperlink ref="N13" location="'C410 Honoraires avocat'!A1" display="C410 Honoraires avocat" xr:uid="{E555195E-DFBC-467C-9F5F-30727DD21341}"/>
  </hyperlinks>
  <printOptions horizontalCentered="1"/>
  <pageMargins left="0.27559055118110237" right="0.27559055118110237" top="0.39370078740157483" bottom="0.39370078740157483" header="0.51181102362204722" footer="0.51181102362204722"/>
  <pageSetup paperSize="9" scale="65" orientation="portrait" r:id="rId1"/>
  <headerFooter alignWithMargins="0"/>
  <ignoredErrors>
    <ignoredError sqref="C12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U41"/>
  <sheetViews>
    <sheetView showGridLines="0" zoomScale="85" zoomScaleNormal="85" workbookViewId="0">
      <selection activeCell="O10" sqref="O10"/>
    </sheetView>
  </sheetViews>
  <sheetFormatPr defaultColWidth="11.42578125" defaultRowHeight="15.75"/>
  <cols>
    <col min="1" max="16" width="14.7109375" style="6" customWidth="1"/>
    <col min="17" max="16384" width="11.42578125" style="6"/>
  </cols>
  <sheetData>
    <row r="1" spans="1:21" s="1" customFormat="1" ht="15" customHeight="1">
      <c r="A1" s="8"/>
      <c r="B1" s="9"/>
      <c r="C1" s="9"/>
      <c r="D1" s="149" t="str">
        <f>'C Synthèse'!D1:M2</f>
        <v>#NomClient</v>
      </c>
      <c r="E1" s="150"/>
      <c r="F1" s="150"/>
      <c r="G1" s="150"/>
      <c r="H1" s="150"/>
      <c r="I1" s="150"/>
      <c r="J1" s="150"/>
      <c r="K1" s="150"/>
      <c r="L1" s="150"/>
      <c r="M1" s="151"/>
      <c r="N1" s="9"/>
      <c r="O1" s="9"/>
      <c r="P1" s="10"/>
    </row>
    <row r="2" spans="1:21" s="1" customFormat="1" ht="15" customHeight="1" thickBot="1">
      <c r="A2" s="11"/>
      <c r="B2" s="12"/>
      <c r="C2" s="12"/>
      <c r="D2" s="152"/>
      <c r="E2" s="153"/>
      <c r="F2" s="153"/>
      <c r="G2" s="153"/>
      <c r="H2" s="153"/>
      <c r="I2" s="153"/>
      <c r="J2" s="153"/>
      <c r="K2" s="153"/>
      <c r="L2" s="153"/>
      <c r="M2" s="154"/>
      <c r="N2" s="12"/>
      <c r="O2" s="12"/>
      <c r="P2" s="13"/>
    </row>
    <row r="3" spans="1:21" ht="15" customHeight="1">
      <c r="A3" s="100" t="s">
        <v>3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2"/>
      <c r="R3" s="2"/>
      <c r="T3" s="4"/>
      <c r="U3" s="5"/>
    </row>
    <row r="4" spans="1:21" ht="15" customHeight="1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2"/>
      <c r="R4" s="2"/>
      <c r="T4" s="4"/>
      <c r="U4" s="5"/>
    </row>
    <row r="5" spans="1:21" ht="15" customHeight="1" thickBot="1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5"/>
      <c r="Q5" s="7"/>
      <c r="R5" s="3"/>
      <c r="S5" s="21"/>
      <c r="T5" s="21"/>
      <c r="U5" s="21"/>
    </row>
    <row r="6" spans="1:21" ht="15" customHeight="1">
      <c r="A6" s="15" t="s">
        <v>6</v>
      </c>
      <c r="B6" s="72" t="str">
        <f>'C Synthèse'!B6</f>
        <v>BRA</v>
      </c>
      <c r="C6" s="15" t="s">
        <v>8</v>
      </c>
      <c r="D6" s="72">
        <f>'C Synthèse'!D6</f>
        <v>0</v>
      </c>
      <c r="E6" s="155" t="s">
        <v>33</v>
      </c>
      <c r="F6" s="156"/>
      <c r="G6" s="156"/>
      <c r="H6" s="156"/>
      <c r="I6" s="156"/>
      <c r="J6" s="156"/>
      <c r="K6" s="156"/>
      <c r="L6" s="157"/>
      <c r="M6" s="161" t="s">
        <v>10</v>
      </c>
      <c r="N6" s="162"/>
      <c r="O6" s="163" t="s">
        <v>11</v>
      </c>
      <c r="P6" s="164"/>
      <c r="R6" s="1"/>
      <c r="S6" s="1"/>
    </row>
    <row r="7" spans="1:21" ht="15" customHeight="1" thickBot="1">
      <c r="A7" s="16" t="s">
        <v>13</v>
      </c>
      <c r="B7" s="73">
        <f>'C Synthèse'!B7</f>
        <v>0</v>
      </c>
      <c r="C7" s="16" t="s">
        <v>13</v>
      </c>
      <c r="D7" s="73">
        <f>'C Synthèse'!D7</f>
        <v>0</v>
      </c>
      <c r="E7" s="158"/>
      <c r="F7" s="159"/>
      <c r="G7" s="159"/>
      <c r="H7" s="159"/>
      <c r="I7" s="159"/>
      <c r="J7" s="159"/>
      <c r="K7" s="159"/>
      <c r="L7" s="160"/>
      <c r="M7" s="165" t="str">
        <f>+'C Synthèse'!M7:M7</f>
        <v>#DateClôture</v>
      </c>
      <c r="N7" s="166"/>
      <c r="O7" s="167" t="s">
        <v>34</v>
      </c>
      <c r="P7" s="168"/>
    </row>
    <row r="8" spans="1:21" ht="21" customHeight="1" thickBot="1">
      <c r="A8" s="17"/>
      <c r="B8" s="14"/>
      <c r="C8" s="18"/>
      <c r="D8" s="18"/>
      <c r="E8" s="19"/>
      <c r="F8" s="19"/>
      <c r="G8" s="19"/>
      <c r="H8" s="19"/>
      <c r="I8" s="19"/>
      <c r="J8" s="19"/>
      <c r="K8" s="19"/>
      <c r="L8" s="19"/>
      <c r="M8" s="20"/>
      <c r="N8" s="18"/>
      <c r="O8" s="131" t="s">
        <v>35</v>
      </c>
      <c r="P8" s="131"/>
    </row>
    <row r="9" spans="1:21" s="18" customFormat="1" ht="31.5" customHeight="1" thickBot="1">
      <c r="A9" s="143" t="s">
        <v>18</v>
      </c>
      <c r="B9" s="144"/>
      <c r="C9" s="144"/>
      <c r="D9" s="132" t="str">
        <f>'C Synthèse'!D9:E9</f>
        <v>Modéré</v>
      </c>
      <c r="E9" s="133"/>
      <c r="F9" s="145" t="s">
        <v>19</v>
      </c>
      <c r="G9" s="146"/>
      <c r="H9" s="146"/>
      <c r="I9" s="146"/>
      <c r="J9" s="147">
        <f>'C Synthèse'!J9:K9</f>
        <v>0</v>
      </c>
      <c r="K9" s="148"/>
      <c r="L9" s="145" t="s">
        <v>20</v>
      </c>
      <c r="M9" s="146"/>
      <c r="N9" s="146"/>
      <c r="O9" s="132" t="str">
        <f>'C Synthèse'!N9</f>
        <v>PE</v>
      </c>
      <c r="P9" s="133"/>
    </row>
    <row r="10" spans="1:21" s="18" customFormat="1" ht="21" customHeight="1" thickBo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</row>
    <row r="11" spans="1:21" s="23" customFormat="1" ht="210.75" customHeight="1" thickBot="1">
      <c r="A11" s="134" t="s">
        <v>36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6"/>
    </row>
    <row r="12" spans="1:21" s="23" customFormat="1" ht="9" customHeight="1" thickBot="1"/>
    <row r="13" spans="1:21" s="23" customFormat="1" ht="15">
      <c r="A13" s="169" t="s">
        <v>37</v>
      </c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1"/>
    </row>
    <row r="14" spans="1:21" s="23" customFormat="1" ht="60" customHeight="1" thickBot="1">
      <c r="A14" s="172" t="s">
        <v>38</v>
      </c>
      <c r="B14" s="173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4"/>
    </row>
    <row r="15" spans="1:21" ht="16.5" thickBot="1"/>
    <row r="16" spans="1:21">
      <c r="A16" s="62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7"/>
    </row>
    <row r="17" spans="1:16">
      <c r="A17" s="32" t="s">
        <v>39</v>
      </c>
      <c r="B17" s="33"/>
      <c r="C17" s="33"/>
      <c r="D17" s="33"/>
      <c r="E17" s="33"/>
      <c r="F17" s="33"/>
      <c r="G17" s="33"/>
      <c r="H17" s="33"/>
      <c r="P17" s="48"/>
    </row>
    <row r="18" spans="1:16">
      <c r="A18" s="34"/>
      <c r="B18" s="33"/>
      <c r="C18" s="33"/>
      <c r="D18" s="33"/>
      <c r="E18" s="33"/>
      <c r="F18" s="33"/>
      <c r="G18" s="33"/>
      <c r="H18" s="33"/>
      <c r="P18" s="48"/>
    </row>
    <row r="19" spans="1:16" s="31" customFormat="1" ht="33.75" customHeight="1">
      <c r="A19" s="63" t="s">
        <v>40</v>
      </c>
      <c r="B19" s="177" t="s">
        <v>41</v>
      </c>
      <c r="C19" s="177"/>
      <c r="D19" s="177"/>
      <c r="E19" s="177" t="s">
        <v>42</v>
      </c>
      <c r="F19" s="177"/>
      <c r="G19" s="177" t="s">
        <v>43</v>
      </c>
      <c r="H19" s="177"/>
      <c r="I19" s="177" t="s">
        <v>44</v>
      </c>
      <c r="J19" s="177"/>
      <c r="K19" s="177" t="s">
        <v>45</v>
      </c>
      <c r="L19" s="177"/>
      <c r="M19" s="177" t="s">
        <v>46</v>
      </c>
      <c r="N19" s="177"/>
      <c r="O19" s="175" t="s">
        <v>47</v>
      </c>
      <c r="P19" s="176"/>
    </row>
    <row r="20" spans="1:16">
      <c r="A20" s="64"/>
      <c r="B20" s="142"/>
      <c r="C20" s="142"/>
      <c r="D20" s="142"/>
      <c r="E20" s="129"/>
      <c r="F20" s="129"/>
      <c r="G20" s="129"/>
      <c r="H20" s="129"/>
      <c r="I20" s="129"/>
      <c r="J20" s="129"/>
      <c r="K20" s="129"/>
      <c r="L20" s="129"/>
      <c r="M20" s="130">
        <f>+E20+G20-I20-K20</f>
        <v>0</v>
      </c>
      <c r="N20" s="130"/>
      <c r="O20" s="127"/>
      <c r="P20" s="128"/>
    </row>
    <row r="21" spans="1:16">
      <c r="A21" s="64"/>
      <c r="B21" s="142"/>
      <c r="C21" s="142"/>
      <c r="D21" s="142"/>
      <c r="E21" s="129"/>
      <c r="F21" s="129"/>
      <c r="G21" s="129"/>
      <c r="H21" s="129"/>
      <c r="I21" s="129"/>
      <c r="J21" s="129"/>
      <c r="K21" s="129"/>
      <c r="L21" s="129"/>
      <c r="M21" s="130">
        <f>+E21+G21-I21-K21</f>
        <v>0</v>
      </c>
      <c r="N21" s="130"/>
      <c r="O21" s="127"/>
      <c r="P21" s="128"/>
    </row>
    <row r="22" spans="1:16">
      <c r="A22" s="64"/>
      <c r="B22" s="142"/>
      <c r="C22" s="142"/>
      <c r="D22" s="142"/>
      <c r="E22" s="129"/>
      <c r="F22" s="129"/>
      <c r="G22" s="129"/>
      <c r="H22" s="129"/>
      <c r="I22" s="129"/>
      <c r="J22" s="129"/>
      <c r="K22" s="129"/>
      <c r="L22" s="129"/>
      <c r="M22" s="130">
        <f>+E22+G22-I22-K22</f>
        <v>0</v>
      </c>
      <c r="N22" s="130"/>
      <c r="O22" s="127"/>
      <c r="P22" s="128"/>
    </row>
    <row r="23" spans="1:16">
      <c r="A23" s="65" t="s">
        <v>48</v>
      </c>
      <c r="B23" s="141"/>
      <c r="C23" s="141"/>
      <c r="D23" s="141"/>
      <c r="E23" s="140">
        <f>SUM(E20:E22)</f>
        <v>0</v>
      </c>
      <c r="F23" s="140"/>
      <c r="G23" s="140">
        <f>SUM(G20:G22)</f>
        <v>0</v>
      </c>
      <c r="H23" s="140"/>
      <c r="I23" s="140">
        <f>SUM(I20:I22)</f>
        <v>0</v>
      </c>
      <c r="J23" s="140"/>
      <c r="K23" s="140">
        <f>SUM(K20:K22)</f>
        <v>0</v>
      </c>
      <c r="L23" s="140"/>
      <c r="M23" s="140">
        <f>SUM(M20:M22)</f>
        <v>0</v>
      </c>
      <c r="N23" s="140"/>
      <c r="O23" s="127"/>
      <c r="P23" s="128"/>
    </row>
    <row r="24" spans="1:16">
      <c r="A24" s="7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79"/>
      <c r="P24" s="80"/>
    </row>
    <row r="25" spans="1:16" ht="63.75" customHeight="1">
      <c r="A25" s="124" t="s">
        <v>49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6"/>
    </row>
    <row r="26" spans="1:16" ht="16.5" thickBot="1">
      <c r="A26" s="66"/>
      <c r="B26" s="67"/>
      <c r="C26" s="68"/>
      <c r="D26" s="69"/>
      <c r="E26" s="69"/>
      <c r="F26" s="70"/>
      <c r="G26" s="59"/>
      <c r="H26" s="59"/>
      <c r="I26" s="50"/>
      <c r="J26" s="50"/>
      <c r="K26" s="50"/>
      <c r="L26" s="50"/>
      <c r="M26" s="50"/>
      <c r="N26" s="50"/>
      <c r="O26" s="50"/>
      <c r="P26" s="51"/>
    </row>
    <row r="27" spans="1:16" ht="16.5" thickBot="1">
      <c r="A27" s="35"/>
      <c r="B27" s="36"/>
      <c r="C27" s="37"/>
      <c r="D27" s="38"/>
      <c r="E27" s="38"/>
      <c r="F27" s="39"/>
      <c r="G27" s="33"/>
      <c r="H27" s="33"/>
    </row>
    <row r="28" spans="1:16">
      <c r="A28" s="57"/>
      <c r="B28" s="54"/>
      <c r="C28" s="54"/>
      <c r="D28" s="54"/>
      <c r="E28" s="54"/>
      <c r="F28" s="54"/>
      <c r="G28" s="54"/>
      <c r="H28" s="54"/>
      <c r="I28" s="46"/>
      <c r="J28" s="46"/>
      <c r="K28" s="46"/>
      <c r="L28" s="46"/>
      <c r="M28" s="46"/>
      <c r="N28" s="46"/>
      <c r="O28" s="46"/>
      <c r="P28" s="47"/>
    </row>
    <row r="29" spans="1:16">
      <c r="A29" s="32" t="s">
        <v>50</v>
      </c>
      <c r="B29" s="33"/>
      <c r="C29" s="33"/>
      <c r="D29" s="33"/>
      <c r="E29" s="33"/>
      <c r="F29" s="33"/>
      <c r="G29" s="33"/>
      <c r="H29" s="33"/>
      <c r="P29" s="48"/>
    </row>
    <row r="30" spans="1:16">
      <c r="A30" s="34" t="s">
        <v>51</v>
      </c>
      <c r="B30" s="33"/>
      <c r="C30" s="33"/>
      <c r="D30" s="33"/>
      <c r="E30" s="33"/>
      <c r="F30" s="40"/>
      <c r="G30" s="33"/>
      <c r="H30" s="33"/>
      <c r="P30" s="48"/>
    </row>
    <row r="31" spans="1:16" ht="16.5" thickBot="1">
      <c r="A31" s="58"/>
      <c r="B31" s="59"/>
      <c r="C31" s="59"/>
      <c r="D31" s="59"/>
      <c r="E31" s="59"/>
      <c r="F31" s="60"/>
      <c r="G31" s="61"/>
      <c r="H31" s="59"/>
      <c r="I31" s="50"/>
      <c r="J31" s="50"/>
      <c r="K31" s="50"/>
      <c r="L31" s="50"/>
      <c r="M31" s="50"/>
      <c r="N31" s="50"/>
      <c r="O31" s="50"/>
      <c r="P31" s="51"/>
    </row>
    <row r="32" spans="1:16" ht="16.5" thickBot="1">
      <c r="A32" s="34"/>
      <c r="B32" s="33"/>
      <c r="C32" s="33"/>
      <c r="D32" s="33"/>
      <c r="E32" s="33"/>
      <c r="F32" s="40"/>
      <c r="G32" s="33"/>
      <c r="H32" s="33"/>
    </row>
    <row r="33" spans="1:16">
      <c r="A33" s="52"/>
      <c r="B33" s="53"/>
      <c r="C33" s="53"/>
      <c r="D33" s="53"/>
      <c r="E33" s="53"/>
      <c r="F33" s="53"/>
      <c r="G33" s="53"/>
      <c r="H33" s="54"/>
      <c r="I33" s="46"/>
      <c r="J33" s="46"/>
      <c r="K33" s="46"/>
      <c r="L33" s="46"/>
      <c r="M33" s="46"/>
      <c r="N33" s="46"/>
      <c r="O33" s="46"/>
      <c r="P33" s="47"/>
    </row>
    <row r="34" spans="1:16">
      <c r="A34" s="32" t="s">
        <v>52</v>
      </c>
      <c r="B34" s="41"/>
      <c r="C34" s="41"/>
      <c r="D34" s="41"/>
      <c r="E34" s="41"/>
      <c r="F34" s="41"/>
      <c r="G34" s="41"/>
      <c r="H34" s="33"/>
      <c r="P34" s="48"/>
    </row>
    <row r="35" spans="1:16" ht="70.5" customHeight="1">
      <c r="A35" s="137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9"/>
    </row>
    <row r="36" spans="1:16" ht="16.5" thickBot="1">
      <c r="A36" s="55"/>
      <c r="B36" s="56"/>
      <c r="C36" s="56"/>
      <c r="D36" s="56"/>
      <c r="E36" s="56"/>
      <c r="F36" s="56"/>
      <c r="G36" s="56"/>
      <c r="H36" s="56"/>
      <c r="I36" s="50"/>
      <c r="J36" s="50"/>
      <c r="K36" s="50"/>
      <c r="L36" s="50"/>
      <c r="M36" s="50"/>
      <c r="N36" s="50"/>
      <c r="O36" s="50"/>
      <c r="P36" s="51"/>
    </row>
    <row r="37" spans="1:16" ht="16.5" thickBot="1">
      <c r="A37" s="42"/>
      <c r="B37" s="43"/>
      <c r="C37" s="43"/>
      <c r="D37" s="43"/>
      <c r="E37" s="43"/>
      <c r="F37" s="43"/>
      <c r="G37" s="43"/>
      <c r="H37" s="43"/>
    </row>
    <row r="38" spans="1:16">
      <c r="A38" s="44"/>
      <c r="B38" s="45"/>
      <c r="C38" s="45"/>
      <c r="D38" s="45"/>
      <c r="E38" s="45"/>
      <c r="F38" s="45"/>
      <c r="G38" s="45"/>
      <c r="H38" s="45"/>
      <c r="I38" s="46"/>
      <c r="J38" s="46"/>
      <c r="K38" s="46"/>
      <c r="L38" s="46"/>
      <c r="M38" s="46"/>
      <c r="N38" s="46"/>
      <c r="O38" s="46"/>
      <c r="P38" s="47"/>
    </row>
    <row r="39" spans="1:16">
      <c r="A39" s="32" t="s">
        <v>53</v>
      </c>
      <c r="B39" s="41"/>
      <c r="C39" s="41"/>
      <c r="D39" s="41"/>
      <c r="E39" s="41"/>
      <c r="F39" s="41"/>
      <c r="G39" s="41"/>
      <c r="H39" s="33"/>
      <c r="P39" s="48"/>
    </row>
    <row r="40" spans="1:16" ht="70.5" customHeight="1">
      <c r="A40" s="137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9"/>
    </row>
    <row r="41" spans="1:16" ht="16.5" thickBot="1">
      <c r="A41" s="49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1"/>
    </row>
  </sheetData>
  <sheetProtection formatCells="0" formatColumns="0" formatRows="0" insertColumns="0" insertRows="0" insertHyperlinks="0" deleteColumns="0" deleteRows="0" sort="0" autoFilter="0" pivotTables="0"/>
  <mergeCells count="55">
    <mergeCell ref="A13:P13"/>
    <mergeCell ref="A14:P14"/>
    <mergeCell ref="O19:P19"/>
    <mergeCell ref="G20:H20"/>
    <mergeCell ref="I20:J20"/>
    <mergeCell ref="K20:L20"/>
    <mergeCell ref="M20:N20"/>
    <mergeCell ref="O20:P20"/>
    <mergeCell ref="G19:H19"/>
    <mergeCell ref="I19:J19"/>
    <mergeCell ref="K19:L19"/>
    <mergeCell ref="M19:N19"/>
    <mergeCell ref="E19:F19"/>
    <mergeCell ref="B19:D19"/>
    <mergeCell ref="E20:F20"/>
    <mergeCell ref="B20:D20"/>
    <mergeCell ref="D1:M2"/>
    <mergeCell ref="A3:P5"/>
    <mergeCell ref="E6:L7"/>
    <mergeCell ref="M6:N6"/>
    <mergeCell ref="O6:P6"/>
    <mergeCell ref="M7:N7"/>
    <mergeCell ref="O7:P7"/>
    <mergeCell ref="A9:C9"/>
    <mergeCell ref="D9:E9"/>
    <mergeCell ref="F9:I9"/>
    <mergeCell ref="J9:K9"/>
    <mergeCell ref="L9:N9"/>
    <mergeCell ref="O8:P8"/>
    <mergeCell ref="O9:P9"/>
    <mergeCell ref="A11:P11"/>
    <mergeCell ref="A35:P35"/>
    <mergeCell ref="A40:P40"/>
    <mergeCell ref="E23:F23"/>
    <mergeCell ref="B23:D23"/>
    <mergeCell ref="O23:P23"/>
    <mergeCell ref="G23:H23"/>
    <mergeCell ref="I23:J23"/>
    <mergeCell ref="K23:L23"/>
    <mergeCell ref="M23:N23"/>
    <mergeCell ref="B21:D21"/>
    <mergeCell ref="E21:F21"/>
    <mergeCell ref="B22:D22"/>
    <mergeCell ref="E22:F22"/>
    <mergeCell ref="A25:P25"/>
    <mergeCell ref="O21:P21"/>
    <mergeCell ref="G22:H22"/>
    <mergeCell ref="I22:J22"/>
    <mergeCell ref="K22:L22"/>
    <mergeCell ref="M22:N22"/>
    <mergeCell ref="O22:P22"/>
    <mergeCell ref="G21:H21"/>
    <mergeCell ref="I21:J21"/>
    <mergeCell ref="K21:L21"/>
    <mergeCell ref="M21:N21"/>
  </mergeCells>
  <dataValidations count="2">
    <dataValidation type="list" showInputMessage="1" showErrorMessage="1" sqref="D9:E9" xr:uid="{00000000-0002-0000-0100-000000000000}">
      <formula1>RAS</formula1>
    </dataValidation>
    <dataValidation type="list" allowBlank="1" showInputMessage="1" showErrorMessage="1" sqref="O9:P9" xr:uid="{00000000-0002-0000-0100-000001000000}">
      <formula1>Diligences</formula1>
    </dataValidation>
  </dataValidations>
  <hyperlinks>
    <hyperlink ref="O8:P8" location="'C Synthèse'!A1" display="C Synthèse" xr:uid="{00000000-0004-0000-0100-000000000000}"/>
  </hyperlinks>
  <printOptions horizontalCentered="1"/>
  <pageMargins left="0.27559055118110237" right="0.27559055118110237" top="0.39370078740157483" bottom="0.39370078740157483" header="0.51181102362204722" footer="0.51181102362204722"/>
  <pageSetup paperSize="9" scale="6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FF746-025D-4E78-A8EB-1A4630B4C782}">
  <sheetPr codeName="Feuil3"/>
  <dimension ref="A1:U40"/>
  <sheetViews>
    <sheetView showGridLines="0" zoomScale="85" zoomScaleNormal="85" workbookViewId="0"/>
  </sheetViews>
  <sheetFormatPr defaultColWidth="11.42578125" defaultRowHeight="15.75"/>
  <cols>
    <col min="1" max="16" width="14.7109375" style="6" customWidth="1"/>
    <col min="17" max="16384" width="11.42578125" style="6"/>
  </cols>
  <sheetData>
    <row r="1" spans="1:21" s="1" customFormat="1" ht="15" customHeight="1">
      <c r="B1" s="9"/>
      <c r="C1" s="9"/>
      <c r="D1" s="149" t="str">
        <f>'C Synthèse'!D1:M2</f>
        <v>#NomClient</v>
      </c>
      <c r="E1" s="150"/>
      <c r="F1" s="150"/>
      <c r="G1" s="150"/>
      <c r="H1" s="150"/>
      <c r="I1" s="150"/>
      <c r="J1" s="150"/>
      <c r="K1" s="150"/>
      <c r="L1" s="150"/>
      <c r="M1" s="151"/>
      <c r="N1" s="9"/>
      <c r="O1" s="9"/>
      <c r="P1" s="10"/>
    </row>
    <row r="2" spans="1:21" s="1" customFormat="1" ht="15" customHeight="1" thickBot="1">
      <c r="A2" s="11"/>
      <c r="B2" s="12"/>
      <c r="C2" s="12"/>
      <c r="D2" s="152"/>
      <c r="E2" s="153"/>
      <c r="F2" s="153"/>
      <c r="G2" s="153"/>
      <c r="H2" s="153"/>
      <c r="I2" s="153"/>
      <c r="J2" s="153"/>
      <c r="K2" s="153"/>
      <c r="L2" s="153"/>
      <c r="M2" s="154"/>
      <c r="N2" s="12"/>
      <c r="O2" s="12"/>
      <c r="P2" s="13"/>
    </row>
    <row r="3" spans="1:21" ht="15" customHeight="1">
      <c r="A3" s="100" t="s">
        <v>3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2"/>
      <c r="R3" s="2"/>
      <c r="T3" s="4"/>
      <c r="U3" s="5"/>
    </row>
    <row r="4" spans="1:21" ht="15" customHeight="1">
      <c r="A4" s="100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2"/>
      <c r="R4" s="2"/>
      <c r="T4" s="4"/>
      <c r="U4" s="5"/>
    </row>
    <row r="5" spans="1:21" ht="15" customHeight="1" thickBot="1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5"/>
      <c r="Q5" s="7"/>
      <c r="R5" s="3"/>
      <c r="S5" s="21"/>
      <c r="T5" s="21"/>
      <c r="U5" s="21"/>
    </row>
    <row r="6" spans="1:21" ht="15" customHeight="1">
      <c r="A6" s="15" t="s">
        <v>6</v>
      </c>
      <c r="B6" s="72" t="str">
        <f>'C Synthèse'!B6</f>
        <v>BRA</v>
      </c>
      <c r="C6" s="15" t="s">
        <v>8</v>
      </c>
      <c r="D6" s="72">
        <f>'C Synthèse'!D6</f>
        <v>0</v>
      </c>
      <c r="E6" s="155" t="s">
        <v>33</v>
      </c>
      <c r="F6" s="156"/>
      <c r="G6" s="156"/>
      <c r="H6" s="156"/>
      <c r="I6" s="156"/>
      <c r="J6" s="156"/>
      <c r="K6" s="156"/>
      <c r="L6" s="157"/>
      <c r="M6" s="161" t="s">
        <v>10</v>
      </c>
      <c r="N6" s="162"/>
      <c r="O6" s="163" t="s">
        <v>11</v>
      </c>
      <c r="P6" s="164"/>
      <c r="R6" s="1"/>
      <c r="S6" s="1"/>
    </row>
    <row r="7" spans="1:21" ht="15" customHeight="1" thickBot="1">
      <c r="A7" s="16" t="s">
        <v>13</v>
      </c>
      <c r="B7" s="73">
        <f>'C Synthèse'!B7</f>
        <v>0</v>
      </c>
      <c r="C7" s="16" t="s">
        <v>13</v>
      </c>
      <c r="D7" s="73">
        <f>'C Synthèse'!D7</f>
        <v>0</v>
      </c>
      <c r="E7" s="158"/>
      <c r="F7" s="159"/>
      <c r="G7" s="159"/>
      <c r="H7" s="159"/>
      <c r="I7" s="159"/>
      <c r="J7" s="159"/>
      <c r="K7" s="159"/>
      <c r="L7" s="160"/>
      <c r="M7" s="165" t="str">
        <f>+'C Synthèse'!M7:M7</f>
        <v>#DateClôture</v>
      </c>
      <c r="N7" s="166"/>
      <c r="O7" s="167" t="s">
        <v>34</v>
      </c>
      <c r="P7" s="168"/>
    </row>
    <row r="8" spans="1:21" ht="21" customHeight="1" thickBot="1">
      <c r="A8" s="17"/>
      <c r="B8" s="14"/>
      <c r="C8" s="18"/>
      <c r="D8" s="18"/>
      <c r="E8" s="19"/>
      <c r="F8" s="19"/>
      <c r="G8" s="19"/>
      <c r="H8" s="19"/>
      <c r="I8" s="19"/>
      <c r="J8" s="19"/>
      <c r="K8" s="19"/>
      <c r="L8" s="19"/>
      <c r="M8" s="20"/>
      <c r="N8" s="18"/>
      <c r="O8" s="131" t="s">
        <v>35</v>
      </c>
      <c r="P8" s="131"/>
    </row>
    <row r="9" spans="1:21" s="18" customFormat="1" ht="31.5" customHeight="1" thickBot="1">
      <c r="A9" s="143" t="s">
        <v>18</v>
      </c>
      <c r="B9" s="144"/>
      <c r="C9" s="144"/>
      <c r="D9" s="132" t="str">
        <f>'C Synthèse'!D9:E9</f>
        <v>Modéré</v>
      </c>
      <c r="E9" s="133"/>
      <c r="F9" s="145" t="s">
        <v>19</v>
      </c>
      <c r="G9" s="146"/>
      <c r="H9" s="146"/>
      <c r="I9" s="146"/>
      <c r="J9" s="147">
        <f>'C Synthèse'!J9:K9</f>
        <v>0</v>
      </c>
      <c r="K9" s="148"/>
      <c r="L9" s="145" t="s">
        <v>20</v>
      </c>
      <c r="M9" s="146"/>
      <c r="N9" s="146"/>
      <c r="O9" s="132" t="str">
        <f>'C Synthèse'!N9</f>
        <v>PE</v>
      </c>
      <c r="P9" s="133"/>
    </row>
    <row r="10" spans="1:21" s="18" customFormat="1" ht="21" customHeight="1" thickBo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</row>
    <row r="11" spans="1:21" s="23" customFormat="1" ht="122.25" customHeight="1" thickBot="1">
      <c r="A11" s="134" t="s">
        <v>54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6"/>
    </row>
    <row r="12" spans="1:21" s="23" customFormat="1" ht="9" customHeight="1" thickBot="1"/>
    <row r="13" spans="1:21" s="23" customFormat="1" ht="15">
      <c r="A13" s="169" t="s">
        <v>37</v>
      </c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1"/>
    </row>
    <row r="14" spans="1:21" s="23" customFormat="1" ht="60" customHeight="1" thickBot="1">
      <c r="A14" s="172" t="s">
        <v>38</v>
      </c>
      <c r="B14" s="173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4"/>
    </row>
    <row r="15" spans="1:21" ht="16.5" thickBot="1"/>
    <row r="16" spans="1:21">
      <c r="A16" s="62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7"/>
    </row>
    <row r="17" spans="1:16">
      <c r="A17" s="75" t="s">
        <v>55</v>
      </c>
      <c r="B17" s="33"/>
      <c r="C17" s="33"/>
      <c r="D17" s="33"/>
      <c r="E17" s="33"/>
      <c r="F17" s="33"/>
      <c r="G17" s="33"/>
      <c r="H17" s="33"/>
      <c r="P17" s="48"/>
    </row>
    <row r="18" spans="1:16">
      <c r="A18" s="76"/>
      <c r="B18" s="33"/>
      <c r="C18" s="33"/>
      <c r="D18" s="33"/>
      <c r="E18" s="33"/>
      <c r="F18" s="33"/>
      <c r="G18" s="33"/>
      <c r="H18" s="33"/>
      <c r="P18" s="48"/>
    </row>
    <row r="19" spans="1:16">
      <c r="A19" s="76" t="s">
        <v>56</v>
      </c>
      <c r="B19" s="33"/>
      <c r="C19" s="33"/>
      <c r="D19" s="33"/>
      <c r="E19" s="33"/>
      <c r="F19" s="33"/>
      <c r="G19" s="33"/>
      <c r="H19" s="33"/>
      <c r="P19" s="48"/>
    </row>
    <row r="20" spans="1:16">
      <c r="A20" s="76"/>
      <c r="B20" s="33"/>
      <c r="C20" s="33"/>
      <c r="D20" s="33"/>
      <c r="E20" s="33"/>
      <c r="F20" s="33"/>
      <c r="G20" s="33"/>
      <c r="H20" s="33"/>
      <c r="P20" s="48"/>
    </row>
    <row r="21" spans="1:16">
      <c r="A21" s="76"/>
      <c r="B21" s="33"/>
      <c r="C21" s="33"/>
      <c r="D21" s="33"/>
      <c r="E21" s="33"/>
      <c r="F21" s="33"/>
      <c r="G21" s="33"/>
      <c r="H21" s="33"/>
      <c r="P21" s="48"/>
    </row>
    <row r="22" spans="1:16">
      <c r="A22" s="76"/>
      <c r="B22" s="33"/>
      <c r="C22" s="33"/>
      <c r="D22" s="33"/>
      <c r="E22" s="33"/>
      <c r="F22" s="33"/>
      <c r="G22" s="33"/>
      <c r="H22" s="33"/>
      <c r="P22" s="48"/>
    </row>
    <row r="23" spans="1:16">
      <c r="A23" s="76"/>
      <c r="B23" s="33"/>
      <c r="C23" s="33"/>
      <c r="D23" s="33"/>
      <c r="E23" s="33"/>
      <c r="F23" s="33"/>
      <c r="G23" s="33"/>
      <c r="H23" s="33"/>
      <c r="P23" s="48"/>
    </row>
    <row r="24" spans="1:16">
      <c r="A24" s="76"/>
      <c r="B24" s="33"/>
      <c r="C24" s="33"/>
      <c r="D24" s="33"/>
      <c r="E24" s="33"/>
      <c r="F24" s="33"/>
      <c r="G24" s="33"/>
      <c r="H24" s="33"/>
      <c r="P24" s="48"/>
    </row>
    <row r="25" spans="1:16">
      <c r="A25" s="76"/>
      <c r="B25" s="33"/>
      <c r="C25" s="33"/>
      <c r="D25" s="33"/>
      <c r="E25" s="33"/>
      <c r="F25" s="33"/>
      <c r="G25" s="33"/>
      <c r="H25" s="33"/>
      <c r="P25" s="48"/>
    </row>
    <row r="26" spans="1:16">
      <c r="A26" s="77"/>
      <c r="B26" s="33"/>
      <c r="C26" s="33"/>
      <c r="D26" s="33"/>
      <c r="E26" s="33"/>
      <c r="F26" s="33"/>
      <c r="G26" s="33"/>
      <c r="H26" s="33"/>
      <c r="P26" s="48"/>
    </row>
    <row r="27" spans="1:16" ht="16.5" thickBot="1">
      <c r="A27" s="66"/>
      <c r="B27" s="67"/>
      <c r="C27" s="68"/>
      <c r="D27" s="69"/>
      <c r="E27" s="69"/>
      <c r="F27" s="70"/>
      <c r="G27" s="59"/>
      <c r="H27" s="59"/>
      <c r="I27" s="50"/>
      <c r="J27" s="50"/>
      <c r="K27" s="50"/>
      <c r="L27" s="50"/>
      <c r="M27" s="50"/>
      <c r="N27" s="50"/>
      <c r="O27" s="50"/>
      <c r="P27" s="51"/>
    </row>
    <row r="28" spans="1:16" ht="16.5" thickBot="1">
      <c r="A28" s="35"/>
      <c r="B28" s="36"/>
      <c r="C28" s="37"/>
      <c r="D28" s="38"/>
      <c r="E28" s="38"/>
      <c r="F28" s="39"/>
      <c r="G28" s="33"/>
      <c r="H28" s="33"/>
    </row>
    <row r="29" spans="1:16">
      <c r="A29" s="62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7"/>
    </row>
    <row r="30" spans="1:16">
      <c r="A30" s="75" t="s">
        <v>57</v>
      </c>
      <c r="B30" s="33"/>
      <c r="C30" s="33"/>
      <c r="D30" s="33"/>
      <c r="E30" s="33"/>
      <c r="F30" s="33"/>
      <c r="G30" s="33"/>
      <c r="H30" s="33"/>
      <c r="P30" s="48"/>
    </row>
    <row r="31" spans="1:16">
      <c r="A31" s="76"/>
      <c r="B31" s="33"/>
      <c r="C31" s="33"/>
      <c r="D31" s="33"/>
      <c r="E31" s="33"/>
      <c r="F31" s="33"/>
      <c r="G31" s="33"/>
      <c r="H31" s="33"/>
      <c r="P31" s="48"/>
    </row>
    <row r="32" spans="1:16">
      <c r="A32" s="76" t="s">
        <v>56</v>
      </c>
      <c r="B32" s="33"/>
      <c r="C32" s="33"/>
      <c r="D32" s="33"/>
      <c r="E32" s="33"/>
      <c r="F32" s="33"/>
      <c r="G32" s="33"/>
      <c r="H32" s="33"/>
      <c r="P32" s="48"/>
    </row>
    <row r="33" spans="1:16">
      <c r="A33" s="76"/>
      <c r="B33" s="33"/>
      <c r="C33" s="33"/>
      <c r="D33" s="33"/>
      <c r="E33" s="33"/>
      <c r="F33" s="33"/>
      <c r="G33" s="33"/>
      <c r="H33" s="33"/>
      <c r="P33" s="48"/>
    </row>
    <row r="34" spans="1:16">
      <c r="A34" s="76"/>
      <c r="B34" s="33"/>
      <c r="C34" s="33"/>
      <c r="D34" s="33"/>
      <c r="E34" s="33"/>
      <c r="F34" s="33"/>
      <c r="G34" s="33"/>
      <c r="H34" s="33"/>
      <c r="P34" s="48"/>
    </row>
    <row r="35" spans="1:16">
      <c r="A35" s="76"/>
      <c r="B35" s="33"/>
      <c r="C35" s="33"/>
      <c r="D35" s="33"/>
      <c r="E35" s="33"/>
      <c r="F35" s="33"/>
      <c r="G35" s="33"/>
      <c r="H35" s="33"/>
      <c r="P35" s="48"/>
    </row>
    <row r="36" spans="1:16">
      <c r="A36" s="76"/>
      <c r="B36" s="33"/>
      <c r="C36" s="33"/>
      <c r="D36" s="33"/>
      <c r="E36" s="33"/>
      <c r="F36" s="33"/>
      <c r="G36" s="33"/>
      <c r="H36" s="33"/>
      <c r="P36" s="48"/>
    </row>
    <row r="37" spans="1:16">
      <c r="A37" s="76"/>
      <c r="B37" s="33"/>
      <c r="C37" s="33"/>
      <c r="D37" s="33"/>
      <c r="E37" s="33"/>
      <c r="F37" s="33"/>
      <c r="G37" s="33"/>
      <c r="H37" s="33"/>
      <c r="P37" s="48"/>
    </row>
    <row r="38" spans="1:16">
      <c r="A38" s="76"/>
      <c r="B38" s="33"/>
      <c r="C38" s="33"/>
      <c r="D38" s="33"/>
      <c r="E38" s="33"/>
      <c r="F38" s="33"/>
      <c r="G38" s="33"/>
      <c r="H38" s="33"/>
      <c r="P38" s="48"/>
    </row>
    <row r="39" spans="1:16">
      <c r="A39" s="77"/>
      <c r="B39" s="33"/>
      <c r="C39" s="33"/>
      <c r="D39" s="33"/>
      <c r="E39" s="33"/>
      <c r="F39" s="33"/>
      <c r="G39" s="33"/>
      <c r="H39" s="33"/>
      <c r="P39" s="48"/>
    </row>
    <row r="40" spans="1:16" ht="16.5" thickBot="1">
      <c r="A40" s="66"/>
      <c r="B40" s="67"/>
      <c r="C40" s="68"/>
      <c r="D40" s="69"/>
      <c r="E40" s="69"/>
      <c r="F40" s="70"/>
      <c r="G40" s="59"/>
      <c r="H40" s="59"/>
      <c r="I40" s="50"/>
      <c r="J40" s="50"/>
      <c r="K40" s="50"/>
      <c r="L40" s="50"/>
      <c r="M40" s="50"/>
      <c r="N40" s="50"/>
      <c r="O40" s="50"/>
      <c r="P40" s="51"/>
    </row>
  </sheetData>
  <sheetProtection formatCells="0" formatColumns="0" formatRows="0" insertColumns="0" insertRows="0" insertHyperlinks="0" deleteColumns="0" deleteRows="0" sort="0" autoFilter="0" pivotTables="0"/>
  <mergeCells count="17">
    <mergeCell ref="D1:M2"/>
    <mergeCell ref="A3:P5"/>
    <mergeCell ref="E6:L7"/>
    <mergeCell ref="M6:N6"/>
    <mergeCell ref="O6:P6"/>
    <mergeCell ref="M7:N7"/>
    <mergeCell ref="O7:P7"/>
    <mergeCell ref="A11:P11"/>
    <mergeCell ref="A13:P13"/>
    <mergeCell ref="A14:P14"/>
    <mergeCell ref="O8:P8"/>
    <mergeCell ref="A9:C9"/>
    <mergeCell ref="D9:E9"/>
    <mergeCell ref="F9:I9"/>
    <mergeCell ref="J9:K9"/>
    <mergeCell ref="L9:N9"/>
    <mergeCell ref="O9:P9"/>
  </mergeCells>
  <dataValidations count="2">
    <dataValidation type="list" allowBlank="1" showInputMessage="1" showErrorMessage="1" sqref="O9:P9" xr:uid="{2D902E45-E78E-4652-A52C-BD3E34FFC2C0}">
      <formula1>Diligences</formula1>
    </dataValidation>
    <dataValidation type="list" showInputMessage="1" showErrorMessage="1" sqref="D9:E9" xr:uid="{DB9D9E1F-CE42-4367-9833-3D28C40281B0}">
      <formula1>RAS</formula1>
    </dataValidation>
  </dataValidations>
  <hyperlinks>
    <hyperlink ref="O8:P8" location="'C Synthèse'!A1" display="C Synthèse" xr:uid="{A3EBBBD9-6FA7-452B-AC3E-7E3A7AC3735F}"/>
  </hyperlinks>
  <printOptions horizontalCentered="1"/>
  <pageMargins left="0.27559055118110237" right="0.27559055118110237" top="0.39370078740157483" bottom="0.39370078740157483" header="0.51181102362204722" footer="0.51181102362204722"/>
  <pageSetup paperSize="9" scale="65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3FFDFD4C05D14DADD40B72BFB892F2" ma:contentTypeVersion="12" ma:contentTypeDescription="Crée un document." ma:contentTypeScope="" ma:versionID="6e9eb2cd94cf11a495d07862851ca2c6">
  <xsd:schema xmlns:xsd="http://www.w3.org/2001/XMLSchema" xmlns:xs="http://www.w3.org/2001/XMLSchema" xmlns:p="http://schemas.microsoft.com/office/2006/metadata/properties" xmlns:ns2="27d32b71-31f9-4ffd-a7f0-416f695e1477" xmlns:ns3="d905335e-07f7-449f-8325-7d00af0e6b96" targetNamespace="http://schemas.microsoft.com/office/2006/metadata/properties" ma:root="true" ma:fieldsID="97eefb2fc4e1080b422e7c2d615be758" ns2:_="" ns3:_="">
    <xsd:import namespace="27d32b71-31f9-4ffd-a7f0-416f695e1477"/>
    <xsd:import namespace="d905335e-07f7-449f-8325-7d00af0e6b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d32b71-31f9-4ffd-a7f0-416f695e14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e55a836-def3-43e3-8f00-2a26c91975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05335e-07f7-449f-8325-7d00af0e6b9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e981c32-6aaa-40cd-9bf7-e0202a3392a7}" ma:internalName="TaxCatchAll" ma:showField="CatchAllData" ma:web="d905335e-07f7-449f-8325-7d00af0e6b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d32b71-31f9-4ffd-a7f0-416f695e1477">
      <Terms xmlns="http://schemas.microsoft.com/office/infopath/2007/PartnerControls"/>
    </lcf76f155ced4ddcb4097134ff3c332f>
    <TaxCatchAll xmlns="d905335e-07f7-449f-8325-7d00af0e6b96" xsi:nil="true"/>
  </documentManagement>
</p:properties>
</file>

<file path=customXml/itemProps1.xml><?xml version="1.0" encoding="utf-8"?>
<ds:datastoreItem xmlns:ds="http://schemas.openxmlformats.org/officeDocument/2006/customXml" ds:itemID="{B226F365-1CA3-4650-A757-3A25BF14B1EE}"/>
</file>

<file path=customXml/itemProps2.xml><?xml version="1.0" encoding="utf-8"?>
<ds:datastoreItem xmlns:ds="http://schemas.openxmlformats.org/officeDocument/2006/customXml" ds:itemID="{75E54ABC-1166-4EF6-8511-2112E08DE53F}"/>
</file>

<file path=customXml/itemProps3.xml><?xml version="1.0" encoding="utf-8"?>
<ds:datastoreItem xmlns:ds="http://schemas.openxmlformats.org/officeDocument/2006/customXml" ds:itemID="{7610AB12-E0A1-452B-97ED-DD7A0DAAA3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Charles CHA. ARNAUD</dc:creator>
  <cp:keywords/>
  <dc:description/>
  <cp:lastModifiedBy>sarah BADRA</cp:lastModifiedBy>
  <cp:revision/>
  <dcterms:created xsi:type="dcterms:W3CDTF">2017-01-24T11:12:27Z</dcterms:created>
  <dcterms:modified xsi:type="dcterms:W3CDTF">2025-11-12T13:27:33Z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0x010100BD3FFDFD4C05D14DADD40B72BFB892F2</vt:lpwstr>
  </property>
  <property fmtid="{D5CDD505-2E9C-101B-9397-08002B2CF9AE}" pid="3" name="MediaServiceImageTags">
    <vt:lpwstr/>
  </property>
</Properties>
</file>