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66925"/>
  <mc:AlternateContent xmlns:mc="http://schemas.openxmlformats.org/markup-compatibility/2006">
    <mc:Choice Requires="x15">
      <x15ac:absPath xmlns:x15ac="http://schemas.microsoft.com/office/spreadsheetml/2010/11/ac" url="\\Srvdcvil\collaborateurs\2-COLLABORATEURS\Brian\Modèles\Dossier annuel\V- Clients-Ventes\"/>
    </mc:Choice>
  </mc:AlternateContent>
  <xr:revisionPtr revIDLastSave="0" documentId="13_ncr:1_{B0FA384B-C80B-4328-895B-4801A6F9543F}" xr6:coauthVersionLast="47" xr6:coauthVersionMax="47" xr10:uidLastSave="{00000000-0000-0000-0000-000000000000}"/>
  <bookViews>
    <workbookView xWindow="-28920" yWindow="-120" windowWidth="29040" windowHeight="15720" tabRatio="728" xr2:uid="{00000000-000D-0000-FFFF-FFFF00000000}"/>
  </bookViews>
  <sheets>
    <sheet name="V Synthèse" sheetId="1" r:id="rId1"/>
    <sheet name="V100 Rappro BA-BG" sheetId="11" r:id="rId2"/>
    <sheet name="V110 Revue clients créditeurs" sheetId="14" r:id="rId3"/>
    <sheet name="V120 Revue EAR" sheetId="34" state="hidden" r:id="rId4"/>
    <sheet name="V200 DSO clients" sheetId="15" state="hidden" r:id="rId5"/>
    <sheet name="V300 Réciprocité intragroupe" sheetId="16" r:id="rId6"/>
    <sheet name="V400 Réalité clients douteux" sheetId="17" r:id="rId7"/>
    <sheet name="V410 Exhaustivité dépréciation" sheetId="18" r:id="rId8"/>
    <sheet name="V510 Revue FAE" sheetId="24" r:id="rId9"/>
    <sheet name="V520 Revue AAE" sheetId="25" r:id="rId10"/>
    <sheet name="V525 Revue RFA" sheetId="33" state="hidden" r:id="rId11"/>
    <sheet name="V530 Revue PCA" sheetId="26" r:id="rId12"/>
    <sheet name="V540 Test cut off ventes" sheetId="27" r:id="rId13"/>
    <sheet name="V600 Circularisations" sheetId="30" r:id="rId14"/>
    <sheet name="V610 Procédures alternatives" sheetId="31" r:id="rId15"/>
    <sheet name="V700 Rappro CA gesco-CA compta" sheetId="32" r:id="rId16"/>
    <sheet name="V710 Palmarès clients" sheetId="35" state="hidden" r:id="rId17"/>
    <sheet name="V800 Clients en devise" sheetId="20" state="hidden" r:id="rId18"/>
  </sheets>
  <externalReferences>
    <externalReference r:id="rId19"/>
  </externalReferences>
  <definedNames>
    <definedName name="ça">"$#REF !.$B$508:$R$508"</definedName>
    <definedName name="CA_N">[1]SIG!$B$8</definedName>
    <definedName name="CA_N_1">[1]SIG!$D$8</definedName>
    <definedName name="çb">"$#REF !.$A$48:$K$48"</definedName>
    <definedName name="çi">"$#REF !.$R$11:$R$508"</definedName>
    <definedName name="cloture">"$#REF !.$G$9"</definedName>
    <definedName name="çp">"$#REF !.$B$44:$F$44"</definedName>
    <definedName name="çr">"$#REF !.$B$62:$H$62"</definedName>
    <definedName name="çs">"$#REF !.$B$161:$L$161"</definedName>
    <definedName name="dateCloture" localSheetId="1">#REF!</definedName>
    <definedName name="dateCloture" localSheetId="2">#REF!</definedName>
    <definedName name="dateCloture" localSheetId="3">#REF!</definedName>
    <definedName name="dateCloture" localSheetId="4">#REF!</definedName>
    <definedName name="dateCloture" localSheetId="5">#REF!</definedName>
    <definedName name="dateCloture" localSheetId="6">#REF!</definedName>
    <definedName name="dateCloture" localSheetId="7">#REF!</definedName>
    <definedName name="dateCloture" localSheetId="8">#REF!</definedName>
    <definedName name="dateCloture" localSheetId="9">#REF!</definedName>
    <definedName name="dateCloture" localSheetId="10">#REF!</definedName>
    <definedName name="dateCloture" localSheetId="11">#REF!</definedName>
    <definedName name="dateCloture" localSheetId="12">#REF!</definedName>
    <definedName name="dateCloture" localSheetId="13">#REF!</definedName>
    <definedName name="dateCloture" localSheetId="14">#REF!</definedName>
    <definedName name="dateCloture" localSheetId="15">#REF!</definedName>
    <definedName name="dateCloture" localSheetId="16">#REF!</definedName>
    <definedName name="dateCloture" localSheetId="17">#REF!</definedName>
    <definedName name="dateCloture">#REF!</definedName>
    <definedName name="DatesCloture">"$#REF !.$F$9:$#REF !.$M$9"</definedName>
    <definedName name="Diligences" localSheetId="1">'V100 Rappro BA-BG'!#REF!</definedName>
    <definedName name="Diligences" localSheetId="2">'V110 Revue clients créditeurs'!#REF!</definedName>
    <definedName name="Diligences" localSheetId="3">'V120 Revue EAR'!#REF!</definedName>
    <definedName name="Diligences" localSheetId="4">'V200 DSO clients'!#REF!</definedName>
    <definedName name="Diligences" localSheetId="5">'V300 Réciprocité intragroupe'!#REF!</definedName>
    <definedName name="Diligences" localSheetId="6">'V400 Réalité clients douteux'!#REF!</definedName>
    <definedName name="Diligences" localSheetId="7">'V410 Exhaustivité dépréciation'!#REF!</definedName>
    <definedName name="Diligences" localSheetId="8">'V510 Revue FAE'!#REF!</definedName>
    <definedName name="Diligences" localSheetId="9">'V520 Revue AAE'!#REF!</definedName>
    <definedName name="Diligences" localSheetId="10">'V525 Revue RFA'!#REF!</definedName>
    <definedName name="Diligences" localSheetId="11">'V530 Revue PCA'!#REF!</definedName>
    <definedName name="Diligences" localSheetId="12">'V540 Test cut off ventes'!#REF!</definedName>
    <definedName name="Diligences" localSheetId="13">'V600 Circularisations'!#REF!</definedName>
    <definedName name="Diligences" localSheetId="14">'V610 Procédures alternatives'!#REF!</definedName>
    <definedName name="Diligences" localSheetId="15">'V700 Rappro CA gesco-CA compta'!#REF!</definedName>
    <definedName name="Diligences" localSheetId="16">'V710 Palmarès clients'!#REF!</definedName>
    <definedName name="Diligences" localSheetId="17">'V800 Clients en devise'!#REF!</definedName>
    <definedName name="Diligences">'V Synthèse'!$Q$7:$Q$9</definedName>
    <definedName name="Etat" localSheetId="1">'V100 Rappro BA-BG'!#REF!</definedName>
    <definedName name="Etat" localSheetId="2">'V110 Revue clients créditeurs'!#REF!</definedName>
    <definedName name="Etat" localSheetId="3">'V120 Revue EAR'!#REF!</definedName>
    <definedName name="Etat" localSheetId="4">'V200 DSO clients'!#REF!</definedName>
    <definedName name="Etat" localSheetId="5">'V300 Réciprocité intragroupe'!#REF!</definedName>
    <definedName name="Etat" localSheetId="6">'V400 Réalité clients douteux'!#REF!</definedName>
    <definedName name="Etat" localSheetId="7">'V410 Exhaustivité dépréciation'!#REF!</definedName>
    <definedName name="Etat" localSheetId="8">'V510 Revue FAE'!#REF!</definedName>
    <definedName name="Etat" localSheetId="9">'V520 Revue AAE'!#REF!</definedName>
    <definedName name="Etat" localSheetId="10">'V525 Revue RFA'!#REF!</definedName>
    <definedName name="Etat" localSheetId="11">'V530 Revue PCA'!#REF!</definedName>
    <definedName name="Etat" localSheetId="12">'V540 Test cut off ventes'!#REF!</definedName>
    <definedName name="Etat" localSheetId="13">'V600 Circularisations'!#REF!</definedName>
    <definedName name="Etat" localSheetId="14">'V610 Procédures alternatives'!#REF!</definedName>
    <definedName name="Etat" localSheetId="15">'V700 Rappro CA gesco-CA compta'!#REF!</definedName>
    <definedName name="Etat" localSheetId="16">'V710 Palmarès clients'!#REF!</definedName>
    <definedName name="Etat" localSheetId="17">'V800 Clients en devise'!#REF!</definedName>
    <definedName name="Etat">'V Synthèse'!$Q$1:$Q$3</definedName>
    <definedName name="NomDossier">"$#REF !.$E$1"</definedName>
    <definedName name="RAS" localSheetId="1">'V100 Rappro BA-BG'!#REF!</definedName>
    <definedName name="RAS" localSheetId="2">'V110 Revue clients créditeurs'!#REF!</definedName>
    <definedName name="RAS" localSheetId="3">'V120 Revue EAR'!#REF!</definedName>
    <definedName name="RAS" localSheetId="4">'V200 DSO clients'!#REF!</definedName>
    <definedName name="RAS" localSheetId="5">'V300 Réciprocité intragroupe'!#REF!</definedName>
    <definedName name="RAS" localSheetId="6">'V400 Réalité clients douteux'!#REF!</definedName>
    <definedName name="RAS" localSheetId="7">'V410 Exhaustivité dépréciation'!#REF!</definedName>
    <definedName name="RAS" localSheetId="8">'V510 Revue FAE'!#REF!</definedName>
    <definedName name="RAS" localSheetId="9">'V520 Revue AAE'!#REF!</definedName>
    <definedName name="RAS" localSheetId="10">'V525 Revue RFA'!#REF!</definedName>
    <definedName name="RAS" localSheetId="11">'V530 Revue PCA'!#REF!</definedName>
    <definedName name="RAS" localSheetId="12">'V540 Test cut off ventes'!#REF!</definedName>
    <definedName name="RAS" localSheetId="13">'V600 Circularisations'!#REF!</definedName>
    <definedName name="RAS" localSheetId="14">'V610 Procédures alternatives'!#REF!</definedName>
    <definedName name="RAS" localSheetId="15">'V700 Rappro CA gesco-CA compta'!#REF!</definedName>
    <definedName name="RAS" localSheetId="16">'V710 Palmarès clients'!#REF!</definedName>
    <definedName name="RAS" localSheetId="17">'V800 Clients en devise'!#REF!</definedName>
    <definedName name="RAS">'V Synthèse'!$Q$4:$Q$6</definedName>
    <definedName name="referenceDossier" localSheetId="1">#REF!</definedName>
    <definedName name="referenceDossier" localSheetId="2">#REF!</definedName>
    <definedName name="referenceDossier" localSheetId="3">#REF!</definedName>
    <definedName name="referenceDossier" localSheetId="4">#REF!</definedName>
    <definedName name="referenceDossier" localSheetId="5">#REF!</definedName>
    <definedName name="referenceDossier" localSheetId="6">#REF!</definedName>
    <definedName name="referenceDossier" localSheetId="7">#REF!</definedName>
    <definedName name="referenceDossier" localSheetId="8">#REF!</definedName>
    <definedName name="referenceDossier" localSheetId="9">#REF!</definedName>
    <definedName name="referenceDossier" localSheetId="10">#REF!</definedName>
    <definedName name="referenceDossier" localSheetId="11">#REF!</definedName>
    <definedName name="referenceDossier" localSheetId="12">#REF!</definedName>
    <definedName name="referenceDossier" localSheetId="13">#REF!</definedName>
    <definedName name="referenceDossier" localSheetId="14">#REF!</definedName>
    <definedName name="referenceDossier" localSheetId="15">#REF!</definedName>
    <definedName name="referenceDossier" localSheetId="16">#REF!</definedName>
    <definedName name="referenceDossier" localSheetId="17">#REF!</definedName>
    <definedName name="referenceDossier">#REF!</definedName>
    <definedName name="sold6037">"$#REF !.$A$85:$I$85"</definedName>
    <definedName name="sold607">"$#REF !.$A$84:$I$84"</definedName>
    <definedName name="sold701">"$#REF !.$A$73:$I$73"</definedName>
    <definedName name="sold706">"$#REF !.$A$74:$I$74"</definedName>
    <definedName name="sold707">"$#REF !.$A$72:$I$72"</definedName>
    <definedName name="sold71">"$#REF !.$A$75:$I$75"</definedName>
    <definedName name="sold781">"$#REF !.$A$151:$I$151"</definedName>
    <definedName name="sold791">"$#REF !.$A$82:$I$82"</definedName>
    <definedName name="soldesCapitaux">"$#REF !.$A$55:$J$66"</definedName>
    <definedName name="start_toc" localSheetId="1">#REF!</definedName>
    <definedName name="start_toc" localSheetId="2">#REF!</definedName>
    <definedName name="start_toc" localSheetId="3">#REF!</definedName>
    <definedName name="start_toc" localSheetId="4">#REF!</definedName>
    <definedName name="start_toc" localSheetId="5">#REF!</definedName>
    <definedName name="start_toc" localSheetId="6">#REF!</definedName>
    <definedName name="start_toc" localSheetId="7">#REF!</definedName>
    <definedName name="start_toc" localSheetId="8">#REF!</definedName>
    <definedName name="start_toc" localSheetId="9">#REF!</definedName>
    <definedName name="start_toc" localSheetId="10">#REF!</definedName>
    <definedName name="start_toc" localSheetId="11">#REF!</definedName>
    <definedName name="start_toc" localSheetId="12">#REF!</definedName>
    <definedName name="start_toc" localSheetId="13">#REF!</definedName>
    <definedName name="start_toc" localSheetId="14">#REF!</definedName>
    <definedName name="start_toc" localSheetId="15">#REF!</definedName>
    <definedName name="start_toc" localSheetId="16">#REF!</definedName>
    <definedName name="start_toc" localSheetId="17">#REF!</definedName>
    <definedName name="start_toc">#REF!</definedName>
    <definedName name="TOTAL1_N">'[1]BILAN PASSIF'!$F$24</definedName>
    <definedName name="TOTAL1_N_1">'[1]BILAN PASSIF'!$H$24</definedName>
    <definedName name="TOTAL2_N">'[1]BILAN PASSIF'!$F$29</definedName>
    <definedName name="TOTAL2_N_1">'[1]BILAN PASSIF'!$H$29</definedName>
    <definedName name="TOTAL3_N">'[1]BILAN PASSIF'!$F$34</definedName>
    <definedName name="TOTAL3_N_1">'[1]BILAN PASSIF'!$H$34</definedName>
    <definedName name="TOTAL4_N">'[1]BILAN PASSIF'!$F$54</definedName>
    <definedName name="TOTAL4_N_1">'[1]BILAN PASSIF'!$H$54</definedName>
    <definedName name="TOTAL5_N">'[1]BILAN PASSIF'!$F$56</definedName>
    <definedName name="TOTAL5_N_1">'[1]BILAN PASSIF'!$H$56</definedName>
    <definedName name="TOTALGEN_N">'[1]BILAN PASSIF'!$F$58</definedName>
    <definedName name="TOTALGEN_N_1">'[1]BILAN PASSIF'!$H$58</definedName>
    <definedName name="uniteMonetaire" localSheetId="1">#REF!</definedName>
    <definedName name="uniteMonetaire" localSheetId="2">#REF!</definedName>
    <definedName name="uniteMonetaire" localSheetId="3">#REF!</definedName>
    <definedName name="uniteMonetaire" localSheetId="4">#REF!</definedName>
    <definedName name="uniteMonetaire" localSheetId="5">#REF!</definedName>
    <definedName name="uniteMonetaire" localSheetId="6">#REF!</definedName>
    <definedName name="uniteMonetaire" localSheetId="7">#REF!</definedName>
    <definedName name="uniteMonetaire" localSheetId="8">#REF!</definedName>
    <definedName name="uniteMonetaire" localSheetId="9">#REF!</definedName>
    <definedName name="uniteMonetaire" localSheetId="10">#REF!</definedName>
    <definedName name="uniteMonetaire" localSheetId="11">#REF!</definedName>
    <definedName name="uniteMonetaire" localSheetId="12">#REF!</definedName>
    <definedName name="uniteMonetaire" localSheetId="13">#REF!</definedName>
    <definedName name="uniteMonetaire" localSheetId="14">#REF!</definedName>
    <definedName name="uniteMonetaire" localSheetId="15">#REF!</definedName>
    <definedName name="uniteMonetaire" localSheetId="16">#REF!</definedName>
    <definedName name="uniteMonetaire" localSheetId="17">#REF!</definedName>
    <definedName name="uniteMonetaire">#REF!</definedName>
    <definedName name="Z_11CE3843_8765_4D4C_AA39_79A83C002DF6_.wvu.PrintArea" localSheetId="0" hidden="1">'V Synthèse'!$A$1:$O$27</definedName>
    <definedName name="Z_11CE3843_8765_4D4C_AA39_79A83C002DF6_.wvu.PrintArea" localSheetId="1" hidden="1">'V100 Rappro BA-BG'!$A$1:$P$10</definedName>
    <definedName name="Z_11CE3843_8765_4D4C_AA39_79A83C002DF6_.wvu.PrintArea" localSheetId="2" hidden="1">'V110 Revue clients créditeurs'!$A$1:$P$10</definedName>
    <definedName name="Z_11CE3843_8765_4D4C_AA39_79A83C002DF6_.wvu.PrintArea" localSheetId="3" hidden="1">'V120 Revue EAR'!$A$1:$P$10</definedName>
    <definedName name="Z_11CE3843_8765_4D4C_AA39_79A83C002DF6_.wvu.PrintArea" localSheetId="4" hidden="1">'V200 DSO clients'!$A$1:$P$10</definedName>
    <definedName name="Z_11CE3843_8765_4D4C_AA39_79A83C002DF6_.wvu.PrintArea" localSheetId="5" hidden="1">'V300 Réciprocité intragroupe'!$A$1:$P$10</definedName>
    <definedName name="Z_11CE3843_8765_4D4C_AA39_79A83C002DF6_.wvu.PrintArea" localSheetId="6" hidden="1">'V400 Réalité clients douteux'!$A$1:$P$10</definedName>
    <definedName name="Z_11CE3843_8765_4D4C_AA39_79A83C002DF6_.wvu.PrintArea" localSheetId="7" hidden="1">'V410 Exhaustivité dépréciation'!$A$1:$P$10</definedName>
    <definedName name="Z_11CE3843_8765_4D4C_AA39_79A83C002DF6_.wvu.PrintArea" localSheetId="8" hidden="1">'V510 Revue FAE'!$A$1:$P$10</definedName>
    <definedName name="Z_11CE3843_8765_4D4C_AA39_79A83C002DF6_.wvu.PrintArea" localSheetId="9" hidden="1">'V520 Revue AAE'!$A$1:$P$10</definedName>
    <definedName name="Z_11CE3843_8765_4D4C_AA39_79A83C002DF6_.wvu.PrintArea" localSheetId="10" hidden="1">'V525 Revue RFA'!$A$1:$P$10</definedName>
    <definedName name="Z_11CE3843_8765_4D4C_AA39_79A83C002DF6_.wvu.PrintArea" localSheetId="11" hidden="1">'V530 Revue PCA'!$A$1:$P$10</definedName>
    <definedName name="Z_11CE3843_8765_4D4C_AA39_79A83C002DF6_.wvu.PrintArea" localSheetId="12" hidden="1">'V540 Test cut off ventes'!$A$1:$P$10</definedName>
    <definedName name="Z_11CE3843_8765_4D4C_AA39_79A83C002DF6_.wvu.PrintArea" localSheetId="13" hidden="1">'V600 Circularisations'!$A$1:$P$10</definedName>
    <definedName name="Z_11CE3843_8765_4D4C_AA39_79A83C002DF6_.wvu.PrintArea" localSheetId="14" hidden="1">'V610 Procédures alternatives'!$A$1:$P$10</definedName>
    <definedName name="Z_11CE3843_8765_4D4C_AA39_79A83C002DF6_.wvu.PrintArea" localSheetId="15" hidden="1">'V700 Rappro CA gesco-CA compta'!$A$1:$P$10</definedName>
    <definedName name="Z_11CE3843_8765_4D4C_AA39_79A83C002DF6_.wvu.PrintArea" localSheetId="16" hidden="1">'V710 Palmarès clients'!$A$1:$P$10</definedName>
    <definedName name="Z_11CE3843_8765_4D4C_AA39_79A83C002DF6_.wvu.PrintArea" localSheetId="17" hidden="1">'V800 Clients en devise'!$A$1:$P$10</definedName>
    <definedName name="Z_3BBE5D10_E029_4BF5_BC04_29D3FAA5A0EB_.wvu.PrintArea" localSheetId="0" hidden="1">'V Synthèse'!$A$1:$O$27</definedName>
    <definedName name="Z_3BBE5D10_E029_4BF5_BC04_29D3FAA5A0EB_.wvu.PrintArea" localSheetId="1" hidden="1">'V100 Rappro BA-BG'!$A$1:$P$10</definedName>
    <definedName name="Z_3BBE5D10_E029_4BF5_BC04_29D3FAA5A0EB_.wvu.PrintArea" localSheetId="2" hidden="1">'V110 Revue clients créditeurs'!$A$1:$P$10</definedName>
    <definedName name="Z_3BBE5D10_E029_4BF5_BC04_29D3FAA5A0EB_.wvu.PrintArea" localSheetId="3" hidden="1">'V120 Revue EAR'!$A$1:$P$10</definedName>
    <definedName name="Z_3BBE5D10_E029_4BF5_BC04_29D3FAA5A0EB_.wvu.PrintArea" localSheetId="4" hidden="1">'V200 DSO clients'!$A$1:$P$10</definedName>
    <definedName name="Z_3BBE5D10_E029_4BF5_BC04_29D3FAA5A0EB_.wvu.PrintArea" localSheetId="5" hidden="1">'V300 Réciprocité intragroupe'!$A$1:$P$10</definedName>
    <definedName name="Z_3BBE5D10_E029_4BF5_BC04_29D3FAA5A0EB_.wvu.PrintArea" localSheetId="6" hidden="1">'V400 Réalité clients douteux'!$A$1:$P$10</definedName>
    <definedName name="Z_3BBE5D10_E029_4BF5_BC04_29D3FAA5A0EB_.wvu.PrintArea" localSheetId="7" hidden="1">'V410 Exhaustivité dépréciation'!$A$1:$P$10</definedName>
    <definedName name="Z_3BBE5D10_E029_4BF5_BC04_29D3FAA5A0EB_.wvu.PrintArea" localSheetId="8" hidden="1">'V510 Revue FAE'!$A$1:$P$10</definedName>
    <definedName name="Z_3BBE5D10_E029_4BF5_BC04_29D3FAA5A0EB_.wvu.PrintArea" localSheetId="9" hidden="1">'V520 Revue AAE'!$A$1:$P$10</definedName>
    <definedName name="Z_3BBE5D10_E029_4BF5_BC04_29D3FAA5A0EB_.wvu.PrintArea" localSheetId="10" hidden="1">'V525 Revue RFA'!$A$1:$P$10</definedName>
    <definedName name="Z_3BBE5D10_E029_4BF5_BC04_29D3FAA5A0EB_.wvu.PrintArea" localSheetId="11" hidden="1">'V530 Revue PCA'!$A$1:$P$10</definedName>
    <definedName name="Z_3BBE5D10_E029_4BF5_BC04_29D3FAA5A0EB_.wvu.PrintArea" localSheetId="12" hidden="1">'V540 Test cut off ventes'!$A$1:$P$10</definedName>
    <definedName name="Z_3BBE5D10_E029_4BF5_BC04_29D3FAA5A0EB_.wvu.PrintArea" localSheetId="13" hidden="1">'V600 Circularisations'!$A$1:$P$10</definedName>
    <definedName name="Z_3BBE5D10_E029_4BF5_BC04_29D3FAA5A0EB_.wvu.PrintArea" localSheetId="14" hidden="1">'V610 Procédures alternatives'!$A$1:$P$10</definedName>
    <definedName name="Z_3BBE5D10_E029_4BF5_BC04_29D3FAA5A0EB_.wvu.PrintArea" localSheetId="15" hidden="1">'V700 Rappro CA gesco-CA compta'!$A$1:$P$10</definedName>
    <definedName name="Z_3BBE5D10_E029_4BF5_BC04_29D3FAA5A0EB_.wvu.PrintArea" localSheetId="16" hidden="1">'V710 Palmarès clients'!$A$1:$P$10</definedName>
    <definedName name="Z_3BBE5D10_E029_4BF5_BC04_29D3FAA5A0EB_.wvu.PrintArea" localSheetId="17" hidden="1">'V800 Clients en devise'!$A$1:$P$10</definedName>
    <definedName name="_xlnm.Print_Area" localSheetId="0">'V Synthèse'!$A$1:$O$43</definedName>
    <definedName name="_xlnm.Print_Area" localSheetId="1">'V100 Rappro BA-BG'!$A$1:$P$14</definedName>
    <definedName name="_xlnm.Print_Area" localSheetId="2">'V110 Revue clients créditeurs'!$A$1:$P$14</definedName>
    <definedName name="_xlnm.Print_Area" localSheetId="3">'V120 Revue EAR'!$A$1:$P$14</definedName>
    <definedName name="_xlnm.Print_Area" localSheetId="4">'V200 DSO clients'!$A$1:$P$14</definedName>
    <definedName name="_xlnm.Print_Area" localSheetId="5">'V300 Réciprocité intragroupe'!$A$1:$P$14</definedName>
    <definedName name="_xlnm.Print_Area" localSheetId="6">'V400 Réalité clients douteux'!$A$1:$P$74</definedName>
    <definedName name="_xlnm.Print_Area" localSheetId="7">'V410 Exhaustivité dépréciation'!$A$1:$P$14</definedName>
    <definedName name="_xlnm.Print_Area" localSheetId="8">'V510 Revue FAE'!$A$1:$P$14</definedName>
    <definedName name="_xlnm.Print_Area" localSheetId="9">'V520 Revue AAE'!$A$1:$P$14</definedName>
    <definedName name="_xlnm.Print_Area" localSheetId="10">'V525 Revue RFA'!$A$1:$P$14</definedName>
    <definedName name="_xlnm.Print_Area" localSheetId="11">'V530 Revue PCA'!$A$1:$P$14</definedName>
    <definedName name="_xlnm.Print_Area" localSheetId="12">'V540 Test cut off ventes'!$A$1:$P$54</definedName>
    <definedName name="_xlnm.Print_Area" localSheetId="13">'V600 Circularisations'!$A$1:$P$14</definedName>
    <definedName name="_xlnm.Print_Area" localSheetId="14">'V610 Procédures alternatives'!$A$1:$P$14</definedName>
    <definedName name="_xlnm.Print_Area" localSheetId="15">'V700 Rappro CA gesco-CA compta'!$A$1:$P$14</definedName>
    <definedName name="_xlnm.Print_Area" localSheetId="16">'V710 Palmarès clients'!$A$1:$P$14</definedName>
    <definedName name="_xlnm.Print_Area" localSheetId="17">'V800 Clients en devise'!$A$1:$P$14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20" l="1"/>
  <c r="O9" i="35"/>
  <c r="O9" i="32"/>
  <c r="O9" i="31"/>
  <c r="H19" i="31"/>
  <c r="H20" i="31"/>
  <c r="H21" i="31"/>
  <c r="H22" i="31"/>
  <c r="H23" i="31"/>
  <c r="H24" i="31"/>
  <c r="H25" i="31"/>
  <c r="H18" i="31"/>
  <c r="G19" i="31"/>
  <c r="G20" i="31"/>
  <c r="G21" i="31"/>
  <c r="G22" i="31"/>
  <c r="G23" i="31"/>
  <c r="G24" i="31"/>
  <c r="G25" i="31"/>
  <c r="G18" i="31"/>
  <c r="O9" i="27"/>
  <c r="O9" i="30"/>
  <c r="O9" i="26"/>
  <c r="O9" i="33"/>
  <c r="O9" i="25"/>
  <c r="O9" i="24"/>
  <c r="O9" i="18"/>
  <c r="O9" i="17"/>
  <c r="O9" i="16"/>
  <c r="O9" i="15"/>
  <c r="O9" i="14"/>
  <c r="O9" i="34"/>
  <c r="O9" i="11"/>
  <c r="G26" i="31" l="1"/>
  <c r="F35" i="34"/>
  <c r="F36" i="34"/>
  <c r="D38" i="34"/>
  <c r="E38" i="34"/>
  <c r="C38" i="34"/>
  <c r="F38" i="34" s="1"/>
  <c r="F37" i="34"/>
  <c r="F22" i="11"/>
  <c r="F18" i="11"/>
  <c r="C26" i="35" l="1"/>
  <c r="K37" i="30" l="1"/>
  <c r="K41" i="30" s="1"/>
  <c r="F37" i="30"/>
  <c r="F41" i="30" s="1"/>
  <c r="M35" i="30"/>
  <c r="O35" i="30" s="1"/>
  <c r="H35" i="30"/>
  <c r="J35" i="30" s="1"/>
  <c r="M34" i="30"/>
  <c r="O34" i="30" s="1"/>
  <c r="H34" i="30"/>
  <c r="J34" i="30" s="1"/>
  <c r="M33" i="30"/>
  <c r="O33" i="30" s="1"/>
  <c r="H33" i="30"/>
  <c r="J33" i="30" s="1"/>
  <c r="M32" i="30"/>
  <c r="O32" i="30" s="1"/>
  <c r="H32" i="30"/>
  <c r="J32" i="30" s="1"/>
  <c r="M31" i="30"/>
  <c r="O31" i="30" s="1"/>
  <c r="H31" i="30"/>
  <c r="J31" i="30" s="1"/>
  <c r="M30" i="30"/>
  <c r="O30" i="30" s="1"/>
  <c r="H30" i="30"/>
  <c r="J30" i="30" s="1"/>
  <c r="M29" i="30"/>
  <c r="O29" i="30" s="1"/>
  <c r="H29" i="30"/>
  <c r="J29" i="30" s="1"/>
  <c r="M28" i="30"/>
  <c r="O28" i="30" s="1"/>
  <c r="H28" i="30"/>
  <c r="J28" i="30" s="1"/>
  <c r="M27" i="30"/>
  <c r="O27" i="30" s="1"/>
  <c r="H27" i="30"/>
  <c r="J27" i="30" s="1"/>
  <c r="C24" i="26" l="1"/>
  <c r="B24" i="26"/>
  <c r="D23" i="26"/>
  <c r="E23" i="26" s="1"/>
  <c r="D22" i="26"/>
  <c r="E22" i="26" s="1"/>
  <c r="D21" i="26"/>
  <c r="E21" i="26" s="1"/>
  <c r="D20" i="26"/>
  <c r="C24" i="25"/>
  <c r="B24" i="25"/>
  <c r="D23" i="25"/>
  <c r="E23" i="25" s="1"/>
  <c r="D22" i="25"/>
  <c r="E22" i="25" s="1"/>
  <c r="D21" i="25"/>
  <c r="E21" i="25" s="1"/>
  <c r="D20" i="25"/>
  <c r="D24" i="25" l="1"/>
  <c r="E24" i="25" s="1"/>
  <c r="D24" i="26"/>
  <c r="E24" i="26" s="1"/>
  <c r="E20" i="26"/>
  <c r="E20" i="25"/>
  <c r="E43" i="15"/>
  <c r="E42" i="15"/>
  <c r="E41" i="15"/>
  <c r="F43" i="20" l="1"/>
  <c r="F40" i="20"/>
  <c r="F39" i="20"/>
  <c r="G39" i="20" s="1"/>
  <c r="E25" i="35"/>
  <c r="F26" i="31"/>
  <c r="D51" i="27"/>
  <c r="E30" i="33"/>
  <c r="E32" i="33"/>
  <c r="E31" i="33"/>
  <c r="E39" i="18"/>
  <c r="E40" i="18"/>
  <c r="H71" i="17"/>
  <c r="H73" i="17" s="1"/>
  <c r="F71" i="17"/>
  <c r="D28" i="34"/>
  <c r="F24" i="35" l="1"/>
  <c r="F23" i="35"/>
  <c r="F22" i="35"/>
  <c r="F21" i="35"/>
  <c r="F20" i="35"/>
  <c r="D24" i="35"/>
  <c r="D23" i="35"/>
  <c r="D22" i="35"/>
  <c r="D21" i="35"/>
  <c r="D20" i="35"/>
  <c r="D31" i="27"/>
  <c r="D33" i="27" s="1"/>
  <c r="E41" i="18"/>
  <c r="C24" i="18"/>
  <c r="D25" i="18" s="1"/>
  <c r="C20" i="18"/>
  <c r="D21" i="18" s="1"/>
  <c r="F27" i="34"/>
  <c r="F26" i="34"/>
  <c r="B33" i="14"/>
  <c r="C18" i="14"/>
  <c r="C30" i="14" s="1"/>
  <c r="B34" i="14" l="1"/>
  <c r="D7" i="14"/>
  <c r="B7" i="14"/>
  <c r="D6" i="14"/>
  <c r="B6" i="14"/>
  <c r="D7" i="34"/>
  <c r="B7" i="34"/>
  <c r="D6" i="34"/>
  <c r="B6" i="34"/>
  <c r="D7" i="15"/>
  <c r="B7" i="15"/>
  <c r="D6" i="15"/>
  <c r="B6" i="15"/>
  <c r="D7" i="16"/>
  <c r="B7" i="16"/>
  <c r="D6" i="16"/>
  <c r="B6" i="16"/>
  <c r="D7" i="17"/>
  <c r="B7" i="17"/>
  <c r="D6" i="17"/>
  <c r="B6" i="17"/>
  <c r="D7" i="18"/>
  <c r="B7" i="18"/>
  <c r="D6" i="18"/>
  <c r="B6" i="18"/>
  <c r="D7" i="20"/>
  <c r="B7" i="20"/>
  <c r="D6" i="20"/>
  <c r="B6" i="20"/>
  <c r="D7" i="24"/>
  <c r="B7" i="24"/>
  <c r="D6" i="24"/>
  <c r="B6" i="24"/>
  <c r="D7" i="25"/>
  <c r="B7" i="25"/>
  <c r="D6" i="25"/>
  <c r="B6" i="25"/>
  <c r="D7" i="33"/>
  <c r="B7" i="33"/>
  <c r="D6" i="33"/>
  <c r="B6" i="33"/>
  <c r="D7" i="26"/>
  <c r="B7" i="26"/>
  <c r="D6" i="26"/>
  <c r="B6" i="26"/>
  <c r="D7" i="27"/>
  <c r="B7" i="27"/>
  <c r="D6" i="27"/>
  <c r="B6" i="27"/>
  <c r="D7" i="30"/>
  <c r="B7" i="30"/>
  <c r="D6" i="30"/>
  <c r="B6" i="30"/>
  <c r="D7" i="31"/>
  <c r="B7" i="31"/>
  <c r="D6" i="31"/>
  <c r="B6" i="31"/>
  <c r="D7" i="32"/>
  <c r="B7" i="32"/>
  <c r="D6" i="32"/>
  <c r="B6" i="32"/>
  <c r="D7" i="35"/>
  <c r="B7" i="35"/>
  <c r="D6" i="35"/>
  <c r="B6" i="35"/>
  <c r="D7" i="11"/>
  <c r="B7" i="11"/>
  <c r="D6" i="11"/>
  <c r="B6" i="11"/>
  <c r="D1" i="35" l="1"/>
  <c r="D1" i="32"/>
  <c r="D1" i="31"/>
  <c r="D1" i="30"/>
  <c r="D1" i="27"/>
  <c r="D1" i="26"/>
  <c r="D1" i="33"/>
  <c r="D1" i="25"/>
  <c r="D1" i="24"/>
  <c r="D1" i="20"/>
  <c r="D1" i="18"/>
  <c r="D1" i="14"/>
  <c r="D1" i="34"/>
  <c r="D1" i="15"/>
  <c r="D1" i="16"/>
  <c r="D1" i="17"/>
  <c r="D1" i="11"/>
  <c r="M7" i="14"/>
  <c r="M7" i="34"/>
  <c r="M7" i="15"/>
  <c r="M7" i="16"/>
  <c r="M7" i="17"/>
  <c r="M7" i="18"/>
  <c r="M7" i="20"/>
  <c r="M7" i="24"/>
  <c r="M7" i="25"/>
  <c r="M7" i="33"/>
  <c r="M7" i="26"/>
  <c r="M7" i="27"/>
  <c r="M7" i="30"/>
  <c r="M7" i="31"/>
  <c r="M7" i="32"/>
  <c r="M7" i="35"/>
  <c r="M7" i="11"/>
  <c r="E37" i="33" l="1"/>
  <c r="F37" i="33" s="1"/>
  <c r="F32" i="33"/>
  <c r="E33" i="33"/>
  <c r="E34" i="33"/>
  <c r="C24" i="24"/>
  <c r="B24" i="24"/>
  <c r="D23" i="24"/>
  <c r="E23" i="24" s="1"/>
  <c r="D22" i="24"/>
  <c r="E22" i="24" s="1"/>
  <c r="D21" i="24"/>
  <c r="E21" i="24" s="1"/>
  <c r="D20" i="24"/>
  <c r="E20" i="24" s="1"/>
  <c r="G46" i="25"/>
  <c r="G45" i="25"/>
  <c r="G44" i="25"/>
  <c r="G43" i="25"/>
  <c r="G47" i="25" l="1"/>
  <c r="G49" i="25" s="1"/>
  <c r="D24" i="24"/>
  <c r="E24" i="24" s="1"/>
  <c r="F34" i="33"/>
  <c r="F33" i="33"/>
  <c r="F31" i="33"/>
  <c r="F30" i="33"/>
  <c r="G24" i="35"/>
  <c r="H24" i="35" s="1"/>
  <c r="G23" i="35"/>
  <c r="H23" i="35" s="1"/>
  <c r="G22" i="35"/>
  <c r="H22" i="35" s="1"/>
  <c r="G21" i="35"/>
  <c r="H21" i="35" s="1"/>
  <c r="I40" i="32"/>
  <c r="I48" i="32"/>
  <c r="D53" i="27" l="1"/>
  <c r="D65" i="33"/>
  <c r="D64" i="33"/>
  <c r="D63" i="33"/>
  <c r="D52" i="33"/>
  <c r="F52" i="33" s="1"/>
  <c r="D51" i="33"/>
  <c r="F51" i="33" s="1"/>
  <c r="D50" i="33"/>
  <c r="F50" i="33" s="1"/>
  <c r="D49" i="33"/>
  <c r="D55" i="33" s="1"/>
  <c r="D35" i="33"/>
  <c r="C35" i="33"/>
  <c r="C39" i="33" s="1"/>
  <c r="E35" i="33" l="1"/>
  <c r="F35" i="33" s="1"/>
  <c r="F25" i="18" l="1"/>
  <c r="G25" i="18"/>
  <c r="H25" i="18"/>
  <c r="I25" i="18"/>
  <c r="J25" i="18"/>
  <c r="K25" i="18"/>
  <c r="E25" i="18"/>
  <c r="F21" i="18"/>
  <c r="G21" i="18"/>
  <c r="H21" i="18"/>
  <c r="I21" i="18"/>
  <c r="J21" i="18"/>
  <c r="K21" i="18"/>
  <c r="E21" i="18"/>
  <c r="E71" i="17"/>
  <c r="H66" i="17"/>
  <c r="H67" i="17"/>
  <c r="H68" i="17"/>
  <c r="H69" i="17"/>
  <c r="H65" i="17"/>
  <c r="J19" i="16"/>
  <c r="B42" i="15" l="1"/>
  <c r="B43" i="15"/>
  <c r="B41" i="15"/>
  <c r="C32" i="14" l="1"/>
  <c r="E24" i="11"/>
  <c r="E26" i="11" s="1"/>
  <c r="D24" i="11"/>
  <c r="D26" i="11" s="1"/>
  <c r="F24" i="11" l="1"/>
  <c r="F26" i="11" s="1"/>
  <c r="C27" i="14"/>
  <c r="C31" i="14"/>
  <c r="C25" i="14"/>
  <c r="C29" i="14"/>
  <c r="C26" i="14"/>
  <c r="C24" i="14"/>
  <c r="C28" i="14"/>
  <c r="J9" i="14"/>
  <c r="D9" i="14"/>
  <c r="J9" i="34"/>
  <c r="D9" i="34"/>
  <c r="J9" i="15"/>
  <c r="D9" i="15"/>
  <c r="J9" i="16"/>
  <c r="D9" i="16"/>
  <c r="J9" i="17"/>
  <c r="D9" i="17"/>
  <c r="J9" i="18"/>
  <c r="D9" i="18"/>
  <c r="J9" i="20"/>
  <c r="D9" i="20"/>
  <c r="J9" i="24"/>
  <c r="D9" i="24"/>
  <c r="J9" i="25"/>
  <c r="D9" i="25"/>
  <c r="J9" i="33"/>
  <c r="D9" i="33"/>
  <c r="J9" i="26"/>
  <c r="D9" i="26"/>
  <c r="J9" i="27"/>
  <c r="D9" i="27"/>
  <c r="J9" i="30"/>
  <c r="D9" i="30"/>
  <c r="J9" i="31"/>
  <c r="D9" i="31"/>
  <c r="J9" i="32"/>
  <c r="D9" i="32"/>
  <c r="J9" i="35"/>
  <c r="D9" i="35"/>
  <c r="J9" i="11"/>
  <c r="D9" i="11"/>
  <c r="F25" i="35" l="1"/>
  <c r="C25" i="35"/>
  <c r="D25" i="35" s="1"/>
  <c r="G20" i="35"/>
  <c r="H20" i="35" s="1"/>
  <c r="I30" i="32"/>
  <c r="I51" i="32" s="1"/>
  <c r="J51" i="32" s="1"/>
  <c r="E26" i="31"/>
  <c r="E28" i="31" s="1"/>
  <c r="E28" i="34"/>
  <c r="C28" i="34"/>
  <c r="D62" i="33"/>
  <c r="F49" i="33"/>
  <c r="D39" i="33"/>
  <c r="F54" i="20"/>
  <c r="H54" i="20" s="1"/>
  <c r="F53" i="20"/>
  <c r="G53" i="20" s="1"/>
  <c r="F52" i="20"/>
  <c r="H52" i="20" s="1"/>
  <c r="F51" i="20"/>
  <c r="H51" i="20" s="1"/>
  <c r="F50" i="20"/>
  <c r="H50" i="20" s="1"/>
  <c r="F49" i="20"/>
  <c r="G49" i="20" s="1"/>
  <c r="F48" i="20"/>
  <c r="H48" i="20" s="1"/>
  <c r="F47" i="20"/>
  <c r="G47" i="20" s="1"/>
  <c r="F46" i="20"/>
  <c r="H46" i="20" s="1"/>
  <c r="F45" i="20"/>
  <c r="G45" i="20" s="1"/>
  <c r="F44" i="20"/>
  <c r="H44" i="20" s="1"/>
  <c r="H43" i="20"/>
  <c r="F42" i="20"/>
  <c r="H42" i="20" s="1"/>
  <c r="F41" i="20"/>
  <c r="G41" i="20" s="1"/>
  <c r="H40" i="20"/>
  <c r="I32" i="20"/>
  <c r="J32" i="20" s="1"/>
  <c r="I31" i="20"/>
  <c r="J31" i="20" s="1"/>
  <c r="I30" i="20"/>
  <c r="J30" i="20" s="1"/>
  <c r="I29" i="20"/>
  <c r="J29" i="20" s="1"/>
  <c r="I28" i="20"/>
  <c r="J28" i="20" s="1"/>
  <c r="I27" i="20"/>
  <c r="J27" i="20" s="1"/>
  <c r="I26" i="20"/>
  <c r="J26" i="20" s="1"/>
  <c r="I25" i="20"/>
  <c r="J25" i="20" s="1"/>
  <c r="I24" i="20"/>
  <c r="J24" i="20" s="1"/>
  <c r="I23" i="20"/>
  <c r="J23" i="20" s="1"/>
  <c r="F73" i="17"/>
  <c r="E73" i="17"/>
  <c r="G56" i="17"/>
  <c r="G55" i="17"/>
  <c r="G54" i="17"/>
  <c r="G53" i="17"/>
  <c r="G52" i="17"/>
  <c r="I38" i="17"/>
  <c r="H35" i="17"/>
  <c r="G35" i="17"/>
  <c r="E35" i="17"/>
  <c r="E43" i="17" s="1"/>
  <c r="I33" i="17"/>
  <c r="J22" i="16"/>
  <c r="J21" i="16"/>
  <c r="J20" i="16"/>
  <c r="E39" i="33" l="1"/>
  <c r="F28" i="34"/>
  <c r="H49" i="20"/>
  <c r="G52" i="20"/>
  <c r="G58" i="17"/>
  <c r="G60" i="17" s="1"/>
  <c r="G25" i="35"/>
  <c r="H25" i="35" s="1"/>
  <c r="H45" i="20"/>
  <c r="G48" i="20"/>
  <c r="H41" i="20"/>
  <c r="G44" i="20"/>
  <c r="G40" i="20"/>
  <c r="H53" i="20"/>
  <c r="G43" i="20"/>
  <c r="G51" i="20"/>
  <c r="H39" i="20"/>
  <c r="G42" i="20"/>
  <c r="G46" i="20"/>
  <c r="H47" i="20"/>
  <c r="G50" i="20"/>
  <c r="G54" i="20"/>
  <c r="I35" i="17"/>
  <c r="I43" i="17" s="1"/>
  <c r="F45" i="15"/>
  <c r="F44" i="15"/>
  <c r="F39" i="15"/>
  <c r="E39" i="15"/>
  <c r="F36" i="15"/>
  <c r="E36" i="15"/>
  <c r="F28" i="15"/>
  <c r="E28" i="15"/>
  <c r="F23" i="15"/>
  <c r="E23" i="15"/>
  <c r="F41" i="15" l="1"/>
  <c r="I41" i="15"/>
  <c r="E25" i="15"/>
  <c r="J41" i="15"/>
  <c r="C23" i="14"/>
  <c r="I42" i="15" l="1"/>
  <c r="F42" i="15"/>
  <c r="J42" i="15"/>
  <c r="J43" i="15" l="1"/>
  <c r="F43" i="15"/>
  <c r="F48" i="15" s="1"/>
  <c r="F49" i="15" s="1"/>
  <c r="I43" i="15"/>
  <c r="E48" i="15"/>
  <c r="E49" i="15" l="1"/>
  <c r="G49" i="15" s="1"/>
  <c r="J48" i="15" s="1"/>
  <c r="J50" i="15" s="1"/>
  <c r="G48" i="15"/>
  <c r="J49" i="15" s="1"/>
</calcChain>
</file>

<file path=xl/sharedStrings.xml><?xml version="1.0" encoding="utf-8"?>
<sst xmlns="http://schemas.openxmlformats.org/spreadsheetml/2006/main" count="747" uniqueCount="368">
  <si>
    <t>OUI</t>
  </si>
  <si>
    <t>NON</t>
  </si>
  <si>
    <t>Seuil d'investigation</t>
  </si>
  <si>
    <t>Fait par :</t>
  </si>
  <si>
    <t>Le :</t>
  </si>
  <si>
    <t>Xref</t>
  </si>
  <si>
    <t>XRef</t>
  </si>
  <si>
    <t>Date Clôture</t>
  </si>
  <si>
    <t>Synthèse du cycle</t>
  </si>
  <si>
    <t>Risque d'anomalies significatives</t>
  </si>
  <si>
    <t>Niveau de diligences</t>
  </si>
  <si>
    <t>Elevé</t>
  </si>
  <si>
    <t>PE + VP</t>
  </si>
  <si>
    <t>Contrôles</t>
  </si>
  <si>
    <t>Faible</t>
  </si>
  <si>
    <t>Modéré</t>
  </si>
  <si>
    <t>PB</t>
  </si>
  <si>
    <t>PE</t>
  </si>
  <si>
    <t>#NomClient</t>
  </si>
  <si>
    <t>CONCLUSION</t>
  </si>
  <si>
    <t>#DateClôture</t>
  </si>
  <si>
    <t>Conclusion sur le contrôle</t>
  </si>
  <si>
    <t>CLIENTS - VENTES</t>
  </si>
  <si>
    <t>V</t>
  </si>
  <si>
    <t>V100</t>
  </si>
  <si>
    <t>V110</t>
  </si>
  <si>
    <t>V200</t>
  </si>
  <si>
    <t>V300</t>
  </si>
  <si>
    <t>V310</t>
  </si>
  <si>
    <t>V320</t>
  </si>
  <si>
    <t>V400</t>
  </si>
  <si>
    <t>V600</t>
  </si>
  <si>
    <t>Rapprochement BA-BG</t>
  </si>
  <si>
    <t>Revue des clients créditeurs</t>
  </si>
  <si>
    <t>DSO Clients</t>
  </si>
  <si>
    <t>Réalité des clients douteux</t>
  </si>
  <si>
    <t>Exhaustivité de la dépréciation</t>
  </si>
  <si>
    <t>Clients en devise</t>
  </si>
  <si>
    <t>Réciprocité intragroupe</t>
  </si>
  <si>
    <t>Revue des FAE</t>
  </si>
  <si>
    <t>Revue des AAE</t>
  </si>
  <si>
    <t>Test de cut-off ventes</t>
  </si>
  <si>
    <t>Circularisations</t>
  </si>
  <si>
    <t>Rapprochement CA gesco-CA comptable</t>
  </si>
  <si>
    <t>Revue des PCA</t>
  </si>
  <si>
    <t>V410</t>
  </si>
  <si>
    <t>V610</t>
  </si>
  <si>
    <t>V700</t>
  </si>
  <si>
    <t>V800</t>
  </si>
  <si>
    <t>V710</t>
  </si>
  <si>
    <t>Procédures alternatives</t>
  </si>
  <si>
    <t>Commentaire</t>
  </si>
  <si>
    <t>BALANCE AUXILIAIRE</t>
  </si>
  <si>
    <t>Solde débiteur</t>
  </si>
  <si>
    <t>Solde créditeur</t>
  </si>
  <si>
    <t>Solde Net</t>
  </si>
  <si>
    <t>411000 - Clients</t>
  </si>
  <si>
    <t>X-Ref</t>
  </si>
  <si>
    <t>BALANCE GENERALE</t>
  </si>
  <si>
    <t>411000 Clients</t>
  </si>
  <si>
    <t>Total</t>
  </si>
  <si>
    <t>Ecart</t>
  </si>
  <si>
    <r>
      <t>Objectif</t>
    </r>
    <r>
      <rPr>
        <sz val="11"/>
        <rFont val="Calibri"/>
        <family val="2"/>
        <scheme val="minor"/>
      </rPr>
      <t xml:space="preserve">
Présentation des clients
</t>
    </r>
    <r>
      <rPr>
        <b/>
        <u/>
        <sz val="11"/>
        <rFont val="Calibri"/>
        <family val="2"/>
        <scheme val="minor"/>
      </rPr>
      <t>Travail effectué</t>
    </r>
    <r>
      <rPr>
        <sz val="11"/>
        <rFont val="Calibri"/>
        <family val="2"/>
        <scheme val="minor"/>
      </rPr>
      <t xml:space="preserve">
S’assurer qu’il n’existe pas de clients créditeurs significatifs compensés avec les clients débiteurs.
Le cas échéant proposer le reclassement. 
Comprendre pourquoi la société comptabilise des clients créditeurs et vérifier que ces soldes ne sont pas constitutifs d'une anomalie ou d'un litige.</t>
    </r>
  </si>
  <si>
    <t>Créditeurs</t>
  </si>
  <si>
    <t>Balance auxiliaire Clients</t>
  </si>
  <si>
    <t>Principaux clients créditeurs</t>
  </si>
  <si>
    <t>Solde</t>
  </si>
  <si>
    <t>% des créditeurs</t>
  </si>
  <si>
    <t>Analyse</t>
  </si>
  <si>
    <t>Total clients</t>
  </si>
  <si>
    <t>N</t>
  </si>
  <si>
    <t>N-1</t>
  </si>
  <si>
    <t>TOTAL</t>
  </si>
  <si>
    <t>Variation</t>
  </si>
  <si>
    <t>Journaux de vente mensuels TTC</t>
  </si>
  <si>
    <t>Nombre</t>
  </si>
  <si>
    <t>de jours</t>
  </si>
  <si>
    <t>RESTE N</t>
  </si>
  <si>
    <t>Nombre de jours</t>
  </si>
  <si>
    <t>Var</t>
  </si>
  <si>
    <t>Délai FIFO</t>
  </si>
  <si>
    <t>Effet activité</t>
  </si>
  <si>
    <t>CA/JOUR</t>
  </si>
  <si>
    <t>Effet délai</t>
  </si>
  <si>
    <t>Total effets</t>
  </si>
  <si>
    <r>
      <t>Objectif</t>
    </r>
    <r>
      <rPr>
        <sz val="11"/>
        <rFont val="Calibri"/>
        <family val="2"/>
        <scheme val="minor"/>
      </rPr>
      <t xml:space="preserve">
Analyse de l'évolution de l'encours client
</t>
    </r>
    <r>
      <rPr>
        <b/>
        <u/>
        <sz val="11"/>
        <rFont val="Calibri"/>
        <family val="2"/>
        <scheme val="minor"/>
      </rPr>
      <t>Travail effectué</t>
    </r>
    <r>
      <rPr>
        <sz val="11"/>
        <rFont val="Calibri"/>
        <family val="2"/>
        <scheme val="minor"/>
      </rPr>
      <t xml:space="preserve">
A partir des derniers journaux de ventes de l'exercice et du solde client à la clôture, calculer le délai de règlement des clients, à la clôture de l'exercice. Pour rappel, la règle LME s'applique aux clients 
externes français et étrangers et aux clients intragroupe. Il n'est donc pas nécessaire de procéder à un retraitement de ces créances lors du calcul du délai. 
Revue analytique N / N-1
Comparaison avec les habitudes de paiement de la société (délai théorique)
Comparaison avec les obligations de la LME</t>
    </r>
  </si>
  <si>
    <r>
      <t>Objectif</t>
    </r>
    <r>
      <rPr>
        <sz val="11"/>
        <rFont val="Calibri"/>
        <family val="2"/>
        <scheme val="minor"/>
      </rPr>
      <t xml:space="preserve">
Contrôler la réalité des soldes clients interco
</t>
    </r>
    <r>
      <rPr>
        <b/>
        <u/>
        <sz val="11"/>
        <rFont val="Calibri"/>
        <family val="2"/>
        <scheme val="minor"/>
      </rPr>
      <t>Travail effectué</t>
    </r>
    <r>
      <rPr>
        <sz val="11"/>
        <rFont val="Calibri"/>
        <family val="2"/>
        <scheme val="minor"/>
      </rPr>
      <t xml:space="preserve">
A partir des soldes interco, contrôler la réciprocité des encours avec ceux de la balance clients de ces mêmes sociétés.</t>
    </r>
  </si>
  <si>
    <t>Solde chez X</t>
  </si>
  <si>
    <t>Solde chez intercos</t>
  </si>
  <si>
    <t xml:space="preserve">Ecart </t>
  </si>
  <si>
    <t>débit</t>
  </si>
  <si>
    <t>X-Ref BA</t>
  </si>
  <si>
    <t>crédit</t>
  </si>
  <si>
    <t xml:space="preserve">débit </t>
  </si>
  <si>
    <t>A</t>
  </si>
  <si>
    <t>B</t>
  </si>
  <si>
    <t>C</t>
  </si>
  <si>
    <t>D</t>
  </si>
  <si>
    <r>
      <t>Objectif</t>
    </r>
    <r>
      <rPr>
        <sz val="11"/>
        <rFont val="Calibri"/>
        <family val="2"/>
        <scheme val="minor"/>
      </rPr>
      <t xml:space="preserve">
Réalité et évaluation et présentation des créances douteuses
Evaluation des dépréciations de créances clients
</t>
    </r>
    <r>
      <rPr>
        <b/>
        <u/>
        <sz val="11"/>
        <rFont val="Calibri"/>
        <family val="2"/>
        <scheme val="minor"/>
      </rPr>
      <t>Travail effectué</t>
    </r>
    <r>
      <rPr>
        <sz val="11"/>
        <rFont val="Calibri"/>
        <family val="2"/>
        <scheme val="minor"/>
      </rPr>
      <t xml:space="preserve">
1/  - Rappel de la méthode de comptabilisation des clients douteux. 
2/  - Récupérer le tableau de variation des clients douteux et de la provision pour dépréciation des créances clients (auprès de l'EC ou du sevice comptable).
 - Contrôle du tableau de variation des clients douteux et de la provision pour dépréciation des créances clients et cadrage avec la comptabilité.
(cadrer notamment les comptes de provisions HT au bilan (#491), ainsi que les comptes de dotations (#781) et reprises (#681) au P&amp;L, les passages en perte (#654).
- S'assurer que la provision pour dépréciation des créances clients a été constatée pour le montant HT des créances concernées;
3/  - Contrôle du taux moyen de provision des douteux.
4/  - Tester les dotations et reprises de l'exercice supérieures au seuil. Pour les reprises, s'assurer de l'encaissement de la créance,  
ou au contraire que le passage en pertes pour créances irrécouvrables (#654) est justifié (obtenir le certificat d'irrécouvrabilité).
 - S'assurer notamment du correct traitement de la TVA (la TVA est récupérable si la société dispose du certificat d'irrécouvrabilité ou si le client se trouve en LJ (cf. pdf ci-joint), 
sinon la créance doit être passée en perte pour son montant TTC).</t>
    </r>
  </si>
  <si>
    <t xml:space="preserve">1/ Rappel de la méthode de provisionnement des clients douteux : </t>
  </si>
  <si>
    <t xml:space="preserve">2/ Tableau de variation des douteux et de la provision : </t>
  </si>
  <si>
    <t>Cf tableau joint</t>
  </si>
  <si>
    <t>S'assurer que l'ensemble des douteux identifiés dans ce fichier de suivi a été classé en compta en #416 (et non en #411).</t>
  </si>
  <si>
    <t>3/ Synthèse de la variation des douteux et de la provision :</t>
  </si>
  <si>
    <t>+</t>
  </si>
  <si>
    <t>-</t>
  </si>
  <si>
    <t># 416 Clients douteux</t>
  </si>
  <si>
    <t xml:space="preserve">TVA sur clients douteux </t>
  </si>
  <si>
    <t>Clients Douteux HT</t>
  </si>
  <si>
    <t>#491 Provision</t>
  </si>
  <si>
    <t>Provision HT</t>
  </si>
  <si>
    <t># 681 740</t>
  </si>
  <si>
    <t># 781 740</t>
  </si>
  <si>
    <t xml:space="preserve"> ==&gt; % de couverture de la provision </t>
  </si>
  <si>
    <t>sur créances clients HT  =</t>
  </si>
  <si>
    <t xml:space="preserve">4/ Tests sur les dotations et reprises de l'exercice : </t>
  </si>
  <si>
    <t>Dotations</t>
  </si>
  <si>
    <t xml:space="preserve">Nom client </t>
  </si>
  <si>
    <t>Montant 
TTC</t>
  </si>
  <si>
    <t>Montant 
HT</t>
  </si>
  <si>
    <t xml:space="preserve">Motif 
dépréciation </t>
  </si>
  <si>
    <t>Taux de 
provision</t>
  </si>
  <si>
    <t>Montant de 
la provision</t>
  </si>
  <si>
    <t>Déductibilité fiscale de la provision ?</t>
  </si>
  <si>
    <t xml:space="preserve">Total HT testé = </t>
  </si>
  <si>
    <t xml:space="preserve">Total dotations de l'exercice = </t>
  </si>
  <si>
    <t xml:space="preserve">Scope de test = </t>
  </si>
  <si>
    <t>Reprises sur provisions et suivi des créances irrécouvrables</t>
  </si>
  <si>
    <t>Montant de la 
dép à l'ouverture</t>
  </si>
  <si>
    <t>Motif de la reprise 
(règlement ou perte)</t>
  </si>
  <si>
    <t>Montant de 
la reprise</t>
  </si>
  <si>
    <t>Déductibilité fiscale de la reprise ?</t>
  </si>
  <si>
    <t>Impact 
résultat</t>
  </si>
  <si>
    <t>Certificat d'irrécouvrabilité obtenu (si concerné)</t>
  </si>
  <si>
    <t xml:space="preserve">Total reprises / irrécouvrables de l'exercice = </t>
  </si>
  <si>
    <r>
      <t xml:space="preserve">Objectif 
</t>
    </r>
    <r>
      <rPr>
        <sz val="11"/>
        <rFont val="Calibri"/>
        <family val="2"/>
        <scheme val="minor"/>
      </rPr>
      <t xml:space="preserve">Contrôle de l'exhaustivité de la provision pour dépréciation des créances clients
</t>
    </r>
    <r>
      <rPr>
        <b/>
        <u/>
        <sz val="11"/>
        <rFont val="Calibri"/>
        <family val="2"/>
        <scheme val="minor"/>
      </rPr>
      <t>Travail effectué</t>
    </r>
    <r>
      <rPr>
        <sz val="11"/>
        <rFont val="Calibri"/>
        <family val="2"/>
        <scheme val="minor"/>
      </rPr>
      <t xml:space="preserve">
Obtenir la balance âgée et la cadrer avec la balance auxiliaire et la balance générale
Analyser la structure de la balance âgée par rapport à N-1 (par date de facture ou d'échéance)
Sélectionner les créances à plus de xx jours et vérifier l'apurement ou le correct provisionnement de ces créances pour les montants &gt; SI</t>
    </r>
  </si>
  <si>
    <t>Analyse de la balance âgée et revue par rapport à N-1 :</t>
  </si>
  <si>
    <t>&lt; 30j</t>
  </si>
  <si>
    <t>60j</t>
  </si>
  <si>
    <t>90j</t>
  </si>
  <si>
    <t>120j</t>
  </si>
  <si>
    <t>150j</t>
  </si>
  <si>
    <t>180j</t>
  </si>
  <si>
    <t>&gt;180j</t>
  </si>
  <si>
    <t>31/12/N</t>
  </si>
  <si>
    <t>Ratio</t>
  </si>
  <si>
    <t>31/12/N-1</t>
  </si>
  <si>
    <t>Explication de la variation.</t>
  </si>
  <si>
    <t>N° Client</t>
  </si>
  <si>
    <t>Client</t>
  </si>
  <si>
    <t>Solde au 31.12.N en K€ en balance âgée</t>
  </si>
  <si>
    <t>Apurement Post-Clôture</t>
  </si>
  <si>
    <t>Observation</t>
  </si>
  <si>
    <t>% de Scope</t>
  </si>
  <si>
    <r>
      <t>Objectif</t>
    </r>
    <r>
      <rPr>
        <sz val="11"/>
        <rFont val="Calibri"/>
        <family val="2"/>
        <scheme val="minor"/>
      </rPr>
      <t xml:space="preserve">
S'assurer de la correcte évaluation des créances libellées en devise à la clôture de l'exercice.
</t>
    </r>
    <r>
      <rPr>
        <b/>
        <u/>
        <sz val="11"/>
        <rFont val="Calibri"/>
        <family val="2"/>
        <scheme val="minor"/>
      </rPr>
      <t>Travail effectué</t>
    </r>
    <r>
      <rPr>
        <sz val="11"/>
        <rFont val="Calibri"/>
        <family val="2"/>
        <scheme val="minor"/>
      </rPr>
      <t xml:space="preserve">
1) obtenir la liste des clients pour lesquels un risque de conversion existe (Encours avec une facturation en devises hors euros)
2)  Vérifier la cohérence du taux de conversion utilisé par l'entité
3) Vérifier la correcte comptabilisation de la réévaluation (réévaluation de la créance et constatation d'un ECA/ECP)
4) S'assurer que les écarts de conversion actifs ont fait l'objet d'une provision pour risques si nécessaire
5) S'assurer que les profits de change latents sont réintégrés pour la détermination du résultat fiscal</t>
    </r>
  </si>
  <si>
    <t xml:space="preserve">1/  Liste des clients facturés au moins partiellement en devise et </t>
  </si>
  <si>
    <t>2/  Cohérence des taux de conversion utilisés par l'entité</t>
  </si>
  <si>
    <t>N° compte client</t>
  </si>
  <si>
    <t>Nom du client</t>
  </si>
  <si>
    <t>Devise de 
facturation</t>
  </si>
  <si>
    <t>Solde en euros à la date de 
clôture (issu BA)</t>
  </si>
  <si>
    <t>Taux de change 
utilisé</t>
  </si>
  <si>
    <t>Taux de change à la 
clôture (issu BDF)</t>
  </si>
  <si>
    <t>Impact résultat</t>
  </si>
  <si>
    <t>Conclusion</t>
  </si>
  <si>
    <t>3/  Correcte comptabilisation de la réévaluation (réévaluation de la créance et constatation d'un ECA/ECP)</t>
  </si>
  <si>
    <t>Devise</t>
  </si>
  <si>
    <t>E.C.A</t>
  </si>
  <si>
    <t>E.C.P</t>
  </si>
  <si>
    <t>Solde en 
devise</t>
  </si>
  <si>
    <t>Taux de 
clôture</t>
  </si>
  <si>
    <t>Solde 
réévalué</t>
  </si>
  <si>
    <t>a) Revue analytique des FAE :</t>
  </si>
  <si>
    <t>Principales FAE</t>
  </si>
  <si>
    <t>Caractère récurrent</t>
  </si>
  <si>
    <t>b) Test de détail sur les FAE :</t>
  </si>
  <si>
    <t>N° facture</t>
  </si>
  <si>
    <t>Date facturation</t>
  </si>
  <si>
    <t xml:space="preserve">Montant HT </t>
  </si>
  <si>
    <t>Date de la prestation ou livraison</t>
  </si>
  <si>
    <t>N° BL</t>
  </si>
  <si>
    <t>Observations</t>
  </si>
  <si>
    <t>Population testée</t>
  </si>
  <si>
    <t>Population totale</t>
  </si>
  <si>
    <t>% Testé</t>
  </si>
  <si>
    <t>a) Revue analytique des AAE :</t>
  </si>
  <si>
    <t>b) Test de détail sur les AAE :</t>
  </si>
  <si>
    <t>1/ Liste des clients concernés et termes des accords</t>
  </si>
  <si>
    <t xml:space="preserve">Client </t>
  </si>
  <si>
    <t xml:space="preserve">Termes du contrat </t>
  </si>
  <si>
    <t>2/ Revue analytique des RFA N/N-1 et calcul du taux moyen de RFA sur les deux exercices</t>
  </si>
  <si>
    <t>Total RFA HT annuelles</t>
  </si>
  <si>
    <t>Montant annuel du CA HT net</t>
  </si>
  <si>
    <t>Taux moyen annuel de RFA</t>
  </si>
  <si>
    <t>3/ Test sur des RFA comptabilisées à la clôture de l'exercice (optionnel si Revue analytique et taux de RFA moyen sur l'année non cohérents)</t>
  </si>
  <si>
    <t>Taux RFA</t>
  </si>
  <si>
    <t>RFA à comptabiliser 
à la clôture</t>
  </si>
  <si>
    <t>RFA en compta 
à la clôture</t>
  </si>
  <si>
    <t>4/ Contrôle de l'apurement des RFA N-1 (A faire dans tous les cas)</t>
  </si>
  <si>
    <t>RFA provisionnées en N-1</t>
  </si>
  <si>
    <t>RFA accordées/émises en N</t>
  </si>
  <si>
    <t>Base du CA issu 
stat commerciale N</t>
  </si>
  <si>
    <r>
      <t>Objectif</t>
    </r>
    <r>
      <rPr>
        <sz val="11"/>
        <rFont val="Calibri"/>
        <family val="2"/>
        <scheme val="minor"/>
      </rPr>
      <t xml:space="preserve">
Contrôle de la réalité des effets à recevoir et effets à l'encaissement
</t>
    </r>
    <r>
      <rPr>
        <b/>
        <u/>
        <sz val="11"/>
        <rFont val="Calibri"/>
        <family val="2"/>
        <scheme val="minor"/>
      </rPr>
      <t>Travail effectué</t>
    </r>
    <r>
      <rPr>
        <sz val="11"/>
        <rFont val="Calibri"/>
        <family val="2"/>
        <scheme val="minor"/>
      </rPr>
      <t xml:space="preserve">
 - Rappel de la règle de comptabilisation des effets à recevoir et effets à l'encaissement
 - Obtenir l'échéancier des EAR ainsi que le détail des EAE à la date de clôture
 - Cadrer les montants totaux avec la BG
 - Contrôler la correcte classification au bilan entre les EAR (#413) et les EAE (#5113)
 - Rapprocher les EAR  et EAE avec les confirmations bancaires
 - Contrôler l'apurements des EAR et EAE par rapprochement avec les relevés bancaires post-clôture</t>
    </r>
  </si>
  <si>
    <t>1/ Rappel de la règle de comptabilisation des effets à recevoir et effets à l'encaissement (extrait Navis)</t>
  </si>
  <si>
    <t xml:space="preserve">2/ Sélection des effets à recevoir échus : </t>
  </si>
  <si>
    <t>Banque 1</t>
  </si>
  <si>
    <t>Banque 2</t>
  </si>
  <si>
    <t>Banque 3</t>
  </si>
  <si>
    <t>Solde des EAR en BG</t>
  </si>
  <si>
    <t>EAR confirmés par la/les banque(s)</t>
  </si>
  <si>
    <t xml:space="preserve">3/ Apurement post-clôture : </t>
  </si>
  <si>
    <t>a) Revue analytique des PCA :</t>
  </si>
  <si>
    <t>b) Test de détail sur les PCA :</t>
  </si>
  <si>
    <t xml:space="preserve">Total testé = </t>
  </si>
  <si>
    <t xml:space="preserve">Total journal = </t>
  </si>
  <si>
    <t>cf. fichier sélection auto circul</t>
  </si>
  <si>
    <t>Date envoi</t>
  </si>
  <si>
    <t>Date relance</t>
  </si>
  <si>
    <t>Date réponse</t>
  </si>
  <si>
    <t>Solde confirmé 
par le tiers</t>
  </si>
  <si>
    <t>Ecart justifié</t>
  </si>
  <si>
    <t>Ecart non justifié</t>
  </si>
  <si>
    <r>
      <t>Objectif</t>
    </r>
    <r>
      <rPr>
        <sz val="11"/>
        <rFont val="Calibri"/>
        <family val="2"/>
        <scheme val="minor"/>
      </rPr>
      <t xml:space="preserve">
Contrôler la réalité de l'encours client par une procédure alternative compte tenu de l'absence de réponse à la circularisation
</t>
    </r>
    <r>
      <rPr>
        <b/>
        <u/>
        <sz val="11"/>
        <rFont val="Calibri"/>
        <family val="2"/>
        <scheme val="minor"/>
      </rPr>
      <t xml:space="preserve">Travail effectué
</t>
    </r>
    <r>
      <rPr>
        <sz val="11"/>
        <rFont val="Calibri"/>
        <family val="2"/>
        <scheme val="minor"/>
      </rPr>
      <t xml:space="preserve">1/ A partir du grand livre client à la clôture, décomposer l'encours  client de façon détaillée
2/ Effectuer une analyse des encaissements post-cloture par rapprochement aux relevés de banque N+1
3/ Contrôler l'ancienneté de l'encours pour les créances non réglées et suivre la nécessité éventuelle de déprécier la créance
</t>
    </r>
  </si>
  <si>
    <t>% d'apurement post-clôture</t>
  </si>
  <si>
    <t>X-ref</t>
  </si>
  <si>
    <r>
      <t>Objectif</t>
    </r>
    <r>
      <rPr>
        <sz val="11"/>
        <rFont val="Calibri"/>
        <family val="2"/>
        <scheme val="minor"/>
      </rPr>
      <t xml:space="preserve">
NEP 240 - S'assurer de l'absence de fraude liée à la comptabilisation des produits
Contrôle de l'exhaustivité et de la réalité du chiffre d'affaires
</t>
    </r>
    <r>
      <rPr>
        <b/>
        <u/>
        <sz val="11"/>
        <rFont val="Calibri"/>
        <family val="2"/>
        <scheme val="minor"/>
      </rPr>
      <t>Travail effectué</t>
    </r>
    <r>
      <rPr>
        <sz val="11"/>
        <rFont val="Calibri"/>
        <family val="2"/>
        <scheme val="minor"/>
      </rPr>
      <t xml:space="preserve">
Mettre à jour le mémo sur le basculement / interface entre le CA commercial et le CA comptable.
Récupérer le chiffre d'affaires commercial de l'exercice audité (issu de la gestion commerciale).
Rapprocher ce montant avec celui issu de la comptabilité (celui indiqué en BG). 
Rapprocher ces deux montants et justifier les écarts. </t>
    </r>
  </si>
  <si>
    <t>Mémo interface CA commercial / CA comptable</t>
  </si>
  <si>
    <t>Préciser le nom du logiciel de gestion commerciale
Préciser le nom du logiciel comptable
Décrire les modalités de déversement du CA commercial en comptabilité</t>
  </si>
  <si>
    <t>Rapprochement CA commercial / CA comptable</t>
  </si>
  <si>
    <t>CA HT issu de la gestion commerciale</t>
  </si>
  <si>
    <t>CA comptable HT</t>
  </si>
  <si>
    <t>ECART</t>
  </si>
  <si>
    <t>Provisions passées au bilan (HT)</t>
  </si>
  <si>
    <t xml:space="preserve"> Première analyse de l'écart</t>
  </si>
  <si>
    <t>CA HT non comptabilisé dans la stat commerciale</t>
  </si>
  <si>
    <t xml:space="preserve"> Deuxième analyse de l'écart</t>
  </si>
  <si>
    <t>Ecart résiduel final (en % du CA)</t>
  </si>
  <si>
    <t>CA N</t>
  </si>
  <si>
    <t>% du CA N</t>
  </si>
  <si>
    <t>CA N-1</t>
  </si>
  <si>
    <t>% du CA N-1</t>
  </si>
  <si>
    <t>Var K€</t>
  </si>
  <si>
    <t>Var %</t>
  </si>
  <si>
    <t xml:space="preserve">TOP 5 clients N = </t>
  </si>
  <si>
    <t xml:space="preserve">Total CA exercice (issu gestion commerciale) = </t>
  </si>
  <si>
    <r>
      <t>Objectif</t>
    </r>
    <r>
      <rPr>
        <sz val="11"/>
        <rFont val="Calibri"/>
        <family val="2"/>
        <scheme val="minor"/>
      </rPr>
      <t xml:space="preserve">
Revue analytique de l'activité, du CA et de la marge brute sur l'exercice écoulé. 
</t>
    </r>
    <r>
      <rPr>
        <b/>
        <u/>
        <sz val="11"/>
        <rFont val="Calibri"/>
        <family val="2"/>
        <scheme val="minor"/>
      </rPr>
      <t>Travail effectué</t>
    </r>
    <r>
      <rPr>
        <sz val="11"/>
        <rFont val="Calibri"/>
        <family val="2"/>
        <scheme val="minor"/>
      </rPr>
      <t xml:space="preserve">
1/ Calculer la marge brute de l'exercice N et la comparer avec N-1
2/ Récupération du palmarès client et comparaison avec N-1 (si pas disponible, le construire pour les 5 principaux clients de l'exercice)
3/ Entretien avec la direction sur l'évolution de l'activité
</t>
    </r>
  </si>
  <si>
    <t>V120</t>
  </si>
  <si>
    <t>Revue EAR</t>
  </si>
  <si>
    <t>Revue des RFA</t>
  </si>
  <si>
    <t>Revue clients créditeurs</t>
  </si>
  <si>
    <t>Réalité clients douteux</t>
  </si>
  <si>
    <t>Exhaustivité dépréciation</t>
  </si>
  <si>
    <t>Revue FAE</t>
  </si>
  <si>
    <t>Revue AAE</t>
  </si>
  <si>
    <t>Revue RFA</t>
  </si>
  <si>
    <t>Revue PCA</t>
  </si>
  <si>
    <t>Test cut off ventes</t>
  </si>
  <si>
    <t xml:space="preserve">Procédures alternatives </t>
  </si>
  <si>
    <t>Rappro CA gesco-CA compta</t>
  </si>
  <si>
    <t>411XXX</t>
  </si>
  <si>
    <r>
      <t xml:space="preserve">Effets à recevoir : 
</t>
    </r>
    <r>
      <rPr>
        <sz val="11"/>
        <rFont val="Calibri"/>
        <family val="2"/>
        <scheme val="minor"/>
      </rPr>
      <t xml:space="preserve">Rattachés aux comptes « Clients » (ou du débiteur concerné), ils sont (PCG, art. 444/41) débités lors de leur réception (billets à ordre) ou lors de leur acceptation par les clients (lettres de change) au compte </t>
    </r>
    <r>
      <rPr>
        <b/>
        <sz val="11"/>
        <rFont val="Calibri"/>
        <family val="2"/>
        <scheme val="minor"/>
      </rPr>
      <t>413</t>
    </r>
    <r>
      <rPr>
        <sz val="11"/>
        <rFont val="Calibri"/>
        <family val="2"/>
        <scheme val="minor"/>
      </rPr>
      <t xml:space="preserve"> « Clients - Effets à recevoir » (ou à une subdivision à créer du compte débiteur) par le crédit du compte 411 « Clients » (ou du compte débiteur).
</t>
    </r>
    <r>
      <rPr>
        <b/>
        <i/>
        <sz val="11"/>
        <rFont val="Calibri"/>
        <family val="2"/>
        <scheme val="minor"/>
      </rPr>
      <t xml:space="preserve">Effets remis à l'encaissement : </t>
    </r>
    <r>
      <rPr>
        <sz val="11"/>
        <rFont val="Calibri"/>
        <family val="2"/>
        <scheme val="minor"/>
      </rPr>
      <t xml:space="preserve">
Ils sont (PCG, art. 445/51) virés au compte 5113 « Effets à l'encaissement » qui sera lui-même soldé par le débit d'un compte de banque et d'un compte de frais (6275 « Frais sur effets ») à la réception de l'avis de crédit.
</t>
    </r>
    <r>
      <rPr>
        <b/>
        <i/>
        <sz val="11"/>
        <rFont val="Arial Narrow"/>
        <family val="2"/>
      </rPr>
      <t/>
    </r>
  </si>
  <si>
    <r>
      <rPr>
        <b/>
        <i/>
        <u/>
        <sz val="11"/>
        <rFont val="Calibri"/>
        <family val="2"/>
        <scheme val="minor"/>
      </rPr>
      <t xml:space="preserve">Pour rappel, au cas où la société se finance par escompte d'effets : </t>
    </r>
    <r>
      <rPr>
        <b/>
        <i/>
        <sz val="11"/>
        <rFont val="Calibri"/>
        <family val="2"/>
        <scheme val="minor"/>
      </rPr>
      <t xml:space="preserve">
Effets remis à l'escompte : </t>
    </r>
    <r>
      <rPr>
        <i/>
        <sz val="11"/>
        <rFont val="Calibri"/>
        <family val="2"/>
        <scheme val="minor"/>
      </rPr>
      <t xml:space="preserve">
La remise à l'escompte d'effets est une opération de mobilisation par laquelle le banquier met à la disposition de son client, titulaire d'une créance commerciale matérialisée par un effet de commerce, le montant de cette créance moins sa rémunération (intérêt), moyennant transmission de la propriété de l'effet de commerce.
Ils sont (PCG, art. 444/41 et 445/51) virés au compte 5114 « Effets à l'escompte » qui sera lui-même crédité lorsque l'avis de crédit de la banque aura été reçu par le débit :
-  d'un compte de banque,
-  de comptes de charges pour les frais.
</t>
    </r>
    <r>
      <rPr>
        <b/>
        <i/>
        <sz val="11"/>
        <rFont val="Calibri"/>
        <family val="2"/>
        <scheme val="minor"/>
      </rPr>
      <t xml:space="preserve">Effets escomptés : </t>
    </r>
    <r>
      <rPr>
        <i/>
        <sz val="11"/>
        <rFont val="Calibri"/>
        <family val="2"/>
        <scheme val="minor"/>
      </rPr>
      <t xml:space="preserve">
Ils n'apparaissent plus au bilan, la comptabilité des engagements enregistrant (PCG, art. 448/80) :
-  au débit, le montant des créances escomptées non échues (compte 8024) ;
-  au crédit, le montant des effets circulant sous l'endos de l'entreprise correspondant au financement obtenu (compte 8014).
</t>
    </r>
  </si>
  <si>
    <r>
      <t xml:space="preserve">Rappel de la LME : 
</t>
    </r>
    <r>
      <rPr>
        <sz val="11"/>
        <rFont val="Calibri"/>
        <family val="2"/>
        <scheme val="minor"/>
      </rPr>
      <t xml:space="preserve">Les délais de paiement entre professionnels sont réglementés : sans dispositions contraires figurant aux conditions de vente ou convenues entre les parties, le délai de règlement est fixé au 30e jour suivant la réception des marchandises ou l'exécution de la prestation. Mais s'il est précisé au contrat, le délai peut aller au-delà des 30 jours, sans dépasser 45 jours jours fin de mois (ou 60 jours à partir de la facturation). Des dérogations existent pour les produits périssables.
</t>
    </r>
    <r>
      <rPr>
        <i/>
        <sz val="11"/>
        <rFont val="Calibri"/>
        <family val="2"/>
        <scheme val="minor"/>
      </rPr>
      <t>Mise à jour le 17.09.2014 - Direction de l'information légale et administrative (Premier ministre)
http://vosdroits.service-public.fr/professionnels-entreprises/F23211.xhtml</t>
    </r>
  </si>
  <si>
    <t>M</t>
  </si>
  <si>
    <t>M-1</t>
  </si>
  <si>
    <t>M-2</t>
  </si>
  <si>
    <t>EAR</t>
  </si>
  <si>
    <t xml:space="preserve">Compte #654 </t>
  </si>
  <si>
    <t>Solde client</t>
  </si>
  <si>
    <r>
      <rPr>
        <u/>
        <sz val="11"/>
        <rFont val="Calibri"/>
        <family val="2"/>
        <scheme val="minor"/>
      </rPr>
      <t xml:space="preserve">Revue analytique des RFA </t>
    </r>
    <r>
      <rPr>
        <sz val="11"/>
        <rFont val="Calibri"/>
        <family val="2"/>
        <scheme val="minor"/>
      </rPr>
      <t xml:space="preserve">
</t>
    </r>
  </si>
  <si>
    <t>1/ Dernier mois de l'exercice N</t>
  </si>
  <si>
    <t>2/ Premier mois de l'exercice N+1</t>
  </si>
  <si>
    <t>Montant encaissé</t>
  </si>
  <si>
    <t>Ok RCA CAC N-1</t>
  </si>
  <si>
    <t>Revue analytique (inclus clients et activité)</t>
  </si>
  <si>
    <r>
      <t>Objectif :</t>
    </r>
    <r>
      <rPr>
        <b/>
        <sz val="11"/>
        <rFont val="Calibri"/>
        <family val="2"/>
        <scheme val="minor"/>
      </rPr>
      <t xml:space="preserve"> </t>
    </r>
    <r>
      <rPr>
        <sz val="11"/>
        <rFont val="Calibri"/>
        <family val="2"/>
        <scheme val="minor"/>
      </rPr>
      <t xml:space="preserve">Contrôle de la réalité des comptes clients 
Contrôle de la correcte présentation des comptes entre clients débiteurs et clients créditeurs.
</t>
    </r>
    <r>
      <rPr>
        <b/>
        <u/>
        <sz val="11"/>
        <rFont val="Calibri"/>
        <family val="2"/>
        <scheme val="minor"/>
      </rPr>
      <t>Travail effectué</t>
    </r>
    <r>
      <rPr>
        <sz val="11"/>
        <rFont val="Calibri"/>
        <family val="2"/>
        <scheme val="minor"/>
      </rPr>
      <t xml:space="preserve">
Contrôle de la concordance entre la balance auxiliaire et la balance générale
S'assurer que les clients créditeurs sont bien identifiés et comptabilisés en clients créditeurs dans les comptes.</t>
    </r>
  </si>
  <si>
    <t>Ref avoir</t>
  </si>
  <si>
    <t>Nature</t>
  </si>
  <si>
    <t>HT</t>
  </si>
  <si>
    <t>TVA</t>
  </si>
  <si>
    <t>TTC</t>
  </si>
  <si>
    <t>Commentaires</t>
  </si>
  <si>
    <t>Nécessité d'une provision AAE</t>
  </si>
  <si>
    <t xml:space="preserve">Total des AAE = </t>
  </si>
  <si>
    <t>c/ Tests sur les journaux de ventes post-clôture</t>
  </si>
  <si>
    <t xml:space="preserve">Var </t>
  </si>
  <si>
    <t>Principales AAE</t>
  </si>
  <si>
    <r>
      <t xml:space="preserve">Objectif
</t>
    </r>
    <r>
      <rPr>
        <sz val="11"/>
        <rFont val="Calibri"/>
        <family val="2"/>
        <scheme val="minor"/>
      </rPr>
      <t xml:space="preserve">Exhaustivité et évaluation des RFA
</t>
    </r>
    <r>
      <rPr>
        <b/>
        <u/>
        <sz val="11"/>
        <rFont val="Calibri"/>
        <family val="2"/>
        <scheme val="minor"/>
      </rPr>
      <t xml:space="preserve">
Travail effectué
</t>
    </r>
    <r>
      <rPr>
        <sz val="11"/>
        <rFont val="Calibri"/>
        <family val="2"/>
        <scheme val="minor"/>
      </rPr>
      <t xml:space="preserve">1/ Après entretien avec la Direction et des travaux N-1, comprendre si la société pratique ou non les RFA (remises de fin d'année). 
 ==&gt; Rappel de la politique de la société vis-à-vis des RFA accordées.
Si oui, s'assurer qu'elle comptabilise/provisionne bien ces RFA à la clôture de l'exercice audité. 
2/ Revue analytique des RFA N/N-1 et calcul du taux moyen de RFA sur les deux exercices.
3/ Si Revue analytique et taux de RFA moyen sur l'année non cohérents (2/), procéder à des test de détail sur les RFA. 
S'assurer que les taux utilisés sont conformes aux contrats (s'il y en a) ou autre élément de preuve (mails, entretien avec la Direction, …).
S'assurer en outre que la base de CA annuel utilisée pour calculer ces RFA est conforme au CA réalisé en stat commerciale. 
4/ Dans tous les cas, vérifier sur N l'apurement des RFA comptabilisées en N-1, permettant de contrôler la méthode d'évaluation de l'entreprise. 
</t>
    </r>
    <r>
      <rPr>
        <b/>
        <u/>
        <sz val="11"/>
        <rFont val="Calibri"/>
        <family val="2"/>
        <scheme val="minor"/>
      </rPr>
      <t xml:space="preserve">
</t>
    </r>
  </si>
  <si>
    <r>
      <t>Objectif</t>
    </r>
    <r>
      <rPr>
        <sz val="11"/>
        <rFont val="Calibri"/>
        <family val="2"/>
        <scheme val="minor"/>
      </rPr>
      <t xml:space="preserve">
Réalité et évaluation des PCA
</t>
    </r>
    <r>
      <rPr>
        <b/>
        <u/>
        <sz val="11"/>
        <rFont val="Calibri"/>
        <family val="2"/>
        <scheme val="minor"/>
      </rPr>
      <t>Travail effectué</t>
    </r>
    <r>
      <rPr>
        <sz val="11"/>
        <rFont val="Calibri"/>
        <family val="2"/>
        <scheme val="minor"/>
      </rPr>
      <t xml:space="preserve">
Obtenir les détails des comptes de PCA et les cadrer avec la balance générale et effectuer les contrôles arithmétiques nécessaires.
Procéder par revue analytique : identifier les principaux PCA et identifier si ce sont des éléments récurrents (à partir des détails N-1)
Investiguer notamment en cas d'absence de PCA que l'on sait de nature récurrente. Selon l'approche d'audit retenue sur le dossier (en lien notamment avec l'assurance que l'on a sur le process Clients/Ventes et les autres tests de détail menés sur les clients notamment le cut off), cette revue analytique peut être suffisante pour contrôler la réalité et l'exactitude des PCA.
Pour les PCA &gt; SI, obtenir les justificatifs : avoirs émis sur la période subséquente
Croiser ce test avec les travaux réalisés sur le cut off et les circularisations clients notamment.</t>
    </r>
  </si>
  <si>
    <r>
      <t>Objectif</t>
    </r>
    <r>
      <rPr>
        <sz val="11"/>
        <rFont val="Calibri"/>
        <family val="2"/>
        <scheme val="minor"/>
      </rPr>
      <t xml:space="preserve">
Réalité et évaluation des FAE
</t>
    </r>
    <r>
      <rPr>
        <b/>
        <u/>
        <sz val="11"/>
        <rFont val="Calibri"/>
        <family val="2"/>
        <scheme val="minor"/>
      </rPr>
      <t>Travail effectué</t>
    </r>
    <r>
      <rPr>
        <sz val="11"/>
        <rFont val="Calibri"/>
        <family val="2"/>
        <scheme val="minor"/>
      </rPr>
      <t xml:space="preserve">
Obtenir les détails des comptes de FAE et les cadrer avec la balance générale et effectuer les contrôles arithmétiques nécessaires.
Procéder par revue analytique : identifier les principales FAE et identifier si ce sont des éléments récurrents (à partir des détails N-1). Investiguer notamment en cas d'absence de FAE que l'on sait de nature récurrente. Selon l'approche d'audit retenue sur le dossier (en lien notamment avec l'assurance que l'on a sur le process Clients/Ventes et les autres tests de détail menés sur les clients notamment le cut off), cette revue analytique peut être suffisante pour contrôler la réalité et l'exactitude des FAE.
Pour les FAE &gt; SI, obtenir les justificatifs : factures émises sur la période subséquente et si nécessaires bons de livraisons / réalisation des prestations… 
Croiser ce test avec les travaux réalisés sur le cut off et les circularisations clients notamment.</t>
    </r>
  </si>
  <si>
    <r>
      <t>Objectif</t>
    </r>
    <r>
      <rPr>
        <sz val="11"/>
        <rFont val="Calibri"/>
        <family val="2"/>
        <scheme val="minor"/>
      </rPr>
      <t xml:space="preserve">
S'assurer du respect du principe de séparation des exercices
</t>
    </r>
    <r>
      <rPr>
        <b/>
        <u/>
        <sz val="11"/>
        <rFont val="Calibri"/>
        <family val="2"/>
        <scheme val="minor"/>
      </rPr>
      <t>Travail effectué</t>
    </r>
    <r>
      <rPr>
        <sz val="11"/>
        <rFont val="Calibri"/>
        <family val="2"/>
        <scheme val="minor"/>
      </rPr>
      <t xml:space="preserve">
Sélection de factures HT &gt;  SI
Rapprochement aux justificatifs : facture + date de comptabilisation de la facture + BL ou bon de transports émargés/date de prestation
En fonction du sens du risque (tendance de la société à majorer ou à minorer son résultat), effectuer un des deux tests suivants : 
1/ Revue des ventes de décembre N (en cas de tendance à la majoration du résultat)
2/ Revue des ventes de janvier N (en cas de tendance à la minoration du résultat)
</t>
    </r>
    <r>
      <rPr>
        <u/>
        <sz val="11"/>
        <rFont val="Calibri"/>
        <family val="2"/>
        <scheme val="minor"/>
      </rPr>
      <t>Vigilance :</t>
    </r>
    <r>
      <rPr>
        <sz val="11"/>
        <rFont val="Calibri"/>
        <family val="2"/>
        <scheme val="minor"/>
      </rPr>
      <t xml:space="preserve"> incoterms</t>
    </r>
  </si>
  <si>
    <t>Date du BL ou date PS</t>
  </si>
  <si>
    <t>1° Critères de sélections</t>
  </si>
  <si>
    <t>2° Tableau de synthèse des circularisations</t>
  </si>
  <si>
    <t>Revu par :</t>
  </si>
  <si>
    <t>V Synthèse</t>
  </si>
  <si>
    <t>Liens</t>
  </si>
  <si>
    <t>V100 Rappro BA-BG</t>
  </si>
  <si>
    <t>V110 Revue clients créditeurs</t>
  </si>
  <si>
    <t>V120 Revue EAR</t>
  </si>
  <si>
    <t>V200 DSO clients</t>
  </si>
  <si>
    <t>V300 Réciprocité intragroupe</t>
  </si>
  <si>
    <t>V400 Réalité clients douteux</t>
  </si>
  <si>
    <t>V410 Exhaustivité dépréciation</t>
  </si>
  <si>
    <t>Diligences à tester</t>
  </si>
  <si>
    <t>V510</t>
  </si>
  <si>
    <t>V520</t>
  </si>
  <si>
    <t>V525</t>
  </si>
  <si>
    <t>V530</t>
  </si>
  <si>
    <t>V540</t>
  </si>
  <si>
    <t>V510 Revue FAE</t>
  </si>
  <si>
    <t>V520 Revue AAE</t>
  </si>
  <si>
    <t>V525 Revue RFA</t>
  </si>
  <si>
    <t>V530 Revue PCA</t>
  </si>
  <si>
    <t>V540 Test cut off ventes</t>
  </si>
  <si>
    <t>V600 Circularisations</t>
  </si>
  <si>
    <t>V610 Procédures alternatives</t>
  </si>
  <si>
    <t>V700 Rappro CA gesco-CA compta</t>
  </si>
  <si>
    <t>V800 Clients en devise</t>
  </si>
  <si>
    <t>Total testé</t>
  </si>
  <si>
    <t>Non échu</t>
  </si>
  <si>
    <t>- Sélection des créances échues ou &gt; à 60 j (si par date de facture) &gt; au SI et contrôle de l'apurement ou du provisionnement.</t>
  </si>
  <si>
    <t xml:space="preserve">Total clients sélectionnes &gt; 60 j </t>
  </si>
  <si>
    <t>Total Balance agée &gt; 60j</t>
  </si>
  <si>
    <t>X Ref</t>
  </si>
  <si>
    <t>Comptabilité</t>
  </si>
  <si>
    <t>Justification du solde</t>
  </si>
  <si>
    <t>Total mvt créditeur à la clôture</t>
  </si>
  <si>
    <t>Total des mvt confirmé</t>
  </si>
  <si>
    <t>Nom du Client</t>
  </si>
  <si>
    <t>Solde Clts 
à la clôture (BA)</t>
  </si>
  <si>
    <t xml:space="preserve">Total sélection solde débiteurs = </t>
  </si>
  <si>
    <t xml:space="preserve">Total balance solde débiteurs = </t>
  </si>
  <si>
    <t xml:space="preserve">% sélection solde débiteurs = </t>
  </si>
  <si>
    <t xml:space="preserve">Total sélection mvt débiteurs = </t>
  </si>
  <si>
    <t xml:space="preserve">Total balance mvt débiteurs = </t>
  </si>
  <si>
    <t xml:space="preserve">% sélection mvt débiteurs = </t>
  </si>
  <si>
    <t>Justification du solde des mouvements débiteurs</t>
  </si>
  <si>
    <t>Principaux PCA</t>
  </si>
  <si>
    <t>Date de facture</t>
  </si>
  <si>
    <t>Facture N°</t>
  </si>
  <si>
    <t>Montant TTC</t>
  </si>
  <si>
    <t xml:space="preserve"> - FAE N</t>
  </si>
  <si>
    <t xml:space="preserve"> + FAE N-1</t>
  </si>
  <si>
    <t xml:space="preserve"> + AAE N</t>
  </si>
  <si>
    <t xml:space="preserve"> - AAE N-1</t>
  </si>
  <si>
    <t xml:space="preserve">  + PCA N</t>
  </si>
  <si>
    <t xml:space="preserve">  - PCA N-1</t>
  </si>
  <si>
    <t>V0</t>
  </si>
  <si>
    <t>Taux d'apurement</t>
  </si>
  <si>
    <t>Total EAR testé</t>
  </si>
  <si>
    <t>Total EAR apuré</t>
  </si>
  <si>
    <t>Clients (dont FAE si présent dans le journal des ventes)</t>
  </si>
  <si>
    <t>Nom du client groupe</t>
  </si>
  <si>
    <t>JOURNAL DE VENTES DE JANVIER 2018</t>
  </si>
  <si>
    <t>Nom client</t>
  </si>
  <si>
    <r>
      <t xml:space="preserve">Objectif
</t>
    </r>
    <r>
      <rPr>
        <sz val="11"/>
        <rFont val="Calibri"/>
        <family val="2"/>
        <scheme val="minor"/>
      </rPr>
      <t>Réalité des encours client par circularisation des tiers</t>
    </r>
    <r>
      <rPr>
        <b/>
        <u/>
        <sz val="11"/>
        <rFont val="Calibri"/>
        <family val="2"/>
        <scheme val="minor"/>
      </rPr>
      <t xml:space="preserve">
Travail effectué
</t>
    </r>
    <r>
      <rPr>
        <sz val="11"/>
        <rFont val="Calibri"/>
        <family val="2"/>
        <scheme val="minor"/>
      </rPr>
      <t>1/ A partir de la balance auxiliaire provisioire en date du XX/XX/XXXX, sélectionner les encours débiteurs les plus significatifs (cf. procédure circularisations dans Sharepoint)
2/ Emettre des courriers de demande de confirmation de soldes
3/ Exploiter les réponses de circularisations reçues
4/ En cas de non réponse, procéder à une analyse de l'encours par procédure alternative, cf.</t>
    </r>
    <r>
      <rPr>
        <b/>
        <sz val="11"/>
        <rFont val="Calibri"/>
        <family val="2"/>
        <scheme val="minor"/>
      </rPr>
      <t xml:space="preserve"> V610</t>
    </r>
  </si>
  <si>
    <t>Dépréciation</t>
  </si>
  <si>
    <t>Montant de la facture HT</t>
  </si>
  <si>
    <r>
      <t>Objectif</t>
    </r>
    <r>
      <rPr>
        <sz val="11"/>
        <rFont val="Calibri"/>
        <family val="2"/>
        <scheme val="minor"/>
      </rPr>
      <t xml:space="preserve">
Exhaustivité et évaluation des AAE
</t>
    </r>
    <r>
      <rPr>
        <b/>
        <u/>
        <sz val="11"/>
        <rFont val="Calibri"/>
        <family val="2"/>
        <scheme val="minor"/>
      </rPr>
      <t>Travail effectué</t>
    </r>
    <r>
      <rPr>
        <sz val="11"/>
        <rFont val="Calibri"/>
        <family val="2"/>
        <scheme val="minor"/>
      </rPr>
      <t xml:space="preserve">
Obtenir les détails des comptes de AAE et les cadrer avec la balance générale et effectuer les contrôles arithmétiques nécessaires.
Procéder par revue analytique : identifier les principaux AAE et identifier si ce sont des éléments récurrents (à partir des détails N-1), la nature des AAE (avoirs sur factures, RFA,...). Investiguer notamment en cas d'absence d'AAE que l'on sait de nature récurrente. Selon l'approche d'audit retenue sur le dossier (en lien notamment avec l'assurance que l'on a sur le process Clients/Ventes et les autres tests de détail menés sur les clients notamment le cut off), cette revue analytique peut être suffisante pour contrôler l'exhaustivité et l'exactitude des AAE.
Pour les AAE &gt; SI, obtenir les justificatifs : avoirs émis sur la période 
Pour les RFA, cf. </t>
    </r>
    <r>
      <rPr>
        <b/>
        <sz val="11"/>
        <color rgb="FFFF0000"/>
        <rFont val="Calibri"/>
        <family val="2"/>
        <scheme val="minor"/>
      </rPr>
      <t>V525</t>
    </r>
    <r>
      <rPr>
        <sz val="11"/>
        <rFont val="Calibri"/>
        <family val="2"/>
        <scheme val="minor"/>
      </rPr>
      <t xml:space="preserve">
A partir du journal d'achat de janvier N+1 sélection des avoirs HT &gt; à SI et contrôle de la nécessité de provisionner un AAE à la clôture.</t>
    </r>
  </si>
  <si>
    <t>Total RFA comptabilisée</t>
  </si>
  <si>
    <t xml:space="preserve">Scope </t>
  </si>
  <si>
    <t>Montant non apuré à la date d'intervention</t>
  </si>
  <si>
    <t>Taux d'apurement à la date d'intervention</t>
  </si>
  <si>
    <t>Palmarès clients</t>
  </si>
  <si>
    <t>V710 Palmarès clients</t>
  </si>
  <si>
    <t>BRA</t>
  </si>
  <si>
    <t>Cf. V0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</si>
</sst>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0.00\ &quot;€&quot;_-;\-* #,##0.00\ &quot;€&quot;_-;_-* &quot;-&quot;??\ &quot;€&quot;_-;_-@_-"/>
    <numFmt numFmtId="164" formatCode="_-* #,##0\ _€_-;\-* #,##0\ _€_-;_-* &quot;-&quot;\ _€_-;_-@_-"/>
    <numFmt numFmtId="165" formatCode="_-* #,##0.00\ _€_-;\-* #,##0.00\ _€_-;_-* &quot;-&quot;??\ _€_-;_-@_-"/>
    <numFmt numFmtId="166" formatCode="_-* #,##0\ _€_-;\-* #,##0\ _€_-;_-* &quot;-&quot;??\ _€_-;_-@_-"/>
    <numFmt numFmtId="167" formatCode="_-* #,##0.0\ _€_-;\-* #,##0.0\ _€_-;_-* &quot;-&quot;??\ _€_-;_-@_-"/>
    <numFmt numFmtId="168" formatCode="#,##0_ ;\-#,##0\ "/>
    <numFmt numFmtId="169" formatCode="_(* #,##0_);_(* \(#,##0\);_(* &quot;-&quot;_);_(@_)"/>
    <numFmt numFmtId="170" formatCode="d\-mmm\-yy"/>
    <numFmt numFmtId="171" formatCode="dd/mm/yy"/>
    <numFmt numFmtId="172" formatCode="General_)"/>
    <numFmt numFmtId="173" formatCode="#,##0.00_);\(#,##0.00\)"/>
    <numFmt numFmtId="174" formatCode="_(* #,##0.00_);_(* \(#,##0.00\);_(* &quot;-&quot;_);_(@_)"/>
    <numFmt numFmtId="175" formatCode="0.0%"/>
    <numFmt numFmtId="176" formatCode="[$-40C]d\-mmm\-yy;@"/>
    <numFmt numFmtId="177" formatCode="_-* #,##0.00_ _€_-;\-* #,##0.00_ _€_-;_-* &quot;-&quot;??_ _€_-;_-@_-"/>
  </numFmts>
  <fonts count="7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Calibri"/>
      <family val="2"/>
      <scheme val="minor"/>
    </font>
    <font>
      <b/>
      <sz val="12"/>
      <name val="Calibri"/>
      <family val="2"/>
      <scheme val="minor"/>
    </font>
    <font>
      <u/>
      <sz val="12"/>
      <name val="Calibri"/>
      <family val="2"/>
      <scheme val="minor"/>
    </font>
    <font>
      <b/>
      <sz val="11"/>
      <name val="Calibri"/>
      <family val="2"/>
      <scheme val="minor"/>
    </font>
    <font>
      <sz val="8"/>
      <name val="Calibri"/>
      <family val="2"/>
      <scheme val="minor"/>
    </font>
    <font>
      <b/>
      <sz val="14"/>
      <name val="Calibri"/>
      <family val="2"/>
      <scheme val="minor"/>
    </font>
    <font>
      <sz val="14"/>
      <name val="Calibri"/>
      <family val="2"/>
      <scheme val="minor"/>
    </font>
    <font>
      <sz val="11"/>
      <name val="Calibri"/>
      <family val="2"/>
      <scheme val="minor"/>
    </font>
    <font>
      <sz val="9"/>
      <name val="Calibri"/>
      <family val="2"/>
      <scheme val="minor"/>
    </font>
    <font>
      <b/>
      <sz val="12"/>
      <color rgb="FFFF0000"/>
      <name val="Calibri"/>
      <family val="2"/>
      <scheme val="minor"/>
    </font>
    <font>
      <b/>
      <i/>
      <sz val="13"/>
      <name val="Calibri"/>
      <family val="2"/>
      <scheme val="minor"/>
    </font>
    <font>
      <b/>
      <sz val="17"/>
      <name val="Calibri"/>
      <family val="2"/>
      <scheme val="minor"/>
    </font>
    <font>
      <b/>
      <sz val="11"/>
      <color rgb="FFFF0000"/>
      <name val="Calibri"/>
      <family val="2"/>
      <scheme val="minor"/>
    </font>
    <font>
      <sz val="13"/>
      <name val="Calibri"/>
      <family val="2"/>
      <scheme val="minor"/>
    </font>
    <font>
      <i/>
      <sz val="11"/>
      <name val="Calibri"/>
      <family val="2"/>
      <scheme val="minor"/>
    </font>
    <font>
      <b/>
      <u/>
      <sz val="11"/>
      <name val="Calibri"/>
      <family val="2"/>
      <scheme val="minor"/>
    </font>
    <font>
      <b/>
      <sz val="10"/>
      <name val="Arial"/>
      <family val="2"/>
    </font>
    <font>
      <sz val="11"/>
      <name val="Arial Narrow"/>
      <family val="2"/>
    </font>
    <font>
      <b/>
      <sz val="11"/>
      <name val="Arial Narrow"/>
      <family val="2"/>
    </font>
    <font>
      <b/>
      <i/>
      <sz val="11"/>
      <name val="Calibri"/>
      <family val="2"/>
      <scheme val="minor"/>
    </font>
    <font>
      <u/>
      <sz val="8"/>
      <color theme="10"/>
      <name val="Trebuchet MS"/>
      <family val="2"/>
    </font>
    <font>
      <u/>
      <sz val="11"/>
      <color theme="10"/>
      <name val="Calibri"/>
      <family val="2"/>
      <scheme val="minor"/>
    </font>
    <font>
      <sz val="11"/>
      <name val="Times New Roman"/>
      <family val="1"/>
    </font>
    <font>
      <b/>
      <i/>
      <sz val="11"/>
      <name val="Arial Narrow"/>
      <family val="2"/>
    </font>
    <font>
      <b/>
      <i/>
      <sz val="11"/>
      <color rgb="FF0070C0"/>
      <name val="Calibri"/>
      <family val="2"/>
      <scheme val="minor"/>
    </font>
    <font>
      <sz val="11"/>
      <color indexed="10"/>
      <name val="Calibri"/>
      <family val="2"/>
      <scheme val="minor"/>
    </font>
    <font>
      <sz val="11"/>
      <color indexed="56"/>
      <name val="Calibri"/>
      <family val="2"/>
      <scheme val="minor"/>
    </font>
    <font>
      <u/>
      <sz val="10"/>
      <name val="Arial"/>
      <family val="2"/>
    </font>
    <font>
      <sz val="10"/>
      <name val="Geneva"/>
    </font>
    <font>
      <b/>
      <i/>
      <sz val="10"/>
      <name val="Arial"/>
      <family val="2"/>
    </font>
    <font>
      <b/>
      <u/>
      <sz val="11"/>
      <color theme="3" tint="0.39997558519241921"/>
      <name val="Calibri"/>
      <family val="2"/>
      <scheme val="minor"/>
    </font>
    <font>
      <b/>
      <sz val="11"/>
      <color rgb="FF006600"/>
      <name val="Calibri"/>
      <family val="2"/>
      <scheme val="minor"/>
    </font>
    <font>
      <b/>
      <sz val="11"/>
      <color theme="1"/>
      <name val="Calibri"/>
      <family val="2"/>
      <scheme val="minor"/>
    </font>
    <font>
      <b/>
      <i/>
      <u/>
      <sz val="11"/>
      <name val="Calibri"/>
      <family val="2"/>
      <scheme val="minor"/>
    </font>
    <font>
      <b/>
      <sz val="11"/>
      <color indexed="10"/>
      <name val="Calibri"/>
      <family val="2"/>
      <scheme val="minor"/>
    </font>
    <font>
      <sz val="11"/>
      <color rgb="FFFF0000"/>
      <name val="Calibri"/>
      <family val="2"/>
      <scheme val="minor"/>
    </font>
    <font>
      <sz val="11"/>
      <name val="Calibri"/>
      <family val="2"/>
      <scheme val="minor"/>
    </font>
    <font>
      <b/>
      <sz val="11"/>
      <name val="Calibri"/>
      <family val="2"/>
      <scheme val="minor"/>
    </font>
    <font>
      <sz val="13"/>
      <name val="Calibri"/>
      <family val="2"/>
      <scheme val="minor"/>
    </font>
    <font>
      <b/>
      <sz val="12"/>
      <name val="Calibri"/>
      <family val="2"/>
      <scheme val="minor"/>
    </font>
    <font>
      <b/>
      <sz val="12"/>
      <color rgb="FFFF0000"/>
      <name val="Calibri"/>
      <family val="2"/>
      <scheme val="minor"/>
    </font>
    <font>
      <u/>
      <sz val="11"/>
      <name val="Calibri"/>
      <family val="2"/>
      <scheme val="minor"/>
    </font>
    <font>
      <sz val="11"/>
      <name val="Calibri"/>
      <family val="2"/>
      <scheme val="minor"/>
    </font>
    <font>
      <b/>
      <sz val="11"/>
      <name val="Calibri"/>
      <family val="2"/>
      <scheme val="minor"/>
    </font>
    <font>
      <sz val="13"/>
      <name val="Calibri"/>
      <family val="2"/>
      <scheme val="minor"/>
    </font>
    <font>
      <b/>
      <sz val="12"/>
      <name val="Calibri"/>
      <family val="2"/>
      <scheme val="minor"/>
    </font>
    <font>
      <b/>
      <sz val="12"/>
      <color rgb="FFFF0000"/>
      <name val="Calibri"/>
      <family val="2"/>
      <scheme val="minor"/>
    </font>
    <font>
      <b/>
      <sz val="11"/>
      <color indexed="17"/>
      <name val="Calibri"/>
      <family val="2"/>
      <scheme val="minor"/>
    </font>
    <font>
      <b/>
      <sz val="11"/>
      <name val="Calibri"/>
      <family val="2"/>
      <scheme val="minor"/>
    </font>
    <font>
      <sz val="11"/>
      <name val="Calibri"/>
      <family val="2"/>
      <scheme val="minor"/>
    </font>
    <font>
      <sz val="10"/>
      <name val="Trebuchet MS"/>
      <family val="2"/>
    </font>
    <font>
      <b/>
      <sz val="11"/>
      <color rgb="FFFF0000"/>
      <name val="Wingdings 2"/>
      <family val="1"/>
      <charset val="2"/>
    </font>
    <font>
      <b/>
      <sz val="11"/>
      <color rgb="FFFF0000"/>
      <name val="Wingdings"/>
      <charset val="2"/>
    </font>
    <font>
      <b/>
      <sz val="11"/>
      <color rgb="FFFF0000"/>
      <name val="Calibri"/>
      <family val="2"/>
    </font>
    <font>
      <b/>
      <sz val="11"/>
      <color rgb="FFFF0000"/>
      <name val="Wingdings 3"/>
      <family val="1"/>
      <charset val="2"/>
    </font>
    <font>
      <u/>
      <sz val="10"/>
      <color theme="10"/>
      <name val="Calibri"/>
      <family val="2"/>
      <scheme val="minor"/>
    </font>
    <font>
      <b/>
      <sz val="10"/>
      <name val="Calibri"/>
      <family val="2"/>
      <scheme val="minor"/>
    </font>
    <font>
      <b/>
      <sz val="11"/>
      <color indexed="60"/>
      <name val="Calibri"/>
      <family val="2"/>
      <scheme val="minor"/>
    </font>
    <font>
      <i/>
      <u/>
      <sz val="11"/>
      <name val="Calibri"/>
      <family val="2"/>
      <scheme val="minor"/>
    </font>
    <font>
      <u/>
      <sz val="10"/>
      <color indexed="12"/>
      <name val="Garamond"/>
      <family val="1"/>
    </font>
    <font>
      <sz val="10"/>
      <name val="Times New Roman"/>
      <family val="1"/>
    </font>
    <font>
      <sz val="10"/>
      <name val="Verdana"/>
      <family val="2"/>
    </font>
    <font>
      <sz val="10"/>
      <name val="Verdana"/>
      <family val="2"/>
    </font>
    <font>
      <u/>
      <sz val="8"/>
      <color rgb="FFFF0000"/>
      <name val="Trebuchet MS"/>
      <family val="2"/>
    </font>
    <font>
      <b/>
      <sz val="10"/>
      <name val="Arial Narrow"/>
      <family val="2"/>
    </font>
    <font>
      <b/>
      <sz val="8"/>
      <name val="Arial Narrow"/>
      <family val="2"/>
    </font>
    <font>
      <sz val="10"/>
      <color rgb="FFFF0000"/>
      <name val="Arial"/>
      <family val="2"/>
    </font>
    <font>
      <b/>
      <sz val="10"/>
      <color rgb="FFFF0000"/>
      <name val="Arial"/>
      <family val="2"/>
    </font>
  </fonts>
  <fills count="11">
    <fill>
      <patternFill patternType="none"/>
    </fill>
    <fill>
      <patternFill patternType="gray125"/>
    </fill>
    <fill>
      <patternFill patternType="solid">
        <fgColor indexed="27"/>
        <bgColor indexed="41"/>
      </patternFill>
    </fill>
    <fill>
      <patternFill patternType="solid">
        <fgColor indexed="9"/>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0.14996795556505021"/>
        <bgColor auto="1"/>
      </patternFill>
    </fill>
    <fill>
      <patternFill patternType="solid">
        <fgColor indexed="65"/>
        <bgColor auto="1"/>
      </patternFill>
    </fill>
    <fill>
      <patternFill patternType="solid">
        <fgColor theme="0"/>
        <bgColor indexed="64"/>
      </patternFill>
    </fill>
    <fill>
      <patternFill patternType="solid">
        <fgColor rgb="FF002060"/>
        <bgColor indexed="64"/>
      </patternFill>
    </fill>
  </fills>
  <borders count="154">
    <border>
      <left/>
      <right/>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dotted">
        <color indexed="64"/>
      </left>
      <right/>
      <top style="medium">
        <color indexed="64"/>
      </top>
      <bottom style="medium">
        <color indexed="64"/>
      </bottom>
      <diagonal/>
    </border>
    <border>
      <left style="thin">
        <color indexed="64"/>
      </left>
      <right style="thin">
        <color indexed="64"/>
      </right>
      <top style="medium">
        <color auto="1"/>
      </top>
      <bottom/>
      <diagonal/>
    </border>
    <border>
      <left style="thin">
        <color indexed="64"/>
      </left>
      <right style="thin">
        <color indexed="64"/>
      </right>
      <top/>
      <bottom/>
      <diagonal/>
    </border>
    <border>
      <left style="thin">
        <color indexed="64"/>
      </left>
      <right style="thin">
        <color indexed="64"/>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style="medium">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auto="1"/>
      </left>
      <right/>
      <top style="thin">
        <color auto="1"/>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hair">
        <color indexed="64"/>
      </left>
      <right style="medium">
        <color indexed="64"/>
      </right>
      <top style="hair">
        <color indexed="64"/>
      </top>
      <bottom style="thin">
        <color indexed="64"/>
      </bottom>
      <diagonal/>
    </border>
    <border>
      <left style="medium">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thin">
        <color indexed="64"/>
      </left>
      <right style="medium">
        <color indexed="64"/>
      </right>
      <top/>
      <bottom style="medium">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medium">
        <color indexed="64"/>
      </left>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thin">
        <color indexed="64"/>
      </bottom>
      <diagonal/>
    </border>
    <border>
      <left style="hair">
        <color indexed="64"/>
      </left>
      <right/>
      <top style="thin">
        <color indexed="64"/>
      </top>
      <bottom style="thin">
        <color indexed="64"/>
      </bottom>
      <diagonal/>
    </border>
    <border>
      <left/>
      <right style="thin">
        <color indexed="64"/>
      </right>
      <top style="medium">
        <color indexed="64"/>
      </top>
      <bottom/>
      <diagonal/>
    </border>
    <border>
      <left/>
      <right/>
      <top style="thin">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hair">
        <color indexed="64"/>
      </left>
      <right style="thin">
        <color auto="1"/>
      </right>
      <top style="hair">
        <color indexed="64"/>
      </top>
      <bottom style="hair">
        <color indexed="64"/>
      </bottom>
      <diagonal/>
    </border>
    <border>
      <left style="hair">
        <color indexed="64"/>
      </left>
      <right style="hair">
        <color indexed="64"/>
      </right>
      <top style="hair">
        <color indexed="64"/>
      </top>
      <bottom style="thin">
        <color auto="1"/>
      </bottom>
      <diagonal/>
    </border>
    <border>
      <left/>
      <right/>
      <top style="hair">
        <color indexed="64"/>
      </top>
      <bottom style="thin">
        <color auto="1"/>
      </bottom>
      <diagonal/>
    </border>
    <border>
      <left/>
      <right style="hair">
        <color indexed="64"/>
      </right>
      <top style="hair">
        <color indexed="64"/>
      </top>
      <bottom style="thin">
        <color auto="1"/>
      </bottom>
      <diagonal/>
    </border>
    <border>
      <left style="hair">
        <color indexed="64"/>
      </left>
      <right style="thin">
        <color auto="1"/>
      </right>
      <top style="hair">
        <color indexed="64"/>
      </top>
      <bottom style="thin">
        <color auto="1"/>
      </bottom>
      <diagonal/>
    </border>
    <border>
      <left style="thin">
        <color auto="1"/>
      </left>
      <right/>
      <top style="thin">
        <color indexed="64"/>
      </top>
      <bottom style="hair">
        <color indexed="64"/>
      </bottom>
      <diagonal/>
    </border>
    <border>
      <left style="thin">
        <color auto="1"/>
      </left>
      <right/>
      <top style="hair">
        <color indexed="64"/>
      </top>
      <bottom style="hair">
        <color indexed="64"/>
      </bottom>
      <diagonal/>
    </border>
    <border>
      <left style="thin">
        <color auto="1"/>
      </left>
      <right/>
      <top style="hair">
        <color indexed="64"/>
      </top>
      <bottom style="thin">
        <color auto="1"/>
      </bottom>
      <diagonal/>
    </border>
    <border>
      <left style="medium">
        <color indexed="64"/>
      </left>
      <right style="hair">
        <color indexed="64"/>
      </right>
      <top style="hair">
        <color indexed="64"/>
      </top>
      <bottom style="thin">
        <color indexed="64"/>
      </bottom>
      <diagonal/>
    </border>
    <border>
      <left/>
      <right style="thin">
        <color auto="1"/>
      </right>
      <top style="thin">
        <color indexed="64"/>
      </top>
      <bottom style="hair">
        <color indexed="64"/>
      </bottom>
      <diagonal/>
    </border>
    <border>
      <left/>
      <right style="thin">
        <color auto="1"/>
      </right>
      <top style="hair">
        <color indexed="64"/>
      </top>
      <bottom style="hair">
        <color indexed="64"/>
      </bottom>
      <diagonal/>
    </border>
    <border>
      <left/>
      <right style="thin">
        <color indexed="64"/>
      </right>
      <top style="hair">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8"/>
      </left>
      <right style="thin">
        <color indexed="8"/>
      </right>
      <top style="thin">
        <color indexed="64"/>
      </top>
      <bottom style="hair">
        <color indexed="64"/>
      </bottom>
      <diagonal/>
    </border>
    <border>
      <left style="thin">
        <color indexed="8"/>
      </left>
      <right/>
      <top style="thin">
        <color indexed="64"/>
      </top>
      <bottom style="hair">
        <color indexed="64"/>
      </bottom>
      <diagonal/>
    </border>
    <border>
      <left style="thin">
        <color indexed="8"/>
      </left>
      <right style="thin">
        <color indexed="8"/>
      </right>
      <top style="hair">
        <color indexed="64"/>
      </top>
      <bottom style="hair">
        <color indexed="64"/>
      </bottom>
      <diagonal/>
    </border>
    <border>
      <left style="thin">
        <color indexed="8"/>
      </left>
      <right/>
      <top style="hair">
        <color indexed="64"/>
      </top>
      <bottom style="hair">
        <color indexed="64"/>
      </bottom>
      <diagonal/>
    </border>
    <border>
      <left style="thin">
        <color indexed="64"/>
      </left>
      <right/>
      <top style="hair">
        <color indexed="64"/>
      </top>
      <bottom style="hair">
        <color indexed="64"/>
      </bottom>
      <diagonal/>
    </border>
    <border>
      <left style="thin">
        <color indexed="8"/>
      </left>
      <right style="thin">
        <color indexed="8"/>
      </right>
      <top style="hair">
        <color indexed="64"/>
      </top>
      <bottom style="thin">
        <color indexed="64"/>
      </bottom>
      <diagonal/>
    </border>
    <border>
      <left style="thin">
        <color indexed="8"/>
      </left>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top style="thin">
        <color indexed="64"/>
      </top>
      <bottom style="hair">
        <color indexed="64"/>
      </bottom>
      <diagonal/>
    </border>
    <border>
      <left style="medium">
        <color indexed="64"/>
      </left>
      <right style="thin">
        <color indexed="8"/>
      </right>
      <top style="thin">
        <color indexed="64"/>
      </top>
      <bottom style="hair">
        <color indexed="64"/>
      </bottom>
      <diagonal/>
    </border>
    <border>
      <left style="medium">
        <color indexed="64"/>
      </left>
      <right style="thin">
        <color indexed="8"/>
      </right>
      <top style="hair">
        <color indexed="64"/>
      </top>
      <bottom style="hair">
        <color indexed="64"/>
      </bottom>
      <diagonal/>
    </border>
    <border>
      <left style="medium">
        <color indexed="64"/>
      </left>
      <right style="thin">
        <color indexed="8"/>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indexed="64"/>
      </left>
      <right style="thin">
        <color auto="1"/>
      </right>
      <top style="thin">
        <color indexed="64"/>
      </top>
      <bottom/>
      <diagonal/>
    </border>
    <border>
      <left style="thin">
        <color indexed="64"/>
      </left>
      <right style="thin">
        <color auto="1"/>
      </right>
      <top/>
      <bottom style="thin">
        <color auto="1"/>
      </bottom>
      <diagonal/>
    </border>
    <border>
      <left style="hair">
        <color indexed="64"/>
      </left>
      <right/>
      <top style="thin">
        <color indexed="64"/>
      </top>
      <bottom/>
      <diagonal/>
    </border>
    <border>
      <left style="thin">
        <color indexed="64"/>
      </left>
      <right/>
      <top style="hair">
        <color indexed="64"/>
      </top>
      <bottom/>
      <diagonal/>
    </border>
    <border>
      <left style="thin">
        <color auto="1"/>
      </left>
      <right/>
      <top/>
      <bottom style="hair">
        <color indexed="64"/>
      </bottom>
      <diagonal/>
    </border>
    <border>
      <left/>
      <right/>
      <top/>
      <bottom style="hair">
        <color indexed="64"/>
      </bottom>
      <diagonal/>
    </border>
    <border>
      <left style="thin">
        <color auto="1"/>
      </left>
      <right style="thin">
        <color auto="1"/>
      </right>
      <top style="hair">
        <color auto="1"/>
      </top>
      <bottom/>
      <diagonal/>
    </border>
    <border>
      <left style="dashed">
        <color auto="1"/>
      </left>
      <right style="medium">
        <color auto="1"/>
      </right>
      <top style="medium">
        <color auto="1"/>
      </top>
      <bottom/>
      <diagonal/>
    </border>
    <border>
      <left style="dashed">
        <color auto="1"/>
      </left>
      <right style="medium">
        <color auto="1"/>
      </right>
      <top/>
      <bottom style="medium">
        <color auto="1"/>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top style="double">
        <color indexed="64"/>
      </top>
      <bottom style="thin">
        <color indexed="64"/>
      </bottom>
      <diagonal/>
    </border>
    <border>
      <left style="medium">
        <color auto="1"/>
      </left>
      <right/>
      <top/>
      <bottom style="thin">
        <color indexed="64"/>
      </bottom>
      <diagonal/>
    </border>
    <border>
      <left style="medium">
        <color auto="1"/>
      </left>
      <right style="thin">
        <color indexed="64"/>
      </right>
      <top/>
      <bottom style="hair">
        <color indexed="64"/>
      </bottom>
      <diagonal/>
    </border>
    <border>
      <left/>
      <right style="medium">
        <color auto="1"/>
      </right>
      <top/>
      <bottom style="hair">
        <color indexed="64"/>
      </bottom>
      <diagonal/>
    </border>
    <border>
      <left/>
      <right style="medium">
        <color indexed="64"/>
      </right>
      <top/>
      <bottom style="thin">
        <color auto="1"/>
      </bottom>
      <diagonal/>
    </border>
    <border>
      <left/>
      <right style="thin">
        <color indexed="64"/>
      </right>
      <top style="double">
        <color indexed="64"/>
      </top>
      <bottom style="thin">
        <color indexed="64"/>
      </bottom>
      <diagonal/>
    </border>
    <border>
      <left style="thin">
        <color indexed="64"/>
      </left>
      <right/>
      <top style="hair">
        <color indexed="64"/>
      </top>
      <bottom style="thin">
        <color indexed="64"/>
      </bottom>
      <diagonal/>
    </border>
    <border>
      <left style="thin">
        <color indexed="64"/>
      </left>
      <right/>
      <top style="hair">
        <color indexed="64"/>
      </top>
      <bottom style="thin">
        <color indexed="64"/>
      </bottom>
      <diagonal/>
    </border>
    <border>
      <left style="thin">
        <color auto="1"/>
      </left>
      <right style="thin">
        <color auto="1"/>
      </right>
      <top style="hair">
        <color auto="1"/>
      </top>
      <bottom style="thin">
        <color auto="1"/>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hair">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style="thin">
        <color indexed="8"/>
      </right>
      <top style="thin">
        <color indexed="64"/>
      </top>
      <bottom style="hair">
        <color indexed="64"/>
      </bottom>
      <diagonal/>
    </border>
    <border>
      <left style="thin">
        <color indexed="64"/>
      </left>
      <right style="thin">
        <color indexed="8"/>
      </right>
      <top style="hair">
        <color indexed="64"/>
      </top>
      <bottom style="hair">
        <color indexed="64"/>
      </bottom>
      <diagonal/>
    </border>
    <border>
      <left style="thin">
        <color indexed="64"/>
      </left>
      <right style="thin">
        <color indexed="8"/>
      </right>
      <top style="hair">
        <color indexed="64"/>
      </top>
      <bottom style="thin">
        <color indexed="64"/>
      </bottom>
      <diagonal/>
    </border>
    <border>
      <left/>
      <right style="medium">
        <color auto="1"/>
      </right>
      <top style="thin">
        <color auto="1"/>
      </top>
      <bottom/>
      <diagonal/>
    </border>
  </borders>
  <cellStyleXfs count="24">
    <xf numFmtId="0" fontId="0" fillId="0" borderId="0"/>
    <xf numFmtId="165" fontId="6" fillId="0" borderId="0" applyFont="0" applyFill="0" applyBorder="0" applyAlignment="0" applyProtection="0"/>
    <xf numFmtId="9" fontId="7" fillId="0" borderId="0" applyFont="0" applyFill="0" applyBorder="0" applyAlignment="0" applyProtection="0"/>
    <xf numFmtId="0" fontId="7" fillId="0" borderId="0"/>
    <xf numFmtId="49" fontId="7" fillId="2" borderId="0" applyFont="0" applyBorder="0" applyProtection="0">
      <alignment vertical="center" readingOrder="1"/>
    </xf>
    <xf numFmtId="0" fontId="28" fillId="0" borderId="0" applyNumberFormat="0" applyFill="0" applyBorder="0" applyAlignment="0" applyProtection="0">
      <alignment vertical="top"/>
      <protection locked="0"/>
    </xf>
    <xf numFmtId="0" fontId="7" fillId="0" borderId="0"/>
    <xf numFmtId="0" fontId="30" fillId="0" borderId="0"/>
    <xf numFmtId="9" fontId="30" fillId="0" borderId="0" applyFont="0" applyFill="0" applyBorder="0" applyAlignment="0" applyProtection="0"/>
    <xf numFmtId="0" fontId="7" fillId="0" borderId="0"/>
    <xf numFmtId="172" fontId="7" fillId="0" borderId="0"/>
    <xf numFmtId="0" fontId="7" fillId="0" borderId="0"/>
    <xf numFmtId="0" fontId="7" fillId="0" borderId="0"/>
    <xf numFmtId="9" fontId="7" fillId="0" borderId="0" applyFont="0" applyFill="0" applyBorder="0" applyAlignment="0" applyProtection="0"/>
    <xf numFmtId="0" fontId="58" fillId="0" borderId="0"/>
    <xf numFmtId="165" fontId="3"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67" fillId="0" borderId="0" applyNumberFormat="0" applyFill="0" applyBorder="0" applyAlignment="0" applyProtection="0">
      <alignment vertical="top"/>
      <protection locked="0"/>
    </xf>
    <xf numFmtId="0" fontId="68" fillId="0" borderId="0"/>
    <xf numFmtId="0" fontId="69" fillId="0" borderId="0"/>
    <xf numFmtId="0" fontId="70" fillId="0" borderId="0"/>
    <xf numFmtId="177" fontId="70" fillId="0" borderId="0" applyFont="0" applyFill="0" applyBorder="0" applyAlignment="0" applyProtection="0"/>
    <xf numFmtId="0" fontId="70" fillId="0" borderId="0"/>
  </cellStyleXfs>
  <cellXfs count="1249">
    <xf numFmtId="0" fontId="0" fillId="0" borderId="0" xfId="0"/>
    <xf numFmtId="0" fontId="8" fillId="0" borderId="0" xfId="0" applyFont="1" applyAlignment="1" applyProtection="1">
      <alignment vertical="center"/>
      <protection locked="0"/>
    </xf>
    <xf numFmtId="0" fontId="10" fillId="0" borderId="0" xfId="0" applyFont="1" applyProtection="1">
      <protection locked="0"/>
    </xf>
    <xf numFmtId="49" fontId="11" fillId="0" borderId="0" xfId="0" applyNumberFormat="1" applyFont="1" applyAlignment="1" applyProtection="1">
      <alignment horizontal="right"/>
      <protection locked="0"/>
    </xf>
    <xf numFmtId="49" fontId="8" fillId="0" borderId="0" xfId="0" applyNumberFormat="1" applyFont="1" applyAlignment="1" applyProtection="1">
      <alignment horizontal="right"/>
      <protection locked="0"/>
    </xf>
    <xf numFmtId="0" fontId="11" fillId="0" borderId="0" xfId="0" applyFont="1" applyAlignment="1" applyProtection="1">
      <alignment horizontal="left"/>
      <protection locked="0"/>
    </xf>
    <xf numFmtId="0" fontId="9" fillId="0" borderId="0" xfId="0" applyFont="1" applyAlignment="1" applyProtection="1">
      <alignment horizontal="left"/>
      <protection locked="0"/>
    </xf>
    <xf numFmtId="0" fontId="8" fillId="0" borderId="0" xfId="0" applyFont="1" applyProtection="1">
      <protection locked="0"/>
    </xf>
    <xf numFmtId="49" fontId="9" fillId="0" borderId="0" xfId="0" applyNumberFormat="1" applyFont="1" applyAlignment="1" applyProtection="1">
      <alignment horizontal="right"/>
      <protection locked="0"/>
    </xf>
    <xf numFmtId="0" fontId="10" fillId="0" borderId="0" xfId="0" applyFont="1" applyAlignment="1" applyProtection="1">
      <alignment vertical="center"/>
      <protection locked="0"/>
    </xf>
    <xf numFmtId="14" fontId="13" fillId="0" borderId="14" xfId="0" applyNumberFormat="1" applyFont="1" applyBorder="1" applyAlignment="1" applyProtection="1">
      <alignment vertical="center"/>
      <protection locked="0"/>
    </xf>
    <xf numFmtId="14" fontId="13" fillId="0" borderId="15" xfId="0" applyNumberFormat="1" applyFont="1" applyBorder="1" applyAlignment="1" applyProtection="1">
      <alignment vertical="center"/>
      <protection locked="0"/>
    </xf>
    <xf numFmtId="14" fontId="13" fillId="0" borderId="16" xfId="0" applyNumberFormat="1" applyFont="1" applyBorder="1" applyAlignment="1" applyProtection="1">
      <alignment vertical="center"/>
      <protection locked="0"/>
    </xf>
    <xf numFmtId="14" fontId="13" fillId="0" borderId="17" xfId="0" applyNumberFormat="1" applyFont="1" applyBorder="1" applyAlignment="1" applyProtection="1">
      <alignment vertical="center"/>
      <protection locked="0"/>
    </xf>
    <xf numFmtId="14" fontId="13" fillId="0" borderId="0" xfId="0" applyNumberFormat="1" applyFont="1" applyAlignment="1" applyProtection="1">
      <alignment vertical="center"/>
      <protection locked="0"/>
    </xf>
    <xf numFmtId="14" fontId="13" fillId="0" borderId="18" xfId="0" applyNumberFormat="1" applyFont="1" applyBorder="1" applyAlignment="1" applyProtection="1">
      <alignment vertical="center"/>
      <protection locked="0"/>
    </xf>
    <xf numFmtId="14" fontId="16" fillId="0" borderId="0" xfId="0" applyNumberFormat="1" applyFont="1" applyAlignment="1" applyProtection="1">
      <alignment vertical="center"/>
      <protection locked="0"/>
    </xf>
    <xf numFmtId="0" fontId="11" fillId="0" borderId="14" xfId="0" applyFont="1" applyBorder="1" applyAlignment="1" applyProtection="1">
      <alignment vertical="center"/>
      <protection locked="0"/>
    </xf>
    <xf numFmtId="0" fontId="11" fillId="0" borderId="19" xfId="0" applyFont="1" applyBorder="1" applyAlignment="1" applyProtection="1">
      <alignment vertical="center"/>
      <protection locked="0"/>
    </xf>
    <xf numFmtId="0" fontId="11" fillId="0" borderId="0" xfId="0" applyFont="1" applyAlignment="1" applyProtection="1">
      <alignment vertical="center"/>
      <protection locked="0"/>
    </xf>
    <xf numFmtId="0" fontId="15" fillId="0" borderId="0" xfId="0" applyFont="1" applyAlignment="1" applyProtection="1">
      <alignment horizontal="center" vertical="center"/>
      <protection locked="0"/>
    </xf>
    <xf numFmtId="49" fontId="14" fillId="0" borderId="0" xfId="0" applyNumberFormat="1" applyFont="1" applyAlignment="1" applyProtection="1">
      <alignment horizontal="center" vertical="center"/>
      <protection locked="0"/>
    </xf>
    <xf numFmtId="14" fontId="15" fillId="0" borderId="0" xfId="0" applyNumberFormat="1" applyFont="1" applyAlignment="1" applyProtection="1">
      <alignment horizontal="center" vertical="center"/>
      <protection locked="0"/>
    </xf>
    <xf numFmtId="0" fontId="17" fillId="0" borderId="0" xfId="0" applyFont="1" applyAlignment="1" applyProtection="1">
      <alignment horizontal="center" vertical="center"/>
      <protection locked="0"/>
    </xf>
    <xf numFmtId="0" fontId="8" fillId="0" borderId="0" xfId="0" applyFont="1" applyAlignment="1" applyProtection="1">
      <alignment horizontal="left"/>
      <protection locked="0"/>
    </xf>
    <xf numFmtId="0" fontId="11" fillId="0" borderId="15" xfId="0" applyFont="1" applyBorder="1" applyAlignment="1" applyProtection="1">
      <alignment vertical="center" wrapText="1"/>
      <protection locked="0"/>
    </xf>
    <xf numFmtId="0" fontId="15" fillId="0" borderId="0" xfId="0" applyFont="1" applyProtection="1">
      <protection locked="0"/>
    </xf>
    <xf numFmtId="0" fontId="12" fillId="0" borderId="0" xfId="0" applyFont="1" applyAlignment="1" applyProtection="1">
      <alignment horizontal="center" vertical="center"/>
      <protection locked="0"/>
    </xf>
    <xf numFmtId="0" fontId="8" fillId="0" borderId="0" xfId="0" applyFont="1" applyAlignment="1">
      <alignment vertical="center"/>
    </xf>
    <xf numFmtId="0" fontId="8" fillId="0" borderId="0" xfId="0" applyFont="1"/>
    <xf numFmtId="0" fontId="15" fillId="0" borderId="0" xfId="0" applyFont="1"/>
    <xf numFmtId="0" fontId="11" fillId="0" borderId="0" xfId="0" applyFont="1" applyAlignment="1">
      <alignment horizontal="center"/>
    </xf>
    <xf numFmtId="0" fontId="20" fillId="0" borderId="0" xfId="0" applyFont="1" applyAlignment="1">
      <alignment horizontal="center" vertical="top"/>
    </xf>
    <xf numFmtId="3" fontId="15" fillId="0" borderId="0" xfId="0" applyNumberFormat="1" applyFont="1" applyAlignment="1">
      <alignment horizontal="center"/>
    </xf>
    <xf numFmtId="0" fontId="15" fillId="0" borderId="0" xfId="0" applyFont="1" applyAlignment="1">
      <alignment horizontal="center"/>
    </xf>
    <xf numFmtId="3" fontId="15" fillId="0" borderId="0" xfId="0" applyNumberFormat="1" applyFont="1" applyAlignment="1">
      <alignment horizontal="right" indent="1"/>
    </xf>
    <xf numFmtId="0" fontId="15" fillId="0" borderId="0" xfId="0" applyFont="1" applyAlignment="1" applyProtection="1">
      <alignment vertical="center"/>
      <protection locked="0"/>
    </xf>
    <xf numFmtId="49" fontId="15" fillId="0" borderId="0" xfId="0" applyNumberFormat="1" applyFont="1" applyAlignment="1" applyProtection="1">
      <alignment horizontal="right"/>
      <protection locked="0"/>
    </xf>
    <xf numFmtId="0" fontId="15" fillId="0" borderId="0" xfId="0" applyFont="1" applyAlignment="1" applyProtection="1">
      <alignment horizontal="left"/>
      <protection locked="0"/>
    </xf>
    <xf numFmtId="14" fontId="15" fillId="0" borderId="0" xfId="0" applyNumberFormat="1" applyFont="1" applyAlignment="1" applyProtection="1">
      <alignment vertical="center"/>
      <protection locked="0"/>
    </xf>
    <xf numFmtId="49" fontId="15" fillId="0" borderId="0" xfId="0" applyNumberFormat="1" applyFont="1" applyAlignment="1" applyProtection="1">
      <alignment horizontal="center" vertical="center"/>
      <protection locked="0"/>
    </xf>
    <xf numFmtId="0" fontId="15" fillId="0" borderId="5" xfId="0" applyFont="1" applyBorder="1" applyProtection="1">
      <protection locked="0"/>
    </xf>
    <xf numFmtId="0" fontId="25" fillId="0" borderId="0" xfId="0" applyFont="1"/>
    <xf numFmtId="44" fontId="15" fillId="0" borderId="0" xfId="1" applyNumberFormat="1" applyFont="1" applyBorder="1"/>
    <xf numFmtId="0" fontId="29" fillId="0" borderId="0" xfId="5" quotePrefix="1" applyFont="1" applyBorder="1" applyAlignment="1" applyProtection="1">
      <alignment horizontal="left" wrapText="1"/>
    </xf>
    <xf numFmtId="0" fontId="11" fillId="0" borderId="17" xfId="0" applyFont="1" applyBorder="1"/>
    <xf numFmtId="166" fontId="15" fillId="0" borderId="0" xfId="1" applyNumberFormat="1" applyFont="1" applyFill="1" applyBorder="1"/>
    <xf numFmtId="0" fontId="29" fillId="0" borderId="0" xfId="5" quotePrefix="1" applyFont="1" applyBorder="1" applyAlignment="1" applyProtection="1"/>
    <xf numFmtId="0" fontId="15" fillId="0" borderId="0" xfId="0" applyFont="1" applyAlignment="1">
      <alignment vertical="top" wrapText="1"/>
    </xf>
    <xf numFmtId="4" fontId="25" fillId="0" borderId="0" xfId="0" applyNumberFormat="1" applyFont="1"/>
    <xf numFmtId="0" fontId="23" fillId="0" borderId="17" xfId="0" applyFont="1" applyBorder="1"/>
    <xf numFmtId="0" fontId="15" fillId="0" borderId="17" xfId="0" applyFont="1" applyBorder="1"/>
    <xf numFmtId="0" fontId="23" fillId="0" borderId="0" xfId="0" applyFont="1"/>
    <xf numFmtId="0" fontId="15" fillId="0" borderId="0" xfId="6" applyFont="1"/>
    <xf numFmtId="0" fontId="29" fillId="0" borderId="0" xfId="5" applyFont="1" applyBorder="1" applyAlignment="1" applyProtection="1">
      <alignment horizontal="left" vertical="center"/>
    </xf>
    <xf numFmtId="4" fontId="15" fillId="0" borderId="0" xfId="0" applyNumberFormat="1" applyFont="1"/>
    <xf numFmtId="0" fontId="11" fillId="0" borderId="17" xfId="7" applyFont="1" applyBorder="1"/>
    <xf numFmtId="0" fontId="11" fillId="0" borderId="0" xfId="7" applyFont="1"/>
    <xf numFmtId="0" fontId="33" fillId="0" borderId="0" xfId="7" quotePrefix="1" applyFont="1" applyAlignment="1">
      <alignment horizontal="center"/>
    </xf>
    <xf numFmtId="3" fontId="15" fillId="0" borderId="60" xfId="7" applyNumberFormat="1" applyFont="1" applyBorder="1" applyAlignment="1">
      <alignment horizontal="right" indent="2"/>
    </xf>
    <xf numFmtId="3" fontId="15" fillId="0" borderId="61" xfId="7" applyNumberFormat="1" applyFont="1" applyBorder="1" applyAlignment="1">
      <alignment horizontal="right" indent="2"/>
    </xf>
    <xf numFmtId="3" fontId="22" fillId="0" borderId="62" xfId="7" applyNumberFormat="1" applyFont="1" applyBorder="1" applyAlignment="1">
      <alignment horizontal="right" indent="2"/>
    </xf>
    <xf numFmtId="3" fontId="22" fillId="0" borderId="63" xfId="7" applyNumberFormat="1" applyFont="1" applyBorder="1" applyAlignment="1">
      <alignment horizontal="right" indent="2"/>
    </xf>
    <xf numFmtId="3" fontId="22" fillId="0" borderId="64" xfId="7" applyNumberFormat="1" applyFont="1" applyBorder="1" applyAlignment="1">
      <alignment horizontal="right" indent="2"/>
    </xf>
    <xf numFmtId="0" fontId="11" fillId="0" borderId="0" xfId="0" applyFont="1"/>
    <xf numFmtId="169" fontId="15" fillId="0" borderId="0" xfId="7" applyNumberFormat="1" applyFont="1"/>
    <xf numFmtId="169" fontId="15" fillId="0" borderId="0" xfId="7" quotePrefix="1" applyNumberFormat="1" applyFont="1" applyAlignment="1">
      <alignment horizontal="center"/>
    </xf>
    <xf numFmtId="169" fontId="11" fillId="0" borderId="0" xfId="7" applyNumberFormat="1" applyFont="1" applyAlignment="1">
      <alignment horizontal="center"/>
    </xf>
    <xf numFmtId="0" fontId="15" fillId="0" borderId="0" xfId="0" applyFont="1" applyAlignment="1">
      <alignment horizontal="left"/>
    </xf>
    <xf numFmtId="169" fontId="34" fillId="0" borderId="0" xfId="7" applyNumberFormat="1" applyFont="1"/>
    <xf numFmtId="169" fontId="20" fillId="0" borderId="0" xfId="7" applyNumberFormat="1" applyFont="1" applyAlignment="1">
      <alignment horizontal="center"/>
    </xf>
    <xf numFmtId="169" fontId="27" fillId="0" borderId="0" xfId="7" applyNumberFormat="1" applyFont="1"/>
    <xf numFmtId="9" fontId="11" fillId="0" borderId="38" xfId="8" applyFont="1" applyFill="1" applyBorder="1" applyAlignment="1">
      <alignment horizontal="center"/>
    </xf>
    <xf numFmtId="9" fontId="11" fillId="0" borderId="0" xfId="8" applyFont="1" applyFill="1" applyBorder="1" applyAlignment="1">
      <alignment horizontal="center"/>
    </xf>
    <xf numFmtId="9" fontId="15" fillId="0" borderId="0" xfId="8" applyFont="1" applyFill="1" applyBorder="1" applyAlignment="1">
      <alignment horizontal="center"/>
    </xf>
    <xf numFmtId="4" fontId="15" fillId="0" borderId="17" xfId="0" applyNumberFormat="1" applyFont="1" applyBorder="1"/>
    <xf numFmtId="4" fontId="23" fillId="0" borderId="0" xfId="0" applyNumberFormat="1" applyFont="1"/>
    <xf numFmtId="4" fontId="15" fillId="0" borderId="0" xfId="0" applyNumberFormat="1" applyFont="1" applyAlignment="1">
      <alignment horizontal="left" vertical="top" wrapText="1"/>
    </xf>
    <xf numFmtId="4" fontId="15" fillId="0" borderId="17" xfId="0" applyNumberFormat="1" applyFont="1" applyBorder="1" applyAlignment="1">
      <alignment horizontal="left" vertical="top" wrapText="1"/>
    </xf>
    <xf numFmtId="3" fontId="15" fillId="0" borderId="60" xfId="0" applyNumberFormat="1" applyFont="1" applyBorder="1" applyAlignment="1">
      <alignment horizontal="right" vertical="top" wrapText="1" indent="1"/>
    </xf>
    <xf numFmtId="3" fontId="15" fillId="0" borderId="61" xfId="0" applyNumberFormat="1" applyFont="1" applyBorder="1" applyAlignment="1">
      <alignment horizontal="right" vertical="top" wrapText="1" indent="1"/>
    </xf>
    <xf numFmtId="3" fontId="15" fillId="0" borderId="55" xfId="0" applyNumberFormat="1" applyFont="1" applyBorder="1" applyAlignment="1">
      <alignment horizontal="right" vertical="top" wrapText="1" indent="1"/>
    </xf>
    <xf numFmtId="3" fontId="15" fillId="0" borderId="56" xfId="0" applyNumberFormat="1" applyFont="1" applyBorder="1" applyAlignment="1">
      <alignment horizontal="right" vertical="top" wrapText="1" indent="1"/>
    </xf>
    <xf numFmtId="3" fontId="15" fillId="0" borderId="0" xfId="0" applyNumberFormat="1" applyFont="1" applyAlignment="1">
      <alignment horizontal="left" vertical="top" wrapText="1"/>
    </xf>
    <xf numFmtId="4" fontId="15" fillId="0" borderId="14" xfId="0" applyNumberFormat="1" applyFont="1" applyBorder="1" applyAlignment="1">
      <alignment horizontal="left" vertical="top" wrapText="1"/>
    </xf>
    <xf numFmtId="4" fontId="11" fillId="0" borderId="15" xfId="0" applyNumberFormat="1" applyFont="1" applyBorder="1" applyAlignment="1">
      <alignment horizontal="right" vertical="top" wrapText="1"/>
    </xf>
    <xf numFmtId="3" fontId="15" fillId="0" borderId="16" xfId="0" applyNumberFormat="1" applyFont="1" applyBorder="1" applyAlignment="1">
      <alignment horizontal="right" vertical="top" wrapText="1" indent="1"/>
    </xf>
    <xf numFmtId="0" fontId="11" fillId="0" borderId="0" xfId="0" applyFont="1" applyAlignment="1">
      <alignment horizontal="right"/>
    </xf>
    <xf numFmtId="3" fontId="15" fillId="0" borderId="18" xfId="0" applyNumberFormat="1" applyFont="1" applyBorder="1" applyAlignment="1">
      <alignment horizontal="right" vertical="top" wrapText="1" indent="1"/>
    </xf>
    <xf numFmtId="9" fontId="15" fillId="0" borderId="0" xfId="2" applyFont="1" applyFill="1" applyBorder="1" applyAlignment="1">
      <alignment horizontal="left" vertical="top" wrapText="1"/>
    </xf>
    <xf numFmtId="9" fontId="15" fillId="0" borderId="19" xfId="2" applyFont="1" applyFill="1" applyBorder="1" applyAlignment="1">
      <alignment horizontal="left" vertical="top" wrapText="1"/>
    </xf>
    <xf numFmtId="4" fontId="11" fillId="0" borderId="20" xfId="0" applyNumberFormat="1" applyFont="1" applyBorder="1" applyAlignment="1">
      <alignment horizontal="right" vertical="top" wrapText="1"/>
    </xf>
    <xf numFmtId="4" fontId="11" fillId="0" borderId="14" xfId="0" applyNumberFormat="1" applyFont="1" applyBorder="1" applyAlignment="1">
      <alignment horizontal="left" vertical="top" wrapText="1"/>
    </xf>
    <xf numFmtId="3" fontId="11" fillId="0" borderId="15" xfId="0" applyNumberFormat="1" applyFont="1" applyBorder="1" applyAlignment="1">
      <alignment horizontal="right" vertical="top" wrapText="1" indent="1"/>
    </xf>
    <xf numFmtId="3" fontId="11" fillId="0" borderId="16" xfId="0" applyNumberFormat="1" applyFont="1" applyBorder="1" applyAlignment="1">
      <alignment horizontal="right" vertical="top" wrapText="1" indent="1"/>
    </xf>
    <xf numFmtId="3" fontId="11" fillId="0" borderId="0" xfId="0" applyNumberFormat="1" applyFont="1" applyAlignment="1">
      <alignment horizontal="right" vertical="top" wrapText="1" indent="1"/>
    </xf>
    <xf numFmtId="3" fontId="11" fillId="0" borderId="18" xfId="0" applyNumberFormat="1" applyFont="1" applyBorder="1" applyAlignment="1">
      <alignment horizontal="right" vertical="top" wrapText="1" indent="1"/>
    </xf>
    <xf numFmtId="4" fontId="11" fillId="0" borderId="19" xfId="0" applyNumberFormat="1" applyFont="1" applyBorder="1" applyAlignment="1">
      <alignment horizontal="left" vertical="top" wrapText="1"/>
    </xf>
    <xf numFmtId="9" fontId="11" fillId="0" borderId="20" xfId="2" applyFont="1" applyFill="1" applyBorder="1" applyAlignment="1">
      <alignment horizontal="right" vertical="top" wrapText="1"/>
    </xf>
    <xf numFmtId="9" fontId="11" fillId="0" borderId="21" xfId="2" applyFont="1" applyFill="1" applyBorder="1" applyAlignment="1">
      <alignment horizontal="right" vertical="top" wrapText="1"/>
    </xf>
    <xf numFmtId="3" fontId="29" fillId="0" borderId="59" xfId="5" quotePrefix="1" applyNumberFormat="1" applyFont="1" applyFill="1" applyBorder="1" applyAlignment="1" applyProtection="1">
      <alignment horizontal="center" vertical="top"/>
    </xf>
    <xf numFmtId="0" fontId="7" fillId="0" borderId="0" xfId="7" applyFont="1"/>
    <xf numFmtId="0" fontId="24" fillId="0" borderId="0" xfId="7" applyFont="1" applyAlignment="1">
      <alignment horizontal="center" vertical="center" wrapText="1"/>
    </xf>
    <xf numFmtId="0" fontId="7" fillId="0" borderId="0" xfId="7" applyFont="1" applyAlignment="1">
      <alignment horizontal="center"/>
    </xf>
    <xf numFmtId="170" fontId="7" fillId="0" borderId="0" xfId="7" applyNumberFormat="1" applyFont="1" applyAlignment="1">
      <alignment horizontal="center"/>
    </xf>
    <xf numFmtId="171" fontId="7" fillId="0" borderId="0" xfId="7" applyNumberFormat="1" applyFont="1" applyAlignment="1">
      <alignment horizontal="center"/>
    </xf>
    <xf numFmtId="169" fontId="7" fillId="0" borderId="0" xfId="7" applyNumberFormat="1" applyFont="1"/>
    <xf numFmtId="169" fontId="7" fillId="0" borderId="0" xfId="8" applyNumberFormat="1" applyFont="1" applyFill="1" applyBorder="1" applyAlignment="1"/>
    <xf numFmtId="169" fontId="15" fillId="0" borderId="17" xfId="0" applyNumberFormat="1" applyFont="1" applyBorder="1"/>
    <xf numFmtId="169" fontId="15" fillId="0" borderId="0" xfId="0" applyNumberFormat="1" applyFont="1"/>
    <xf numFmtId="169" fontId="15" fillId="0" borderId="0" xfId="0" applyNumberFormat="1" applyFont="1" applyAlignment="1">
      <alignment horizontal="center"/>
    </xf>
    <xf numFmtId="169" fontId="15" fillId="0" borderId="0" xfId="0" applyNumberFormat="1" applyFont="1" applyAlignment="1">
      <alignment horizontal="centerContinuous"/>
    </xf>
    <xf numFmtId="4" fontId="32" fillId="0" borderId="17" xfId="0" applyNumberFormat="1" applyFont="1" applyBorder="1"/>
    <xf numFmtId="4" fontId="11" fillId="0" borderId="17" xfId="0" applyNumberFormat="1" applyFont="1" applyBorder="1"/>
    <xf numFmtId="0" fontId="15" fillId="0" borderId="0" xfId="0" applyFont="1" applyAlignment="1">
      <alignment horizontal="center" vertical="center"/>
    </xf>
    <xf numFmtId="165" fontId="15" fillId="0" borderId="0" xfId="1" applyFont="1" applyBorder="1"/>
    <xf numFmtId="14" fontId="15" fillId="0" borderId="0" xfId="0" applyNumberFormat="1" applyFont="1" applyAlignment="1">
      <alignment horizontal="center" vertical="center"/>
    </xf>
    <xf numFmtId="0" fontId="15" fillId="0" borderId="14" xfId="0" applyFont="1" applyBorder="1"/>
    <xf numFmtId="0" fontId="15" fillId="0" borderId="19" xfId="0" applyFont="1" applyBorder="1"/>
    <xf numFmtId="0" fontId="15" fillId="0" borderId="17" xfId="12" applyFont="1" applyBorder="1"/>
    <xf numFmtId="0" fontId="15" fillId="0" borderId="0" xfId="12" applyFont="1"/>
    <xf numFmtId="166" fontId="11" fillId="0" borderId="0" xfId="1" applyNumberFormat="1" applyFont="1" applyBorder="1"/>
    <xf numFmtId="0" fontId="38" fillId="0" borderId="17" xfId="0" applyFont="1" applyBorder="1"/>
    <xf numFmtId="166" fontId="15" fillId="0" borderId="0" xfId="1" applyNumberFormat="1" applyFont="1" applyBorder="1"/>
    <xf numFmtId="0" fontId="39" fillId="0" borderId="0" xfId="0" applyFont="1"/>
    <xf numFmtId="0" fontId="20" fillId="0" borderId="0" xfId="0" applyFont="1"/>
    <xf numFmtId="0" fontId="11" fillId="0" borderId="0" xfId="0" applyFont="1" applyAlignment="1">
      <alignment horizontal="left"/>
    </xf>
    <xf numFmtId="0" fontId="15" fillId="0" borderId="14" xfId="0" applyFont="1" applyBorder="1" applyProtection="1">
      <protection locked="0"/>
    </xf>
    <xf numFmtId="0" fontId="15" fillId="0" borderId="15" xfId="0" applyFont="1" applyBorder="1" applyProtection="1">
      <protection locked="0"/>
    </xf>
    <xf numFmtId="0" fontId="15" fillId="0" borderId="16" xfId="0" applyFont="1" applyBorder="1" applyProtection="1">
      <protection locked="0"/>
    </xf>
    <xf numFmtId="0" fontId="15" fillId="0" borderId="17" xfId="0" applyFont="1" applyBorder="1" applyProtection="1">
      <protection locked="0"/>
    </xf>
    <xf numFmtId="0" fontId="15" fillId="0" borderId="18" xfId="0" applyFont="1" applyBorder="1" applyProtection="1">
      <protection locked="0"/>
    </xf>
    <xf numFmtId="0" fontId="15" fillId="0" borderId="19" xfId="0" applyFont="1" applyBorder="1" applyProtection="1">
      <protection locked="0"/>
    </xf>
    <xf numFmtId="0" fontId="15" fillId="0" borderId="20" xfId="0" applyFont="1" applyBorder="1" applyProtection="1">
      <protection locked="0"/>
    </xf>
    <xf numFmtId="0" fontId="15" fillId="0" borderId="21" xfId="0" applyFont="1" applyBorder="1" applyProtection="1">
      <protection locked="0"/>
    </xf>
    <xf numFmtId="0" fontId="15" fillId="0" borderId="0" xfId="0" applyFont="1" applyAlignment="1" applyProtection="1">
      <alignment vertical="center" wrapText="1"/>
      <protection locked="0"/>
    </xf>
    <xf numFmtId="0" fontId="20" fillId="6" borderId="9" xfId="5" applyFont="1" applyFill="1" applyBorder="1" applyAlignment="1" applyProtection="1">
      <alignment horizontal="center" vertical="center" wrapText="1"/>
    </xf>
    <xf numFmtId="4" fontId="15" fillId="0" borderId="20" xfId="0" applyNumberFormat="1" applyFont="1" applyBorder="1"/>
    <xf numFmtId="4" fontId="15" fillId="0" borderId="14" xfId="0" applyNumberFormat="1" applyFont="1" applyBorder="1"/>
    <xf numFmtId="4" fontId="15" fillId="0" borderId="15" xfId="0" applyNumberFormat="1" applyFont="1" applyBorder="1"/>
    <xf numFmtId="4" fontId="15" fillId="0" borderId="19" xfId="0" applyNumberFormat="1" applyFont="1" applyBorder="1"/>
    <xf numFmtId="0" fontId="15" fillId="0" borderId="20" xfId="0" applyFont="1" applyBorder="1"/>
    <xf numFmtId="4" fontId="20" fillId="0" borderId="20" xfId="0" applyNumberFormat="1" applyFont="1" applyBorder="1"/>
    <xf numFmtId="4" fontId="32" fillId="0" borderId="14" xfId="0" applyNumberFormat="1" applyFont="1" applyBorder="1"/>
    <xf numFmtId="4" fontId="32" fillId="0" borderId="20" xfId="0" applyNumberFormat="1" applyFont="1" applyBorder="1"/>
    <xf numFmtId="0" fontId="11" fillId="3" borderId="0" xfId="0" applyFont="1" applyFill="1" applyAlignment="1">
      <alignment horizontal="center"/>
    </xf>
    <xf numFmtId="0" fontId="11" fillId="3" borderId="0" xfId="0" applyFont="1" applyFill="1"/>
    <xf numFmtId="0" fontId="15" fillId="3" borderId="0" xfId="0" applyFont="1" applyFill="1"/>
    <xf numFmtId="3" fontId="15" fillId="3" borderId="23" xfId="0" applyNumberFormat="1" applyFont="1" applyFill="1" applyBorder="1" applyAlignment="1">
      <alignment horizontal="right" indent="1"/>
    </xf>
    <xf numFmtId="3" fontId="15" fillId="3" borderId="24" xfId="0" applyNumberFormat="1" applyFont="1" applyFill="1" applyBorder="1" applyAlignment="1">
      <alignment horizontal="right" indent="1"/>
    </xf>
    <xf numFmtId="3" fontId="15" fillId="3" borderId="25" xfId="0" applyNumberFormat="1" applyFont="1" applyFill="1" applyBorder="1" applyAlignment="1">
      <alignment horizontal="right" indent="1"/>
    </xf>
    <xf numFmtId="0" fontId="15" fillId="3" borderId="0" xfId="0" applyFont="1" applyFill="1" applyAlignment="1">
      <alignment horizontal="center"/>
    </xf>
    <xf numFmtId="1" fontId="11" fillId="3" borderId="0" xfId="0" applyNumberFormat="1" applyFont="1" applyFill="1"/>
    <xf numFmtId="0" fontId="20" fillId="3" borderId="0" xfId="0" applyFont="1" applyFill="1" applyAlignment="1">
      <alignment horizontal="center"/>
    </xf>
    <xf numFmtId="0" fontId="29" fillId="3" borderId="0" xfId="5" applyFont="1" applyFill="1" applyBorder="1" applyAlignment="1" applyProtection="1">
      <alignment horizontal="center"/>
    </xf>
    <xf numFmtId="9" fontId="15" fillId="0" borderId="0" xfId="2" applyFont="1" applyFill="1" applyBorder="1" applyAlignment="1">
      <alignment horizontal="center"/>
    </xf>
    <xf numFmtId="0" fontId="11" fillId="3" borderId="17" xfId="0" applyFont="1" applyFill="1" applyBorder="1"/>
    <xf numFmtId="0" fontId="15" fillId="3" borderId="47" xfId="0" applyFont="1" applyFill="1" applyBorder="1" applyAlignment="1">
      <alignment horizontal="center"/>
    </xf>
    <xf numFmtId="0" fontId="15" fillId="3" borderId="49" xfId="0" applyFont="1" applyFill="1" applyBorder="1" applyAlignment="1">
      <alignment horizontal="center"/>
    </xf>
    <xf numFmtId="3" fontId="42" fillId="3" borderId="0" xfId="0" applyNumberFormat="1" applyFont="1" applyFill="1" applyAlignment="1">
      <alignment horizontal="center"/>
    </xf>
    <xf numFmtId="3" fontId="11" fillId="0" borderId="0" xfId="0" applyNumberFormat="1" applyFont="1" applyAlignment="1">
      <alignment horizontal="center"/>
    </xf>
    <xf numFmtId="0" fontId="15" fillId="3" borderId="48" xfId="0" applyFont="1" applyFill="1" applyBorder="1" applyAlignment="1">
      <alignment horizontal="center"/>
    </xf>
    <xf numFmtId="3" fontId="15" fillId="3" borderId="0" xfId="0" applyNumberFormat="1" applyFont="1" applyFill="1"/>
    <xf numFmtId="0" fontId="22" fillId="0" borderId="0" xfId="0" applyFont="1" applyAlignment="1">
      <alignment horizontal="center"/>
    </xf>
    <xf numFmtId="9" fontId="15" fillId="0" borderId="0" xfId="2" applyFont="1" applyFill="1" applyBorder="1"/>
    <xf numFmtId="3" fontId="15" fillId="3" borderId="0" xfId="0" applyNumberFormat="1" applyFont="1" applyFill="1" applyAlignment="1">
      <alignment horizontal="center"/>
    </xf>
    <xf numFmtId="3" fontId="22" fillId="0" borderId="0" xfId="0" applyNumberFormat="1" applyFont="1" applyAlignment="1">
      <alignment horizontal="center"/>
    </xf>
    <xf numFmtId="1" fontId="15" fillId="0" borderId="0" xfId="0" applyNumberFormat="1" applyFont="1"/>
    <xf numFmtId="3" fontId="15" fillId="3" borderId="44" xfId="0" applyNumberFormat="1" applyFont="1" applyFill="1" applyBorder="1" applyAlignment="1">
      <alignment horizontal="right" indent="1"/>
    </xf>
    <xf numFmtId="3" fontId="15" fillId="3" borderId="18" xfId="0" applyNumberFormat="1" applyFont="1" applyFill="1" applyBorder="1" applyAlignment="1">
      <alignment horizontal="right" indent="1"/>
    </xf>
    <xf numFmtId="3" fontId="15" fillId="3" borderId="45" xfId="0" applyNumberFormat="1" applyFont="1" applyFill="1" applyBorder="1" applyAlignment="1">
      <alignment horizontal="right" indent="1"/>
    </xf>
    <xf numFmtId="3" fontId="15" fillId="3" borderId="21" xfId="0" applyNumberFormat="1" applyFont="1" applyFill="1" applyBorder="1" applyAlignment="1">
      <alignment horizontal="right" indent="1"/>
    </xf>
    <xf numFmtId="0" fontId="23" fillId="0" borderId="0" xfId="0" applyFont="1" applyAlignment="1">
      <alignment horizontal="center"/>
    </xf>
    <xf numFmtId="3" fontId="11" fillId="0" borderId="0" xfId="0" applyNumberFormat="1" applyFont="1" applyAlignment="1">
      <alignment horizontal="right" indent="1"/>
    </xf>
    <xf numFmtId="167" fontId="15" fillId="3" borderId="0" xfId="1" applyNumberFormat="1" applyFont="1" applyFill="1" applyBorder="1" applyAlignment="1">
      <alignment horizontal="left" indent="1"/>
    </xf>
    <xf numFmtId="1" fontId="15" fillId="3" borderId="0" xfId="0" applyNumberFormat="1" applyFont="1" applyFill="1"/>
    <xf numFmtId="1" fontId="11" fillId="0" borderId="0" xfId="0" applyNumberFormat="1" applyFont="1" applyAlignment="1">
      <alignment horizontal="right"/>
    </xf>
    <xf numFmtId="0" fontId="23" fillId="0" borderId="17" xfId="0" applyFont="1" applyBorder="1" applyAlignment="1">
      <alignment horizontal="left" vertical="top"/>
    </xf>
    <xf numFmtId="0" fontId="23" fillId="0" borderId="0" xfId="0" applyFont="1" applyAlignment="1">
      <alignment horizontal="left" vertical="top"/>
    </xf>
    <xf numFmtId="0" fontId="29" fillId="3" borderId="0" xfId="5" quotePrefix="1" applyFont="1" applyFill="1" applyBorder="1" applyAlignment="1" applyProtection="1"/>
    <xf numFmtId="0" fontId="11" fillId="3" borderId="0" xfId="0" applyFont="1" applyFill="1" applyAlignment="1">
      <alignment horizontal="left"/>
    </xf>
    <xf numFmtId="3" fontId="15" fillId="3" borderId="0" xfId="0" applyNumberFormat="1" applyFont="1" applyFill="1" applyAlignment="1">
      <alignment horizontal="left"/>
    </xf>
    <xf numFmtId="3" fontId="15" fillId="3" borderId="5" xfId="0" applyNumberFormat="1" applyFont="1" applyFill="1" applyBorder="1" applyAlignment="1">
      <alignment horizontal="left"/>
    </xf>
    <xf numFmtId="166" fontId="15" fillId="6" borderId="69" xfId="1" applyNumberFormat="1" applyFont="1" applyFill="1" applyBorder="1"/>
    <xf numFmtId="166" fontId="15" fillId="6" borderId="4" xfId="1" applyNumberFormat="1" applyFont="1" applyFill="1" applyBorder="1"/>
    <xf numFmtId="166" fontId="11" fillId="6" borderId="69" xfId="1" applyNumberFormat="1" applyFont="1" applyFill="1" applyBorder="1" applyAlignment="1">
      <alignment horizontal="right" indent="1"/>
    </xf>
    <xf numFmtId="14" fontId="11" fillId="7" borderId="12" xfId="0" applyNumberFormat="1" applyFont="1" applyFill="1" applyBorder="1" applyAlignment="1">
      <alignment horizontal="center"/>
    </xf>
    <xf numFmtId="3" fontId="15" fillId="7" borderId="43" xfId="0" applyNumberFormat="1" applyFont="1" applyFill="1" applyBorder="1" applyAlignment="1">
      <alignment horizontal="right" indent="1"/>
    </xf>
    <xf numFmtId="3" fontId="15" fillId="7" borderId="44" xfId="0" applyNumberFormat="1" applyFont="1" applyFill="1" applyBorder="1" applyAlignment="1">
      <alignment horizontal="right" indent="1"/>
    </xf>
    <xf numFmtId="0" fontId="11" fillId="7" borderId="46" xfId="0" applyFont="1" applyFill="1" applyBorder="1" applyAlignment="1">
      <alignment horizontal="center"/>
    </xf>
    <xf numFmtId="0" fontId="11" fillId="7" borderId="50" xfId="0" applyFont="1" applyFill="1" applyBorder="1" applyAlignment="1">
      <alignment horizontal="center"/>
    </xf>
    <xf numFmtId="3" fontId="15" fillId="7" borderId="51" xfId="0" applyNumberFormat="1" applyFont="1" applyFill="1" applyBorder="1" applyAlignment="1">
      <alignment horizontal="right" indent="1"/>
    </xf>
    <xf numFmtId="3" fontId="15" fillId="7" borderId="52" xfId="0" applyNumberFormat="1" applyFont="1" applyFill="1" applyBorder="1" applyAlignment="1">
      <alignment horizontal="right" indent="1"/>
    </xf>
    <xf numFmtId="3" fontId="15" fillId="7" borderId="18" xfId="0" applyNumberFormat="1" applyFont="1" applyFill="1" applyBorder="1" applyAlignment="1">
      <alignment horizontal="right" indent="1"/>
    </xf>
    <xf numFmtId="0" fontId="11" fillId="7" borderId="47" xfId="0" applyFont="1" applyFill="1" applyBorder="1" applyAlignment="1">
      <alignment horizontal="center"/>
    </xf>
    <xf numFmtId="0" fontId="11" fillId="7" borderId="48" xfId="0" applyFont="1" applyFill="1" applyBorder="1" applyAlignment="1">
      <alignment horizontal="center"/>
    </xf>
    <xf numFmtId="3" fontId="15" fillId="8" borderId="12" xfId="0" applyNumberFormat="1" applyFont="1" applyFill="1" applyBorder="1" applyAlignment="1">
      <alignment horizontal="right" indent="1"/>
    </xf>
    <xf numFmtId="14" fontId="11" fillId="7" borderId="50" xfId="0" applyNumberFormat="1" applyFont="1" applyFill="1" applyBorder="1" applyAlignment="1">
      <alignment horizontal="center"/>
    </xf>
    <xf numFmtId="0" fontId="15" fillId="3" borderId="17" xfId="0" applyFont="1" applyFill="1" applyBorder="1"/>
    <xf numFmtId="0" fontId="15" fillId="3" borderId="18" xfId="0" applyFont="1" applyFill="1" applyBorder="1"/>
    <xf numFmtId="3" fontId="15" fillId="3" borderId="51" xfId="0" applyNumberFormat="1" applyFont="1" applyFill="1" applyBorder="1" applyAlignment="1">
      <alignment horizontal="right" indent="1"/>
    </xf>
    <xf numFmtId="3" fontId="15" fillId="3" borderId="52" xfId="0" applyNumberFormat="1" applyFont="1" applyFill="1" applyBorder="1" applyAlignment="1">
      <alignment horizontal="right" indent="1"/>
    </xf>
    <xf numFmtId="3" fontId="15" fillId="3" borderId="65" xfId="0" applyNumberFormat="1" applyFont="1" applyFill="1" applyBorder="1" applyAlignment="1">
      <alignment horizontal="right" indent="1"/>
    </xf>
    <xf numFmtId="0" fontId="42" fillId="3" borderId="18" xfId="0" applyFont="1" applyFill="1" applyBorder="1"/>
    <xf numFmtId="0" fontId="11" fillId="7" borderId="14" xfId="0" applyFont="1" applyFill="1" applyBorder="1"/>
    <xf numFmtId="0" fontId="11" fillId="7" borderId="15" xfId="0" applyFont="1" applyFill="1" applyBorder="1"/>
    <xf numFmtId="0" fontId="11" fillId="7" borderId="74" xfId="0" applyFont="1" applyFill="1" applyBorder="1"/>
    <xf numFmtId="3" fontId="15" fillId="8" borderId="50" xfId="0" applyNumberFormat="1" applyFont="1" applyFill="1" applyBorder="1" applyAlignment="1">
      <alignment horizontal="right" indent="1"/>
    </xf>
    <xf numFmtId="3" fontId="15" fillId="3" borderId="0" xfId="0" applyNumberFormat="1" applyFont="1" applyFill="1" applyAlignment="1">
      <alignment horizontal="right" indent="1"/>
    </xf>
    <xf numFmtId="167" fontId="15" fillId="3" borderId="0" xfId="1" applyNumberFormat="1" applyFont="1" applyFill="1" applyBorder="1" applyAlignment="1">
      <alignment horizontal="center"/>
    </xf>
    <xf numFmtId="166" fontId="11" fillId="7" borderId="12" xfId="1" applyNumberFormat="1" applyFont="1" applyFill="1" applyBorder="1" applyAlignment="1">
      <alignment horizontal="right" indent="1"/>
    </xf>
    <xf numFmtId="166" fontId="11" fillId="7" borderId="12" xfId="1" applyNumberFormat="1" applyFont="1" applyFill="1" applyBorder="1" applyAlignment="1">
      <alignment horizontal="center"/>
    </xf>
    <xf numFmtId="166" fontId="15" fillId="0" borderId="23" xfId="1" applyNumberFormat="1" applyFont="1" applyFill="1" applyBorder="1" applyAlignment="1">
      <alignment horizontal="right" indent="1"/>
    </xf>
    <xf numFmtId="166" fontId="15" fillId="3" borderId="51" xfId="1" applyNumberFormat="1" applyFont="1" applyFill="1" applyBorder="1" applyAlignment="1">
      <alignment horizontal="right" indent="1"/>
    </xf>
    <xf numFmtId="166" fontId="15" fillId="0" borderId="24" xfId="1" applyNumberFormat="1" applyFont="1" applyFill="1" applyBorder="1" applyAlignment="1">
      <alignment horizontal="right" indent="1"/>
    </xf>
    <xf numFmtId="166" fontId="15" fillId="3" borderId="52" xfId="1" applyNumberFormat="1" applyFont="1" applyFill="1" applyBorder="1" applyAlignment="1">
      <alignment horizontal="right" indent="1"/>
    </xf>
    <xf numFmtId="3" fontId="15" fillId="3" borderId="49" xfId="0" applyNumberFormat="1" applyFont="1" applyFill="1" applyBorder="1" applyAlignment="1">
      <alignment horizontal="right" indent="1"/>
    </xf>
    <xf numFmtId="3" fontId="15" fillId="3" borderId="48" xfId="0" applyNumberFormat="1" applyFont="1" applyFill="1" applyBorder="1" applyAlignment="1">
      <alignment horizontal="right" indent="1"/>
    </xf>
    <xf numFmtId="3" fontId="11" fillId="6" borderId="0" xfId="0" applyNumberFormat="1" applyFont="1" applyFill="1" applyAlignment="1">
      <alignment horizontal="right" indent="1"/>
    </xf>
    <xf numFmtId="0" fontId="15" fillId="0" borderId="15" xfId="0" applyFont="1" applyBorder="1"/>
    <xf numFmtId="9" fontId="15" fillId="0" borderId="21" xfId="2" applyFont="1" applyFill="1" applyBorder="1" applyAlignment="1">
      <alignment horizontal="center" vertical="top" wrapText="1"/>
    </xf>
    <xf numFmtId="3" fontId="15" fillId="0" borderId="19" xfId="7" applyNumberFormat="1" applyFont="1" applyBorder="1" applyAlignment="1">
      <alignment horizontal="left" wrapText="1"/>
    </xf>
    <xf numFmtId="3" fontId="15" fillId="0" borderId="20" xfId="7" applyNumberFormat="1" applyFont="1" applyBorder="1" applyAlignment="1">
      <alignment wrapText="1"/>
    </xf>
    <xf numFmtId="9" fontId="15" fillId="0" borderId="20" xfId="8" applyFont="1" applyFill="1" applyBorder="1" applyAlignment="1">
      <alignment horizontal="center"/>
    </xf>
    <xf numFmtId="3" fontId="15" fillId="0" borderId="81" xfId="0" applyNumberFormat="1" applyFont="1" applyBorder="1" applyAlignment="1">
      <alignment horizontal="right" vertical="top" wrapText="1" indent="1"/>
    </xf>
    <xf numFmtId="3" fontId="15" fillId="0" borderId="72" xfId="0" applyNumberFormat="1" applyFont="1" applyBorder="1" applyAlignment="1">
      <alignment horizontal="right" vertical="top" wrapText="1" indent="1"/>
    </xf>
    <xf numFmtId="0" fontId="15" fillId="0" borderId="18" xfId="0" applyFont="1" applyBorder="1" applyAlignment="1" applyProtection="1">
      <alignment vertical="center"/>
      <protection locked="0"/>
    </xf>
    <xf numFmtId="166" fontId="15" fillId="0" borderId="95" xfId="1" applyNumberFormat="1" applyFont="1" applyFill="1" applyBorder="1" applyAlignment="1">
      <alignment vertical="top" wrapText="1"/>
    </xf>
    <xf numFmtId="166" fontId="15" fillId="0" borderId="96" xfId="1" applyNumberFormat="1" applyFont="1" applyFill="1" applyBorder="1" applyAlignment="1">
      <alignment vertical="top" wrapText="1"/>
    </xf>
    <xf numFmtId="166" fontId="15" fillId="0" borderId="97" xfId="1" applyNumberFormat="1" applyFont="1" applyFill="1" applyBorder="1" applyAlignment="1">
      <alignment vertical="top" wrapText="1"/>
    </xf>
    <xf numFmtId="166" fontId="15" fillId="0" borderId="60" xfId="1" applyNumberFormat="1" applyFont="1" applyFill="1" applyBorder="1" applyAlignment="1">
      <alignment horizontal="right" vertical="top" wrapText="1" indent="1"/>
    </xf>
    <xf numFmtId="166" fontId="15" fillId="0" borderId="55" xfId="1" applyNumberFormat="1" applyFont="1" applyFill="1" applyBorder="1" applyAlignment="1">
      <alignment horizontal="right" vertical="top" wrapText="1" indent="1"/>
    </xf>
    <xf numFmtId="166" fontId="15" fillId="0" borderId="81" xfId="1" applyNumberFormat="1" applyFont="1" applyFill="1" applyBorder="1" applyAlignment="1">
      <alignment horizontal="right" vertical="top" wrapText="1" indent="1"/>
    </xf>
    <xf numFmtId="0" fontId="8" fillId="0" borderId="14" xfId="0" applyFont="1" applyBorder="1" applyProtection="1">
      <protection locked="0"/>
    </xf>
    <xf numFmtId="0" fontId="8" fillId="0" borderId="15" xfId="0" applyFont="1" applyBorder="1" applyProtection="1">
      <protection locked="0"/>
    </xf>
    <xf numFmtId="0" fontId="8" fillId="0" borderId="16" xfId="0" applyFont="1" applyBorder="1" applyProtection="1">
      <protection locked="0"/>
    </xf>
    <xf numFmtId="0" fontId="35" fillId="0" borderId="17" xfId="7" applyFont="1" applyBorder="1" applyAlignment="1">
      <alignment horizontal="left"/>
    </xf>
    <xf numFmtId="0" fontId="8" fillId="0" borderId="18" xfId="0" applyFont="1" applyBorder="1" applyProtection="1">
      <protection locked="0"/>
    </xf>
    <xf numFmtId="0" fontId="7" fillId="0" borderId="17" xfId="7" quotePrefix="1" applyFont="1" applyBorder="1" applyAlignment="1">
      <alignment horizontal="left"/>
    </xf>
    <xf numFmtId="0" fontId="7" fillId="0" borderId="17" xfId="9" applyBorder="1"/>
    <xf numFmtId="14" fontId="24" fillId="0" borderId="0" xfId="9" applyNumberFormat="1" applyFont="1" applyAlignment="1">
      <alignment horizontal="center"/>
    </xf>
    <xf numFmtId="0" fontId="24" fillId="0" borderId="0" xfId="9" applyFont="1" applyAlignment="1">
      <alignment horizontal="center"/>
    </xf>
    <xf numFmtId="0" fontId="8" fillId="0" borderId="17" xfId="0" applyFont="1" applyBorder="1" applyProtection="1">
      <protection locked="0"/>
    </xf>
    <xf numFmtId="3" fontId="24" fillId="0" borderId="0" xfId="9" applyNumberFormat="1" applyFont="1" applyAlignment="1">
      <alignment horizontal="left"/>
    </xf>
    <xf numFmtId="0" fontId="36" fillId="0" borderId="0" xfId="0" applyFont="1"/>
    <xf numFmtId="0" fontId="7" fillId="0" borderId="17" xfId="7" applyFont="1" applyBorder="1" applyAlignment="1">
      <alignment horizontal="center"/>
    </xf>
    <xf numFmtId="0" fontId="37" fillId="0" borderId="17" xfId="7" applyFont="1" applyBorder="1" applyAlignment="1">
      <alignment horizontal="left"/>
    </xf>
    <xf numFmtId="0" fontId="0" fillId="0" borderId="17" xfId="7" quotePrefix="1" applyFont="1" applyBorder="1" applyAlignment="1">
      <alignment horizontal="left"/>
    </xf>
    <xf numFmtId="0" fontId="7" fillId="0" borderId="17" xfId="7" applyFont="1" applyBorder="1" applyAlignment="1">
      <alignment horizontal="left"/>
    </xf>
    <xf numFmtId="0" fontId="8" fillId="0" borderId="19" xfId="0" applyFont="1" applyBorder="1" applyProtection="1">
      <protection locked="0"/>
    </xf>
    <xf numFmtId="0" fontId="8" fillId="0" borderId="20" xfId="0" applyFont="1" applyBorder="1" applyProtection="1">
      <protection locked="0"/>
    </xf>
    <xf numFmtId="0" fontId="8" fillId="0" borderId="21" xfId="0" applyFont="1" applyBorder="1" applyProtection="1">
      <protection locked="0"/>
    </xf>
    <xf numFmtId="169" fontId="11" fillId="7" borderId="9" xfId="0" applyNumberFormat="1" applyFont="1" applyFill="1" applyBorder="1" applyAlignment="1">
      <alignment horizontal="centerContinuous" vertical="center"/>
    </xf>
    <xf numFmtId="174" fontId="11" fillId="7" borderId="9" xfId="0" applyNumberFormat="1" applyFont="1" applyFill="1" applyBorder="1" applyAlignment="1">
      <alignment horizontal="centerContinuous" vertical="center"/>
    </xf>
    <xf numFmtId="173" fontId="5" fillId="0" borderId="98" xfId="10" applyNumberFormat="1" applyFont="1" applyBorder="1" applyAlignment="1" applyProtection="1">
      <alignment horizontal="center"/>
      <protection locked="0"/>
    </xf>
    <xf numFmtId="3" fontId="15" fillId="0" borderId="98" xfId="10" applyNumberFormat="1" applyFont="1" applyBorder="1" applyAlignment="1" applyProtection="1">
      <alignment horizontal="right" indent="2"/>
      <protection locked="0"/>
    </xf>
    <xf numFmtId="173" fontId="5" fillId="0" borderId="100" xfId="10" applyNumberFormat="1" applyFont="1" applyBorder="1" applyAlignment="1" applyProtection="1">
      <alignment horizontal="center"/>
      <protection locked="0"/>
    </xf>
    <xf numFmtId="3" fontId="15" fillId="0" borderId="100" xfId="10" applyNumberFormat="1" applyFont="1" applyBorder="1" applyAlignment="1" applyProtection="1">
      <alignment horizontal="right" indent="2"/>
      <protection locked="0"/>
    </xf>
    <xf numFmtId="3" fontId="5" fillId="0" borderId="100" xfId="10" applyNumberFormat="1" applyFont="1" applyBorder="1" applyAlignment="1" applyProtection="1">
      <alignment horizontal="right" indent="2"/>
      <protection locked="0"/>
    </xf>
    <xf numFmtId="173" fontId="5" fillId="0" borderId="103" xfId="10" applyNumberFormat="1" applyFont="1" applyBorder="1" applyAlignment="1" applyProtection="1">
      <alignment horizontal="center"/>
      <protection locked="0"/>
    </xf>
    <xf numFmtId="3" fontId="5" fillId="0" borderId="103" xfId="10" applyNumberFormat="1" applyFont="1" applyBorder="1" applyAlignment="1" applyProtection="1">
      <alignment horizontal="right" indent="2"/>
      <protection locked="0"/>
    </xf>
    <xf numFmtId="3" fontId="5" fillId="0" borderId="98" xfId="10" applyNumberFormat="1" applyFont="1" applyBorder="1" applyAlignment="1" applyProtection="1">
      <alignment horizontal="right" indent="2"/>
      <protection locked="0"/>
    </xf>
    <xf numFmtId="3" fontId="5" fillId="0" borderId="98" xfId="10" applyNumberFormat="1" applyFont="1" applyBorder="1" applyAlignment="1" applyProtection="1">
      <alignment horizontal="left" indent="2"/>
      <protection locked="0"/>
    </xf>
    <xf numFmtId="10" fontId="5" fillId="0" borderId="98" xfId="10" applyNumberFormat="1" applyFont="1" applyBorder="1" applyAlignment="1" applyProtection="1">
      <alignment horizontal="right" indent="2"/>
      <protection locked="0"/>
    </xf>
    <xf numFmtId="10" fontId="5" fillId="7" borderId="98" xfId="10" applyNumberFormat="1" applyFont="1" applyFill="1" applyBorder="1" applyProtection="1">
      <protection locked="0"/>
    </xf>
    <xf numFmtId="3" fontId="5" fillId="7" borderId="99" xfId="10" applyNumberFormat="1" applyFont="1" applyFill="1" applyBorder="1" applyAlignment="1" applyProtection="1">
      <alignment horizontal="right" indent="2"/>
      <protection locked="0"/>
    </xf>
    <xf numFmtId="3" fontId="5" fillId="0" borderId="100" xfId="10" applyNumberFormat="1" applyFont="1" applyBorder="1" applyAlignment="1" applyProtection="1">
      <alignment horizontal="left" indent="2"/>
      <protection locked="0"/>
    </xf>
    <xf numFmtId="10" fontId="5" fillId="0" borderId="100" xfId="10" applyNumberFormat="1" applyFont="1" applyBorder="1" applyAlignment="1" applyProtection="1">
      <alignment horizontal="right" indent="2"/>
      <protection locked="0"/>
    </xf>
    <xf numFmtId="10" fontId="5" fillId="7" borderId="100" xfId="10" applyNumberFormat="1" applyFont="1" applyFill="1" applyBorder="1" applyProtection="1">
      <protection locked="0"/>
    </xf>
    <xf numFmtId="3" fontId="5" fillId="7" borderId="101" xfId="10" applyNumberFormat="1" applyFont="1" applyFill="1" applyBorder="1" applyAlignment="1" applyProtection="1">
      <alignment horizontal="right" indent="2"/>
      <protection locked="0"/>
    </xf>
    <xf numFmtId="3" fontId="5" fillId="0" borderId="103" xfId="10" applyNumberFormat="1" applyFont="1" applyBorder="1" applyAlignment="1" applyProtection="1">
      <alignment horizontal="left" indent="2"/>
      <protection locked="0"/>
    </xf>
    <xf numFmtId="10" fontId="5" fillId="0" borderId="103" xfId="10" applyNumberFormat="1" applyFont="1" applyBorder="1" applyAlignment="1" applyProtection="1">
      <alignment horizontal="right" indent="2"/>
      <protection locked="0"/>
    </xf>
    <xf numFmtId="10" fontId="5" fillId="7" borderId="103" xfId="10" applyNumberFormat="1" applyFont="1" applyFill="1" applyBorder="1" applyProtection="1">
      <protection locked="0"/>
    </xf>
    <xf numFmtId="3" fontId="5" fillId="7" borderId="104" xfId="10" applyNumberFormat="1" applyFont="1" applyFill="1" applyBorder="1" applyAlignment="1" applyProtection="1">
      <alignment horizontal="right" indent="2"/>
      <protection locked="0"/>
    </xf>
    <xf numFmtId="49" fontId="11" fillId="0" borderId="17" xfId="0" applyNumberFormat="1" applyFont="1" applyBorder="1" applyAlignment="1">
      <alignment horizontal="left"/>
    </xf>
    <xf numFmtId="3" fontId="15" fillId="7" borderId="95" xfId="0" applyNumberFormat="1" applyFont="1" applyFill="1" applyBorder="1" applyAlignment="1">
      <alignment horizontal="center"/>
    </xf>
    <xf numFmtId="3" fontId="15" fillId="7" borderId="89" xfId="0" applyNumberFormat="1" applyFont="1" applyFill="1" applyBorder="1" applyAlignment="1">
      <alignment horizontal="center"/>
    </xf>
    <xf numFmtId="3" fontId="15" fillId="7" borderId="96" xfId="0" applyNumberFormat="1" applyFont="1" applyFill="1" applyBorder="1" applyAlignment="1">
      <alignment horizontal="center"/>
    </xf>
    <xf numFmtId="3" fontId="15" fillId="7" borderId="90" xfId="0" applyNumberFormat="1" applyFont="1" applyFill="1" applyBorder="1" applyAlignment="1">
      <alignment horizontal="center"/>
    </xf>
    <xf numFmtId="3" fontId="15" fillId="7" borderId="97" xfId="0" applyNumberFormat="1" applyFont="1" applyFill="1" applyBorder="1" applyAlignment="1">
      <alignment horizontal="center"/>
    </xf>
    <xf numFmtId="3" fontId="15" fillId="7" borderId="91" xfId="0" applyNumberFormat="1" applyFont="1" applyFill="1" applyBorder="1" applyAlignment="1">
      <alignment horizontal="center"/>
    </xf>
    <xf numFmtId="49" fontId="5" fillId="0" borderId="107" xfId="10" applyNumberFormat="1" applyFont="1" applyBorder="1" applyAlignment="1" applyProtection="1">
      <alignment horizontal="center"/>
      <protection locked="0"/>
    </xf>
    <xf numFmtId="49" fontId="5" fillId="0" borderId="108" xfId="10" applyNumberFormat="1" applyFont="1" applyBorder="1" applyAlignment="1" applyProtection="1">
      <alignment horizontal="center"/>
      <protection locked="0"/>
    </xf>
    <xf numFmtId="49" fontId="5" fillId="0" borderId="109" xfId="10" applyNumberFormat="1" applyFont="1" applyBorder="1" applyAlignment="1" applyProtection="1">
      <alignment horizontal="center"/>
      <protection locked="0"/>
    </xf>
    <xf numFmtId="0" fontId="44" fillId="0" borderId="0" xfId="0" applyFont="1" applyAlignment="1" applyProtection="1">
      <alignment vertical="center"/>
      <protection locked="0"/>
    </xf>
    <xf numFmtId="0" fontId="44" fillId="0" borderId="0" xfId="0" applyFont="1" applyProtection="1">
      <protection locked="0"/>
    </xf>
    <xf numFmtId="49" fontId="45" fillId="0" borderId="0" xfId="0" applyNumberFormat="1" applyFont="1" applyAlignment="1" applyProtection="1">
      <alignment horizontal="right"/>
      <protection locked="0"/>
    </xf>
    <xf numFmtId="0" fontId="45" fillId="0" borderId="0" xfId="0" applyFont="1" applyAlignment="1" applyProtection="1">
      <alignment horizontal="left"/>
      <protection locked="0"/>
    </xf>
    <xf numFmtId="49" fontId="44" fillId="0" borderId="0" xfId="0" applyNumberFormat="1" applyFont="1" applyAlignment="1" applyProtection="1">
      <alignment horizontal="right"/>
      <protection locked="0"/>
    </xf>
    <xf numFmtId="0" fontId="44" fillId="0" borderId="0" xfId="0" applyFont="1" applyAlignment="1" applyProtection="1">
      <alignment horizontal="left"/>
      <protection locked="0"/>
    </xf>
    <xf numFmtId="0" fontId="45" fillId="0" borderId="0" xfId="0" applyFont="1" applyAlignment="1" applyProtection="1">
      <alignment vertical="center"/>
      <protection locked="0"/>
    </xf>
    <xf numFmtId="14" fontId="44" fillId="0" borderId="0" xfId="0" applyNumberFormat="1" applyFont="1" applyAlignment="1" applyProtection="1">
      <alignment vertical="center"/>
      <protection locked="0"/>
    </xf>
    <xf numFmtId="0" fontId="44" fillId="0" borderId="0" xfId="0" applyFont="1" applyAlignment="1" applyProtection="1">
      <alignment horizontal="center" vertical="center"/>
      <protection locked="0"/>
    </xf>
    <xf numFmtId="49" fontId="44" fillId="0" borderId="0" xfId="0" applyNumberFormat="1" applyFont="1" applyAlignment="1" applyProtection="1">
      <alignment horizontal="center" vertical="center"/>
      <protection locked="0"/>
    </xf>
    <xf numFmtId="14" fontId="44" fillId="0" borderId="0" xfId="0" applyNumberFormat="1" applyFont="1" applyAlignment="1" applyProtection="1">
      <alignment horizontal="center" vertical="center"/>
      <protection locked="0"/>
    </xf>
    <xf numFmtId="0" fontId="45" fillId="0" borderId="15" xfId="0" applyFont="1" applyBorder="1" applyAlignment="1" applyProtection="1">
      <alignment vertical="center" wrapText="1"/>
      <protection locked="0"/>
    </xf>
    <xf numFmtId="4" fontId="44" fillId="0" borderId="0" xfId="0" applyNumberFormat="1" applyFont="1"/>
    <xf numFmtId="0" fontId="44" fillId="0" borderId="0" xfId="0" applyFont="1"/>
    <xf numFmtId="4" fontId="44" fillId="0" borderId="17" xfId="0" applyNumberFormat="1" applyFont="1" applyBorder="1"/>
    <xf numFmtId="4" fontId="45" fillId="0" borderId="17" xfId="0" applyNumberFormat="1" applyFont="1" applyBorder="1"/>
    <xf numFmtId="4" fontId="45" fillId="0" borderId="0" xfId="0" applyNumberFormat="1" applyFont="1"/>
    <xf numFmtId="4" fontId="44" fillId="0" borderId="14" xfId="0" applyNumberFormat="1" applyFont="1" applyBorder="1"/>
    <xf numFmtId="4" fontId="44" fillId="0" borderId="15" xfId="0" applyNumberFormat="1" applyFont="1" applyBorder="1"/>
    <xf numFmtId="0" fontId="44" fillId="0" borderId="15" xfId="0" applyFont="1" applyBorder="1"/>
    <xf numFmtId="0" fontId="44" fillId="0" borderId="15" xfId="0" applyFont="1" applyBorder="1" applyProtection="1">
      <protection locked="0"/>
    </xf>
    <xf numFmtId="0" fontId="44" fillId="0" borderId="16" xfId="0" applyFont="1" applyBorder="1" applyProtection="1">
      <protection locked="0"/>
    </xf>
    <xf numFmtId="0" fontId="44" fillId="0" borderId="18" xfId="0" applyFont="1" applyBorder="1" applyProtection="1">
      <protection locked="0"/>
    </xf>
    <xf numFmtId="0" fontId="44" fillId="0" borderId="17" xfId="0" applyFont="1" applyBorder="1" applyProtection="1">
      <protection locked="0"/>
    </xf>
    <xf numFmtId="4" fontId="44" fillId="0" borderId="19" xfId="0" applyNumberFormat="1" applyFont="1" applyBorder="1"/>
    <xf numFmtId="4" fontId="44" fillId="0" borderId="20" xfId="0" applyNumberFormat="1" applyFont="1" applyBorder="1"/>
    <xf numFmtId="0" fontId="44" fillId="0" borderId="20" xfId="0" applyFont="1" applyBorder="1"/>
    <xf numFmtId="0" fontId="44" fillId="0" borderId="20" xfId="0" applyFont="1" applyBorder="1" applyProtection="1">
      <protection locked="0"/>
    </xf>
    <xf numFmtId="0" fontId="44" fillId="0" borderId="21" xfId="0" applyFont="1" applyBorder="1" applyProtection="1">
      <protection locked="0"/>
    </xf>
    <xf numFmtId="0" fontId="44" fillId="0" borderId="19" xfId="0" applyFont="1" applyBorder="1" applyProtection="1">
      <protection locked="0"/>
    </xf>
    <xf numFmtId="4" fontId="20" fillId="0" borderId="20" xfId="0" applyNumberFormat="1" applyFont="1" applyBorder="1" applyAlignment="1">
      <alignment horizontal="left" vertical="top"/>
    </xf>
    <xf numFmtId="0" fontId="11" fillId="0" borderId="0" xfId="0" applyFont="1" applyAlignment="1">
      <alignment horizontal="right" vertical="center"/>
    </xf>
    <xf numFmtId="0" fontId="15" fillId="0" borderId="20" xfId="0" applyFont="1" applyBorder="1" applyAlignment="1">
      <alignment horizontal="center" vertical="center"/>
    </xf>
    <xf numFmtId="165" fontId="15" fillId="0" borderId="20" xfId="1" applyFont="1" applyBorder="1"/>
    <xf numFmtId="14" fontId="15" fillId="0" borderId="20" xfId="0" applyNumberFormat="1" applyFont="1" applyBorder="1" applyAlignment="1">
      <alignment horizontal="center" vertical="center"/>
    </xf>
    <xf numFmtId="0" fontId="20" fillId="6" borderId="71" xfId="11" applyFont="1" applyFill="1" applyBorder="1" applyAlignment="1">
      <alignment horizontal="center" vertical="center"/>
    </xf>
    <xf numFmtId="0" fontId="43" fillId="0" borderId="66" xfId="0" applyFont="1" applyBorder="1" applyAlignment="1">
      <alignment horizontal="center" vertical="center" wrapText="1"/>
    </xf>
    <xf numFmtId="0" fontId="43" fillId="0" borderId="57" xfId="0" applyFont="1" applyBorder="1" applyAlignment="1">
      <alignment horizontal="center" vertical="center" wrapText="1"/>
    </xf>
    <xf numFmtId="0" fontId="43" fillId="0" borderId="53" xfId="0" applyFont="1" applyBorder="1" applyAlignment="1">
      <alignment horizontal="center" vertical="center" wrapText="1"/>
    </xf>
    <xf numFmtId="10" fontId="20" fillId="0" borderId="98" xfId="10" applyNumberFormat="1" applyFont="1" applyBorder="1" applyAlignment="1" applyProtection="1">
      <alignment horizontal="center"/>
      <protection locked="0"/>
    </xf>
    <xf numFmtId="10" fontId="20" fillId="0" borderId="100" xfId="10" applyNumberFormat="1" applyFont="1" applyBorder="1" applyAlignment="1" applyProtection="1">
      <alignment horizontal="center"/>
      <protection locked="0"/>
    </xf>
    <xf numFmtId="10" fontId="20" fillId="0" borderId="103" xfId="10" applyNumberFormat="1" applyFont="1" applyBorder="1" applyAlignment="1" applyProtection="1">
      <alignment horizontal="center"/>
      <protection locked="0"/>
    </xf>
    <xf numFmtId="0" fontId="15" fillId="0" borderId="15" xfId="0" applyFont="1" applyBorder="1" applyAlignment="1">
      <alignment horizontal="center" vertical="center"/>
    </xf>
    <xf numFmtId="165" fontId="15" fillId="0" borderId="15" xfId="1" applyFont="1" applyBorder="1"/>
    <xf numFmtId="14" fontId="15" fillId="0" borderId="15" xfId="0" applyNumberFormat="1" applyFont="1" applyBorder="1" applyAlignment="1">
      <alignment horizontal="center" vertical="center"/>
    </xf>
    <xf numFmtId="0" fontId="50" fillId="0" borderId="0" xfId="0" applyFont="1" applyAlignment="1" applyProtection="1">
      <alignment vertical="center"/>
      <protection locked="0"/>
    </xf>
    <xf numFmtId="0" fontId="50" fillId="0" borderId="0" xfId="0" applyFont="1" applyProtection="1">
      <protection locked="0"/>
    </xf>
    <xf numFmtId="49" fontId="51" fillId="0" borderId="0" xfId="0" applyNumberFormat="1" applyFont="1" applyAlignment="1" applyProtection="1">
      <alignment horizontal="right"/>
      <protection locked="0"/>
    </xf>
    <xf numFmtId="0" fontId="51" fillId="0" borderId="0" xfId="0" applyFont="1" applyAlignment="1" applyProtection="1">
      <alignment horizontal="left"/>
      <protection locked="0"/>
    </xf>
    <xf numFmtId="49" fontId="50" fillId="0" borderId="0" xfId="0" applyNumberFormat="1" applyFont="1" applyAlignment="1" applyProtection="1">
      <alignment horizontal="right"/>
      <protection locked="0"/>
    </xf>
    <xf numFmtId="0" fontId="50" fillId="0" borderId="0" xfId="0" applyFont="1" applyAlignment="1" applyProtection="1">
      <alignment horizontal="left"/>
      <protection locked="0"/>
    </xf>
    <xf numFmtId="0" fontId="51" fillId="0" borderId="0" xfId="0" applyFont="1" applyAlignment="1" applyProtection="1">
      <alignment vertical="center"/>
      <protection locked="0"/>
    </xf>
    <xf numFmtId="14" fontId="50" fillId="0" borderId="0" xfId="0" applyNumberFormat="1" applyFont="1" applyAlignment="1" applyProtection="1">
      <alignment vertical="center"/>
      <protection locked="0"/>
    </xf>
    <xf numFmtId="0" fontId="50" fillId="0" borderId="0" xfId="0" applyFont="1" applyAlignment="1" applyProtection="1">
      <alignment horizontal="center" vertical="center"/>
      <protection locked="0"/>
    </xf>
    <xf numFmtId="49" fontId="50" fillId="0" borderId="0" xfId="0" applyNumberFormat="1" applyFont="1" applyAlignment="1" applyProtection="1">
      <alignment horizontal="center" vertical="center"/>
      <protection locked="0"/>
    </xf>
    <xf numFmtId="14" fontId="50" fillId="0" borderId="0" xfId="0" applyNumberFormat="1" applyFont="1" applyAlignment="1" applyProtection="1">
      <alignment horizontal="center" vertical="center"/>
      <protection locked="0"/>
    </xf>
    <xf numFmtId="0" fontId="51" fillId="0" borderId="15" xfId="0" applyFont="1" applyBorder="1" applyAlignment="1" applyProtection="1">
      <alignment vertical="center" wrapText="1"/>
      <protection locked="0"/>
    </xf>
    <xf numFmtId="0" fontId="55" fillId="0" borderId="0" xfId="0" applyFont="1" applyAlignment="1">
      <alignment horizontal="left" indent="1"/>
    </xf>
    <xf numFmtId="0" fontId="50" fillId="0" borderId="0" xfId="0" applyFont="1"/>
    <xf numFmtId="0" fontId="25" fillId="0" borderId="114" xfId="0" applyFont="1" applyBorder="1"/>
    <xf numFmtId="0" fontId="25" fillId="0" borderId="14" xfId="0" applyFont="1" applyBorder="1"/>
    <xf numFmtId="0" fontId="25" fillId="0" borderId="15" xfId="0" applyFont="1" applyBorder="1"/>
    <xf numFmtId="4" fontId="25" fillId="0" borderId="15" xfId="0" applyNumberFormat="1" applyFont="1" applyBorder="1" applyAlignment="1">
      <alignment horizontal="center" vertical="center"/>
    </xf>
    <xf numFmtId="0" fontId="8" fillId="0" borderId="2" xfId="0" applyFont="1" applyBorder="1" applyProtection="1">
      <protection locked="0"/>
    </xf>
    <xf numFmtId="0" fontId="8" fillId="0" borderId="5" xfId="0" applyFont="1" applyBorder="1" applyProtection="1">
      <protection locked="0"/>
    </xf>
    <xf numFmtId="0" fontId="8" fillId="0" borderId="7" xfId="0" applyFont="1" applyBorder="1" applyProtection="1">
      <protection locked="0"/>
    </xf>
    <xf numFmtId="0" fontId="15" fillId="0" borderId="76" xfId="0" applyFont="1" applyBorder="1" applyProtection="1">
      <protection locked="0"/>
    </xf>
    <xf numFmtId="0" fontId="11" fillId="6" borderId="118" xfId="0" applyFont="1" applyFill="1" applyBorder="1" applyAlignment="1">
      <alignment horizontal="center" vertical="center" wrapText="1"/>
    </xf>
    <xf numFmtId="0" fontId="11" fillId="7" borderId="118" xfId="0" applyFont="1" applyFill="1" applyBorder="1" applyAlignment="1">
      <alignment horizontal="center" vertical="center" wrapText="1"/>
    </xf>
    <xf numFmtId="9" fontId="22" fillId="7" borderId="61" xfId="2" applyFont="1" applyFill="1" applyBorder="1" applyAlignment="1">
      <alignment horizontal="center"/>
    </xf>
    <xf numFmtId="9" fontId="22" fillId="7" borderId="56" xfId="2" applyFont="1" applyFill="1" applyBorder="1" applyAlignment="1">
      <alignment horizontal="center"/>
    </xf>
    <xf numFmtId="9" fontId="22" fillId="7" borderId="72" xfId="2" applyFont="1" applyFill="1" applyBorder="1" applyAlignment="1">
      <alignment horizontal="center"/>
    </xf>
    <xf numFmtId="9" fontId="11" fillId="7" borderId="73" xfId="1" applyNumberFormat="1" applyFont="1" applyFill="1" applyBorder="1" applyAlignment="1">
      <alignment horizontal="center"/>
    </xf>
    <xf numFmtId="0" fontId="15" fillId="0" borderId="14" xfId="12" applyFont="1" applyBorder="1"/>
    <xf numFmtId="0" fontId="15" fillId="0" borderId="15" xfId="12" applyFont="1" applyBorder="1"/>
    <xf numFmtId="0" fontId="57" fillId="0" borderId="0" xfId="0" applyFont="1" applyProtection="1">
      <protection locked="0"/>
    </xf>
    <xf numFmtId="4" fontId="20" fillId="6" borderId="9" xfId="0" applyNumberFormat="1" applyFont="1" applyFill="1" applyBorder="1" applyAlignment="1">
      <alignment horizontal="center" vertical="center" wrapText="1"/>
    </xf>
    <xf numFmtId="4" fontId="15" fillId="0" borderId="20" xfId="0" applyNumberFormat="1" applyFont="1" applyBorder="1" applyAlignment="1">
      <alignment horizontal="left" vertical="top"/>
    </xf>
    <xf numFmtId="4" fontId="29" fillId="0" borderId="0" xfId="5" quotePrefix="1" applyNumberFormat="1" applyFont="1" applyBorder="1" applyAlignment="1" applyProtection="1"/>
    <xf numFmtId="0" fontId="11" fillId="0" borderId="15" xfId="6" applyFont="1" applyBorder="1"/>
    <xf numFmtId="0" fontId="15" fillId="0" borderId="15" xfId="6" applyFont="1" applyBorder="1"/>
    <xf numFmtId="14" fontId="15" fillId="0" borderId="15" xfId="6" applyNumberFormat="1" applyFont="1" applyBorder="1"/>
    <xf numFmtId="0" fontId="49" fillId="0" borderId="17" xfId="6" applyFont="1" applyBorder="1"/>
    <xf numFmtId="14" fontId="15" fillId="0" borderId="0" xfId="6" applyNumberFormat="1" applyFont="1"/>
    <xf numFmtId="0" fontId="15" fillId="0" borderId="95" xfId="6" applyFont="1" applyBorder="1"/>
    <xf numFmtId="0" fontId="15" fillId="0" borderId="96" xfId="6" applyFont="1" applyBorder="1"/>
    <xf numFmtId="0" fontId="11" fillId="6" borderId="9" xfId="6" applyFont="1" applyFill="1" applyBorder="1" applyAlignment="1">
      <alignment horizontal="center" vertical="center" wrapText="1"/>
    </xf>
    <xf numFmtId="0" fontId="49" fillId="0" borderId="14" xfId="6" applyFont="1" applyBorder="1"/>
    <xf numFmtId="0" fontId="15" fillId="0" borderId="15" xfId="14" applyFont="1" applyBorder="1" applyAlignment="1">
      <alignment horizontal="left"/>
    </xf>
    <xf numFmtId="0" fontId="15" fillId="0" borderId="15" xfId="14" applyFont="1" applyBorder="1"/>
    <xf numFmtId="3" fontId="15" fillId="0" borderId="15" xfId="14" applyNumberFormat="1" applyFont="1" applyBorder="1"/>
    <xf numFmtId="0" fontId="15" fillId="0" borderId="15" xfId="14" applyFont="1" applyBorder="1" applyAlignment="1">
      <alignment horizontal="left" indent="1"/>
    </xf>
    <xf numFmtId="4" fontId="15" fillId="0" borderId="15" xfId="14" applyNumberFormat="1" applyFont="1" applyBorder="1"/>
    <xf numFmtId="0" fontId="27" fillId="0" borderId="17" xfId="14" applyFont="1" applyBorder="1" applyAlignment="1">
      <alignment horizontal="left"/>
    </xf>
    <xf numFmtId="0" fontId="15" fillId="0" borderId="0" xfId="14" applyFont="1" applyAlignment="1">
      <alignment horizontal="left"/>
    </xf>
    <xf numFmtId="0" fontId="15" fillId="0" borderId="0" xfId="14" applyFont="1"/>
    <xf numFmtId="3" fontId="15" fillId="0" borderId="0" xfId="14" applyNumberFormat="1" applyFont="1"/>
    <xf numFmtId="0" fontId="15" fillId="0" borderId="0" xfId="14" applyFont="1" applyAlignment="1">
      <alignment horizontal="left" indent="1"/>
    </xf>
    <xf numFmtId="4" fontId="15" fillId="0" borderId="0" xfId="14" applyNumberFormat="1" applyFont="1"/>
    <xf numFmtId="0" fontId="15" fillId="0" borderId="17" xfId="14" applyFont="1" applyBorder="1" applyAlignment="1">
      <alignment horizontal="left"/>
    </xf>
    <xf numFmtId="0" fontId="15" fillId="0" borderId="114" xfId="6" applyFont="1" applyBorder="1"/>
    <xf numFmtId="175" fontId="15" fillId="0" borderId="95" xfId="2" applyNumberFormat="1" applyFont="1" applyBorder="1" applyAlignment="1">
      <alignment horizontal="center"/>
    </xf>
    <xf numFmtId="175" fontId="15" fillId="0" borderId="96" xfId="2" applyNumberFormat="1" applyFont="1" applyBorder="1" applyAlignment="1">
      <alignment horizontal="center"/>
    </xf>
    <xf numFmtId="175" fontId="15" fillId="0" borderId="114" xfId="2" applyNumberFormat="1" applyFont="1" applyBorder="1" applyAlignment="1">
      <alignment horizontal="center"/>
    </xf>
    <xf numFmtId="0" fontId="11" fillId="0" borderId="0" xfId="6" applyFont="1"/>
    <xf numFmtId="0" fontId="11" fillId="0" borderId="0" xfId="0" applyFont="1" applyProtection="1">
      <protection locked="0"/>
    </xf>
    <xf numFmtId="0" fontId="11" fillId="0" borderId="18" xfId="0" applyFont="1" applyBorder="1" applyProtection="1">
      <protection locked="0"/>
    </xf>
    <xf numFmtId="0" fontId="43" fillId="0" borderId="0" xfId="6" applyFont="1" applyAlignment="1">
      <alignment horizontal="center"/>
    </xf>
    <xf numFmtId="0" fontId="15" fillId="0" borderId="0" xfId="6" applyFont="1" applyAlignment="1">
      <alignment horizontal="center"/>
    </xf>
    <xf numFmtId="0" fontId="11" fillId="0" borderId="17" xfId="0" applyFont="1" applyBorder="1" applyAlignment="1">
      <alignment horizontal="left"/>
    </xf>
    <xf numFmtId="166" fontId="11" fillId="6" borderId="9" xfId="1" applyNumberFormat="1" applyFont="1" applyFill="1" applyBorder="1" applyAlignment="1">
      <alignment horizontal="center"/>
    </xf>
    <xf numFmtId="3" fontId="15" fillId="0" borderId="47" xfId="0" applyNumberFormat="1" applyFont="1" applyBorder="1" applyAlignment="1">
      <alignment horizontal="right" indent="1"/>
    </xf>
    <xf numFmtId="3" fontId="15" fillId="0" borderId="49" xfId="0" applyNumberFormat="1" applyFont="1" applyBorder="1" applyAlignment="1">
      <alignment horizontal="right" indent="1"/>
    </xf>
    <xf numFmtId="175" fontId="11" fillId="6" borderId="9" xfId="2" applyNumberFormat="1" applyFont="1" applyFill="1" applyBorder="1"/>
    <xf numFmtId="166" fontId="15" fillId="0" borderId="95" xfId="1" applyNumberFormat="1" applyFont="1" applyBorder="1" applyAlignment="1">
      <alignment horizontal="center"/>
    </xf>
    <xf numFmtId="166" fontId="15" fillId="0" borderId="96" xfId="1" applyNumberFormat="1" applyFont="1" applyBorder="1" applyAlignment="1">
      <alignment horizontal="center"/>
    </xf>
    <xf numFmtId="166" fontId="15" fillId="0" borderId="114" xfId="1" applyNumberFormat="1" applyFont="1" applyBorder="1" applyAlignment="1">
      <alignment horizontal="center"/>
    </xf>
    <xf numFmtId="166" fontId="15" fillId="6" borderId="96" xfId="1" applyNumberFormat="1" applyFont="1" applyFill="1" applyBorder="1" applyAlignment="1">
      <alignment horizontal="right" indent="1"/>
    </xf>
    <xf numFmtId="165" fontId="15" fillId="0" borderId="96" xfId="15" applyFont="1" applyFill="1" applyBorder="1"/>
    <xf numFmtId="165" fontId="15" fillId="0" borderId="114" xfId="15" applyFont="1" applyFill="1" applyBorder="1"/>
    <xf numFmtId="166" fontId="15" fillId="0" borderId="120" xfId="1" applyNumberFormat="1" applyFont="1" applyFill="1" applyBorder="1" applyAlignment="1">
      <alignment horizontal="center"/>
    </xf>
    <xf numFmtId="166" fontId="15" fillId="6" borderId="115" xfId="1" applyNumberFormat="1" applyFont="1" applyFill="1" applyBorder="1" applyAlignment="1">
      <alignment horizontal="right" indent="1"/>
    </xf>
    <xf numFmtId="165" fontId="15" fillId="0" borderId="115" xfId="15" applyFont="1" applyFill="1" applyBorder="1"/>
    <xf numFmtId="4" fontId="11" fillId="0" borderId="0" xfId="14" applyNumberFormat="1" applyFont="1" applyAlignment="1">
      <alignment horizontal="right"/>
    </xf>
    <xf numFmtId="166" fontId="15" fillId="0" borderId="119" xfId="1" applyNumberFormat="1" applyFont="1" applyFill="1" applyBorder="1" applyAlignment="1">
      <alignment horizontal="center"/>
    </xf>
    <xf numFmtId="166" fontId="15" fillId="6" borderId="122" xfId="1" applyNumberFormat="1" applyFont="1" applyFill="1" applyBorder="1" applyAlignment="1">
      <alignment horizontal="right" indent="1"/>
    </xf>
    <xf numFmtId="4" fontId="11" fillId="0" borderId="2" xfId="14" applyNumberFormat="1" applyFont="1" applyBorder="1" applyAlignment="1">
      <alignment horizontal="right"/>
    </xf>
    <xf numFmtId="166" fontId="15" fillId="0" borderId="0" xfId="1" applyNumberFormat="1" applyFont="1" applyBorder="1" applyProtection="1">
      <protection locked="0"/>
    </xf>
    <xf numFmtId="4" fontId="20" fillId="0" borderId="79" xfId="0" applyNumberFormat="1" applyFont="1" applyBorder="1" applyAlignment="1">
      <alignment horizontal="center" vertical="top"/>
    </xf>
    <xf numFmtId="4" fontId="20" fillId="0" borderId="80" xfId="0" applyNumberFormat="1" applyFont="1" applyBorder="1" applyAlignment="1">
      <alignment horizontal="center" vertical="top"/>
    </xf>
    <xf numFmtId="4" fontId="20" fillId="0" borderId="84" xfId="0" applyNumberFormat="1" applyFont="1" applyBorder="1" applyAlignment="1">
      <alignment horizontal="center" vertical="top"/>
    </xf>
    <xf numFmtId="0" fontId="16" fillId="0" borderId="123" xfId="0" applyFont="1" applyBorder="1" applyAlignment="1" applyProtection="1">
      <alignment horizontal="left" vertical="center"/>
      <protection locked="0"/>
    </xf>
    <xf numFmtId="14" fontId="16" fillId="0" borderId="124" xfId="0" applyNumberFormat="1" applyFont="1" applyBorder="1" applyAlignment="1" applyProtection="1">
      <alignment horizontal="left" vertical="center"/>
      <protection locked="0"/>
    </xf>
    <xf numFmtId="0" fontId="59" fillId="0" borderId="0" xfId="0" applyFont="1" applyAlignment="1" applyProtection="1">
      <alignment horizontal="center"/>
      <protection locked="0"/>
    </xf>
    <xf numFmtId="0" fontId="60" fillId="0" borderId="0" xfId="0" applyFont="1" applyAlignment="1" applyProtection="1">
      <alignment horizontal="center"/>
      <protection locked="0"/>
    </xf>
    <xf numFmtId="0" fontId="61" fillId="0" borderId="0" xfId="0" applyFont="1" applyAlignment="1" applyProtection="1">
      <alignment horizontal="center"/>
      <protection locked="0"/>
    </xf>
    <xf numFmtId="0" fontId="62" fillId="0" borderId="0" xfId="0" applyFont="1" applyAlignment="1" applyProtection="1">
      <alignment horizontal="center"/>
      <protection locked="0"/>
    </xf>
    <xf numFmtId="3" fontId="15" fillId="0" borderId="125" xfId="7" applyNumberFormat="1" applyFont="1" applyBorder="1" applyAlignment="1">
      <alignment horizontal="right" indent="2"/>
    </xf>
    <xf numFmtId="3" fontId="29" fillId="0" borderId="95" xfId="5" quotePrefix="1" applyNumberFormat="1" applyFont="1" applyFill="1" applyBorder="1" applyAlignment="1" applyProtection="1">
      <alignment horizontal="center" vertical="top"/>
    </xf>
    <xf numFmtId="3" fontId="22" fillId="0" borderId="126" xfId="7" applyNumberFormat="1" applyFont="1" applyBorder="1" applyAlignment="1">
      <alignment horizontal="right" indent="2"/>
    </xf>
    <xf numFmtId="3" fontId="22" fillId="0" borderId="127" xfId="7" applyNumberFormat="1" applyFont="1" applyBorder="1" applyAlignment="1">
      <alignment horizontal="right" indent="2"/>
    </xf>
    <xf numFmtId="3" fontId="15" fillId="0" borderId="117" xfId="7" applyNumberFormat="1" applyFont="1" applyBorder="1" applyAlignment="1">
      <alignment horizontal="right" indent="2"/>
    </xf>
    <xf numFmtId="3" fontId="15" fillId="0" borderId="4" xfId="7" applyNumberFormat="1" applyFont="1" applyBorder="1" applyAlignment="1">
      <alignment horizontal="right" indent="2"/>
    </xf>
    <xf numFmtId="3" fontId="15" fillId="0" borderId="3" xfId="7" applyNumberFormat="1" applyFont="1" applyBorder="1" applyAlignment="1">
      <alignment horizontal="right" indent="2"/>
    </xf>
    <xf numFmtId="3" fontId="15" fillId="0" borderId="128" xfId="7" applyNumberFormat="1" applyFont="1" applyBorder="1" applyAlignment="1">
      <alignment horizontal="right" indent="2"/>
    </xf>
    <xf numFmtId="3" fontId="29" fillId="0" borderId="113" xfId="5" quotePrefix="1" applyNumberFormat="1" applyFont="1" applyFill="1" applyBorder="1" applyAlignment="1" applyProtection="1">
      <alignment horizontal="center" vertical="top"/>
    </xf>
    <xf numFmtId="3" fontId="22" fillId="0" borderId="129" xfId="7" applyNumberFormat="1" applyFont="1" applyBorder="1" applyAlignment="1">
      <alignment horizontal="right" indent="2"/>
    </xf>
    <xf numFmtId="3" fontId="15" fillId="0" borderId="73" xfId="7" applyNumberFormat="1" applyFont="1" applyBorder="1" applyAlignment="1">
      <alignment horizontal="right" indent="2"/>
    </xf>
    <xf numFmtId="3" fontId="29" fillId="0" borderId="9" xfId="5" quotePrefix="1" applyNumberFormat="1" applyFont="1" applyFill="1" applyBorder="1" applyAlignment="1" applyProtection="1">
      <alignment horizontal="center" vertical="top"/>
    </xf>
    <xf numFmtId="0" fontId="15" fillId="0" borderId="17" xfId="0" applyFont="1" applyBorder="1" applyAlignment="1" applyProtection="1">
      <alignment vertical="center"/>
      <protection locked="0"/>
    </xf>
    <xf numFmtId="0" fontId="11" fillId="0" borderId="0" xfId="7" applyFont="1" applyAlignment="1">
      <alignment horizontal="center" vertical="center"/>
    </xf>
    <xf numFmtId="14" fontId="11" fillId="6" borderId="9" xfId="0" applyNumberFormat="1" applyFont="1" applyFill="1" applyBorder="1" applyAlignment="1">
      <alignment horizontal="center" vertical="center"/>
    </xf>
    <xf numFmtId="14" fontId="20" fillId="6" borderId="8" xfId="0" applyNumberFormat="1" applyFont="1" applyFill="1" applyBorder="1" applyAlignment="1">
      <alignment horizontal="center" vertical="center"/>
    </xf>
    <xf numFmtId="0" fontId="11" fillId="6" borderId="9" xfId="0" applyFont="1" applyFill="1" applyBorder="1" applyAlignment="1">
      <alignment horizontal="center" vertical="center"/>
    </xf>
    <xf numFmtId="14" fontId="11" fillId="6" borderId="6" xfId="0" applyNumberFormat="1" applyFont="1" applyFill="1" applyBorder="1" applyAlignment="1">
      <alignment horizontal="center" vertical="center"/>
    </xf>
    <xf numFmtId="14" fontId="20" fillId="6" borderId="9" xfId="0" applyNumberFormat="1" applyFont="1" applyFill="1" applyBorder="1" applyAlignment="1">
      <alignment horizontal="center" vertical="center"/>
    </xf>
    <xf numFmtId="4" fontId="11" fillId="6" borderId="9" xfId="0" applyNumberFormat="1" applyFont="1" applyFill="1" applyBorder="1" applyAlignment="1">
      <alignment horizontal="center" vertical="center" wrapText="1"/>
    </xf>
    <xf numFmtId="4" fontId="11" fillId="0" borderId="131" xfId="0" applyNumberFormat="1" applyFont="1" applyBorder="1" applyAlignment="1">
      <alignment horizontal="left" vertical="top" wrapText="1"/>
    </xf>
    <xf numFmtId="4" fontId="11" fillId="0" borderId="5" xfId="0" applyNumberFormat="1" applyFont="1" applyBorder="1" applyAlignment="1">
      <alignment vertical="top" wrapText="1"/>
    </xf>
    <xf numFmtId="0" fontId="15" fillId="0" borderId="132" xfId="0" applyFont="1" applyBorder="1" applyAlignment="1">
      <alignment horizontal="left"/>
    </xf>
    <xf numFmtId="0" fontId="15" fillId="0" borderId="111" xfId="0" applyFont="1" applyBorder="1" applyAlignment="1">
      <alignment horizontal="left"/>
    </xf>
    <xf numFmtId="166" fontId="15" fillId="0" borderId="102" xfId="1" applyNumberFormat="1" applyFont="1" applyFill="1" applyBorder="1" applyAlignment="1">
      <alignment horizontal="center"/>
    </xf>
    <xf numFmtId="0" fontId="15" fillId="0" borderId="112" xfId="0" applyFont="1" applyBorder="1" applyAlignment="1">
      <alignment horizontal="left"/>
    </xf>
    <xf numFmtId="4" fontId="42" fillId="0" borderId="0" xfId="0" applyNumberFormat="1" applyFont="1" applyAlignment="1">
      <alignment horizontal="center"/>
    </xf>
    <xf numFmtId="0" fontId="32" fillId="0" borderId="0" xfId="0" applyFont="1" applyAlignment="1">
      <alignment horizontal="left"/>
    </xf>
    <xf numFmtId="0" fontId="65" fillId="0" borderId="0" xfId="0" applyFont="1" applyAlignment="1">
      <alignment horizontal="left"/>
    </xf>
    <xf numFmtId="4" fontId="20" fillId="0" borderId="0" xfId="0" applyNumberFormat="1" applyFont="1" applyAlignment="1">
      <alignment horizontal="left"/>
    </xf>
    <xf numFmtId="4" fontId="29" fillId="0" borderId="0" xfId="5" quotePrefix="1" applyNumberFormat="1" applyFont="1" applyFill="1" applyBorder="1" applyAlignment="1" applyProtection="1"/>
    <xf numFmtId="3" fontId="20" fillId="0" borderId="68" xfId="0" applyNumberFormat="1" applyFont="1" applyBorder="1"/>
    <xf numFmtId="4" fontId="15" fillId="0" borderId="0" xfId="0" applyNumberFormat="1" applyFont="1" applyAlignment="1">
      <alignment horizontal="left"/>
    </xf>
    <xf numFmtId="4" fontId="15" fillId="0" borderId="0" xfId="0" applyNumberFormat="1" applyFont="1" applyAlignment="1">
      <alignment horizontal="right"/>
    </xf>
    <xf numFmtId="166" fontId="15" fillId="0" borderId="0" xfId="1" applyNumberFormat="1" applyFont="1" applyFill="1" applyBorder="1" applyAlignment="1">
      <alignment horizontal="right"/>
    </xf>
    <xf numFmtId="4" fontId="15" fillId="0" borderId="0" xfId="0" applyNumberFormat="1" applyFont="1" applyAlignment="1">
      <alignment horizontal="center"/>
    </xf>
    <xf numFmtId="4" fontId="66" fillId="0" borderId="41" xfId="0" applyNumberFormat="1" applyFont="1" applyBorder="1" applyAlignment="1">
      <alignment horizontal="left"/>
    </xf>
    <xf numFmtId="4" fontId="15" fillId="0" borderId="2" xfId="0" applyNumberFormat="1" applyFont="1" applyBorder="1"/>
    <xf numFmtId="4" fontId="15" fillId="0" borderId="2" xfId="0" applyNumberFormat="1" applyFont="1" applyBorder="1" applyAlignment="1">
      <alignment horizontal="center"/>
    </xf>
    <xf numFmtId="4" fontId="15" fillId="0" borderId="1" xfId="0" applyNumberFormat="1" applyFont="1" applyBorder="1"/>
    <xf numFmtId="4" fontId="15" fillId="0" borderId="68" xfId="0" applyNumberFormat="1" applyFont="1" applyBorder="1"/>
    <xf numFmtId="3" fontId="20" fillId="0" borderId="0" xfId="0" applyNumberFormat="1" applyFont="1" applyAlignment="1">
      <alignment horizontal="left" indent="2"/>
    </xf>
    <xf numFmtId="4" fontId="15" fillId="0" borderId="68" xfId="0" quotePrefix="1" applyNumberFormat="1" applyFont="1" applyBorder="1"/>
    <xf numFmtId="4" fontId="15" fillId="0" borderId="68" xfId="0" applyNumberFormat="1" applyFont="1" applyBorder="1" applyAlignment="1">
      <alignment horizontal="left"/>
    </xf>
    <xf numFmtId="4" fontId="11" fillId="0" borderId="0" xfId="0" applyNumberFormat="1" applyFont="1" applyAlignment="1">
      <alignment horizontal="center"/>
    </xf>
    <xf numFmtId="0" fontId="41" fillId="0" borderId="3" xfId="0" applyFont="1" applyBorder="1"/>
    <xf numFmtId="4" fontId="15" fillId="0" borderId="5" xfId="0" applyNumberFormat="1" applyFont="1" applyBorder="1" applyAlignment="1">
      <alignment horizontal="right"/>
    </xf>
    <xf numFmtId="4" fontId="15" fillId="0" borderId="5" xfId="0" applyNumberFormat="1" applyFont="1" applyBorder="1"/>
    <xf numFmtId="3" fontId="15" fillId="0" borderId="0" xfId="0" applyNumberFormat="1" applyFont="1" applyAlignment="1">
      <alignment horizontal="right"/>
    </xf>
    <xf numFmtId="166" fontId="15" fillId="0" borderId="0" xfId="0" applyNumberFormat="1" applyFont="1"/>
    <xf numFmtId="3" fontId="15" fillId="0" borderId="0" xfId="0" applyNumberFormat="1" applyFont="1"/>
    <xf numFmtId="3" fontId="15" fillId="0" borderId="2" xfId="0" applyNumberFormat="1" applyFont="1" applyBorder="1"/>
    <xf numFmtId="166" fontId="15" fillId="0" borderId="1" xfId="0" applyNumberFormat="1" applyFont="1" applyBorder="1"/>
    <xf numFmtId="3" fontId="15" fillId="0" borderId="5" xfId="0" applyNumberFormat="1" applyFont="1" applyBorder="1" applyAlignment="1">
      <alignment horizontal="right"/>
    </xf>
    <xf numFmtId="3" fontId="11" fillId="0" borderId="0" xfId="0" applyNumberFormat="1" applyFont="1"/>
    <xf numFmtId="0" fontId="41" fillId="0" borderId="0" xfId="0" applyFont="1"/>
    <xf numFmtId="4" fontId="11" fillId="0" borderId="0" xfId="0" applyNumberFormat="1" applyFont="1" applyAlignment="1">
      <alignment horizontal="right"/>
    </xf>
    <xf numFmtId="0" fontId="41" fillId="0" borderId="6" xfId="0" applyFont="1" applyBorder="1"/>
    <xf numFmtId="3" fontId="15" fillId="0" borderId="7" xfId="0" applyNumberFormat="1" applyFont="1" applyBorder="1" applyAlignment="1">
      <alignment horizontal="left"/>
    </xf>
    <xf numFmtId="4" fontId="15" fillId="0" borderId="7" xfId="0" applyNumberFormat="1" applyFont="1" applyBorder="1"/>
    <xf numFmtId="4" fontId="11" fillId="7" borderId="9" xfId="0" applyNumberFormat="1" applyFont="1" applyFill="1" applyBorder="1" applyAlignment="1">
      <alignment horizontal="center" vertical="center"/>
    </xf>
    <xf numFmtId="0" fontId="24" fillId="6" borderId="9" xfId="7" applyFont="1" applyFill="1" applyBorder="1" applyAlignment="1">
      <alignment horizontal="center" vertical="center" wrapText="1"/>
    </xf>
    <xf numFmtId="4" fontId="11" fillId="6" borderId="9" xfId="0" applyNumberFormat="1" applyFont="1" applyFill="1" applyBorder="1" applyAlignment="1">
      <alignment horizontal="center" vertical="center"/>
    </xf>
    <xf numFmtId="4" fontId="45" fillId="6" borderId="9" xfId="0" applyNumberFormat="1" applyFont="1" applyFill="1" applyBorder="1" applyAlignment="1">
      <alignment horizontal="center" vertical="center" wrapText="1"/>
    </xf>
    <xf numFmtId="0" fontId="11" fillId="6" borderId="9" xfId="11" applyFont="1" applyFill="1" applyBorder="1" applyAlignment="1">
      <alignment horizontal="center" vertical="center" wrapText="1"/>
    </xf>
    <xf numFmtId="0" fontId="11" fillId="6" borderId="41" xfId="0" applyFont="1" applyFill="1" applyBorder="1" applyAlignment="1">
      <alignment horizontal="center" vertical="center"/>
    </xf>
    <xf numFmtId="165" fontId="11" fillId="6" borderId="41" xfId="1" applyFont="1" applyFill="1" applyBorder="1" applyAlignment="1">
      <alignment horizontal="center" vertical="center"/>
    </xf>
    <xf numFmtId="0" fontId="15" fillId="0" borderId="22" xfId="0" applyFont="1" applyBorder="1" applyAlignment="1" applyProtection="1">
      <alignment vertical="center" wrapText="1"/>
      <protection locked="0"/>
    </xf>
    <xf numFmtId="0" fontId="15" fillId="0" borderId="13" xfId="0" applyFont="1" applyBorder="1" applyAlignment="1" applyProtection="1">
      <alignment vertical="center" wrapText="1"/>
      <protection locked="0"/>
    </xf>
    <xf numFmtId="166" fontId="15" fillId="0" borderId="22" xfId="1" applyNumberFormat="1" applyFont="1" applyFill="1" applyBorder="1" applyAlignment="1" applyProtection="1">
      <alignment vertical="center" wrapText="1"/>
      <protection locked="0"/>
    </xf>
    <xf numFmtId="166" fontId="15" fillId="0" borderId="13" xfId="1" applyNumberFormat="1" applyFont="1" applyFill="1" applyBorder="1" applyAlignment="1" applyProtection="1">
      <alignment vertical="center" wrapText="1"/>
      <protection locked="0"/>
    </xf>
    <xf numFmtId="0" fontId="15" fillId="0" borderId="7" xfId="0" applyFont="1" applyBorder="1" applyAlignment="1" applyProtection="1">
      <alignment vertical="center"/>
      <protection locked="0"/>
    </xf>
    <xf numFmtId="0" fontId="15" fillId="0" borderId="27" xfId="0" applyFont="1" applyBorder="1" applyAlignment="1" applyProtection="1">
      <alignment vertical="center"/>
      <protection locked="0"/>
    </xf>
    <xf numFmtId="0" fontId="11" fillId="3" borderId="10" xfId="0" applyFont="1" applyFill="1" applyBorder="1" applyAlignment="1">
      <alignment horizontal="center"/>
    </xf>
    <xf numFmtId="0" fontId="11" fillId="3" borderId="13" xfId="0" applyFont="1" applyFill="1" applyBorder="1" applyAlignment="1">
      <alignment horizontal="center"/>
    </xf>
    <xf numFmtId="14" fontId="11" fillId="7" borderId="38" xfId="0" applyNumberFormat="1" applyFont="1" applyFill="1" applyBorder="1" applyAlignment="1">
      <alignment horizontal="center"/>
    </xf>
    <xf numFmtId="9" fontId="7" fillId="9" borderId="0" xfId="8" applyFont="1" applyFill="1" applyBorder="1"/>
    <xf numFmtId="0" fontId="24" fillId="6" borderId="42" xfId="7" applyFont="1" applyFill="1" applyBorder="1" applyAlignment="1">
      <alignment horizontal="center" vertical="center" wrapText="1"/>
    </xf>
    <xf numFmtId="169" fontId="20" fillId="6" borderId="9" xfId="7" applyNumberFormat="1" applyFont="1" applyFill="1" applyBorder="1" applyAlignment="1">
      <alignment horizontal="center" vertical="center" wrapText="1"/>
    </xf>
    <xf numFmtId="0" fontId="15" fillId="9" borderId="19" xfId="0" applyFont="1" applyFill="1" applyBorder="1"/>
    <xf numFmtId="0" fontId="15" fillId="9" borderId="20" xfId="0" applyFont="1" applyFill="1" applyBorder="1"/>
    <xf numFmtId="166" fontId="15" fillId="9" borderId="20" xfId="1" applyNumberFormat="1" applyFont="1" applyFill="1" applyBorder="1"/>
    <xf numFmtId="165" fontId="15" fillId="9" borderId="20" xfId="1" applyFont="1" applyFill="1" applyBorder="1"/>
    <xf numFmtId="0" fontId="39" fillId="9" borderId="20" xfId="0" applyFont="1" applyFill="1" applyBorder="1"/>
    <xf numFmtId="0" fontId="20" fillId="9" borderId="20" xfId="0" applyFont="1" applyFill="1" applyBorder="1"/>
    <xf numFmtId="0" fontId="15" fillId="9" borderId="20" xfId="0" applyFont="1" applyFill="1" applyBorder="1" applyProtection="1">
      <protection locked="0"/>
    </xf>
    <xf numFmtId="0" fontId="15" fillId="9" borderId="21" xfId="0" applyFont="1" applyFill="1" applyBorder="1" applyProtection="1">
      <protection locked="0"/>
    </xf>
    <xf numFmtId="0" fontId="15" fillId="9" borderId="0" xfId="0" applyFont="1" applyFill="1" applyProtection="1">
      <protection locked="0"/>
    </xf>
    <xf numFmtId="166" fontId="15" fillId="0" borderId="0" xfId="1" applyNumberFormat="1" applyFont="1" applyFill="1" applyBorder="1" applyAlignment="1">
      <alignment vertical="center"/>
    </xf>
    <xf numFmtId="167" fontId="15" fillId="0" borderId="2" xfId="1" applyNumberFormat="1" applyFont="1" applyBorder="1" applyAlignment="1" applyProtection="1">
      <protection locked="0"/>
    </xf>
    <xf numFmtId="0" fontId="11" fillId="0" borderId="0" xfId="0" applyFont="1" applyAlignment="1">
      <alignment horizontal="center" vertical="center"/>
    </xf>
    <xf numFmtId="166" fontId="15" fillId="0" borderId="9" xfId="1" applyNumberFormat="1" applyFont="1" applyFill="1" applyBorder="1" applyAlignment="1"/>
    <xf numFmtId="0" fontId="11" fillId="0" borderId="9" xfId="0" applyFont="1" applyBorder="1" applyAlignment="1">
      <alignment vertical="center"/>
    </xf>
    <xf numFmtId="0" fontId="11" fillId="0" borderId="9" xfId="0" applyFont="1" applyBorder="1"/>
    <xf numFmtId="0" fontId="4" fillId="0" borderId="6" xfId="0" applyFont="1" applyBorder="1"/>
    <xf numFmtId="166" fontId="15" fillId="7" borderId="9" xfId="1" applyNumberFormat="1" applyFont="1" applyFill="1" applyBorder="1" applyAlignment="1"/>
    <xf numFmtId="166" fontId="15" fillId="0" borderId="9" xfId="1" applyNumberFormat="1" applyFont="1" applyBorder="1" applyAlignment="1"/>
    <xf numFmtId="166" fontId="4" fillId="0" borderId="9" xfId="1" applyNumberFormat="1" applyFont="1" applyFill="1" applyBorder="1" applyAlignment="1"/>
    <xf numFmtId="166" fontId="4" fillId="7" borderId="9" xfId="1" applyNumberFormat="1" applyFont="1" applyFill="1" applyBorder="1" applyAlignment="1"/>
    <xf numFmtId="0" fontId="15" fillId="3" borderId="0" xfId="1" applyNumberFormat="1" applyFont="1" applyFill="1" applyBorder="1" applyAlignment="1">
      <alignment horizontal="left" indent="1"/>
    </xf>
    <xf numFmtId="4" fontId="15" fillId="0" borderId="54" xfId="0" applyNumberFormat="1" applyFont="1" applyBorder="1" applyAlignment="1">
      <alignment vertical="top" wrapText="1"/>
    </xf>
    <xf numFmtId="4" fontId="15" fillId="0" borderId="70" xfId="0" applyNumberFormat="1" applyFont="1" applyBorder="1" applyAlignment="1">
      <alignment vertical="top" wrapText="1"/>
    </xf>
    <xf numFmtId="4" fontId="15" fillId="0" borderId="78" xfId="0" applyNumberFormat="1" applyFont="1" applyBorder="1" applyAlignment="1">
      <alignment vertical="top" wrapText="1"/>
    </xf>
    <xf numFmtId="4" fontId="11" fillId="6" borderId="9" xfId="0" applyNumberFormat="1" applyFont="1" applyFill="1" applyBorder="1" applyAlignment="1">
      <alignment vertical="center"/>
    </xf>
    <xf numFmtId="4" fontId="11" fillId="6" borderId="9" xfId="0" applyNumberFormat="1" applyFont="1" applyFill="1" applyBorder="1" applyAlignment="1">
      <alignment horizontal="right" vertical="center"/>
    </xf>
    <xf numFmtId="166" fontId="15" fillId="0" borderId="82" xfId="1" applyNumberFormat="1" applyFont="1" applyFill="1" applyBorder="1" applyAlignment="1">
      <alignment vertical="top" wrapText="1"/>
    </xf>
    <xf numFmtId="166" fontId="15" fillId="0" borderId="76" xfId="1" applyNumberFormat="1" applyFont="1" applyFill="1" applyBorder="1" applyAlignment="1">
      <alignment vertical="top" wrapText="1"/>
    </xf>
    <xf numFmtId="166" fontId="15" fillId="0" borderId="75" xfId="1" applyNumberFormat="1" applyFont="1" applyFill="1" applyBorder="1" applyAlignment="1">
      <alignment vertical="top" wrapText="1"/>
    </xf>
    <xf numFmtId="4" fontId="15" fillId="0" borderId="85" xfId="0" applyNumberFormat="1" applyFont="1" applyBorder="1" applyAlignment="1">
      <alignment vertical="top" wrapText="1"/>
    </xf>
    <xf numFmtId="4" fontId="15" fillId="0" borderId="86" xfId="0" applyNumberFormat="1" applyFont="1" applyBorder="1" applyAlignment="1">
      <alignment vertical="top" wrapText="1"/>
    </xf>
    <xf numFmtId="0" fontId="11" fillId="6" borderId="29" xfId="6" applyFont="1" applyFill="1" applyBorder="1" applyAlignment="1">
      <alignment vertical="center" wrapText="1"/>
    </xf>
    <xf numFmtId="0" fontId="15" fillId="0" borderId="78" xfId="6" applyFont="1" applyBorder="1"/>
    <xf numFmtId="0" fontId="15" fillId="0" borderId="54" xfId="6" applyFont="1" applyBorder="1"/>
    <xf numFmtId="0" fontId="15" fillId="0" borderId="70" xfId="6" applyFont="1" applyBorder="1"/>
    <xf numFmtId="166" fontId="15" fillId="0" borderId="95" xfId="1" applyNumberFormat="1" applyFont="1" applyBorder="1"/>
    <xf numFmtId="166" fontId="15" fillId="0" borderId="96" xfId="1" applyNumberFormat="1" applyFont="1" applyBorder="1"/>
    <xf numFmtId="166" fontId="15" fillId="0" borderId="114" xfId="1" applyNumberFormat="1" applyFont="1" applyBorder="1"/>
    <xf numFmtId="0" fontId="15" fillId="0" borderId="102" xfId="0" applyFont="1" applyBorder="1"/>
    <xf numFmtId="0" fontId="15" fillId="0" borderId="105" xfId="0" applyFont="1" applyBorder="1"/>
    <xf numFmtId="0" fontId="15" fillId="0" borderId="115" xfId="0" applyFont="1" applyBorder="1"/>
    <xf numFmtId="166" fontId="15" fillId="0" borderId="102" xfId="1" applyNumberFormat="1" applyFont="1" applyFill="1" applyBorder="1" applyAlignment="1"/>
    <xf numFmtId="166" fontId="15" fillId="0" borderId="105" xfId="1" applyNumberFormat="1" applyFont="1" applyFill="1" applyBorder="1" applyAlignment="1"/>
    <xf numFmtId="166" fontId="15" fillId="0" borderId="120" xfId="1" applyNumberFormat="1" applyFont="1" applyFill="1" applyBorder="1" applyAlignment="1"/>
    <xf numFmtId="3" fontId="15" fillId="6" borderId="116" xfId="0" applyNumberFormat="1" applyFont="1" applyFill="1" applyBorder="1" applyAlignment="1">
      <alignment horizontal="right" indent="1"/>
    </xf>
    <xf numFmtId="3" fontId="15" fillId="0" borderId="24" xfId="0" applyNumberFormat="1" applyFont="1" applyBorder="1" applyAlignment="1">
      <alignment horizontal="right" indent="1"/>
    </xf>
    <xf numFmtId="9" fontId="15" fillId="6" borderId="9" xfId="0" applyNumberFormat="1" applyFont="1" applyFill="1" applyBorder="1" applyAlignment="1">
      <alignment horizontal="right" indent="1"/>
    </xf>
    <xf numFmtId="4" fontId="15" fillId="0" borderId="106" xfId="0" applyNumberFormat="1" applyFont="1" applyBorder="1" applyAlignment="1">
      <alignment vertical="top"/>
    </xf>
    <xf numFmtId="4" fontId="15" fillId="0" borderId="102" xfId="0" applyNumberFormat="1" applyFont="1" applyBorder="1" applyAlignment="1">
      <alignment vertical="top"/>
    </xf>
    <xf numFmtId="4" fontId="15" fillId="0" borderId="105" xfId="0" applyNumberFormat="1" applyFont="1" applyBorder="1" applyAlignment="1">
      <alignment vertical="top"/>
    </xf>
    <xf numFmtId="4" fontId="15" fillId="0" borderId="61" xfId="0" applyNumberFormat="1" applyFont="1" applyBorder="1" applyAlignment="1">
      <alignment vertical="top"/>
    </xf>
    <xf numFmtId="4" fontId="15" fillId="0" borderId="56" xfId="0" applyNumberFormat="1" applyFont="1" applyBorder="1" applyAlignment="1">
      <alignment vertical="top"/>
    </xf>
    <xf numFmtId="4" fontId="15" fillId="0" borderId="72" xfId="0" applyNumberFormat="1" applyFont="1" applyBorder="1" applyAlignment="1">
      <alignment vertical="top"/>
    </xf>
    <xf numFmtId="4" fontId="15" fillId="0" borderId="95" xfId="0" applyNumberFormat="1" applyFont="1" applyBorder="1"/>
    <xf numFmtId="4" fontId="15" fillId="0" borderId="96" xfId="0" applyNumberFormat="1" applyFont="1" applyBorder="1"/>
    <xf numFmtId="4" fontId="15" fillId="0" borderId="97" xfId="0" applyNumberFormat="1" applyFont="1" applyBorder="1"/>
    <xf numFmtId="4" fontId="11" fillId="0" borderId="9" xfId="0" applyNumberFormat="1" applyFont="1" applyBorder="1"/>
    <xf numFmtId="166" fontId="15" fillId="0" borderId="95" xfId="1" applyNumberFormat="1" applyFont="1" applyBorder="1" applyAlignment="1"/>
    <xf numFmtId="166" fontId="15" fillId="0" borderId="96" xfId="1" applyNumberFormat="1" applyFont="1" applyBorder="1" applyAlignment="1"/>
    <xf numFmtId="175" fontId="45" fillId="6" borderId="68" xfId="0" applyNumberFormat="1" applyFont="1" applyFill="1" applyBorder="1"/>
    <xf numFmtId="166" fontId="15" fillId="0" borderId="97" xfId="1" applyNumberFormat="1" applyFont="1" applyBorder="1" applyAlignment="1"/>
    <xf numFmtId="166" fontId="11" fillId="6" borderId="9" xfId="1" applyNumberFormat="1" applyFont="1" applyFill="1" applyBorder="1" applyAlignment="1"/>
    <xf numFmtId="166" fontId="15" fillId="0" borderId="6" xfId="1" applyNumberFormat="1" applyFont="1" applyBorder="1" applyAlignment="1"/>
    <xf numFmtId="166" fontId="15" fillId="0" borderId="86" xfId="1" applyNumberFormat="1" applyFont="1" applyBorder="1" applyAlignment="1"/>
    <xf numFmtId="166" fontId="15" fillId="0" borderId="87" xfId="1" applyNumberFormat="1" applyFont="1" applyBorder="1" applyAlignment="1"/>
    <xf numFmtId="166" fontId="11" fillId="6" borderId="6" xfId="1" applyNumberFormat="1" applyFont="1" applyFill="1" applyBorder="1" applyAlignment="1"/>
    <xf numFmtId="175" fontId="15" fillId="0" borderId="9" xfId="2" applyNumberFormat="1" applyFont="1" applyBorder="1" applyAlignment="1"/>
    <xf numFmtId="175" fontId="15" fillId="0" borderId="95" xfId="2" applyNumberFormat="1" applyFont="1" applyBorder="1" applyAlignment="1"/>
    <xf numFmtId="175" fontId="15" fillId="0" borderId="96" xfId="2" applyNumberFormat="1" applyFont="1" applyBorder="1" applyAlignment="1"/>
    <xf numFmtId="175" fontId="15" fillId="0" borderId="97" xfId="2" applyNumberFormat="1" applyFont="1" applyBorder="1" applyAlignment="1"/>
    <xf numFmtId="0" fontId="15" fillId="0" borderId="17" xfId="0" applyFont="1" applyBorder="1" applyAlignment="1" applyProtection="1">
      <alignment horizontal="center" vertical="center"/>
      <protection locked="0"/>
    </xf>
    <xf numFmtId="4" fontId="15" fillId="0" borderId="0" xfId="0" applyNumberFormat="1" applyFont="1" applyAlignment="1">
      <alignment horizontal="center" vertical="center" wrapText="1"/>
    </xf>
    <xf numFmtId="4" fontId="44" fillId="0" borderId="110" xfId="0" applyNumberFormat="1" applyFont="1" applyBorder="1" applyAlignment="1">
      <alignment vertical="top"/>
    </xf>
    <xf numFmtId="4" fontId="45" fillId="6" borderId="42" xfId="0" applyNumberFormat="1" applyFont="1" applyFill="1" applyBorder="1" applyAlignment="1">
      <alignment vertical="center"/>
    </xf>
    <xf numFmtId="4" fontId="44" fillId="0" borderId="111" xfId="0" applyNumberFormat="1" applyFont="1" applyBorder="1" applyAlignment="1">
      <alignment vertical="top"/>
    </xf>
    <xf numFmtId="4" fontId="44" fillId="0" borderId="112" xfId="0" applyNumberFormat="1" applyFont="1" applyBorder="1" applyAlignment="1">
      <alignment vertical="top"/>
    </xf>
    <xf numFmtId="166" fontId="44" fillId="0" borderId="95" xfId="1" quotePrefix="1" applyNumberFormat="1" applyFont="1" applyBorder="1" applyAlignment="1" applyProtection="1"/>
    <xf numFmtId="4" fontId="45" fillId="6" borderId="9" xfId="0" applyNumberFormat="1" applyFont="1" applyFill="1" applyBorder="1" applyAlignment="1">
      <alignment vertical="center" wrapText="1"/>
    </xf>
    <xf numFmtId="166" fontId="44" fillId="0" borderId="96" xfId="1" quotePrefix="1" applyNumberFormat="1" applyFont="1" applyBorder="1" applyAlignment="1" applyProtection="1"/>
    <xf numFmtId="166" fontId="44" fillId="0" borderId="97" xfId="1" quotePrefix="1" applyNumberFormat="1" applyFont="1" applyBorder="1" applyAlignment="1" applyProtection="1"/>
    <xf numFmtId="166" fontId="44" fillId="0" borderId="96" xfId="1" applyNumberFormat="1" applyFont="1" applyBorder="1" applyAlignment="1"/>
    <xf numFmtId="166" fontId="44" fillId="0" borderId="97" xfId="1" applyNumberFormat="1" applyFont="1" applyBorder="1" applyAlignment="1"/>
    <xf numFmtId="166" fontId="44" fillId="0" borderId="95" xfId="1" applyNumberFormat="1" applyFont="1" applyBorder="1" applyAlignment="1"/>
    <xf numFmtId="166" fontId="44" fillId="6" borderId="96" xfId="1" applyNumberFormat="1" applyFont="1" applyFill="1" applyBorder="1" applyAlignment="1"/>
    <xf numFmtId="166" fontId="44" fillId="6" borderId="97" xfId="1" applyNumberFormat="1" applyFont="1" applyFill="1" applyBorder="1" applyAlignment="1"/>
    <xf numFmtId="166" fontId="44" fillId="6" borderId="95" xfId="1" applyNumberFormat="1" applyFont="1" applyFill="1" applyBorder="1" applyAlignment="1"/>
    <xf numFmtId="176" fontId="15" fillId="0" borderId="78" xfId="0" applyNumberFormat="1" applyFont="1" applyBorder="1" applyAlignment="1">
      <alignment vertical="center"/>
    </xf>
    <xf numFmtId="176" fontId="15" fillId="0" borderId="54" xfId="0" applyNumberFormat="1" applyFont="1" applyBorder="1" applyAlignment="1">
      <alignment vertical="center"/>
    </xf>
    <xf numFmtId="176" fontId="15" fillId="0" borderId="70" xfId="0" applyNumberFormat="1" applyFont="1" applyBorder="1" applyAlignment="1">
      <alignment vertical="center"/>
    </xf>
    <xf numFmtId="14" fontId="15" fillId="0" borderId="61" xfId="0" applyNumberFormat="1" applyFont="1" applyBorder="1" applyAlignment="1">
      <alignment vertical="center"/>
    </xf>
    <xf numFmtId="14" fontId="15" fillId="0" borderId="56" xfId="0" applyNumberFormat="1" applyFont="1" applyBorder="1" applyAlignment="1">
      <alignment vertical="center"/>
    </xf>
    <xf numFmtId="14" fontId="15" fillId="0" borderId="72" xfId="0" applyNumberFormat="1" applyFont="1" applyBorder="1" applyAlignment="1">
      <alignment vertical="center"/>
    </xf>
    <xf numFmtId="0" fontId="15" fillId="0" borderId="61" xfId="0" applyFont="1" applyBorder="1" applyAlignment="1">
      <alignment vertical="center"/>
    </xf>
    <xf numFmtId="0" fontId="15" fillId="0" borderId="56" xfId="0" applyFont="1" applyBorder="1" applyAlignment="1">
      <alignment vertical="center"/>
    </xf>
    <xf numFmtId="0" fontId="15" fillId="0" borderId="72" xfId="0" applyFont="1" applyBorder="1" applyAlignment="1">
      <alignment vertical="center"/>
    </xf>
    <xf numFmtId="166" fontId="15" fillId="0" borderId="61" xfId="1" applyNumberFormat="1" applyFont="1" applyFill="1" applyBorder="1" applyAlignment="1"/>
    <xf numFmtId="166" fontId="15" fillId="0" borderId="56" xfId="1" applyNumberFormat="1" applyFont="1" applyFill="1" applyBorder="1" applyAlignment="1"/>
    <xf numFmtId="166" fontId="15" fillId="0" borderId="72" xfId="1" applyNumberFormat="1" applyFont="1" applyFill="1" applyBorder="1" applyAlignment="1"/>
    <xf numFmtId="166" fontId="11" fillId="7" borderId="2" xfId="1" applyNumberFormat="1" applyFont="1" applyFill="1" applyBorder="1" applyAlignment="1"/>
    <xf numFmtId="9" fontId="11" fillId="7" borderId="2" xfId="2" applyFont="1" applyFill="1" applyBorder="1" applyAlignment="1">
      <alignment vertical="center"/>
    </xf>
    <xf numFmtId="166" fontId="15" fillId="0" borderId="5" xfId="1" applyNumberFormat="1" applyFont="1" applyFill="1" applyBorder="1" applyAlignment="1"/>
    <xf numFmtId="176" fontId="15" fillId="0" borderId="61" xfId="0" applyNumberFormat="1" applyFont="1" applyBorder="1" applyAlignment="1">
      <alignment vertical="center"/>
    </xf>
    <xf numFmtId="176" fontId="15" fillId="0" borderId="56" xfId="0" applyNumberFormat="1" applyFont="1" applyBorder="1" applyAlignment="1">
      <alignment vertical="center"/>
    </xf>
    <xf numFmtId="176" fontId="15" fillId="0" borderId="72" xfId="0" applyNumberFormat="1" applyFont="1" applyBorder="1" applyAlignment="1">
      <alignment vertical="center"/>
    </xf>
    <xf numFmtId="3" fontId="15" fillId="0" borderId="6" xfId="1" applyNumberFormat="1" applyFont="1" applyFill="1" applyBorder="1" applyAlignment="1"/>
    <xf numFmtId="166" fontId="15" fillId="0" borderId="69" xfId="1" applyNumberFormat="1" applyFont="1" applyFill="1" applyBorder="1" applyAlignment="1"/>
    <xf numFmtId="166" fontId="27" fillId="7" borderId="4" xfId="0" applyNumberFormat="1" applyFont="1" applyFill="1" applyBorder="1"/>
    <xf numFmtId="166" fontId="11" fillId="7" borderId="7" xfId="0" applyNumberFormat="1" applyFont="1" applyFill="1" applyBorder="1"/>
    <xf numFmtId="0" fontId="15" fillId="4" borderId="0" xfId="0" applyFont="1" applyFill="1" applyAlignment="1">
      <alignment vertical="top" wrapText="1"/>
    </xf>
    <xf numFmtId="0" fontId="15" fillId="4" borderId="18" xfId="0" applyFont="1" applyFill="1" applyBorder="1" applyAlignment="1">
      <alignment vertical="top" wrapText="1"/>
    </xf>
    <xf numFmtId="166" fontId="11" fillId="7" borderId="6" xfId="1" applyNumberFormat="1" applyFont="1" applyFill="1" applyBorder="1" applyAlignment="1"/>
    <xf numFmtId="3" fontId="15" fillId="0" borderId="90" xfId="10" applyNumberFormat="1" applyFont="1" applyBorder="1" applyProtection="1">
      <protection locked="0"/>
    </xf>
    <xf numFmtId="3" fontId="15" fillId="0" borderId="91" xfId="10" applyNumberFormat="1" applyFont="1" applyBorder="1" applyProtection="1">
      <protection locked="0"/>
    </xf>
    <xf numFmtId="3" fontId="15" fillId="0" borderId="89" xfId="10" applyNumberFormat="1" applyFont="1" applyBorder="1" applyProtection="1">
      <protection locked="0"/>
    </xf>
    <xf numFmtId="174" fontId="15" fillId="7" borderId="102" xfId="0" applyNumberFormat="1" applyFont="1" applyFill="1" applyBorder="1"/>
    <xf numFmtId="174" fontId="15" fillId="7" borderId="85" xfId="0" applyNumberFormat="1" applyFont="1" applyFill="1" applyBorder="1"/>
    <xf numFmtId="174" fontId="15" fillId="7" borderId="105" xfId="0" applyNumberFormat="1" applyFont="1" applyFill="1" applyBorder="1"/>
    <xf numFmtId="166" fontId="24" fillId="0" borderId="9" xfId="1" applyNumberFormat="1" applyFont="1" applyBorder="1" applyAlignment="1">
      <alignment horizontal="center" vertical="center" wrapText="1"/>
    </xf>
    <xf numFmtId="166" fontId="7" fillId="0" borderId="85" xfId="1" applyNumberFormat="1" applyFont="1" applyFill="1" applyBorder="1" applyAlignment="1">
      <alignment vertical="center" wrapText="1"/>
    </xf>
    <xf numFmtId="166" fontId="7" fillId="0" borderId="86" xfId="1" applyNumberFormat="1" applyFont="1" applyFill="1" applyBorder="1" applyAlignment="1">
      <alignment vertical="center" wrapText="1"/>
    </xf>
    <xf numFmtId="166" fontId="7" fillId="0" borderId="87" xfId="1" applyNumberFormat="1" applyFont="1" applyFill="1" applyBorder="1" applyAlignment="1">
      <alignment vertical="center" wrapText="1"/>
    </xf>
    <xf numFmtId="169" fontId="7" fillId="6" borderId="9" xfId="7" applyNumberFormat="1" applyFont="1" applyFill="1" applyBorder="1" applyAlignment="1">
      <alignment vertical="center"/>
    </xf>
    <xf numFmtId="9" fontId="7" fillId="6" borderId="9" xfId="8" applyFont="1" applyFill="1" applyBorder="1" applyAlignment="1">
      <alignment vertical="center"/>
    </xf>
    <xf numFmtId="0" fontId="11" fillId="6" borderId="9" xfId="0" applyFont="1" applyFill="1" applyBorder="1" applyAlignment="1">
      <alignment horizontal="center" vertical="center" wrapText="1"/>
    </xf>
    <xf numFmtId="0" fontId="25" fillId="0" borderId="96" xfId="0" applyFont="1" applyBorder="1"/>
    <xf numFmtId="164" fontId="11" fillId="6" borderId="9" xfId="7" applyNumberFormat="1" applyFont="1" applyFill="1" applyBorder="1" applyAlignment="1">
      <alignment horizontal="center" vertical="center" wrapText="1"/>
    </xf>
    <xf numFmtId="164" fontId="11" fillId="6" borderId="9" xfId="7" applyNumberFormat="1" applyFont="1" applyFill="1" applyBorder="1" applyAlignment="1">
      <alignment horizontal="centerContinuous" vertical="center" wrapText="1"/>
    </xf>
    <xf numFmtId="164" fontId="11" fillId="0" borderId="95" xfId="7" applyNumberFormat="1" applyFont="1" applyBorder="1" applyAlignment="1">
      <alignment horizontal="center" vertical="center" wrapText="1"/>
    </xf>
    <xf numFmtId="164" fontId="11" fillId="0" borderId="95" xfId="7" applyNumberFormat="1" applyFont="1" applyBorder="1" applyAlignment="1">
      <alignment horizontal="centerContinuous" vertical="center" wrapText="1"/>
    </xf>
    <xf numFmtId="164" fontId="11" fillId="0" borderId="96" xfId="7" applyNumberFormat="1" applyFont="1" applyBorder="1" applyAlignment="1">
      <alignment horizontal="center" vertical="center" wrapText="1"/>
    </xf>
    <xf numFmtId="164" fontId="11" fillId="0" borderId="96" xfId="7" applyNumberFormat="1" applyFont="1" applyBorder="1" applyAlignment="1">
      <alignment horizontal="centerContinuous" vertical="center" wrapText="1"/>
    </xf>
    <xf numFmtId="164" fontId="15" fillId="0" borderId="138" xfId="7" applyNumberFormat="1" applyFont="1" applyBorder="1"/>
    <xf numFmtId="164" fontId="15" fillId="0" borderId="138" xfId="7" applyNumberFormat="1" applyFont="1" applyBorder="1" applyAlignment="1">
      <alignment horizontal="right"/>
    </xf>
    <xf numFmtId="171" fontId="15" fillId="0" borderId="138" xfId="7" applyNumberFormat="1" applyFont="1" applyBorder="1" applyAlignment="1">
      <alignment horizontal="center"/>
    </xf>
    <xf numFmtId="164" fontId="20" fillId="6" borderId="9" xfId="7" applyNumberFormat="1" applyFont="1" applyFill="1" applyBorder="1" applyAlignment="1">
      <alignment horizontal="center" vertical="center" wrapText="1"/>
    </xf>
    <xf numFmtId="164" fontId="15" fillId="6" borderId="116" xfId="6" applyNumberFormat="1" applyFont="1" applyFill="1" applyBorder="1"/>
    <xf numFmtId="0" fontId="15" fillId="6" borderId="24" xfId="6" applyFont="1" applyFill="1" applyBorder="1"/>
    <xf numFmtId="0" fontId="15" fillId="6" borderId="9" xfId="6" applyFont="1" applyFill="1" applyBorder="1"/>
    <xf numFmtId="4" fontId="45" fillId="7" borderId="9" xfId="0" applyNumberFormat="1" applyFont="1" applyFill="1" applyBorder="1" applyAlignment="1">
      <alignment horizontal="center" vertical="center" wrapText="1"/>
    </xf>
    <xf numFmtId="4" fontId="45" fillId="7" borderId="9" xfId="0" applyNumberFormat="1" applyFont="1" applyFill="1" applyBorder="1" applyAlignment="1">
      <alignment horizontal="center" vertical="center"/>
    </xf>
    <xf numFmtId="4" fontId="45" fillId="7" borderId="9" xfId="0" applyNumberFormat="1" applyFont="1" applyFill="1" applyBorder="1" applyAlignment="1">
      <alignment vertical="center" wrapText="1"/>
    </xf>
    <xf numFmtId="4" fontId="45" fillId="7" borderId="9" xfId="0" applyNumberFormat="1" applyFont="1" applyFill="1" applyBorder="1" applyAlignment="1">
      <alignment vertical="center"/>
    </xf>
    <xf numFmtId="0" fontId="20" fillId="7" borderId="9" xfId="0" applyFont="1" applyFill="1" applyBorder="1" applyAlignment="1">
      <alignment horizontal="center" vertical="center"/>
    </xf>
    <xf numFmtId="0" fontId="15" fillId="4" borderId="17" xfId="0" applyFont="1" applyFill="1" applyBorder="1" applyAlignment="1">
      <alignment vertical="top"/>
    </xf>
    <xf numFmtId="0" fontId="11" fillId="6" borderId="42" xfId="0" applyFont="1" applyFill="1" applyBorder="1" applyAlignment="1">
      <alignment horizontal="center" vertical="center"/>
    </xf>
    <xf numFmtId="4" fontId="15" fillId="0" borderId="82" xfId="0" applyNumberFormat="1" applyFont="1" applyBorder="1" applyAlignment="1">
      <alignment horizontal="left" vertical="center" wrapText="1"/>
    </xf>
    <xf numFmtId="4" fontId="15" fillId="0" borderId="76" xfId="0" applyNumberFormat="1" applyFont="1" applyBorder="1" applyAlignment="1">
      <alignment horizontal="left" vertical="center" wrapText="1"/>
    </xf>
    <xf numFmtId="0" fontId="7" fillId="0" borderId="85" xfId="7" applyFont="1" applyBorder="1" applyAlignment="1">
      <alignment horizontal="left" vertical="center" wrapText="1"/>
    </xf>
    <xf numFmtId="0" fontId="7" fillId="0" borderId="75" xfId="7" applyFont="1" applyBorder="1" applyAlignment="1">
      <alignment horizontal="left" vertical="center" wrapText="1"/>
    </xf>
    <xf numFmtId="0" fontId="7" fillId="0" borderId="86" xfId="7" applyFont="1" applyBorder="1" applyAlignment="1">
      <alignment horizontal="left" vertical="center" wrapText="1"/>
    </xf>
    <xf numFmtId="0" fontId="7" fillId="0" borderId="76" xfId="7" applyFont="1" applyBorder="1" applyAlignment="1">
      <alignment horizontal="left" vertical="center" wrapText="1"/>
    </xf>
    <xf numFmtId="0" fontId="7" fillId="0" borderId="82" xfId="7" applyFont="1" applyBorder="1" applyAlignment="1">
      <alignment horizontal="left" vertical="center" wrapText="1"/>
    </xf>
    <xf numFmtId="0" fontId="15" fillId="0" borderId="56" xfId="0" applyFont="1" applyBorder="1" applyAlignment="1">
      <alignment horizontal="left" vertical="center" wrapText="1"/>
    </xf>
    <xf numFmtId="0" fontId="15" fillId="0" borderId="76" xfId="0" applyFont="1" applyBorder="1" applyAlignment="1">
      <alignment horizontal="left" vertical="center" wrapText="1"/>
    </xf>
    <xf numFmtId="0" fontId="15" fillId="0" borderId="77" xfId="0" applyFont="1" applyBorder="1" applyAlignment="1">
      <alignment horizontal="left" vertical="center" wrapText="1"/>
    </xf>
    <xf numFmtId="0" fontId="15" fillId="0" borderId="72" xfId="0" applyFont="1" applyBorder="1" applyAlignment="1">
      <alignment horizontal="left" vertical="center" wrapText="1"/>
    </xf>
    <xf numFmtId="0" fontId="15" fillId="0" borderId="82" xfId="0" applyFont="1" applyBorder="1" applyAlignment="1">
      <alignment horizontal="left" vertical="center" wrapText="1"/>
    </xf>
    <xf numFmtId="0" fontId="15" fillId="0" borderId="83" xfId="0" applyFont="1" applyBorder="1" applyAlignment="1">
      <alignment horizontal="left" vertical="center" wrapText="1"/>
    </xf>
    <xf numFmtId="0" fontId="32" fillId="0" borderId="17" xfId="0" applyFont="1" applyBorder="1" applyAlignment="1">
      <alignment horizontal="left"/>
    </xf>
    <xf numFmtId="0" fontId="27" fillId="0" borderId="0" xfId="0" applyFont="1" applyAlignment="1">
      <alignment horizontal="left"/>
    </xf>
    <xf numFmtId="0" fontId="11" fillId="6" borderId="9" xfId="0" applyFont="1" applyFill="1" applyBorder="1" applyAlignment="1">
      <alignment vertical="center"/>
    </xf>
    <xf numFmtId="0" fontId="20" fillId="7" borderId="128" xfId="0" applyFont="1" applyFill="1" applyBorder="1" applyAlignment="1">
      <alignment horizontal="center" vertical="center" wrapText="1"/>
    </xf>
    <xf numFmtId="0" fontId="11" fillId="7" borderId="129" xfId="0" applyFont="1" applyFill="1" applyBorder="1" applyAlignment="1">
      <alignment horizontal="center" vertical="center" wrapText="1"/>
    </xf>
    <xf numFmtId="0" fontId="11" fillId="7" borderId="73" xfId="0" applyFont="1" applyFill="1" applyBorder="1" applyAlignment="1">
      <alignment horizontal="center" vertical="center" wrapText="1"/>
    </xf>
    <xf numFmtId="0" fontId="11" fillId="7" borderId="9" xfId="0" applyFont="1" applyFill="1" applyBorder="1" applyAlignment="1">
      <alignment horizontal="center" vertical="center" wrapText="1"/>
    </xf>
    <xf numFmtId="0" fontId="11" fillId="7" borderId="128" xfId="0" applyFont="1" applyFill="1" applyBorder="1" applyAlignment="1">
      <alignment horizontal="center" vertical="center" wrapText="1"/>
    </xf>
    <xf numFmtId="0" fontId="11" fillId="7" borderId="139" xfId="0" applyFont="1" applyFill="1" applyBorder="1" applyAlignment="1">
      <alignment horizontal="center" vertical="center" wrapText="1"/>
    </xf>
    <xf numFmtId="0" fontId="11" fillId="7" borderId="71" xfId="0" applyFont="1" applyFill="1" applyBorder="1" applyAlignment="1">
      <alignment horizontal="center" vertical="center" wrapText="1"/>
    </xf>
    <xf numFmtId="0" fontId="15" fillId="0" borderId="0" xfId="0" applyFont="1" applyAlignment="1" applyProtection="1">
      <alignment horizontal="center"/>
      <protection locked="0"/>
    </xf>
    <xf numFmtId="0" fontId="20" fillId="0" borderId="58" xfId="0" applyFont="1" applyBorder="1"/>
    <xf numFmtId="0" fontId="15" fillId="0" borderId="60" xfId="0" applyFont="1" applyBorder="1"/>
    <xf numFmtId="16" fontId="15" fillId="0" borderId="60" xfId="0" applyNumberFormat="1" applyFont="1" applyBorder="1" applyAlignment="1">
      <alignment horizontal="right"/>
    </xf>
    <xf numFmtId="16" fontId="15" fillId="0" borderId="61" xfId="0" applyNumberFormat="1" applyFont="1" applyBorder="1" applyAlignment="1">
      <alignment horizontal="right"/>
    </xf>
    <xf numFmtId="166" fontId="15" fillId="0" borderId="95" xfId="1" applyNumberFormat="1" applyFont="1" applyFill="1" applyBorder="1" applyAlignment="1">
      <alignment horizontal="right"/>
    </xf>
    <xf numFmtId="166" fontId="15" fillId="0" borderId="125" xfId="1" applyNumberFormat="1" applyFont="1" applyFill="1" applyBorder="1" applyAlignment="1">
      <alignment horizontal="right" indent="2"/>
    </xf>
    <xf numFmtId="166" fontId="15" fillId="7" borderId="60" xfId="1" applyNumberFormat="1" applyFont="1" applyFill="1" applyBorder="1" applyAlignment="1">
      <alignment horizontal="right" indent="2"/>
    </xf>
    <xf numFmtId="166" fontId="15" fillId="0" borderId="60" xfId="1" applyNumberFormat="1" applyFont="1" applyFill="1" applyBorder="1" applyAlignment="1">
      <alignment horizontal="right"/>
    </xf>
    <xf numFmtId="166" fontId="15" fillId="7" borderId="79" xfId="1" applyNumberFormat="1" applyFont="1" applyFill="1" applyBorder="1" applyAlignment="1">
      <alignment horizontal="right" indent="2"/>
    </xf>
    <xf numFmtId="166" fontId="15" fillId="0" borderId="60" xfId="1" applyNumberFormat="1" applyFont="1" applyFill="1" applyBorder="1" applyAlignment="1">
      <alignment horizontal="right" indent="2"/>
    </xf>
    <xf numFmtId="3" fontId="15" fillId="0" borderId="60" xfId="0" applyNumberFormat="1" applyFont="1" applyBorder="1" applyAlignment="1">
      <alignment horizontal="right" indent="2"/>
    </xf>
    <xf numFmtId="3" fontId="15" fillId="0" borderId="140" xfId="0" applyNumberFormat="1" applyFont="1" applyBorder="1" applyAlignment="1">
      <alignment horizontal="left" vertical="top"/>
    </xf>
    <xf numFmtId="0" fontId="43" fillId="0" borderId="67" xfId="20" applyFont="1" applyBorder="1"/>
    <xf numFmtId="0" fontId="15" fillId="0" borderId="55" xfId="0" applyFont="1" applyBorder="1"/>
    <xf numFmtId="16" fontId="15" fillId="0" borderId="55" xfId="0" applyNumberFormat="1" applyFont="1" applyBorder="1" applyAlignment="1">
      <alignment horizontal="right"/>
    </xf>
    <xf numFmtId="16" fontId="15" fillId="0" borderId="56" xfId="0" applyNumberFormat="1" applyFont="1" applyBorder="1" applyAlignment="1">
      <alignment horizontal="right"/>
    </xf>
    <xf numFmtId="166" fontId="15" fillId="0" borderId="96" xfId="1" applyNumberFormat="1" applyFont="1" applyFill="1" applyBorder="1" applyAlignment="1">
      <alignment horizontal="right"/>
    </xf>
    <xf numFmtId="166" fontId="15" fillId="0" borderId="141" xfId="1" applyNumberFormat="1" applyFont="1" applyFill="1" applyBorder="1" applyAlignment="1">
      <alignment horizontal="right" indent="2"/>
    </xf>
    <xf numFmtId="166" fontId="15" fillId="7" borderId="55" xfId="1" applyNumberFormat="1" applyFont="1" applyFill="1" applyBorder="1" applyAlignment="1">
      <alignment horizontal="right" indent="2"/>
    </xf>
    <xf numFmtId="166" fontId="15" fillId="0" borderId="55" xfId="1" applyNumberFormat="1" applyFont="1" applyFill="1" applyBorder="1" applyAlignment="1">
      <alignment horizontal="right"/>
    </xf>
    <xf numFmtId="166" fontId="15" fillId="7" borderId="80" xfId="1" applyNumberFormat="1" applyFont="1" applyFill="1" applyBorder="1" applyAlignment="1">
      <alignment horizontal="right" indent="2"/>
    </xf>
    <xf numFmtId="166" fontId="15" fillId="0" borderId="55" xfId="1" applyNumberFormat="1" applyFont="1" applyFill="1" applyBorder="1" applyAlignment="1">
      <alignment horizontal="right" indent="2"/>
    </xf>
    <xf numFmtId="3" fontId="15" fillId="0" borderId="55" xfId="0" applyNumberFormat="1" applyFont="1" applyBorder="1" applyAlignment="1">
      <alignment horizontal="right" indent="2"/>
    </xf>
    <xf numFmtId="3" fontId="15" fillId="0" borderId="142" xfId="0" applyNumberFormat="1" applyFont="1" applyBorder="1" applyAlignment="1">
      <alignment horizontal="left" vertical="top"/>
    </xf>
    <xf numFmtId="0" fontId="20" fillId="0" borderId="67" xfId="0" applyFont="1" applyBorder="1"/>
    <xf numFmtId="0" fontId="71" fillId="0" borderId="67" xfId="5" applyFont="1" applyFill="1" applyBorder="1" applyAlignment="1" applyProtection="1"/>
    <xf numFmtId="0" fontId="20" fillId="0" borderId="88" xfId="0" applyFont="1" applyBorder="1"/>
    <xf numFmtId="0" fontId="15" fillId="0" borderId="81" xfId="0" applyFont="1" applyBorder="1"/>
    <xf numFmtId="16" fontId="15" fillId="0" borderId="81" xfId="0" applyNumberFormat="1" applyFont="1" applyBorder="1" applyAlignment="1">
      <alignment horizontal="right"/>
    </xf>
    <xf numFmtId="16" fontId="15" fillId="0" borderId="72" xfId="0" applyNumberFormat="1" applyFont="1" applyBorder="1" applyAlignment="1">
      <alignment horizontal="right"/>
    </xf>
    <xf numFmtId="166" fontId="15" fillId="0" borderId="138" xfId="1" applyNumberFormat="1" applyFont="1" applyFill="1" applyBorder="1" applyAlignment="1">
      <alignment horizontal="right"/>
    </xf>
    <xf numFmtId="166" fontId="15" fillId="0" borderId="143" xfId="1" applyNumberFormat="1" applyFont="1" applyFill="1" applyBorder="1" applyAlignment="1">
      <alignment horizontal="right" indent="2"/>
    </xf>
    <xf numFmtId="166" fontId="15" fillId="7" borderId="81" xfId="1" applyNumberFormat="1" applyFont="1" applyFill="1" applyBorder="1" applyAlignment="1">
      <alignment horizontal="right" indent="2"/>
    </xf>
    <xf numFmtId="166" fontId="15" fillId="0" borderId="81" xfId="1" applyNumberFormat="1" applyFont="1" applyFill="1" applyBorder="1" applyAlignment="1">
      <alignment horizontal="right"/>
    </xf>
    <xf numFmtId="166" fontId="15" fillId="7" borderId="84" xfId="1" applyNumberFormat="1" applyFont="1" applyFill="1" applyBorder="1" applyAlignment="1">
      <alignment horizontal="right" indent="2"/>
    </xf>
    <xf numFmtId="166" fontId="15" fillId="0" borderId="81" xfId="1" applyNumberFormat="1" applyFont="1" applyFill="1" applyBorder="1" applyAlignment="1">
      <alignment horizontal="right" indent="2"/>
    </xf>
    <xf numFmtId="3" fontId="15" fillId="0" borderId="81" xfId="0" applyNumberFormat="1" applyFont="1" applyBorder="1" applyAlignment="1">
      <alignment horizontal="right" indent="2"/>
    </xf>
    <xf numFmtId="3" fontId="15" fillId="0" borderId="144" xfId="0" applyNumberFormat="1" applyFont="1" applyBorder="1" applyAlignment="1">
      <alignment horizontal="left" vertical="top"/>
    </xf>
    <xf numFmtId="166" fontId="15" fillId="7" borderId="16" xfId="1" applyNumberFormat="1" applyFont="1" applyFill="1" applyBorder="1" applyAlignment="1">
      <alignment horizontal="right" indent="2"/>
    </xf>
    <xf numFmtId="166" fontId="15" fillId="0" borderId="18" xfId="1" applyNumberFormat="1" applyFont="1" applyFill="1" applyBorder="1" applyAlignment="1">
      <alignment horizontal="right" indent="2"/>
    </xf>
    <xf numFmtId="10" fontId="15" fillId="0" borderId="18" xfId="0" applyNumberFormat="1" applyFont="1" applyBorder="1" applyAlignment="1">
      <alignment horizontal="center"/>
    </xf>
    <xf numFmtId="10" fontId="11" fillId="0" borderId="0" xfId="0" applyNumberFormat="1" applyFont="1"/>
    <xf numFmtId="9" fontId="15" fillId="7" borderId="21" xfId="0" applyNumberFormat="1" applyFont="1" applyFill="1" applyBorder="1" applyAlignment="1">
      <alignment horizontal="center"/>
    </xf>
    <xf numFmtId="0" fontId="15" fillId="0" borderId="78" xfId="0" applyFont="1" applyBorder="1" applyAlignment="1" applyProtection="1">
      <alignment horizontal="left" vertical="center"/>
      <protection locked="0"/>
    </xf>
    <xf numFmtId="0" fontId="15" fillId="0" borderId="54" xfId="0" applyFont="1" applyBorder="1" applyAlignment="1" applyProtection="1">
      <alignment horizontal="left" vertical="center"/>
      <protection locked="0"/>
    </xf>
    <xf numFmtId="0" fontId="15" fillId="0" borderId="70" xfId="0" applyFont="1" applyBorder="1" applyAlignment="1" applyProtection="1">
      <alignment horizontal="left" vertical="center"/>
      <protection locked="0"/>
    </xf>
    <xf numFmtId="0" fontId="15" fillId="0" borderId="69" xfId="0" applyFont="1" applyBorder="1" applyAlignment="1">
      <alignment horizontal="right"/>
    </xf>
    <xf numFmtId="166" fontId="15" fillId="0" borderId="95" xfId="1" applyNumberFormat="1" applyFont="1" applyFill="1" applyBorder="1" applyAlignment="1">
      <alignment vertical="center"/>
    </xf>
    <xf numFmtId="9" fontId="15" fillId="0" borderId="95" xfId="2" applyFont="1" applyFill="1" applyBorder="1" applyAlignment="1" applyProtection="1">
      <alignment vertical="center"/>
    </xf>
    <xf numFmtId="0" fontId="15" fillId="0" borderId="95" xfId="0" applyFont="1" applyBorder="1" applyAlignment="1">
      <alignment vertical="center"/>
    </xf>
    <xf numFmtId="166" fontId="15" fillId="0" borderId="96" xfId="1" applyNumberFormat="1" applyFont="1" applyFill="1" applyBorder="1" applyAlignment="1">
      <alignment vertical="center"/>
    </xf>
    <xf numFmtId="9" fontId="15" fillId="0" borderId="96" xfId="2" applyFont="1" applyFill="1" applyBorder="1" applyAlignment="1" applyProtection="1">
      <alignment vertical="center"/>
    </xf>
    <xf numFmtId="0" fontId="15" fillId="0" borderId="96" xfId="0" applyFont="1" applyBorder="1" applyAlignment="1">
      <alignment vertical="center"/>
    </xf>
    <xf numFmtId="0" fontId="15" fillId="0" borderId="96" xfId="2" applyNumberFormat="1" applyFont="1" applyFill="1" applyBorder="1" applyAlignment="1" applyProtection="1">
      <alignment vertical="center"/>
    </xf>
    <xf numFmtId="0" fontId="15" fillId="0" borderId="0" xfId="0" applyFont="1" applyAlignment="1">
      <alignment vertical="center"/>
    </xf>
    <xf numFmtId="0" fontId="20" fillId="6" borderId="9" xfId="0" applyFont="1" applyFill="1" applyBorder="1" applyAlignment="1">
      <alignment horizontal="center" vertical="center"/>
    </xf>
    <xf numFmtId="166" fontId="4" fillId="5" borderId="9" xfId="1" applyNumberFormat="1" applyFont="1" applyFill="1" applyBorder="1" applyAlignment="1">
      <alignment horizontal="right" vertical="center" wrapText="1"/>
    </xf>
    <xf numFmtId="168" fontId="4" fillId="5" borderId="9" xfId="1" applyNumberFormat="1" applyFont="1" applyFill="1" applyBorder="1" applyAlignment="1">
      <alignment horizontal="right" vertical="center" wrapText="1"/>
    </xf>
    <xf numFmtId="166" fontId="15" fillId="0" borderId="9" xfId="1" applyNumberFormat="1" applyFont="1" applyBorder="1" applyAlignment="1">
      <alignment horizontal="right" vertical="center"/>
    </xf>
    <xf numFmtId="168" fontId="15" fillId="0" borderId="9" xfId="1" applyNumberFormat="1" applyFont="1" applyBorder="1" applyAlignment="1">
      <alignment horizontal="right" vertical="center"/>
    </xf>
    <xf numFmtId="165" fontId="4" fillId="6" borderId="9" xfId="1" applyFont="1" applyFill="1" applyBorder="1" applyAlignment="1">
      <alignment horizontal="right" vertical="center" wrapText="1"/>
    </xf>
    <xf numFmtId="0" fontId="40" fillId="5" borderId="6" xfId="0" applyFont="1" applyFill="1" applyBorder="1" applyAlignment="1">
      <alignment vertical="center" wrapText="1"/>
    </xf>
    <xf numFmtId="0" fontId="40" fillId="5" borderId="8" xfId="0" applyFont="1" applyFill="1" applyBorder="1" applyAlignment="1">
      <alignment vertical="center" wrapText="1"/>
    </xf>
    <xf numFmtId="0" fontId="15" fillId="0" borderId="89" xfId="0" applyFont="1" applyBorder="1" applyProtection="1">
      <protection locked="0"/>
    </xf>
    <xf numFmtId="0" fontId="15" fillId="0" borderId="90" xfId="0" applyFont="1" applyBorder="1" applyProtection="1">
      <protection locked="0"/>
    </xf>
    <xf numFmtId="0" fontId="15" fillId="0" borderId="91" xfId="0" applyFont="1" applyBorder="1" applyProtection="1">
      <protection locked="0"/>
    </xf>
    <xf numFmtId="3" fontId="15" fillId="0" borderId="95" xfId="0" applyNumberFormat="1" applyFont="1" applyBorder="1" applyAlignment="1">
      <alignment horizontal="right" vertical="top" wrapText="1" indent="1"/>
    </xf>
    <xf numFmtId="4" fontId="15" fillId="0" borderId="95" xfId="0" applyNumberFormat="1" applyFont="1" applyBorder="1" applyAlignment="1">
      <alignment vertical="top" wrapText="1"/>
    </xf>
    <xf numFmtId="9" fontId="15" fillId="0" borderId="95" xfId="0" applyNumberFormat="1" applyFont="1" applyBorder="1" applyAlignment="1">
      <alignment horizontal="right" vertical="top" wrapText="1" indent="2"/>
    </xf>
    <xf numFmtId="9" fontId="15" fillId="0" borderId="96" xfId="0" applyNumberFormat="1" applyFont="1" applyBorder="1" applyAlignment="1">
      <alignment horizontal="right" vertical="top" wrapText="1" indent="2"/>
    </xf>
    <xf numFmtId="3" fontId="15" fillId="0" borderId="96" xfId="0" applyNumberFormat="1" applyFont="1" applyBorder="1" applyAlignment="1">
      <alignment horizontal="right" vertical="top" wrapText="1" indent="1"/>
    </xf>
    <xf numFmtId="4" fontId="15" fillId="0" borderId="96" xfId="0" applyNumberFormat="1" applyFont="1" applyBorder="1" applyAlignment="1">
      <alignment vertical="top" wrapText="1"/>
    </xf>
    <xf numFmtId="3" fontId="15" fillId="0" borderId="97" xfId="0" applyNumberFormat="1" applyFont="1" applyBorder="1" applyAlignment="1">
      <alignment horizontal="right" vertical="top" wrapText="1" indent="1"/>
    </xf>
    <xf numFmtId="4" fontId="15" fillId="0" borderId="97" xfId="0" applyNumberFormat="1" applyFont="1" applyBorder="1" applyAlignment="1">
      <alignment vertical="top" wrapText="1"/>
    </xf>
    <xf numFmtId="9" fontId="15" fillId="0" borderId="97" xfId="0" applyNumberFormat="1" applyFont="1" applyBorder="1" applyAlignment="1">
      <alignment horizontal="right" vertical="top" wrapText="1" indent="2"/>
    </xf>
    <xf numFmtId="9" fontId="15" fillId="0" borderId="86" xfId="0" applyNumberFormat="1" applyFont="1" applyBorder="1" applyAlignment="1">
      <alignment horizontal="right" vertical="top" wrapText="1" indent="2"/>
    </xf>
    <xf numFmtId="9" fontId="15" fillId="0" borderId="105" xfId="0" applyNumberFormat="1" applyFont="1" applyBorder="1" applyAlignment="1">
      <alignment horizontal="right" vertical="top" wrapText="1" indent="2"/>
    </xf>
    <xf numFmtId="4" fontId="15" fillId="0" borderId="105" xfId="0" applyNumberFormat="1" applyFont="1" applyBorder="1" applyAlignment="1">
      <alignment vertical="top" wrapText="1"/>
    </xf>
    <xf numFmtId="4" fontId="15" fillId="0" borderId="85" xfId="0" applyNumberFormat="1" applyFont="1" applyBorder="1" applyAlignment="1">
      <alignment horizontal="left" vertical="center" wrapText="1"/>
    </xf>
    <xf numFmtId="4" fontId="15" fillId="0" borderId="75" xfId="0" applyNumberFormat="1" applyFont="1" applyBorder="1" applyAlignment="1">
      <alignment horizontal="left" vertical="center" wrapText="1"/>
    </xf>
    <xf numFmtId="0" fontId="15" fillId="0" borderId="75" xfId="0" applyFont="1" applyBorder="1" applyProtection="1">
      <protection locked="0"/>
    </xf>
    <xf numFmtId="0" fontId="15" fillId="0" borderId="92" xfId="0" applyFont="1" applyBorder="1" applyProtection="1">
      <protection locked="0"/>
    </xf>
    <xf numFmtId="4" fontId="15" fillId="0" borderId="86" xfId="0" applyNumberFormat="1" applyFont="1" applyBorder="1" applyAlignment="1">
      <alignment horizontal="left" vertical="center" wrapText="1"/>
    </xf>
    <xf numFmtId="0" fontId="15" fillId="0" borderId="93" xfId="0" applyFont="1" applyBorder="1" applyProtection="1">
      <protection locked="0"/>
    </xf>
    <xf numFmtId="4" fontId="15" fillId="0" borderId="105" xfId="0" applyNumberFormat="1" applyFont="1" applyBorder="1" applyAlignment="1">
      <alignment horizontal="left" vertical="center" wrapText="1"/>
    </xf>
    <xf numFmtId="0" fontId="15" fillId="0" borderId="82" xfId="0" applyFont="1" applyBorder="1" applyProtection="1">
      <protection locked="0"/>
    </xf>
    <xf numFmtId="0" fontId="15" fillId="0" borderId="94" xfId="0" applyFont="1" applyBorder="1" applyProtection="1">
      <protection locked="0"/>
    </xf>
    <xf numFmtId="4" fontId="15" fillId="0" borderId="85" xfId="0" applyNumberFormat="1" applyFont="1" applyBorder="1" applyAlignment="1">
      <alignment horizontal="center" vertical="top" wrapText="1"/>
    </xf>
    <xf numFmtId="4" fontId="15" fillId="0" borderId="86" xfId="0" applyNumberFormat="1" applyFont="1" applyBorder="1" applyAlignment="1">
      <alignment horizontal="center" vertical="top" wrapText="1"/>
    </xf>
    <xf numFmtId="4" fontId="15" fillId="0" borderId="105" xfId="0" applyNumberFormat="1" applyFont="1" applyBorder="1" applyAlignment="1">
      <alignment horizontal="center" vertical="top" wrapText="1"/>
    </xf>
    <xf numFmtId="4" fontId="15" fillId="0" borderId="75" xfId="0" applyNumberFormat="1" applyFont="1" applyBorder="1" applyAlignment="1">
      <alignment horizontal="center" vertical="top" wrapText="1"/>
    </xf>
    <xf numFmtId="4" fontId="15" fillId="0" borderId="76" xfId="0" applyNumberFormat="1" applyFont="1" applyBorder="1" applyAlignment="1">
      <alignment horizontal="center" vertical="top" wrapText="1"/>
    </xf>
    <xf numFmtId="4" fontId="15" fillId="0" borderId="82" xfId="0" applyNumberFormat="1" applyFont="1" applyBorder="1" applyAlignment="1">
      <alignment horizontal="center" vertical="top" wrapText="1"/>
    </xf>
    <xf numFmtId="4" fontId="11" fillId="0" borderId="0" xfId="0" applyNumberFormat="1" applyFont="1" applyAlignment="1">
      <alignment vertical="top" wrapText="1"/>
    </xf>
    <xf numFmtId="0" fontId="7" fillId="0" borderId="89" xfId="7" applyFont="1" applyBorder="1" applyAlignment="1">
      <alignment horizontal="left" vertical="center" wrapText="1"/>
    </xf>
    <xf numFmtId="0" fontId="7" fillId="0" borderId="90" xfId="7" applyFont="1" applyBorder="1" applyAlignment="1">
      <alignment horizontal="left" vertical="center" wrapText="1"/>
    </xf>
    <xf numFmtId="0" fontId="7" fillId="0" borderId="91" xfId="7" applyFont="1" applyBorder="1" applyAlignment="1">
      <alignment horizontal="left" vertical="center" wrapText="1"/>
    </xf>
    <xf numFmtId="0" fontId="7" fillId="0" borderId="105" xfId="7" applyFont="1" applyBorder="1" applyAlignment="1">
      <alignment horizontal="left" vertical="center" wrapText="1"/>
    </xf>
    <xf numFmtId="169" fontId="24" fillId="0" borderId="0" xfId="7" applyNumberFormat="1" applyFont="1" applyAlignment="1">
      <alignment horizontal="right" vertical="center"/>
    </xf>
    <xf numFmtId="0" fontId="8" fillId="0" borderId="78" xfId="0" applyFont="1" applyBorder="1" applyAlignment="1" applyProtection="1">
      <alignment vertical="center"/>
      <protection locked="0"/>
    </xf>
    <xf numFmtId="0" fontId="8" fillId="0" borderId="85" xfId="0" applyFont="1" applyBorder="1" applyAlignment="1" applyProtection="1">
      <alignment horizontal="left" vertical="center"/>
      <protection locked="0"/>
    </xf>
    <xf numFmtId="0" fontId="8" fillId="0" borderId="75" xfId="0" applyFont="1" applyBorder="1" applyAlignment="1" applyProtection="1">
      <alignment horizontal="left" vertical="center"/>
      <protection locked="0"/>
    </xf>
    <xf numFmtId="0" fontId="8" fillId="0" borderId="75" xfId="0" applyFont="1" applyBorder="1" applyAlignment="1" applyProtection="1">
      <alignment vertical="center"/>
      <protection locked="0"/>
    </xf>
    <xf numFmtId="0" fontId="8" fillId="0" borderId="92" xfId="0" applyFont="1" applyBorder="1" applyAlignment="1" applyProtection="1">
      <alignment vertical="center"/>
      <protection locked="0"/>
    </xf>
    <xf numFmtId="0" fontId="8" fillId="0" borderId="54" xfId="0" applyFont="1" applyBorder="1" applyAlignment="1" applyProtection="1">
      <alignment vertical="center"/>
      <protection locked="0"/>
    </xf>
    <xf numFmtId="0" fontId="8" fillId="0" borderId="86" xfId="0" applyFont="1" applyBorder="1" applyAlignment="1" applyProtection="1">
      <alignment horizontal="left" vertical="center"/>
      <protection locked="0"/>
    </xf>
    <xf numFmtId="0" fontId="8" fillId="0" borderId="76" xfId="0" applyFont="1" applyBorder="1" applyAlignment="1" applyProtection="1">
      <alignment horizontal="left" vertical="center"/>
      <protection locked="0"/>
    </xf>
    <xf numFmtId="0" fontId="8" fillId="0" borderId="76" xfId="0" applyFont="1" applyBorder="1" applyAlignment="1" applyProtection="1">
      <alignment vertical="center"/>
      <protection locked="0"/>
    </xf>
    <xf numFmtId="0" fontId="8" fillId="0" borderId="93" xfId="0" applyFont="1" applyBorder="1" applyAlignment="1" applyProtection="1">
      <alignment vertical="center"/>
      <protection locked="0"/>
    </xf>
    <xf numFmtId="0" fontId="8" fillId="0" borderId="70" xfId="0" applyFont="1" applyBorder="1" applyAlignment="1" applyProtection="1">
      <alignment vertical="center"/>
      <protection locked="0"/>
    </xf>
    <xf numFmtId="0" fontId="8" fillId="0" borderId="105" xfId="0" applyFont="1" applyBorder="1" applyAlignment="1" applyProtection="1">
      <alignment horizontal="left" vertical="center"/>
      <protection locked="0"/>
    </xf>
    <xf numFmtId="0" fontId="8" fillId="0" borderId="82" xfId="0" applyFont="1" applyBorder="1" applyAlignment="1" applyProtection="1">
      <alignment horizontal="left" vertical="center"/>
      <protection locked="0"/>
    </xf>
    <xf numFmtId="0" fontId="8" fillId="0" borderId="82" xfId="0" applyFont="1" applyBorder="1" applyAlignment="1" applyProtection="1">
      <alignment vertical="center"/>
      <protection locked="0"/>
    </xf>
    <xf numFmtId="0" fontId="8" fillId="0" borderId="94" xfId="0" applyFont="1" applyBorder="1" applyAlignment="1" applyProtection="1">
      <alignment vertical="center"/>
      <protection locked="0"/>
    </xf>
    <xf numFmtId="0" fontId="8" fillId="0" borderId="17" xfId="0" applyFont="1" applyBorder="1" applyAlignment="1" applyProtection="1">
      <alignment vertical="center"/>
      <protection locked="0"/>
    </xf>
    <xf numFmtId="14" fontId="24" fillId="0" borderId="0" xfId="9" applyNumberFormat="1" applyFont="1" applyAlignment="1">
      <alignment horizontal="left" vertical="center"/>
    </xf>
    <xf numFmtId="166" fontId="8" fillId="0" borderId="9" xfId="1" applyNumberFormat="1" applyFont="1" applyBorder="1" applyAlignment="1" applyProtection="1">
      <alignment vertical="center"/>
      <protection locked="0"/>
    </xf>
    <xf numFmtId="166" fontId="8" fillId="0" borderId="9" xfId="1" applyNumberFormat="1" applyFont="1" applyBorder="1" applyAlignment="1" applyProtection="1">
      <alignment horizontal="center" vertical="center"/>
      <protection locked="0"/>
    </xf>
    <xf numFmtId="166" fontId="7" fillId="0" borderId="9" xfId="1" applyNumberFormat="1" applyFont="1" applyBorder="1" applyAlignment="1">
      <alignment vertical="center"/>
    </xf>
    <xf numFmtId="166" fontId="7" fillId="0" borderId="9" xfId="1" applyNumberFormat="1" applyFont="1" applyBorder="1" applyAlignment="1">
      <alignment horizontal="center" vertical="center"/>
    </xf>
    <xf numFmtId="0" fontId="8" fillId="0" borderId="18" xfId="0" applyFont="1" applyBorder="1" applyAlignment="1" applyProtection="1">
      <alignment vertical="center"/>
      <protection locked="0"/>
    </xf>
    <xf numFmtId="3" fontId="24" fillId="0" borderId="0" xfId="9" applyNumberFormat="1" applyFont="1" applyAlignment="1">
      <alignment horizontal="left" vertical="center"/>
    </xf>
    <xf numFmtId="0" fontId="11" fillId="6" borderId="29" xfId="6" applyFont="1" applyFill="1" applyBorder="1" applyAlignment="1">
      <alignment horizontal="center" vertical="center" wrapText="1"/>
    </xf>
    <xf numFmtId="0" fontId="11" fillId="6" borderId="42" xfId="11" applyFont="1" applyFill="1" applyBorder="1" applyAlignment="1">
      <alignment horizontal="center" vertical="center" wrapText="1"/>
    </xf>
    <xf numFmtId="0" fontId="11" fillId="6" borderId="9" xfId="11" applyFont="1" applyFill="1" applyBorder="1" applyAlignment="1">
      <alignment horizontal="center" vertical="center"/>
    </xf>
    <xf numFmtId="0" fontId="15" fillId="0" borderId="61" xfId="0" applyFont="1" applyBorder="1" applyAlignment="1">
      <alignment horizontal="left" vertical="center" wrapText="1"/>
    </xf>
    <xf numFmtId="0" fontId="15" fillId="0" borderId="75" xfId="0" applyFont="1" applyBorder="1" applyAlignment="1">
      <alignment horizontal="left" vertical="center" wrapText="1"/>
    </xf>
    <xf numFmtId="0" fontId="15" fillId="0" borderId="59" xfId="0" applyFont="1" applyBorder="1" applyAlignment="1">
      <alignment horizontal="left" vertical="center" wrapText="1"/>
    </xf>
    <xf numFmtId="0" fontId="25" fillId="0" borderId="6" xfId="0" applyFont="1" applyBorder="1"/>
    <xf numFmtId="9" fontId="31" fillId="7" borderId="9" xfId="0" applyNumberFormat="1" applyFont="1" applyFill="1" applyBorder="1" applyAlignment="1">
      <alignment horizontal="right" indent="2"/>
    </xf>
    <xf numFmtId="166" fontId="25" fillId="0" borderId="115" xfId="1" applyNumberFormat="1" applyFont="1" applyBorder="1" applyAlignment="1">
      <alignment horizontal="right" indent="2"/>
    </xf>
    <xf numFmtId="166" fontId="25" fillId="0" borderId="96" xfId="1" applyNumberFormat="1" applyFont="1" applyBorder="1" applyAlignment="1">
      <alignment horizontal="right" indent="2"/>
    </xf>
    <xf numFmtId="166" fontId="25" fillId="0" borderId="114" xfId="1" applyNumberFormat="1" applyFont="1" applyBorder="1" applyAlignment="1">
      <alignment horizontal="right" indent="2"/>
    </xf>
    <xf numFmtId="3" fontId="26" fillId="7" borderId="9" xfId="0" applyNumberFormat="1" applyFont="1" applyFill="1" applyBorder="1" applyAlignment="1">
      <alignment horizontal="right" indent="2"/>
    </xf>
    <xf numFmtId="3" fontId="15" fillId="0" borderId="9" xfId="1" applyNumberFormat="1" applyFont="1" applyFill="1" applyBorder="1" applyAlignment="1"/>
    <xf numFmtId="4" fontId="15" fillId="0" borderId="32" xfId="0" applyNumberFormat="1" applyFont="1" applyBorder="1"/>
    <xf numFmtId="0" fontId="15" fillId="0" borderId="0" xfId="0" applyFont="1" applyAlignment="1" applyProtection="1">
      <alignment wrapText="1"/>
      <protection locked="0"/>
    </xf>
    <xf numFmtId="0" fontId="11" fillId="0" borderId="29" xfId="0" applyFont="1" applyBorder="1" applyAlignment="1">
      <alignment horizontal="left" vertical="center"/>
    </xf>
    <xf numFmtId="0" fontId="15" fillId="0" borderId="78" xfId="0" applyFont="1" applyBorder="1" applyAlignment="1">
      <alignment horizontal="left" vertical="center"/>
    </xf>
    <xf numFmtId="0" fontId="15" fillId="0" borderId="54" xfId="0" applyFont="1" applyBorder="1" applyAlignment="1">
      <alignment horizontal="left" vertical="center"/>
    </xf>
    <xf numFmtId="0" fontId="15" fillId="0" borderId="70" xfId="0" applyFont="1" applyBorder="1" applyAlignment="1">
      <alignment horizontal="left" vertical="center"/>
    </xf>
    <xf numFmtId="0" fontId="15" fillId="0" borderId="75" xfId="0" applyFont="1" applyBorder="1" applyAlignment="1" applyProtection="1">
      <alignment horizontal="left" vertical="center"/>
      <protection locked="0"/>
    </xf>
    <xf numFmtId="166" fontId="15" fillId="0" borderId="85" xfId="1" applyNumberFormat="1" applyFont="1" applyBorder="1" applyAlignment="1"/>
    <xf numFmtId="166" fontId="15" fillId="7" borderId="85" xfId="1" applyNumberFormat="1" applyFont="1" applyFill="1" applyBorder="1" applyAlignment="1"/>
    <xf numFmtId="0" fontId="15" fillId="0" borderId="76" xfId="0" applyFont="1" applyBorder="1" applyAlignment="1" applyProtection="1">
      <alignment horizontal="left" vertical="center"/>
      <protection locked="0"/>
    </xf>
    <xf numFmtId="166" fontId="15" fillId="7" borderId="86" xfId="1" applyNumberFormat="1" applyFont="1" applyFill="1" applyBorder="1" applyAlignment="1"/>
    <xf numFmtId="0" fontId="15" fillId="0" borderId="82" xfId="0" applyFont="1" applyBorder="1" applyAlignment="1" applyProtection="1">
      <alignment horizontal="left" vertical="center"/>
      <protection locked="0"/>
    </xf>
    <xf numFmtId="166" fontId="15" fillId="0" borderId="105" xfId="1" applyNumberFormat="1" applyFont="1" applyBorder="1" applyAlignment="1"/>
    <xf numFmtId="166" fontId="15" fillId="7" borderId="105" xfId="1" applyNumberFormat="1" applyFont="1" applyFill="1" applyBorder="1" applyAlignment="1"/>
    <xf numFmtId="0" fontId="11" fillId="0" borderId="8" xfId="0" applyFont="1" applyBorder="1" applyAlignment="1">
      <alignment horizontal="right" vertical="center"/>
    </xf>
    <xf numFmtId="0" fontId="11" fillId="6" borderId="145" xfId="0" applyFont="1" applyFill="1" applyBorder="1" applyAlignment="1">
      <alignment horizontal="center" vertical="center"/>
    </xf>
    <xf numFmtId="9" fontId="15" fillId="7" borderId="79" xfId="2" applyFont="1" applyFill="1" applyBorder="1" applyAlignment="1">
      <alignment horizontal="center"/>
    </xf>
    <xf numFmtId="9" fontId="15" fillId="7" borderId="80" xfId="2" applyFont="1" applyFill="1" applyBorder="1" applyAlignment="1">
      <alignment horizontal="center"/>
    </xf>
    <xf numFmtId="9" fontId="15" fillId="7" borderId="84" xfId="2" applyFont="1" applyFill="1" applyBorder="1" applyAlignment="1">
      <alignment horizontal="center"/>
    </xf>
    <xf numFmtId="9" fontId="11" fillId="7" borderId="139" xfId="0" applyNumberFormat="1" applyFont="1" applyFill="1" applyBorder="1" applyAlignment="1">
      <alignment horizontal="center"/>
    </xf>
    <xf numFmtId="166" fontId="11" fillId="0" borderId="2" xfId="1" applyNumberFormat="1" applyFont="1" applyBorder="1" applyAlignment="1">
      <alignment wrapText="1"/>
    </xf>
    <xf numFmtId="9" fontId="11" fillId="9" borderId="2" xfId="1" applyNumberFormat="1" applyFont="1" applyFill="1" applyBorder="1" applyAlignment="1">
      <alignment horizontal="center" wrapText="1"/>
    </xf>
    <xf numFmtId="166" fontId="11" fillId="9" borderId="2" xfId="1" applyNumberFormat="1" applyFont="1" applyFill="1" applyBorder="1" applyAlignment="1">
      <alignment wrapText="1"/>
    </xf>
    <xf numFmtId="9" fontId="11" fillId="9" borderId="2" xfId="0" applyNumberFormat="1" applyFont="1" applyFill="1" applyBorder="1" applyAlignment="1">
      <alignment horizontal="center" wrapText="1"/>
    </xf>
    <xf numFmtId="0" fontId="15" fillId="0" borderId="18" xfId="0" applyFont="1" applyBorder="1" applyAlignment="1" applyProtection="1">
      <alignment wrapText="1"/>
      <protection locked="0"/>
    </xf>
    <xf numFmtId="0" fontId="11" fillId="6" borderId="29" xfId="0" applyFont="1" applyFill="1" applyBorder="1" applyAlignment="1">
      <alignment horizontal="center" vertical="center" wrapText="1"/>
    </xf>
    <xf numFmtId="4" fontId="11" fillId="0" borderId="17" xfId="0" applyNumberFormat="1" applyFont="1" applyBorder="1" applyAlignment="1">
      <alignment horizontal="left"/>
    </xf>
    <xf numFmtId="4" fontId="11" fillId="0" borderId="0" xfId="0" applyNumberFormat="1" applyFont="1" applyAlignment="1">
      <alignment horizontal="left"/>
    </xf>
    <xf numFmtId="4" fontId="11" fillId="0" borderId="18" xfId="0" applyNumberFormat="1" applyFont="1" applyBorder="1" applyAlignment="1">
      <alignment horizontal="left"/>
    </xf>
    <xf numFmtId="4" fontId="26" fillId="0" borderId="7" xfId="0" applyNumberFormat="1" applyFont="1" applyBorder="1" applyAlignment="1">
      <alignment horizontal="center"/>
    </xf>
    <xf numFmtId="0" fontId="1" fillId="0" borderId="6" xfId="0" applyFont="1" applyBorder="1"/>
    <xf numFmtId="4" fontId="15" fillId="0" borderId="9" xfId="0" applyNumberFormat="1" applyFont="1" applyBorder="1"/>
    <xf numFmtId="4" fontId="11" fillId="0" borderId="9" xfId="0" applyNumberFormat="1" applyFont="1" applyBorder="1" applyAlignment="1">
      <alignment horizontal="center" vertical="center"/>
    </xf>
    <xf numFmtId="4" fontId="15" fillId="0" borderId="6" xfId="0" applyNumberFormat="1" applyFont="1" applyBorder="1"/>
    <xf numFmtId="4" fontId="44" fillId="0" borderId="17" xfId="0" applyNumberFormat="1" applyFont="1" applyBorder="1" applyAlignment="1">
      <alignment vertical="top"/>
    </xf>
    <xf numFmtId="166" fontId="44" fillId="0" borderId="0" xfId="1" quotePrefix="1" applyNumberFormat="1" applyFont="1" applyBorder="1" applyAlignment="1" applyProtection="1"/>
    <xf numFmtId="9" fontId="44" fillId="0" borderId="0" xfId="2" applyFont="1" applyBorder="1" applyAlignment="1"/>
    <xf numFmtId="0" fontId="44" fillId="0" borderId="0" xfId="0" applyFont="1" applyAlignment="1">
      <alignment vertical="top"/>
    </xf>
    <xf numFmtId="0" fontId="44" fillId="0" borderId="0" xfId="0" applyFont="1" applyAlignment="1">
      <alignment horizontal="center" vertical="top"/>
    </xf>
    <xf numFmtId="0" fontId="44" fillId="0" borderId="18" xfId="0" applyFont="1" applyBorder="1" applyAlignment="1">
      <alignment horizontal="center" vertical="top"/>
    </xf>
    <xf numFmtId="166" fontId="44" fillId="0" borderId="0" xfId="1" applyNumberFormat="1" applyFont="1" applyFill="1" applyBorder="1" applyAlignment="1"/>
    <xf numFmtId="166" fontId="15" fillId="0" borderId="14" xfId="1" applyNumberFormat="1" applyFont="1" applyFill="1" applyBorder="1" applyAlignment="1"/>
    <xf numFmtId="166" fontId="15" fillId="0" borderId="19" xfId="1" applyNumberFormat="1" applyFont="1" applyFill="1" applyBorder="1" applyAlignment="1"/>
    <xf numFmtId="166" fontId="25" fillId="0" borderId="115" xfId="0" applyNumberFormat="1" applyFont="1" applyBorder="1"/>
    <xf numFmtId="4" fontId="15" fillId="0" borderId="8" xfId="0" applyNumberFormat="1" applyFont="1" applyBorder="1"/>
    <xf numFmtId="0" fontId="11" fillId="0" borderId="38" xfId="0" applyFont="1" applyBorder="1" applyAlignment="1" applyProtection="1">
      <alignment horizontal="center"/>
      <protection locked="0"/>
    </xf>
    <xf numFmtId="0" fontId="15" fillId="0" borderId="47" xfId="0" applyFont="1" applyBorder="1" applyAlignment="1" applyProtection="1">
      <alignment horizontal="center" vertical="center"/>
      <protection locked="0"/>
    </xf>
    <xf numFmtId="0" fontId="15" fillId="0" borderId="146" xfId="0" applyFont="1" applyBorder="1" applyAlignment="1" applyProtection="1">
      <alignment horizontal="center" vertical="center"/>
      <protection locked="0"/>
    </xf>
    <xf numFmtId="0" fontId="15" fillId="0" borderId="48" xfId="0" applyFont="1" applyBorder="1" applyAlignment="1" applyProtection="1">
      <alignment horizontal="center" vertical="center"/>
      <protection locked="0"/>
    </xf>
    <xf numFmtId="0" fontId="15" fillId="0" borderId="47" xfId="0" applyFont="1" applyBorder="1" applyAlignment="1" applyProtection="1">
      <alignment vertical="center"/>
      <protection locked="0"/>
    </xf>
    <xf numFmtId="14" fontId="22" fillId="0" borderId="48" xfId="0" applyNumberFormat="1" applyFont="1" applyBorder="1" applyAlignment="1" applyProtection="1">
      <alignment vertical="center"/>
      <protection locked="0"/>
    </xf>
    <xf numFmtId="0" fontId="11" fillId="0" borderId="42" xfId="0" applyFont="1" applyBorder="1"/>
    <xf numFmtId="0" fontId="15" fillId="0" borderId="18" xfId="0" applyFont="1" applyBorder="1" applyAlignment="1" applyProtection="1">
      <alignment vertical="center" wrapText="1"/>
      <protection locked="0"/>
    </xf>
    <xf numFmtId="166" fontId="15" fillId="0" borderId="138" xfId="1" applyNumberFormat="1" applyFont="1" applyFill="1" applyBorder="1" applyAlignment="1">
      <alignment vertical="center"/>
    </xf>
    <xf numFmtId="9" fontId="15" fillId="0" borderId="138" xfId="2" applyFont="1" applyFill="1" applyBorder="1" applyAlignment="1" applyProtection="1">
      <alignment vertical="center"/>
    </xf>
    <xf numFmtId="0" fontId="15" fillId="0" borderId="138" xfId="0" applyFont="1" applyBorder="1" applyAlignment="1">
      <alignment vertical="center"/>
    </xf>
    <xf numFmtId="0" fontId="15" fillId="0" borderId="147" xfId="0" applyFont="1" applyBorder="1" applyAlignment="1">
      <alignment horizontal="right"/>
    </xf>
    <xf numFmtId="0" fontId="15" fillId="0" borderId="2" xfId="0" applyFont="1" applyBorder="1"/>
    <xf numFmtId="9" fontId="15" fillId="0" borderId="41" xfId="2" applyFont="1" applyFill="1" applyBorder="1" applyAlignment="1" applyProtection="1">
      <alignment vertical="center"/>
    </xf>
    <xf numFmtId="9" fontId="15" fillId="0" borderId="0" xfId="2" applyFont="1" applyFill="1" applyBorder="1" applyAlignment="1">
      <alignment vertical="center" wrapText="1"/>
    </xf>
    <xf numFmtId="0" fontId="15" fillId="0" borderId="68" xfId="0" applyFont="1" applyBorder="1" applyProtection="1">
      <protection locked="0"/>
    </xf>
    <xf numFmtId="166" fontId="15" fillId="0" borderId="117" xfId="1" applyNumberFormat="1" applyFont="1" applyFill="1" applyBorder="1" applyAlignment="1"/>
    <xf numFmtId="166" fontId="15" fillId="0" borderId="95" xfId="1" applyNumberFormat="1" applyFont="1" applyFill="1" applyBorder="1" applyAlignment="1"/>
    <xf numFmtId="0" fontId="11" fillId="0" borderId="5" xfId="0" applyFont="1" applyBorder="1"/>
    <xf numFmtId="4" fontId="44" fillId="0" borderId="95" xfId="0" applyNumberFormat="1" applyFont="1" applyBorder="1" applyAlignment="1">
      <alignment vertical="top"/>
    </xf>
    <xf numFmtId="4" fontId="44" fillId="0" borderId="96" xfId="0" applyNumberFormat="1" applyFont="1" applyBorder="1" applyAlignment="1">
      <alignment vertical="top"/>
    </xf>
    <xf numFmtId="4" fontId="44" fillId="0" borderId="138" xfId="0" applyNumberFormat="1" applyFont="1" applyBorder="1" applyAlignment="1">
      <alignment vertical="top"/>
    </xf>
    <xf numFmtId="166" fontId="44" fillId="0" borderId="138" xfId="1" quotePrefix="1" applyNumberFormat="1" applyFont="1" applyBorder="1" applyAlignment="1" applyProtection="1"/>
    <xf numFmtId="9" fontId="44" fillId="0" borderId="95" xfId="2" applyFont="1" applyBorder="1" applyAlignment="1"/>
    <xf numFmtId="9" fontId="44" fillId="0" borderId="96" xfId="2" applyFont="1" applyBorder="1" applyAlignment="1"/>
    <xf numFmtId="9" fontId="44" fillId="0" borderId="138" xfId="2" applyFont="1" applyBorder="1" applyAlignment="1"/>
    <xf numFmtId="166" fontId="44" fillId="7" borderId="95" xfId="1" applyNumberFormat="1" applyFont="1" applyFill="1" applyBorder="1" applyAlignment="1"/>
    <xf numFmtId="166" fontId="44" fillId="7" borderId="96" xfId="1" applyNumberFormat="1" applyFont="1" applyFill="1" applyBorder="1" applyAlignment="1"/>
    <xf numFmtId="166" fontId="44" fillId="7" borderId="138" xfId="1" applyNumberFormat="1" applyFont="1" applyFill="1" applyBorder="1" applyAlignment="1"/>
    <xf numFmtId="166" fontId="44" fillId="0" borderId="138" xfId="1" applyNumberFormat="1" applyFont="1" applyBorder="1" applyAlignment="1"/>
    <xf numFmtId="0" fontId="44" fillId="0" borderId="95" xfId="0" applyFont="1" applyBorder="1" applyAlignment="1">
      <alignment vertical="top"/>
    </xf>
    <xf numFmtId="0" fontId="44" fillId="0" borderId="96" xfId="0" applyFont="1" applyBorder="1" applyAlignment="1">
      <alignment vertical="top"/>
    </xf>
    <xf numFmtId="0" fontId="44" fillId="0" borderId="138" xfId="0" applyFont="1" applyBorder="1" applyAlignment="1">
      <alignment vertical="top"/>
    </xf>
    <xf numFmtId="9" fontId="25" fillId="0" borderId="115" xfId="2" applyFont="1" applyBorder="1"/>
    <xf numFmtId="9" fontId="25" fillId="0" borderId="138" xfId="2" applyFont="1" applyBorder="1"/>
    <xf numFmtId="0" fontId="72" fillId="7" borderId="7" xfId="0" applyFont="1" applyFill="1" applyBorder="1" applyAlignment="1">
      <alignment horizontal="center" vertical="center"/>
    </xf>
    <xf numFmtId="0" fontId="72" fillId="7" borderId="8" xfId="0" applyFont="1" applyFill="1" applyBorder="1" applyAlignment="1">
      <alignment horizontal="center" vertical="center"/>
    </xf>
    <xf numFmtId="0" fontId="72" fillId="7" borderId="9" xfId="0" applyFont="1" applyFill="1" applyBorder="1" applyAlignment="1">
      <alignment horizontal="center" vertical="center"/>
    </xf>
    <xf numFmtId="4" fontId="72" fillId="7" borderId="9" xfId="0" applyNumberFormat="1" applyFont="1" applyFill="1" applyBorder="1" applyAlignment="1">
      <alignment horizontal="center" vertical="center"/>
    </xf>
    <xf numFmtId="4" fontId="72" fillId="7" borderId="9" xfId="0" applyNumberFormat="1" applyFont="1" applyFill="1" applyBorder="1" applyAlignment="1">
      <alignment horizontal="center" vertical="center" wrapText="1"/>
    </xf>
    <xf numFmtId="4" fontId="73" fillId="7" borderId="9" xfId="0" applyNumberFormat="1" applyFont="1" applyFill="1" applyBorder="1" applyAlignment="1">
      <alignment horizontal="center" vertical="center" wrapText="1"/>
    </xf>
    <xf numFmtId="0" fontId="72" fillId="7" borderId="6" xfId="0" applyFont="1" applyFill="1" applyBorder="1" applyAlignment="1">
      <alignment horizontal="center" vertical="center"/>
    </xf>
    <xf numFmtId="4" fontId="15" fillId="0" borderId="148" xfId="0" applyNumberFormat="1" applyFont="1" applyBorder="1"/>
    <xf numFmtId="4" fontId="15" fillId="0" borderId="37" xfId="0" applyNumberFormat="1" applyFont="1" applyBorder="1"/>
    <xf numFmtId="3" fontId="11" fillId="7" borderId="149" xfId="1" applyNumberFormat="1" applyFont="1" applyFill="1" applyBorder="1" applyAlignment="1"/>
    <xf numFmtId="166" fontId="11" fillId="7" borderId="8" xfId="0" applyNumberFormat="1" applyFont="1" applyFill="1" applyBorder="1" applyAlignment="1">
      <alignment horizontal="right" indent="1"/>
    </xf>
    <xf numFmtId="49" fontId="5" fillId="0" borderId="150" xfId="10" applyNumberFormat="1" applyFont="1" applyBorder="1" applyAlignment="1" applyProtection="1">
      <alignment horizontal="center"/>
      <protection locked="0"/>
    </xf>
    <xf numFmtId="49" fontId="5" fillId="0" borderId="151" xfId="10" applyNumberFormat="1" applyFont="1" applyBorder="1" applyAlignment="1" applyProtection="1">
      <alignment horizontal="center"/>
      <protection locked="0"/>
    </xf>
    <xf numFmtId="173" fontId="5" fillId="0" borderId="151" xfId="10" applyNumberFormat="1" applyFont="1" applyBorder="1" applyAlignment="1" applyProtection="1">
      <alignment horizontal="center"/>
      <protection locked="0"/>
    </xf>
    <xf numFmtId="173" fontId="5" fillId="0" borderId="152" xfId="10" applyNumberFormat="1" applyFont="1" applyBorder="1" applyAlignment="1" applyProtection="1">
      <alignment horizontal="center"/>
      <protection locked="0"/>
    </xf>
    <xf numFmtId="0" fontId="11" fillId="0" borderId="11" xfId="0" applyFont="1" applyBorder="1" applyAlignment="1" applyProtection="1">
      <alignment horizontal="center" wrapText="1"/>
      <protection locked="0"/>
    </xf>
    <xf numFmtId="0" fontId="11" fillId="0" borderId="13" xfId="0" applyFont="1" applyBorder="1" applyAlignment="1" applyProtection="1">
      <alignment horizontal="center" wrapText="1"/>
      <protection locked="0"/>
    </xf>
    <xf numFmtId="0" fontId="11" fillId="0" borderId="36" xfId="0" applyFont="1" applyBorder="1" applyAlignment="1" applyProtection="1">
      <alignment horizontal="left" vertical="center" wrapText="1" indent="3"/>
      <protection locked="0"/>
    </xf>
    <xf numFmtId="0" fontId="11" fillId="0" borderId="11" xfId="0" applyFont="1" applyBorder="1" applyAlignment="1" applyProtection="1">
      <alignment horizontal="left" vertical="center" wrapText="1" indent="3"/>
      <protection locked="0"/>
    </xf>
    <xf numFmtId="0" fontId="63" fillId="0" borderId="27" xfId="5" applyFont="1" applyFill="1" applyBorder="1" applyAlignment="1" applyProtection="1">
      <alignment horizontal="left" vertical="center"/>
      <protection locked="0"/>
    </xf>
    <xf numFmtId="0" fontId="63" fillId="0" borderId="28" xfId="5" applyFont="1" applyFill="1" applyBorder="1" applyAlignment="1" applyProtection="1">
      <alignment horizontal="left" vertical="center"/>
      <protection locked="0"/>
    </xf>
    <xf numFmtId="14" fontId="19" fillId="0" borderId="17" xfId="0" applyNumberFormat="1" applyFont="1" applyBorder="1" applyAlignment="1" applyProtection="1">
      <alignment horizontal="center" vertical="center"/>
      <protection locked="0"/>
    </xf>
    <xf numFmtId="14" fontId="19" fillId="0" borderId="0" xfId="0" applyNumberFormat="1" applyFont="1" applyAlignment="1" applyProtection="1">
      <alignment horizontal="center" vertical="center"/>
      <protection locked="0"/>
    </xf>
    <xf numFmtId="14" fontId="19" fillId="0" borderId="18" xfId="0" applyNumberFormat="1" applyFont="1" applyBorder="1" applyAlignment="1" applyProtection="1">
      <alignment horizontal="center" vertical="center"/>
      <protection locked="0"/>
    </xf>
    <xf numFmtId="14" fontId="19" fillId="0" borderId="19" xfId="0" applyNumberFormat="1" applyFont="1" applyBorder="1" applyAlignment="1" applyProtection="1">
      <alignment horizontal="center" vertical="center"/>
      <protection locked="0"/>
    </xf>
    <xf numFmtId="14" fontId="19" fillId="0" borderId="20" xfId="0" applyNumberFormat="1" applyFont="1" applyBorder="1" applyAlignment="1" applyProtection="1">
      <alignment horizontal="center" vertical="center"/>
      <protection locked="0"/>
    </xf>
    <xf numFmtId="14" fontId="19" fillId="0" borderId="21" xfId="0" applyNumberFormat="1" applyFont="1" applyBorder="1" applyAlignment="1" applyProtection="1">
      <alignment horizontal="center" vertical="center"/>
      <protection locked="0"/>
    </xf>
    <xf numFmtId="0" fontId="11" fillId="0" borderId="10" xfId="0" applyFont="1" applyBorder="1" applyAlignment="1" applyProtection="1">
      <alignment horizontal="center" vertical="center" wrapText="1"/>
      <protection locked="0"/>
    </xf>
    <xf numFmtId="0" fontId="11" fillId="0" borderId="11" xfId="0" applyFont="1" applyBorder="1" applyAlignment="1" applyProtection="1">
      <alignment horizontal="center" vertical="center" wrapText="1"/>
      <protection locked="0"/>
    </xf>
    <xf numFmtId="0" fontId="20" fillId="0" borderId="26" xfId="0" applyFont="1" applyBorder="1" applyAlignment="1" applyProtection="1">
      <alignment horizontal="center" vertical="center"/>
      <protection locked="0"/>
    </xf>
    <xf numFmtId="0" fontId="20" fillId="0" borderId="39" xfId="0" applyFont="1" applyBorder="1" applyAlignment="1" applyProtection="1">
      <alignment horizontal="center" vertical="center"/>
      <protection locked="0"/>
    </xf>
    <xf numFmtId="0" fontId="9" fillId="0" borderId="15" xfId="0" applyFont="1" applyBorder="1" applyAlignment="1" applyProtection="1">
      <alignment horizontal="center" vertical="center"/>
      <protection locked="0"/>
    </xf>
    <xf numFmtId="0" fontId="9" fillId="0" borderId="16" xfId="0" applyFont="1" applyBorder="1" applyAlignment="1" applyProtection="1">
      <alignment horizontal="center" vertical="center"/>
      <protection locked="0"/>
    </xf>
    <xf numFmtId="0" fontId="17" fillId="0" borderId="20" xfId="0" applyFont="1" applyBorder="1" applyAlignment="1" applyProtection="1">
      <alignment horizontal="center" vertical="center"/>
      <protection locked="0"/>
    </xf>
    <xf numFmtId="0" fontId="17" fillId="0" borderId="21" xfId="0" applyFont="1" applyBorder="1" applyAlignment="1" applyProtection="1">
      <alignment horizontal="center" vertical="center"/>
      <protection locked="0"/>
    </xf>
    <xf numFmtId="0" fontId="11" fillId="0" borderId="10" xfId="0" applyFont="1" applyBorder="1" applyAlignment="1" applyProtection="1">
      <alignment horizontal="left" vertical="center" wrapText="1" indent="2"/>
      <protection locked="0"/>
    </xf>
    <xf numFmtId="0" fontId="11" fillId="0" borderId="11" xfId="0" applyFont="1" applyBorder="1" applyAlignment="1" applyProtection="1">
      <alignment horizontal="left" vertical="center" wrapText="1" indent="2"/>
      <protection locked="0"/>
    </xf>
    <xf numFmtId="0" fontId="11" fillId="0" borderId="10" xfId="0" applyFont="1" applyBorder="1" applyAlignment="1" applyProtection="1">
      <alignment horizontal="center" vertical="center"/>
      <protection locked="0"/>
    </xf>
    <xf numFmtId="0" fontId="11" fillId="0" borderId="35" xfId="0" applyFont="1" applyBorder="1" applyAlignment="1" applyProtection="1">
      <alignment horizontal="center" vertical="center"/>
      <protection locked="0"/>
    </xf>
    <xf numFmtId="49" fontId="21" fillId="0" borderId="14" xfId="0" applyNumberFormat="1" applyFont="1" applyBorder="1" applyAlignment="1" applyProtection="1">
      <alignment horizontal="center" vertical="center"/>
      <protection locked="0"/>
    </xf>
    <xf numFmtId="49" fontId="21" fillId="0" borderId="15" xfId="0" applyNumberFormat="1" applyFont="1" applyBorder="1" applyAlignment="1" applyProtection="1">
      <alignment horizontal="center" vertical="center"/>
      <protection locked="0"/>
    </xf>
    <xf numFmtId="49" fontId="21" fillId="0" borderId="16" xfId="0" applyNumberFormat="1" applyFont="1" applyBorder="1" applyAlignment="1" applyProtection="1">
      <alignment horizontal="center" vertical="center"/>
      <protection locked="0"/>
    </xf>
    <xf numFmtId="49" fontId="21" fillId="0" borderId="19" xfId="0" applyNumberFormat="1" applyFont="1" applyBorder="1" applyAlignment="1" applyProtection="1">
      <alignment horizontal="center" vertical="center"/>
      <protection locked="0"/>
    </xf>
    <xf numFmtId="49" fontId="21" fillId="0" borderId="20" xfId="0" applyNumberFormat="1" applyFont="1" applyBorder="1" applyAlignment="1" applyProtection="1">
      <alignment horizontal="center" vertical="center"/>
      <protection locked="0"/>
    </xf>
    <xf numFmtId="49" fontId="21" fillId="0" borderId="21" xfId="0" applyNumberFormat="1" applyFont="1" applyBorder="1" applyAlignment="1" applyProtection="1">
      <alignment horizontal="center" vertical="center"/>
      <protection locked="0"/>
    </xf>
    <xf numFmtId="0" fontId="63" fillId="0" borderId="7" xfId="5" applyFont="1" applyFill="1" applyBorder="1" applyAlignment="1" applyProtection="1">
      <alignment horizontal="left" vertical="center"/>
      <protection locked="0"/>
    </xf>
    <xf numFmtId="0" fontId="63" fillId="0" borderId="30" xfId="5" applyFont="1" applyFill="1" applyBorder="1" applyAlignment="1" applyProtection="1">
      <alignment horizontal="left" vertical="center"/>
      <protection locked="0"/>
    </xf>
    <xf numFmtId="0" fontId="63" fillId="0" borderId="5" xfId="5" applyFont="1" applyFill="1" applyBorder="1" applyAlignment="1" applyProtection="1">
      <alignment horizontal="left" vertical="center"/>
      <protection locked="0"/>
    </xf>
    <xf numFmtId="0" fontId="63" fillId="0" borderId="134" xfId="5" applyFont="1" applyFill="1" applyBorder="1" applyAlignment="1" applyProtection="1">
      <alignment horizontal="left" vertical="center"/>
      <protection locked="0"/>
    </xf>
    <xf numFmtId="0" fontId="20" fillId="0" borderId="29" xfId="0" applyFont="1" applyBorder="1" applyAlignment="1" applyProtection="1">
      <alignment horizontal="center" vertical="center"/>
      <protection locked="0"/>
    </xf>
    <xf numFmtId="0" fontId="20" fillId="0" borderId="8" xfId="0" applyFont="1" applyBorder="1" applyAlignment="1" applyProtection="1">
      <alignment horizontal="center" vertical="center"/>
      <protection locked="0"/>
    </xf>
    <xf numFmtId="14" fontId="18" fillId="0" borderId="17" xfId="0" applyNumberFormat="1" applyFont="1" applyBorder="1" applyAlignment="1" applyProtection="1">
      <alignment horizontal="center" vertical="center"/>
      <protection locked="0"/>
    </xf>
    <xf numFmtId="0" fontId="0" fillId="0" borderId="0" xfId="0"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20" fillId="0" borderId="34" xfId="0" applyFont="1" applyBorder="1" applyAlignment="1" applyProtection="1">
      <alignment horizontal="left" vertical="top"/>
      <protection locked="0"/>
    </xf>
    <xf numFmtId="0" fontId="74" fillId="0" borderId="2" xfId="0" applyFont="1" applyBorder="1" applyAlignment="1">
      <alignment horizontal="left" vertical="top"/>
    </xf>
    <xf numFmtId="0" fontId="74" fillId="0" borderId="153" xfId="0" applyFont="1" applyBorder="1" applyAlignment="1">
      <alignment horizontal="left" vertical="top"/>
    </xf>
    <xf numFmtId="0" fontId="74" fillId="0" borderId="17" xfId="0" applyFont="1" applyBorder="1" applyAlignment="1">
      <alignment horizontal="left" vertical="top"/>
    </xf>
    <xf numFmtId="0" fontId="74" fillId="0" borderId="0" xfId="0" applyFont="1" applyAlignment="1">
      <alignment horizontal="left" vertical="top"/>
    </xf>
    <xf numFmtId="0" fontId="74" fillId="0" borderId="18" xfId="0" applyFont="1" applyBorder="1" applyAlignment="1">
      <alignment horizontal="left" vertical="top"/>
    </xf>
    <xf numFmtId="0" fontId="74" fillId="0" borderId="19" xfId="0" applyFont="1" applyBorder="1" applyAlignment="1">
      <alignment horizontal="left" vertical="top"/>
    </xf>
    <xf numFmtId="0" fontId="74" fillId="0" borderId="20" xfId="0" applyFont="1" applyBorder="1" applyAlignment="1">
      <alignment horizontal="left" vertical="top"/>
    </xf>
    <xf numFmtId="0" fontId="74" fillId="0" borderId="21" xfId="0" applyFont="1" applyBorder="1" applyAlignment="1">
      <alignment horizontal="left" vertical="top"/>
    </xf>
    <xf numFmtId="0" fontId="20" fillId="0" borderId="31" xfId="0" applyFont="1" applyBorder="1" applyAlignment="1" applyProtection="1">
      <alignment horizontal="center" vertical="center"/>
      <protection locked="0"/>
    </xf>
    <xf numFmtId="0" fontId="20" fillId="0" borderId="37" xfId="0" applyFont="1" applyBorder="1" applyAlignment="1" applyProtection="1">
      <alignment horizontal="center" vertical="center"/>
      <protection locked="0"/>
    </xf>
    <xf numFmtId="0" fontId="11" fillId="0" borderId="26" xfId="0" applyFont="1" applyBorder="1" applyAlignment="1" applyProtection="1">
      <alignment horizontal="left"/>
      <protection locked="0"/>
    </xf>
    <xf numFmtId="0" fontId="11" fillId="0" borderId="27" xfId="0" applyFont="1" applyBorder="1" applyAlignment="1" applyProtection="1">
      <alignment horizontal="left"/>
      <protection locked="0"/>
    </xf>
    <xf numFmtId="0" fontId="11" fillId="0" borderId="28" xfId="0" applyFont="1" applyBorder="1" applyAlignment="1" applyProtection="1">
      <alignment horizontal="left"/>
      <protection locked="0"/>
    </xf>
    <xf numFmtId="0" fontId="56" fillId="0" borderId="26" xfId="0" applyFont="1" applyBorder="1" applyAlignment="1" applyProtection="1">
      <alignment horizontal="left"/>
      <protection locked="0"/>
    </xf>
    <xf numFmtId="0" fontId="56" fillId="0" borderId="27" xfId="0" applyFont="1" applyBorder="1" applyAlignment="1" applyProtection="1">
      <alignment horizontal="left"/>
      <protection locked="0"/>
    </xf>
    <xf numFmtId="0" fontId="56" fillId="0" borderId="28" xfId="0" applyFont="1" applyBorder="1" applyAlignment="1" applyProtection="1">
      <alignment horizontal="left"/>
      <protection locked="0"/>
    </xf>
    <xf numFmtId="0" fontId="15" fillId="0" borderId="32" xfId="0" applyFont="1" applyBorder="1" applyAlignment="1" applyProtection="1">
      <alignment horizontal="left" vertical="center"/>
      <protection locked="0"/>
    </xf>
    <xf numFmtId="0" fontId="64" fillId="0" borderId="32" xfId="0" applyFont="1" applyBorder="1" applyAlignment="1" applyProtection="1">
      <alignment horizontal="left" vertical="center"/>
      <protection locked="0"/>
    </xf>
    <xf numFmtId="0" fontId="64" fillId="0" borderId="33" xfId="0" applyFont="1" applyBorder="1" applyAlignment="1" applyProtection="1">
      <alignment horizontal="left" vertical="center"/>
      <protection locked="0"/>
    </xf>
    <xf numFmtId="0" fontId="29" fillId="0" borderId="11" xfId="5" applyFont="1" applyBorder="1" applyAlignment="1" applyProtection="1">
      <alignment horizontal="center" vertical="center"/>
      <protection locked="0"/>
    </xf>
    <xf numFmtId="166" fontId="15" fillId="0" borderId="22" xfId="1" applyNumberFormat="1" applyFont="1" applyFill="1" applyBorder="1" applyAlignment="1" applyProtection="1">
      <alignment horizontal="center" vertical="center" wrapText="1"/>
      <protection locked="0"/>
    </xf>
    <xf numFmtId="166" fontId="15" fillId="0" borderId="13" xfId="1" applyNumberFormat="1" applyFont="1" applyFill="1" applyBorder="1" applyAlignment="1" applyProtection="1">
      <alignment horizontal="center" vertical="center" wrapText="1"/>
      <protection locked="0"/>
    </xf>
    <xf numFmtId="0" fontId="23" fillId="0" borderId="10" xfId="0" applyFont="1" applyBorder="1" applyAlignment="1" applyProtection="1">
      <alignment horizontal="left" vertical="top" wrapText="1"/>
      <protection locked="0"/>
    </xf>
    <xf numFmtId="0" fontId="15" fillId="0" borderId="11" xfId="0" applyFont="1" applyBorder="1" applyAlignment="1" applyProtection="1">
      <alignment horizontal="left" vertical="top"/>
      <protection locked="0"/>
    </xf>
    <xf numFmtId="0" fontId="15" fillId="0" borderId="13" xfId="0" applyFont="1" applyBorder="1" applyAlignment="1" applyProtection="1">
      <alignment horizontal="left" vertical="top"/>
      <protection locked="0"/>
    </xf>
    <xf numFmtId="0" fontId="15" fillId="0" borderId="19" xfId="0" applyFont="1" applyBorder="1" applyAlignment="1" applyProtection="1">
      <alignment horizontal="left" vertical="top" wrapText="1"/>
      <protection locked="0"/>
    </xf>
    <xf numFmtId="0" fontId="15" fillId="0" borderId="20" xfId="0" applyFont="1" applyBorder="1" applyAlignment="1" applyProtection="1">
      <alignment horizontal="left" vertical="top"/>
      <protection locked="0"/>
    </xf>
    <xf numFmtId="0" fontId="15" fillId="0" borderId="21" xfId="0" applyFont="1" applyBorder="1" applyAlignment="1" applyProtection="1">
      <alignment horizontal="left" vertical="top"/>
      <protection locked="0"/>
    </xf>
    <xf numFmtId="0" fontId="15" fillId="0" borderId="22" xfId="0" applyFont="1" applyBorder="1" applyAlignment="1" applyProtection="1">
      <alignment horizontal="center" vertical="center" wrapText="1"/>
      <protection locked="0"/>
    </xf>
    <xf numFmtId="0" fontId="15" fillId="0" borderId="13" xfId="0" applyFont="1" applyBorder="1" applyAlignment="1" applyProtection="1">
      <alignment horizontal="center" vertical="center" wrapText="1"/>
      <protection locked="0"/>
    </xf>
    <xf numFmtId="14" fontId="18" fillId="0" borderId="14" xfId="0" applyNumberFormat="1" applyFont="1" applyBorder="1" applyAlignment="1" applyProtection="1">
      <alignment horizontal="center" vertical="center"/>
      <protection locked="0"/>
    </xf>
    <xf numFmtId="14" fontId="18" fillId="0" borderId="15" xfId="0" applyNumberFormat="1" applyFont="1" applyBorder="1" applyAlignment="1" applyProtection="1">
      <alignment horizontal="center" vertical="center"/>
      <protection locked="0"/>
    </xf>
    <xf numFmtId="14" fontId="18" fillId="0" borderId="16" xfId="0" applyNumberFormat="1" applyFont="1" applyBorder="1" applyAlignment="1" applyProtection="1">
      <alignment horizontal="center" vertical="center"/>
      <protection locked="0"/>
    </xf>
    <xf numFmtId="14" fontId="18" fillId="0" borderId="19" xfId="0" applyNumberFormat="1" applyFont="1" applyBorder="1" applyAlignment="1" applyProtection="1">
      <alignment horizontal="center" vertical="center"/>
      <protection locked="0"/>
    </xf>
    <xf numFmtId="14" fontId="18" fillId="0" borderId="20" xfId="0" applyNumberFormat="1" applyFont="1" applyBorder="1" applyAlignment="1" applyProtection="1">
      <alignment horizontal="center" vertical="center"/>
      <protection locked="0"/>
    </xf>
    <xf numFmtId="14" fontId="18" fillId="0" borderId="21" xfId="0" applyNumberFormat="1" applyFont="1" applyBorder="1" applyAlignment="1" applyProtection="1">
      <alignment horizontal="center" vertical="center"/>
      <protection locked="0"/>
    </xf>
    <xf numFmtId="0" fontId="15" fillId="0" borderId="14" xfId="0" applyFont="1" applyBorder="1" applyAlignment="1" applyProtection="1">
      <alignment horizontal="center" vertical="center"/>
      <protection locked="0"/>
    </xf>
    <xf numFmtId="0" fontId="15" fillId="0" borderId="16" xfId="0" applyFont="1" applyBorder="1" applyAlignment="1" applyProtection="1">
      <alignment horizontal="center" vertical="center"/>
      <protection locked="0"/>
    </xf>
    <xf numFmtId="14" fontId="22" fillId="0" borderId="19" xfId="0" applyNumberFormat="1" applyFont="1" applyBorder="1" applyAlignment="1" applyProtection="1">
      <alignment horizontal="center" vertical="center"/>
      <protection locked="0"/>
    </xf>
    <xf numFmtId="0" fontId="22" fillId="0" borderId="21" xfId="0" applyFont="1" applyBorder="1" applyAlignment="1" applyProtection="1">
      <alignment horizontal="center" vertical="center"/>
      <protection locked="0"/>
    </xf>
    <xf numFmtId="0" fontId="15" fillId="0" borderId="1" xfId="0" applyFont="1" applyBorder="1" applyAlignment="1">
      <alignment horizontal="left"/>
    </xf>
    <xf numFmtId="0" fontId="15" fillId="0" borderId="116" xfId="0" applyFont="1" applyBorder="1" applyAlignment="1">
      <alignment horizontal="left"/>
    </xf>
    <xf numFmtId="0" fontId="15" fillId="0" borderId="41" xfId="0" applyFont="1" applyBorder="1" applyAlignment="1">
      <alignment horizontal="left"/>
    </xf>
    <xf numFmtId="0" fontId="15" fillId="0" borderId="96" xfId="0" applyFont="1" applyBorder="1" applyAlignment="1">
      <alignment horizontal="left" vertical="center"/>
    </xf>
    <xf numFmtId="0" fontId="11" fillId="6" borderId="9" xfId="0" applyFont="1" applyFill="1" applyBorder="1" applyAlignment="1">
      <alignment horizontal="center" vertical="center" wrapText="1"/>
    </xf>
    <xf numFmtId="0" fontId="15" fillId="0" borderId="138" xfId="0" applyFont="1" applyBorder="1" applyAlignment="1">
      <alignment horizontal="left" vertical="center"/>
    </xf>
    <xf numFmtId="0" fontId="15" fillId="0" borderId="95" xfId="0" applyFont="1" applyBorder="1" applyAlignment="1">
      <alignment horizontal="left" vertical="center"/>
    </xf>
    <xf numFmtId="0" fontId="11" fillId="0" borderId="0" xfId="0" applyFont="1" applyAlignment="1">
      <alignment horizontal="center" vertical="center"/>
    </xf>
    <xf numFmtId="4" fontId="22" fillId="0" borderId="19" xfId="0" applyNumberFormat="1" applyFont="1" applyBorder="1" applyAlignment="1">
      <alignment horizontal="left" vertical="top" wrapText="1"/>
    </xf>
    <xf numFmtId="4" fontId="22" fillId="0" borderId="20" xfId="0" applyNumberFormat="1" applyFont="1" applyBorder="1" applyAlignment="1">
      <alignment horizontal="left" vertical="top" wrapText="1"/>
    </xf>
    <xf numFmtId="4" fontId="22" fillId="0" borderId="21" xfId="0" applyNumberFormat="1" applyFont="1" applyBorder="1" applyAlignment="1">
      <alignment horizontal="left" vertical="top" wrapText="1"/>
    </xf>
    <xf numFmtId="4" fontId="11" fillId="0" borderId="17" xfId="0" applyNumberFormat="1" applyFont="1" applyBorder="1" applyAlignment="1">
      <alignment horizontal="left"/>
    </xf>
    <xf numFmtId="4" fontId="11" fillId="0" borderId="0" xfId="0" applyNumberFormat="1" applyFont="1" applyAlignment="1">
      <alignment horizontal="left"/>
    </xf>
    <xf numFmtId="4" fontId="11" fillId="0" borderId="18" xfId="0" applyNumberFormat="1" applyFont="1" applyBorder="1" applyAlignment="1">
      <alignment horizontal="left"/>
    </xf>
    <xf numFmtId="4" fontId="27" fillId="0" borderId="17" xfId="0" applyNumberFormat="1" applyFont="1" applyBorder="1" applyAlignment="1">
      <alignment horizontal="left" vertical="top" wrapText="1"/>
    </xf>
    <xf numFmtId="4" fontId="27" fillId="0" borderId="0" xfId="0" applyNumberFormat="1" applyFont="1" applyAlignment="1">
      <alignment horizontal="left" vertical="top" wrapText="1"/>
    </xf>
    <xf numFmtId="4" fontId="27" fillId="0" borderId="18" xfId="0" applyNumberFormat="1" applyFont="1" applyBorder="1" applyAlignment="1">
      <alignment horizontal="left" vertical="top" wrapText="1"/>
    </xf>
    <xf numFmtId="0" fontId="23" fillId="4" borderId="17" xfId="0" applyFont="1" applyFill="1" applyBorder="1" applyAlignment="1">
      <alignment horizontal="left" vertical="center" wrapText="1"/>
    </xf>
    <xf numFmtId="0" fontId="23" fillId="4" borderId="0" xfId="0" applyFont="1" applyFill="1" applyAlignment="1">
      <alignment horizontal="left" vertical="center" wrapText="1"/>
    </xf>
    <xf numFmtId="0" fontId="23" fillId="4" borderId="18" xfId="0" applyFont="1" applyFill="1" applyBorder="1" applyAlignment="1">
      <alignment horizontal="left" vertical="center" wrapText="1"/>
    </xf>
    <xf numFmtId="0" fontId="11" fillId="3" borderId="0" xfId="0" applyFont="1" applyFill="1" applyAlignment="1">
      <alignment horizontal="left"/>
    </xf>
    <xf numFmtId="0" fontId="11" fillId="0" borderId="0" xfId="0" applyFont="1" applyAlignment="1">
      <alignment horizontal="left"/>
    </xf>
    <xf numFmtId="0" fontId="11" fillId="0" borderId="69" xfId="0" applyFont="1" applyBorder="1" applyAlignment="1">
      <alignment horizontal="left"/>
    </xf>
    <xf numFmtId="0" fontId="11" fillId="3" borderId="19" xfId="0" applyFont="1" applyFill="1" applyBorder="1" applyAlignment="1">
      <alignment horizontal="left"/>
    </xf>
    <xf numFmtId="0" fontId="11" fillId="3" borderId="20" xfId="0" applyFont="1" applyFill="1" applyBorder="1" applyAlignment="1">
      <alignment horizontal="left"/>
    </xf>
    <xf numFmtId="0" fontId="11" fillId="3" borderId="21" xfId="0" applyFont="1" applyFill="1" applyBorder="1" applyAlignment="1">
      <alignment horizontal="left"/>
    </xf>
    <xf numFmtId="0" fontId="11" fillId="0" borderId="10" xfId="0" applyFont="1" applyBorder="1" applyAlignment="1">
      <alignment horizontal="left"/>
    </xf>
    <xf numFmtId="0" fontId="11" fillId="0" borderId="11" xfId="0" applyFont="1" applyBorder="1" applyAlignment="1">
      <alignment horizontal="left"/>
    </xf>
    <xf numFmtId="0" fontId="11" fillId="0" borderId="35" xfId="0" applyFont="1" applyBorder="1" applyAlignment="1">
      <alignment horizontal="left"/>
    </xf>
    <xf numFmtId="0" fontId="11" fillId="3" borderId="40" xfId="0" applyFont="1" applyFill="1" applyBorder="1" applyAlignment="1">
      <alignment horizontal="left"/>
    </xf>
    <xf numFmtId="0" fontId="11" fillId="3" borderId="17" xfId="0" applyFont="1" applyFill="1" applyBorder="1" applyAlignment="1">
      <alignment horizontal="left"/>
    </xf>
    <xf numFmtId="0" fontId="11" fillId="3" borderId="69" xfId="0" applyFont="1" applyFill="1" applyBorder="1" applyAlignment="1">
      <alignment horizontal="left"/>
    </xf>
    <xf numFmtId="0" fontId="11" fillId="3" borderId="18" xfId="0" applyFont="1" applyFill="1" applyBorder="1" applyAlignment="1">
      <alignment horizontal="left"/>
    </xf>
    <xf numFmtId="0" fontId="11" fillId="7" borderId="14" xfId="0" applyFont="1" applyFill="1" applyBorder="1" applyAlignment="1">
      <alignment horizontal="left"/>
    </xf>
    <xf numFmtId="0" fontId="11" fillId="7" borderId="15" xfId="0" applyFont="1" applyFill="1" applyBorder="1" applyAlignment="1">
      <alignment horizontal="left"/>
    </xf>
    <xf numFmtId="0" fontId="11" fillId="7" borderId="74" xfId="0" applyFont="1" applyFill="1" applyBorder="1" applyAlignment="1">
      <alignment horizontal="left"/>
    </xf>
    <xf numFmtId="0" fontId="15" fillId="3" borderId="0" xfId="0" applyFont="1" applyFill="1" applyAlignment="1">
      <alignment horizontal="left"/>
    </xf>
    <xf numFmtId="0" fontId="11" fillId="0" borderId="19" xfId="0" applyFont="1" applyBorder="1" applyAlignment="1">
      <alignment horizontal="left"/>
    </xf>
    <xf numFmtId="0" fontId="11" fillId="0" borderId="20" xfId="0" applyFont="1" applyBorder="1" applyAlignment="1">
      <alignment horizontal="left"/>
    </xf>
    <xf numFmtId="0" fontId="11" fillId="0" borderId="40" xfId="0" applyFont="1" applyBorder="1" applyAlignment="1">
      <alignment horizontal="left"/>
    </xf>
    <xf numFmtId="0" fontId="11" fillId="0" borderId="9" xfId="0" applyFont="1" applyBorder="1" applyAlignment="1" applyProtection="1">
      <alignment horizontal="center" vertical="center" wrapText="1"/>
      <protection locked="0"/>
    </xf>
    <xf numFmtId="0" fontId="24" fillId="0" borderId="9" xfId="0" applyFont="1" applyBorder="1" applyAlignment="1">
      <alignment horizontal="center" vertical="center" wrapText="1"/>
    </xf>
    <xf numFmtId="4" fontId="11" fillId="6" borderId="116" xfId="0" applyNumberFormat="1" applyFont="1" applyFill="1" applyBorder="1" applyAlignment="1">
      <alignment horizontal="center" vertical="center"/>
    </xf>
    <xf numFmtId="4" fontId="11" fillId="6" borderId="117" xfId="0" applyNumberFormat="1" applyFont="1" applyFill="1" applyBorder="1" applyAlignment="1">
      <alignment horizontal="center" vertical="center"/>
    </xf>
    <xf numFmtId="0" fontId="11" fillId="6" borderId="9" xfId="0" applyFont="1" applyFill="1" applyBorder="1" applyAlignment="1">
      <alignment horizontal="center" vertical="center"/>
    </xf>
    <xf numFmtId="4" fontId="11" fillId="6" borderId="34" xfId="0" applyNumberFormat="1" applyFont="1" applyFill="1" applyBorder="1" applyAlignment="1">
      <alignment horizontal="center" vertical="center" wrapText="1"/>
    </xf>
    <xf numFmtId="4" fontId="11" fillId="6" borderId="1" xfId="0" applyNumberFormat="1" applyFont="1" applyFill="1" applyBorder="1" applyAlignment="1">
      <alignment horizontal="center" vertical="center" wrapText="1"/>
    </xf>
    <xf numFmtId="4" fontId="11" fillId="6" borderId="9" xfId="0" applyNumberFormat="1" applyFont="1" applyFill="1" applyBorder="1" applyAlignment="1">
      <alignment horizontal="center" vertical="center" wrapText="1"/>
    </xf>
    <xf numFmtId="4" fontId="11" fillId="6" borderId="71" xfId="0" applyNumberFormat="1" applyFont="1" applyFill="1" applyBorder="1" applyAlignment="1">
      <alignment horizontal="center" vertical="center" wrapText="1"/>
    </xf>
    <xf numFmtId="4" fontId="11" fillId="0" borderId="17" xfId="0" applyNumberFormat="1" applyFont="1" applyBorder="1" applyAlignment="1">
      <alignment horizontal="left" vertical="top" wrapText="1"/>
    </xf>
    <xf numFmtId="4" fontId="11" fillId="0" borderId="0" xfId="0" applyNumberFormat="1" applyFont="1" applyAlignment="1">
      <alignment horizontal="left" vertical="top" wrapText="1"/>
    </xf>
    <xf numFmtId="4" fontId="11" fillId="0" borderId="18" xfId="0" applyNumberFormat="1" applyFont="1" applyBorder="1" applyAlignment="1">
      <alignment horizontal="left" vertical="top" wrapText="1"/>
    </xf>
    <xf numFmtId="4" fontId="15" fillId="0" borderId="17" xfId="0" applyNumberFormat="1" applyFont="1" applyBorder="1" applyAlignment="1">
      <alignment horizontal="left" vertical="center" wrapText="1"/>
    </xf>
    <xf numFmtId="4" fontId="15" fillId="0" borderId="0" xfId="0" applyNumberFormat="1" applyFont="1" applyAlignment="1">
      <alignment horizontal="left" vertical="center" wrapText="1"/>
    </xf>
    <xf numFmtId="4" fontId="15" fillId="0" borderId="18" xfId="0" applyNumberFormat="1" applyFont="1" applyBorder="1" applyAlignment="1">
      <alignment horizontal="left" vertical="center" wrapText="1"/>
    </xf>
    <xf numFmtId="3" fontId="11" fillId="0" borderId="0" xfId="7" applyNumberFormat="1" applyFont="1" applyAlignment="1">
      <alignment horizontal="right" wrapText="1"/>
    </xf>
    <xf numFmtId="3" fontId="11" fillId="0" borderId="18" xfId="7" applyNumberFormat="1" applyFont="1" applyBorder="1" applyAlignment="1">
      <alignment horizontal="right" wrapText="1"/>
    </xf>
    <xf numFmtId="169" fontId="27" fillId="0" borderId="0" xfId="7" applyNumberFormat="1" applyFont="1" applyAlignment="1">
      <alignment horizontal="right"/>
    </xf>
    <xf numFmtId="0" fontId="11" fillId="0" borderId="6" xfId="0" applyFont="1" applyBorder="1" applyAlignment="1">
      <alignment horizontal="left"/>
    </xf>
    <xf numFmtId="0" fontId="11" fillId="0" borderId="8" xfId="0" applyFont="1" applyBorder="1" applyAlignment="1">
      <alignment horizontal="left"/>
    </xf>
    <xf numFmtId="169" fontId="15" fillId="0" borderId="6" xfId="7" applyNumberFormat="1" applyFont="1" applyBorder="1" applyAlignment="1">
      <alignment horizontal="left" vertical="center"/>
    </xf>
    <xf numFmtId="169" fontId="15" fillId="0" borderId="8" xfId="7" applyNumberFormat="1" applyFont="1" applyBorder="1" applyAlignment="1">
      <alignment horizontal="left" vertical="center"/>
    </xf>
    <xf numFmtId="0" fontId="11" fillId="0" borderId="130" xfId="0" applyFont="1" applyBorder="1" applyAlignment="1">
      <alignment horizontal="left"/>
    </xf>
    <xf numFmtId="0" fontId="11" fillId="0" borderId="135" xfId="0" applyFont="1" applyBorder="1" applyAlignment="1">
      <alignment horizontal="left"/>
    </xf>
    <xf numFmtId="0" fontId="22" fillId="0" borderId="41" xfId="0" applyFont="1" applyBorder="1" applyAlignment="1">
      <alignment horizontal="left"/>
    </xf>
    <xf numFmtId="0" fontId="22" fillId="0" borderId="1" xfId="0" applyFont="1" applyBorder="1" applyAlignment="1">
      <alignment horizontal="left"/>
    </xf>
    <xf numFmtId="0" fontId="15" fillId="0" borderId="6" xfId="0" applyFont="1" applyBorder="1" applyAlignment="1">
      <alignment horizontal="left"/>
    </xf>
    <xf numFmtId="0" fontId="15" fillId="0" borderId="8" xfId="0" applyFont="1" applyBorder="1" applyAlignment="1">
      <alignment horizontal="left"/>
    </xf>
    <xf numFmtId="0" fontId="24" fillId="6" borderId="9" xfId="7" applyFont="1" applyFill="1" applyBorder="1" applyAlignment="1">
      <alignment horizontal="center" vertical="center" wrapText="1"/>
    </xf>
    <xf numFmtId="0" fontId="24" fillId="6" borderId="6" xfId="7" applyFont="1" applyFill="1" applyBorder="1" applyAlignment="1">
      <alignment horizontal="center" vertical="center" wrapText="1"/>
    </xf>
    <xf numFmtId="0" fontId="24" fillId="6" borderId="7" xfId="7" applyFont="1" applyFill="1" applyBorder="1" applyAlignment="1">
      <alignment horizontal="center" vertical="center" wrapText="1"/>
    </xf>
    <xf numFmtId="0" fontId="24" fillId="6" borderId="30" xfId="7" applyFont="1" applyFill="1" applyBorder="1" applyAlignment="1">
      <alignment horizontal="center" vertical="center" wrapText="1"/>
    </xf>
    <xf numFmtId="0" fontId="20" fillId="0" borderId="19" xfId="0" applyFont="1" applyBorder="1" applyAlignment="1" applyProtection="1">
      <alignment horizontal="left" vertical="top" wrapText="1"/>
      <protection locked="0"/>
    </xf>
    <xf numFmtId="0" fontId="20" fillId="0" borderId="20" xfId="0" applyFont="1" applyBorder="1" applyAlignment="1" applyProtection="1">
      <alignment horizontal="left" vertical="top"/>
      <protection locked="0"/>
    </xf>
    <xf numFmtId="0" fontId="20" fillId="0" borderId="21" xfId="0" applyFont="1" applyBorder="1" applyAlignment="1" applyProtection="1">
      <alignment horizontal="left" vertical="top"/>
      <protection locked="0"/>
    </xf>
    <xf numFmtId="0" fontId="15" fillId="0" borderId="102" xfId="6" applyFont="1" applyBorder="1" applyAlignment="1">
      <alignment horizontal="left" vertical="center"/>
    </xf>
    <xf numFmtId="0" fontId="15" fillId="0" borderId="76" xfId="6" applyFont="1" applyBorder="1" applyAlignment="1">
      <alignment horizontal="left" vertical="center"/>
    </xf>
    <xf numFmtId="0" fontId="15" fillId="0" borderId="93" xfId="6" applyFont="1" applyBorder="1" applyAlignment="1">
      <alignment horizontal="left" vertical="center"/>
    </xf>
    <xf numFmtId="0" fontId="15" fillId="0" borderId="120" xfId="6" applyFont="1" applyBorder="1" applyAlignment="1">
      <alignment horizontal="left" vertical="center"/>
    </xf>
    <xf numFmtId="0" fontId="15" fillId="0" borderId="121" xfId="6" applyFont="1" applyBorder="1" applyAlignment="1">
      <alignment horizontal="left" vertical="center"/>
    </xf>
    <xf numFmtId="0" fontId="15" fillId="0" borderId="133" xfId="6" applyFont="1" applyBorder="1" applyAlignment="1">
      <alignment horizontal="left" vertical="center"/>
    </xf>
    <xf numFmtId="0" fontId="11" fillId="6" borderId="6" xfId="6" applyFont="1" applyFill="1" applyBorder="1" applyAlignment="1">
      <alignment horizontal="center" vertical="center" wrapText="1"/>
    </xf>
    <xf numFmtId="0" fontId="11" fillId="6" borderId="7" xfId="6" applyFont="1" applyFill="1" applyBorder="1" applyAlignment="1">
      <alignment horizontal="center" vertical="center" wrapText="1"/>
    </xf>
    <xf numFmtId="0" fontId="11" fillId="6" borderId="30" xfId="6" applyFont="1" applyFill="1" applyBorder="1" applyAlignment="1">
      <alignment horizontal="center" vertical="center" wrapText="1"/>
    </xf>
    <xf numFmtId="0" fontId="15" fillId="0" borderId="106" xfId="6" applyFont="1" applyBorder="1" applyAlignment="1">
      <alignment horizontal="left" vertical="center"/>
    </xf>
    <xf numFmtId="0" fontId="15" fillId="0" borderId="75" xfId="6" applyFont="1" applyBorder="1" applyAlignment="1">
      <alignment horizontal="left" vertical="center"/>
    </xf>
    <xf numFmtId="0" fontId="15" fillId="0" borderId="92" xfId="6" applyFont="1" applyBorder="1" applyAlignment="1">
      <alignment horizontal="left" vertical="center"/>
    </xf>
    <xf numFmtId="0" fontId="15" fillId="0" borderId="136" xfId="6" applyFont="1" applyBorder="1" applyAlignment="1">
      <alignment horizontal="left" vertical="center"/>
    </xf>
    <xf numFmtId="0" fontId="15" fillId="0" borderId="82" xfId="6" applyFont="1" applyBorder="1" applyAlignment="1">
      <alignment horizontal="left" vertical="center"/>
    </xf>
    <xf numFmtId="0" fontId="15" fillId="0" borderId="94" xfId="6" applyFont="1" applyBorder="1" applyAlignment="1">
      <alignment horizontal="left" vertical="center"/>
    </xf>
    <xf numFmtId="164" fontId="11" fillId="6" borderId="6" xfId="7" applyNumberFormat="1" applyFont="1" applyFill="1" applyBorder="1" applyAlignment="1">
      <alignment horizontal="center" vertical="center" wrapText="1"/>
    </xf>
    <xf numFmtId="164" fontId="11" fillId="6" borderId="7" xfId="7" applyNumberFormat="1" applyFont="1" applyFill="1" applyBorder="1" applyAlignment="1">
      <alignment horizontal="center" vertical="center" wrapText="1"/>
    </xf>
    <xf numFmtId="164" fontId="11" fillId="6" borderId="30" xfId="7" applyNumberFormat="1" applyFont="1" applyFill="1" applyBorder="1" applyAlignment="1">
      <alignment horizontal="center" vertical="center" wrapText="1"/>
    </xf>
    <xf numFmtId="0" fontId="11" fillId="0" borderId="0" xfId="6" applyFont="1" applyAlignment="1">
      <alignment horizontal="right"/>
    </xf>
    <xf numFmtId="0" fontId="11" fillId="0" borderId="2" xfId="6" applyFont="1" applyBorder="1" applyAlignment="1">
      <alignment horizontal="right"/>
    </xf>
    <xf numFmtId="0" fontId="15" fillId="0" borderId="137" xfId="0" applyFont="1" applyBorder="1" applyAlignment="1">
      <alignment horizontal="left" vertical="center"/>
    </xf>
    <xf numFmtId="0" fontId="15" fillId="0" borderId="91" xfId="0" applyFont="1" applyBorder="1" applyAlignment="1">
      <alignment horizontal="left" vertical="center"/>
    </xf>
    <xf numFmtId="0" fontId="15" fillId="0" borderId="86" xfId="0" applyFont="1" applyBorder="1" applyAlignment="1">
      <alignment horizontal="left" vertical="center"/>
    </xf>
    <xf numFmtId="0" fontId="15" fillId="0" borderId="90" xfId="0" applyFont="1" applyBorder="1" applyAlignment="1">
      <alignment horizontal="left" vertical="center"/>
    </xf>
    <xf numFmtId="0" fontId="15" fillId="0" borderId="85" xfId="0" applyFont="1" applyBorder="1" applyAlignment="1">
      <alignment horizontal="left" vertical="center"/>
    </xf>
    <xf numFmtId="0" fontId="15" fillId="0" borderId="89" xfId="0" applyFont="1" applyBorder="1" applyAlignment="1">
      <alignment horizontal="left" vertical="center"/>
    </xf>
    <xf numFmtId="0" fontId="11" fillId="6" borderId="41" xfId="0" applyFont="1" applyFill="1" applyBorder="1" applyAlignment="1">
      <alignment horizontal="center" vertical="center"/>
    </xf>
    <xf numFmtId="0" fontId="11" fillId="6" borderId="1" xfId="0" applyFont="1" applyFill="1" applyBorder="1" applyAlignment="1">
      <alignment horizontal="center" vertical="center"/>
    </xf>
    <xf numFmtId="0" fontId="15" fillId="0" borderId="31" xfId="0" applyFont="1" applyBorder="1" applyAlignment="1" applyProtection="1">
      <alignment horizontal="left" vertical="top" wrapText="1"/>
      <protection locked="0"/>
    </xf>
    <xf numFmtId="0" fontId="15" fillId="0" borderId="32" xfId="0" applyFont="1" applyBorder="1" applyAlignment="1" applyProtection="1">
      <alignment horizontal="left" vertical="top" wrapText="1"/>
      <protection locked="0"/>
    </xf>
    <xf numFmtId="0" fontId="15" fillId="0" borderId="33" xfId="0" applyFont="1" applyBorder="1" applyAlignment="1" applyProtection="1">
      <alignment horizontal="left" vertical="top" wrapText="1"/>
      <protection locked="0"/>
    </xf>
    <xf numFmtId="0" fontId="11" fillId="6" borderId="29" xfId="0" applyFont="1" applyFill="1" applyBorder="1" applyAlignment="1">
      <alignment horizontal="center"/>
    </xf>
    <xf numFmtId="0" fontId="11" fillId="6" borderId="7" xfId="0" applyFont="1" applyFill="1" applyBorder="1" applyAlignment="1">
      <alignment horizontal="center"/>
    </xf>
    <xf numFmtId="0" fontId="11" fillId="6" borderId="8" xfId="0" applyFont="1" applyFill="1" applyBorder="1" applyAlignment="1">
      <alignment horizontal="center"/>
    </xf>
    <xf numFmtId="0" fontId="15" fillId="0" borderId="120" xfId="6" applyFont="1" applyBorder="1" applyAlignment="1">
      <alignment horizontal="left"/>
    </xf>
    <xf numFmtId="0" fontId="15" fillId="0" borderId="121" xfId="6" applyFont="1" applyBorder="1" applyAlignment="1">
      <alignment horizontal="left"/>
    </xf>
    <xf numFmtId="0" fontId="15" fillId="0" borderId="133" xfId="6" applyFont="1" applyBorder="1" applyAlignment="1">
      <alignment horizontal="left"/>
    </xf>
    <xf numFmtId="0" fontId="15" fillId="0" borderId="102" xfId="6" applyFont="1" applyBorder="1" applyAlignment="1">
      <alignment horizontal="left"/>
    </xf>
    <xf numFmtId="0" fontId="15" fillId="0" borderId="76" xfId="6" applyFont="1" applyBorder="1" applyAlignment="1">
      <alignment horizontal="left"/>
    </xf>
    <xf numFmtId="0" fontId="15" fillId="0" borderId="93" xfId="6" applyFont="1" applyBorder="1" applyAlignment="1">
      <alignment horizontal="left"/>
    </xf>
    <xf numFmtId="0" fontId="15" fillId="0" borderId="136" xfId="6" applyFont="1" applyBorder="1" applyAlignment="1">
      <alignment horizontal="left"/>
    </xf>
    <xf numFmtId="0" fontId="15" fillId="0" borderId="82" xfId="6" applyFont="1" applyBorder="1" applyAlignment="1">
      <alignment horizontal="left"/>
    </xf>
    <xf numFmtId="0" fontId="15" fillId="0" borderId="94" xfId="6" applyFont="1" applyBorder="1" applyAlignment="1">
      <alignment horizontal="left"/>
    </xf>
    <xf numFmtId="165" fontId="15" fillId="0" borderId="137" xfId="15" applyFont="1" applyFill="1" applyBorder="1" applyAlignment="1">
      <alignment horizontal="center"/>
    </xf>
    <xf numFmtId="165" fontId="15" fillId="0" borderId="82" xfId="15" applyFont="1" applyFill="1" applyBorder="1" applyAlignment="1">
      <alignment horizontal="center"/>
    </xf>
    <xf numFmtId="165" fontId="15" fillId="0" borderId="94" xfId="15" applyFont="1" applyFill="1" applyBorder="1" applyAlignment="1">
      <alignment horizontal="center"/>
    </xf>
    <xf numFmtId="165" fontId="15" fillId="0" borderId="86" xfId="15" applyFont="1" applyFill="1" applyBorder="1" applyAlignment="1">
      <alignment horizontal="center"/>
    </xf>
    <xf numFmtId="165" fontId="15" fillId="0" borderId="76" xfId="15" applyFont="1" applyFill="1" applyBorder="1" applyAlignment="1">
      <alignment horizontal="center"/>
    </xf>
    <xf numFmtId="165" fontId="15" fillId="0" borderId="93" xfId="15" applyFont="1" applyFill="1" applyBorder="1" applyAlignment="1">
      <alignment horizontal="center"/>
    </xf>
    <xf numFmtId="165" fontId="15" fillId="0" borderId="120" xfId="15" applyFont="1" applyFill="1" applyBorder="1" applyAlignment="1">
      <alignment horizontal="center"/>
    </xf>
    <xf numFmtId="165" fontId="15" fillId="0" borderId="121" xfId="15" applyFont="1" applyFill="1" applyBorder="1" applyAlignment="1">
      <alignment horizontal="center"/>
    </xf>
    <xf numFmtId="165" fontId="15" fillId="0" borderId="133" xfId="15" applyFont="1" applyFill="1" applyBorder="1" applyAlignment="1">
      <alignment horizontal="center"/>
    </xf>
    <xf numFmtId="0" fontId="11" fillId="6" borderId="6" xfId="0" applyFont="1" applyFill="1" applyBorder="1" applyAlignment="1">
      <alignment horizontal="center" vertical="center"/>
    </xf>
    <xf numFmtId="0" fontId="11" fillId="6" borderId="7" xfId="0" applyFont="1" applyFill="1" applyBorder="1" applyAlignment="1">
      <alignment horizontal="center" vertical="center"/>
    </xf>
    <xf numFmtId="0" fontId="11" fillId="6" borderId="30" xfId="0" applyFont="1" applyFill="1" applyBorder="1" applyAlignment="1">
      <alignment horizontal="center" vertical="center"/>
    </xf>
    <xf numFmtId="0" fontId="45" fillId="7" borderId="7" xfId="0" applyFont="1" applyFill="1" applyBorder="1" applyAlignment="1">
      <alignment horizontal="left" vertical="center"/>
    </xf>
    <xf numFmtId="0" fontId="45" fillId="7" borderId="30" xfId="0" applyFont="1" applyFill="1" applyBorder="1" applyAlignment="1">
      <alignment horizontal="left" vertical="center"/>
    </xf>
    <xf numFmtId="4" fontId="44" fillId="0" borderId="102" xfId="0" applyNumberFormat="1" applyFont="1" applyBorder="1" applyAlignment="1">
      <alignment horizontal="left" vertical="top"/>
    </xf>
    <xf numFmtId="4" fontId="44" fillId="0" borderId="76" xfId="0" applyNumberFormat="1" applyFont="1" applyBorder="1" applyAlignment="1">
      <alignment horizontal="left" vertical="top"/>
    </xf>
    <xf numFmtId="4" fontId="44" fillId="0" borderId="93" xfId="0" applyNumberFormat="1" applyFont="1" applyBorder="1" applyAlignment="1">
      <alignment horizontal="left" vertical="top"/>
    </xf>
    <xf numFmtId="4" fontId="44" fillId="0" borderId="137" xfId="0" applyNumberFormat="1" applyFont="1" applyBorder="1" applyAlignment="1">
      <alignment horizontal="left" vertical="top"/>
    </xf>
    <xf numFmtId="4" fontId="44" fillId="0" borderId="82" xfId="0" applyNumberFormat="1" applyFont="1" applyBorder="1" applyAlignment="1">
      <alignment horizontal="left" vertical="top"/>
    </xf>
    <xf numFmtId="4" fontId="44" fillId="0" borderId="94" xfId="0" applyNumberFormat="1" applyFont="1" applyBorder="1" applyAlignment="1">
      <alignment horizontal="left" vertical="top"/>
    </xf>
    <xf numFmtId="4" fontId="44" fillId="0" borderId="29" xfId="0" applyNumberFormat="1" applyFont="1" applyBorder="1" applyAlignment="1">
      <alignment horizontal="left" vertical="top" wrapText="1"/>
    </xf>
    <xf numFmtId="4" fontId="44" fillId="0" borderId="7" xfId="0" applyNumberFormat="1" applyFont="1" applyBorder="1" applyAlignment="1">
      <alignment horizontal="left" vertical="top"/>
    </xf>
    <xf numFmtId="4" fontId="44" fillId="0" borderId="30" xfId="0" applyNumberFormat="1" applyFont="1" applyBorder="1" applyAlignment="1">
      <alignment horizontal="left" vertical="top"/>
    </xf>
    <xf numFmtId="166" fontId="15" fillId="0" borderId="0" xfId="1" applyNumberFormat="1" applyFont="1" applyBorder="1" applyAlignment="1">
      <alignment horizontal="center"/>
    </xf>
    <xf numFmtId="0" fontId="44" fillId="0" borderId="11" xfId="0" applyFont="1" applyBorder="1" applyAlignment="1" applyProtection="1">
      <alignment horizontal="left" vertical="top"/>
      <protection locked="0"/>
    </xf>
    <xf numFmtId="0" fontId="44" fillId="0" borderId="13" xfId="0" applyFont="1" applyBorder="1" applyAlignment="1" applyProtection="1">
      <alignment horizontal="left" vertical="top"/>
      <protection locked="0"/>
    </xf>
    <xf numFmtId="0" fontId="45" fillId="0" borderId="26" xfId="0" applyFont="1" applyBorder="1" applyAlignment="1" applyProtection="1">
      <alignment horizontal="left"/>
      <protection locked="0"/>
    </xf>
    <xf numFmtId="0" fontId="45" fillId="0" borderId="27" xfId="0" applyFont="1" applyBorder="1" applyAlignment="1" applyProtection="1">
      <alignment horizontal="left"/>
      <protection locked="0"/>
    </xf>
    <xf numFmtId="0" fontId="45" fillId="0" borderId="28" xfId="0" applyFont="1" applyBorder="1" applyAlignment="1" applyProtection="1">
      <alignment horizontal="left"/>
      <protection locked="0"/>
    </xf>
    <xf numFmtId="0" fontId="44" fillId="0" borderId="31" xfId="0" applyFont="1" applyBorder="1" applyAlignment="1" applyProtection="1">
      <alignment horizontal="left" vertical="top" wrapText="1"/>
      <protection locked="0"/>
    </xf>
    <xf numFmtId="0" fontId="44" fillId="0" borderId="32" xfId="0" applyFont="1" applyBorder="1" applyAlignment="1" applyProtection="1">
      <alignment horizontal="left" vertical="top" wrapText="1"/>
      <protection locked="0"/>
    </xf>
    <xf numFmtId="0" fontId="44" fillId="0" borderId="33" xfId="0" applyFont="1" applyBorder="1" applyAlignment="1" applyProtection="1">
      <alignment horizontal="left" vertical="top" wrapText="1"/>
      <protection locked="0"/>
    </xf>
    <xf numFmtId="0" fontId="44" fillId="0" borderId="22" xfId="0" applyFont="1" applyBorder="1" applyAlignment="1" applyProtection="1">
      <alignment horizontal="center" vertical="center" wrapText="1"/>
      <protection locked="0"/>
    </xf>
    <xf numFmtId="0" fontId="44" fillId="0" borderId="13" xfId="0" applyFont="1" applyBorder="1" applyAlignment="1" applyProtection="1">
      <alignment horizontal="center" vertical="center" wrapText="1"/>
      <protection locked="0"/>
    </xf>
    <xf numFmtId="0" fontId="45" fillId="0" borderId="10" xfId="0" applyFont="1" applyBorder="1" applyAlignment="1" applyProtection="1">
      <alignment horizontal="left" vertical="center" wrapText="1" indent="2"/>
      <protection locked="0"/>
    </xf>
    <xf numFmtId="0" fontId="45" fillId="0" borderId="11" xfId="0" applyFont="1" applyBorder="1" applyAlignment="1" applyProtection="1">
      <alignment horizontal="left" vertical="center" wrapText="1" indent="2"/>
      <protection locked="0"/>
    </xf>
    <xf numFmtId="0" fontId="45" fillId="0" borderId="10" xfId="0" applyFont="1" applyBorder="1" applyAlignment="1" applyProtection="1">
      <alignment horizontal="center" vertical="center" wrapText="1"/>
      <protection locked="0"/>
    </xf>
    <xf numFmtId="0" fontId="45" fillId="0" borderId="11" xfId="0" applyFont="1" applyBorder="1" applyAlignment="1" applyProtection="1">
      <alignment horizontal="center" vertical="center" wrapText="1"/>
      <protection locked="0"/>
    </xf>
    <xf numFmtId="166" fontId="44" fillId="0" borderId="22" xfId="1" applyNumberFormat="1" applyFont="1" applyFill="1" applyBorder="1" applyAlignment="1" applyProtection="1">
      <alignment horizontal="center" vertical="center" wrapText="1"/>
      <protection locked="0"/>
    </xf>
    <xf numFmtId="166" fontId="44" fillId="0" borderId="13" xfId="1" applyNumberFormat="1" applyFont="1" applyFill="1" applyBorder="1" applyAlignment="1" applyProtection="1">
      <alignment horizontal="center" vertical="center" wrapText="1"/>
      <protection locked="0"/>
    </xf>
    <xf numFmtId="49" fontId="46" fillId="0" borderId="14" xfId="0" applyNumberFormat="1" applyFont="1" applyBorder="1" applyAlignment="1" applyProtection="1">
      <alignment horizontal="center" vertical="center"/>
      <protection locked="0"/>
    </xf>
    <xf numFmtId="49" fontId="46" fillId="0" borderId="15" xfId="0" applyNumberFormat="1" applyFont="1" applyBorder="1" applyAlignment="1" applyProtection="1">
      <alignment horizontal="center" vertical="center"/>
      <protection locked="0"/>
    </xf>
    <xf numFmtId="49" fontId="46" fillId="0" borderId="16" xfId="0" applyNumberFormat="1" applyFont="1" applyBorder="1" applyAlignment="1" applyProtection="1">
      <alignment horizontal="center" vertical="center"/>
      <protection locked="0"/>
    </xf>
    <xf numFmtId="49" fontId="46" fillId="0" borderId="19" xfId="0" applyNumberFormat="1" applyFont="1" applyBorder="1" applyAlignment="1" applyProtection="1">
      <alignment horizontal="center" vertical="center"/>
      <protection locked="0"/>
    </xf>
    <xf numFmtId="49" fontId="46" fillId="0" borderId="20" xfId="0" applyNumberFormat="1" applyFont="1" applyBorder="1" applyAlignment="1" applyProtection="1">
      <alignment horizontal="center" vertical="center"/>
      <protection locked="0"/>
    </xf>
    <xf numFmtId="49" fontId="46" fillId="0" borderId="21" xfId="0" applyNumberFormat="1" applyFont="1" applyBorder="1" applyAlignment="1" applyProtection="1">
      <alignment horizontal="center" vertical="center"/>
      <protection locked="0"/>
    </xf>
    <xf numFmtId="0" fontId="44" fillId="0" borderId="14" xfId="0" applyFont="1" applyBorder="1" applyAlignment="1" applyProtection="1">
      <alignment horizontal="center" vertical="center"/>
      <protection locked="0"/>
    </xf>
    <xf numFmtId="0" fontId="44" fillId="0" borderId="16" xfId="0" applyFont="1" applyBorder="1" applyAlignment="1" applyProtection="1">
      <alignment horizontal="center" vertical="center"/>
      <protection locked="0"/>
    </xf>
    <xf numFmtId="0" fontId="47" fillId="0" borderId="15" xfId="0" applyFont="1" applyBorder="1" applyAlignment="1" applyProtection="1">
      <alignment horizontal="center" vertical="center"/>
      <protection locked="0"/>
    </xf>
    <xf numFmtId="0" fontId="47" fillId="0" borderId="16" xfId="0" applyFont="1" applyBorder="1" applyAlignment="1" applyProtection="1">
      <alignment horizontal="center" vertical="center"/>
      <protection locked="0"/>
    </xf>
    <xf numFmtId="0" fontId="48" fillId="0" borderId="21" xfId="0" applyFont="1" applyBorder="1" applyAlignment="1" applyProtection="1">
      <alignment horizontal="center" vertical="center"/>
      <protection locked="0"/>
    </xf>
    <xf numFmtId="0" fontId="44" fillId="0" borderId="75" xfId="0" applyFont="1" applyBorder="1" applyAlignment="1">
      <alignment horizontal="center" vertical="top"/>
    </xf>
    <xf numFmtId="0" fontId="44" fillId="0" borderId="92" xfId="0" applyFont="1" applyBorder="1" applyAlignment="1">
      <alignment horizontal="center" vertical="top"/>
    </xf>
    <xf numFmtId="0" fontId="44" fillId="0" borderId="76" xfId="0" applyFont="1" applyBorder="1" applyAlignment="1">
      <alignment horizontal="center" vertical="top"/>
    </xf>
    <xf numFmtId="0" fontId="44" fillId="0" borderId="93" xfId="0" applyFont="1" applyBorder="1" applyAlignment="1">
      <alignment horizontal="center" vertical="top"/>
    </xf>
    <xf numFmtId="0" fontId="44" fillId="0" borderId="82" xfId="0" applyFont="1" applyBorder="1" applyAlignment="1">
      <alignment horizontal="center" vertical="top"/>
    </xf>
    <xf numFmtId="0" fontId="44" fillId="0" borderId="94" xfId="0" applyFont="1" applyBorder="1" applyAlignment="1">
      <alignment horizontal="center" vertical="top"/>
    </xf>
    <xf numFmtId="4" fontId="44" fillId="0" borderId="120" xfId="0" applyNumberFormat="1" applyFont="1" applyBorder="1" applyAlignment="1">
      <alignment horizontal="left" vertical="top"/>
    </xf>
    <xf numFmtId="4" fontId="44" fillId="0" borderId="121" xfId="0" applyNumberFormat="1" applyFont="1" applyBorder="1" applyAlignment="1">
      <alignment horizontal="left" vertical="top"/>
    </xf>
    <xf numFmtId="4" fontId="44" fillId="0" borderId="133" xfId="0" applyNumberFormat="1" applyFont="1" applyBorder="1" applyAlignment="1">
      <alignment horizontal="left" vertical="top"/>
    </xf>
    <xf numFmtId="0" fontId="45" fillId="6" borderId="6" xfId="0" applyFont="1" applyFill="1" applyBorder="1" applyAlignment="1">
      <alignment horizontal="left" vertical="center"/>
    </xf>
    <xf numFmtId="0" fontId="45" fillId="6" borderId="7" xfId="0" applyFont="1" applyFill="1" applyBorder="1" applyAlignment="1">
      <alignment horizontal="left" vertical="center"/>
    </xf>
    <xf numFmtId="0" fontId="45" fillId="6" borderId="30" xfId="0" applyFont="1" applyFill="1" applyBorder="1" applyAlignment="1">
      <alignment horizontal="left" vertical="center"/>
    </xf>
    <xf numFmtId="0" fontId="11" fillId="6" borderId="6" xfId="11" applyFont="1" applyFill="1" applyBorder="1" applyAlignment="1">
      <alignment horizontal="center" vertical="center"/>
    </xf>
    <xf numFmtId="0" fontId="11" fillId="6" borderId="7" xfId="11" applyFont="1" applyFill="1" applyBorder="1" applyAlignment="1">
      <alignment horizontal="center" vertical="center"/>
    </xf>
    <xf numFmtId="0" fontId="11" fillId="6" borderId="8" xfId="11" applyFont="1" applyFill="1" applyBorder="1" applyAlignment="1">
      <alignment horizontal="center" vertical="center"/>
    </xf>
    <xf numFmtId="0" fontId="20" fillId="0" borderId="61" xfId="0" applyFont="1" applyBorder="1" applyAlignment="1">
      <alignment horizontal="left" vertical="center" wrapText="1"/>
    </xf>
    <xf numFmtId="0" fontId="75" fillId="0" borderId="75" xfId="0" applyFont="1" applyBorder="1" applyAlignment="1">
      <alignment horizontal="left" vertical="center" wrapText="1"/>
    </xf>
    <xf numFmtId="0" fontId="75" fillId="0" borderId="59" xfId="0" applyFont="1" applyBorder="1" applyAlignment="1">
      <alignment horizontal="left" vertical="center" wrapText="1"/>
    </xf>
    <xf numFmtId="0" fontId="20" fillId="0" borderId="56" xfId="0" applyFont="1" applyBorder="1" applyAlignment="1">
      <alignment horizontal="left" vertical="center" wrapText="1"/>
    </xf>
    <xf numFmtId="0" fontId="75" fillId="0" borderId="76" xfId="0" applyFont="1" applyBorder="1" applyAlignment="1">
      <alignment horizontal="left" vertical="center" wrapText="1"/>
    </xf>
    <xf numFmtId="0" fontId="75" fillId="0" borderId="77" xfId="0" applyFont="1" applyBorder="1" applyAlignment="1">
      <alignment horizontal="left" vertical="center" wrapText="1"/>
    </xf>
    <xf numFmtId="0" fontId="11" fillId="6" borderId="8" xfId="0" applyFont="1" applyFill="1" applyBorder="1" applyAlignment="1">
      <alignment horizontal="center" vertical="center"/>
    </xf>
    <xf numFmtId="0" fontId="50" fillId="0" borderId="11" xfId="0" applyFont="1" applyBorder="1" applyAlignment="1" applyProtection="1">
      <alignment horizontal="left" vertical="top"/>
      <protection locked="0"/>
    </xf>
    <xf numFmtId="0" fontId="50" fillId="0" borderId="13" xfId="0" applyFont="1" applyBorder="1" applyAlignment="1" applyProtection="1">
      <alignment horizontal="left" vertical="top"/>
      <protection locked="0"/>
    </xf>
    <xf numFmtId="0" fontId="51" fillId="0" borderId="26" xfId="0" applyFont="1" applyBorder="1" applyAlignment="1" applyProtection="1">
      <alignment horizontal="left"/>
      <protection locked="0"/>
    </xf>
    <xf numFmtId="0" fontId="51" fillId="0" borderId="27" xfId="0" applyFont="1" applyBorder="1" applyAlignment="1" applyProtection="1">
      <alignment horizontal="left"/>
      <protection locked="0"/>
    </xf>
    <xf numFmtId="0" fontId="51" fillId="0" borderId="28" xfId="0" applyFont="1" applyBorder="1" applyAlignment="1" applyProtection="1">
      <alignment horizontal="left"/>
      <protection locked="0"/>
    </xf>
    <xf numFmtId="0" fontId="50" fillId="0" borderId="19" xfId="0" applyFont="1" applyBorder="1" applyAlignment="1" applyProtection="1">
      <alignment horizontal="left" vertical="top" wrapText="1"/>
      <protection locked="0"/>
    </xf>
    <xf numFmtId="0" fontId="50" fillId="0" borderId="20" xfId="0" applyFont="1" applyBorder="1" applyAlignment="1" applyProtection="1">
      <alignment horizontal="left" vertical="top"/>
      <protection locked="0"/>
    </xf>
    <xf numFmtId="0" fontId="50" fillId="0" borderId="21" xfId="0" applyFont="1" applyBorder="1" applyAlignment="1" applyProtection="1">
      <alignment horizontal="left" vertical="top"/>
      <protection locked="0"/>
    </xf>
    <xf numFmtId="0" fontId="51" fillId="0" borderId="10" xfId="0" applyFont="1" applyBorder="1" applyAlignment="1" applyProtection="1">
      <alignment horizontal="left" vertical="center" wrapText="1" indent="2"/>
      <protection locked="0"/>
    </xf>
    <xf numFmtId="0" fontId="51" fillId="0" borderId="11" xfId="0" applyFont="1" applyBorder="1" applyAlignment="1" applyProtection="1">
      <alignment horizontal="left" vertical="center" wrapText="1" indent="2"/>
      <protection locked="0"/>
    </xf>
    <xf numFmtId="0" fontId="50" fillId="0" borderId="22" xfId="0" applyFont="1" applyBorder="1" applyAlignment="1" applyProtection="1">
      <alignment horizontal="center" vertical="center" wrapText="1"/>
      <protection locked="0"/>
    </xf>
    <xf numFmtId="0" fontId="50" fillId="0" borderId="13" xfId="0" applyFont="1" applyBorder="1" applyAlignment="1" applyProtection="1">
      <alignment horizontal="center" vertical="center" wrapText="1"/>
      <protection locked="0"/>
    </xf>
    <xf numFmtId="0" fontId="51" fillId="0" borderId="10" xfId="0" applyFont="1" applyBorder="1" applyAlignment="1" applyProtection="1">
      <alignment horizontal="center" vertical="center" wrapText="1"/>
      <protection locked="0"/>
    </xf>
    <xf numFmtId="0" fontId="51" fillId="0" borderId="11" xfId="0" applyFont="1" applyBorder="1" applyAlignment="1" applyProtection="1">
      <alignment horizontal="center" vertical="center" wrapText="1"/>
      <protection locked="0"/>
    </xf>
    <xf numFmtId="166" fontId="50" fillId="0" borderId="22" xfId="1" applyNumberFormat="1" applyFont="1" applyFill="1" applyBorder="1" applyAlignment="1" applyProtection="1">
      <alignment horizontal="center" vertical="center" wrapText="1"/>
      <protection locked="0"/>
    </xf>
    <xf numFmtId="166" fontId="50" fillId="0" borderId="13" xfId="1" applyNumberFormat="1" applyFont="1" applyFill="1" applyBorder="1" applyAlignment="1" applyProtection="1">
      <alignment horizontal="center" vertical="center" wrapText="1"/>
      <protection locked="0"/>
    </xf>
    <xf numFmtId="49" fontId="52" fillId="0" borderId="14" xfId="0" applyNumberFormat="1" applyFont="1" applyBorder="1" applyAlignment="1" applyProtection="1">
      <alignment horizontal="center" vertical="center"/>
      <protection locked="0"/>
    </xf>
    <xf numFmtId="49" fontId="52" fillId="0" borderId="15" xfId="0" applyNumberFormat="1" applyFont="1" applyBorder="1" applyAlignment="1" applyProtection="1">
      <alignment horizontal="center" vertical="center"/>
      <protection locked="0"/>
    </xf>
    <xf numFmtId="49" fontId="52" fillId="0" borderId="16" xfId="0" applyNumberFormat="1" applyFont="1" applyBorder="1" applyAlignment="1" applyProtection="1">
      <alignment horizontal="center" vertical="center"/>
      <protection locked="0"/>
    </xf>
    <xf numFmtId="49" fontId="52" fillId="0" borderId="19" xfId="0" applyNumberFormat="1" applyFont="1" applyBorder="1" applyAlignment="1" applyProtection="1">
      <alignment horizontal="center" vertical="center"/>
      <protection locked="0"/>
    </xf>
    <xf numFmtId="49" fontId="52" fillId="0" borderId="20" xfId="0" applyNumberFormat="1" applyFont="1" applyBorder="1" applyAlignment="1" applyProtection="1">
      <alignment horizontal="center" vertical="center"/>
      <protection locked="0"/>
    </xf>
    <xf numFmtId="49" fontId="52" fillId="0" borderId="21" xfId="0" applyNumberFormat="1" applyFont="1" applyBorder="1" applyAlignment="1" applyProtection="1">
      <alignment horizontal="center" vertical="center"/>
      <protection locked="0"/>
    </xf>
    <xf numFmtId="0" fontId="50" fillId="0" borderId="14" xfId="0" applyFont="1" applyBorder="1" applyAlignment="1" applyProtection="1">
      <alignment horizontal="center" vertical="center"/>
      <protection locked="0"/>
    </xf>
    <xf numFmtId="0" fontId="50" fillId="0" borderId="16" xfId="0" applyFont="1" applyBorder="1" applyAlignment="1" applyProtection="1">
      <alignment horizontal="center" vertical="center"/>
      <protection locked="0"/>
    </xf>
    <xf numFmtId="0" fontId="53" fillId="0" borderId="15" xfId="0" applyFont="1" applyBorder="1" applyAlignment="1" applyProtection="1">
      <alignment horizontal="center" vertical="center"/>
      <protection locked="0"/>
    </xf>
    <xf numFmtId="0" fontId="53" fillId="0" borderId="16" xfId="0" applyFont="1" applyBorder="1" applyAlignment="1" applyProtection="1">
      <alignment horizontal="center" vertical="center"/>
      <protection locked="0"/>
    </xf>
    <xf numFmtId="0" fontId="54" fillId="0" borderId="21" xfId="0" applyFont="1" applyBorder="1" applyAlignment="1" applyProtection="1">
      <alignment horizontal="center" vertical="center"/>
      <protection locked="0"/>
    </xf>
    <xf numFmtId="0" fontId="11" fillId="0" borderId="17" xfId="0" applyFont="1" applyBorder="1" applyAlignment="1">
      <alignment horizontal="right"/>
    </xf>
    <xf numFmtId="0" fontId="11" fillId="0" borderId="0" xfId="0" applyFont="1" applyAlignment="1">
      <alignment horizontal="right"/>
    </xf>
    <xf numFmtId="0" fontId="11" fillId="0" borderId="19" xfId="0" applyFont="1" applyBorder="1" applyAlignment="1">
      <alignment horizontal="right"/>
    </xf>
    <xf numFmtId="0" fontId="11" fillId="0" borderId="20" xfId="0" applyFont="1" applyBorder="1" applyAlignment="1">
      <alignment horizontal="right"/>
    </xf>
    <xf numFmtId="0" fontId="11" fillId="0" borderId="14" xfId="0" applyFont="1" applyBorder="1" applyAlignment="1">
      <alignment horizontal="right"/>
    </xf>
    <xf numFmtId="0" fontId="11" fillId="0" borderId="15" xfId="0" applyFont="1" applyBorder="1" applyAlignment="1">
      <alignment horizontal="right"/>
    </xf>
    <xf numFmtId="0" fontId="25" fillId="0" borderId="102" xfId="0" applyFont="1" applyBorder="1" applyAlignment="1">
      <alignment horizontal="center"/>
    </xf>
    <xf numFmtId="0" fontId="0" fillId="0" borderId="76" xfId="0" applyBorder="1" applyAlignment="1">
      <alignment horizontal="center"/>
    </xf>
    <xf numFmtId="0" fontId="0" fillId="0" borderId="90" xfId="0" applyBorder="1" applyAlignment="1">
      <alignment horizontal="center"/>
    </xf>
    <xf numFmtId="0" fontId="25" fillId="0" borderId="137" xfId="0" applyFont="1" applyBorder="1" applyAlignment="1">
      <alignment horizontal="center"/>
    </xf>
    <xf numFmtId="0" fontId="0" fillId="0" borderId="82" xfId="0" applyBorder="1" applyAlignment="1">
      <alignment horizontal="center"/>
    </xf>
    <xf numFmtId="0" fontId="0" fillId="0" borderId="91" xfId="0" applyBorder="1" applyAlignment="1">
      <alignment horizontal="center"/>
    </xf>
    <xf numFmtId="0" fontId="25" fillId="0" borderId="85" xfId="0" applyFont="1" applyBorder="1" applyAlignment="1">
      <alignment horizontal="center"/>
    </xf>
    <xf numFmtId="0" fontId="0" fillId="0" borderId="75" xfId="0" applyBorder="1" applyAlignment="1">
      <alignment horizontal="center"/>
    </xf>
    <xf numFmtId="0" fontId="0" fillId="0" borderId="89" xfId="0" applyBorder="1" applyAlignment="1">
      <alignment horizontal="center"/>
    </xf>
    <xf numFmtId="0" fontId="11" fillId="7" borderId="6" xfId="0" applyFont="1" applyFill="1" applyBorder="1" applyAlignment="1">
      <alignment horizontal="center" vertical="center"/>
    </xf>
    <xf numFmtId="0" fontId="11" fillId="7" borderId="8" xfId="0" applyFont="1" applyFill="1" applyBorder="1" applyAlignment="1">
      <alignment horizontal="center" vertical="center"/>
    </xf>
    <xf numFmtId="166" fontId="11" fillId="6" borderId="6" xfId="1" applyNumberFormat="1" applyFont="1" applyFill="1" applyBorder="1" applyAlignment="1">
      <alignment horizontal="center" vertical="center" wrapText="1"/>
    </xf>
    <xf numFmtId="166" fontId="11" fillId="6" borderId="8" xfId="1" applyNumberFormat="1" applyFont="1" applyFill="1" applyBorder="1" applyAlignment="1">
      <alignment horizontal="center" vertical="center" wrapText="1"/>
    </xf>
    <xf numFmtId="0" fontId="11" fillId="0" borderId="29" xfId="0" applyFont="1" applyBorder="1" applyAlignment="1">
      <alignment horizontal="right" vertical="center" wrapText="1"/>
    </xf>
    <xf numFmtId="0" fontId="11" fillId="0" borderId="8" xfId="0" applyFont="1" applyBorder="1" applyAlignment="1">
      <alignment horizontal="right" vertical="center" wrapText="1"/>
    </xf>
    <xf numFmtId="169" fontId="11" fillId="7" borderId="42" xfId="0" applyNumberFormat="1" applyFont="1" applyFill="1" applyBorder="1" applyAlignment="1">
      <alignment horizontal="center" vertical="center" wrapText="1"/>
    </xf>
    <xf numFmtId="169" fontId="11" fillId="7" borderId="9" xfId="0" applyNumberFormat="1" applyFont="1" applyFill="1" applyBorder="1" applyAlignment="1">
      <alignment horizontal="center" vertical="center" wrapText="1"/>
    </xf>
    <xf numFmtId="169" fontId="11" fillId="7" borderId="9" xfId="0" applyNumberFormat="1" applyFont="1" applyFill="1" applyBorder="1" applyAlignment="1">
      <alignment horizontal="center" vertical="center"/>
    </xf>
    <xf numFmtId="169" fontId="11" fillId="7" borderId="9" xfId="0" applyNumberFormat="1" applyFont="1" applyFill="1" applyBorder="1" applyAlignment="1">
      <alignment vertical="center"/>
    </xf>
    <xf numFmtId="169" fontId="11" fillId="7" borderId="71" xfId="0" applyNumberFormat="1" applyFont="1" applyFill="1" applyBorder="1" applyAlignment="1">
      <alignment horizontal="center" vertical="center"/>
    </xf>
    <xf numFmtId="173" fontId="15" fillId="0" borderId="106" xfId="10" applyNumberFormat="1" applyFont="1" applyBorder="1" applyAlignment="1" applyProtection="1">
      <alignment horizontal="left"/>
      <protection locked="0"/>
    </xf>
    <xf numFmtId="173" fontId="15" fillId="0" borderId="75" xfId="10" applyNumberFormat="1" applyFont="1" applyBorder="1" applyAlignment="1" applyProtection="1">
      <alignment horizontal="left"/>
      <protection locked="0"/>
    </xf>
    <xf numFmtId="173" fontId="15" fillId="0" borderId="92" xfId="10" applyNumberFormat="1" applyFont="1" applyBorder="1" applyAlignment="1" applyProtection="1">
      <alignment horizontal="left"/>
      <protection locked="0"/>
    </xf>
    <xf numFmtId="169" fontId="20" fillId="7" borderId="9" xfId="0" applyNumberFormat="1" applyFont="1" applyFill="1" applyBorder="1" applyAlignment="1">
      <alignment horizontal="center" vertical="center" wrapText="1"/>
    </xf>
    <xf numFmtId="169" fontId="20" fillId="7" borderId="9" xfId="0" applyNumberFormat="1" applyFont="1" applyFill="1" applyBorder="1" applyAlignment="1">
      <alignment horizontal="center" vertical="center"/>
    </xf>
    <xf numFmtId="169" fontId="11" fillId="7" borderId="9" xfId="0" applyNumberFormat="1" applyFont="1" applyFill="1" applyBorder="1" applyAlignment="1">
      <alignment horizontal="left" vertical="center" wrapText="1"/>
    </xf>
    <xf numFmtId="169" fontId="11" fillId="7" borderId="9" xfId="0" applyNumberFormat="1" applyFont="1" applyFill="1" applyBorder="1" applyAlignment="1">
      <alignment horizontal="left" vertical="center"/>
    </xf>
    <xf numFmtId="173" fontId="15" fillId="0" borderId="102" xfId="10" applyNumberFormat="1" applyFont="1" applyBorder="1" applyAlignment="1" applyProtection="1">
      <alignment horizontal="left"/>
      <protection locked="0"/>
    </xf>
    <xf numFmtId="173" fontId="15" fillId="0" borderId="76" xfId="10" applyNumberFormat="1" applyFont="1" applyBorder="1" applyAlignment="1" applyProtection="1">
      <alignment horizontal="left"/>
      <protection locked="0"/>
    </xf>
    <xf numFmtId="173" fontId="15" fillId="0" borderId="93" xfId="10" applyNumberFormat="1" applyFont="1" applyBorder="1" applyAlignment="1" applyProtection="1">
      <alignment horizontal="left"/>
      <protection locked="0"/>
    </xf>
    <xf numFmtId="173" fontId="15" fillId="0" borderId="90" xfId="10" applyNumberFormat="1" applyFont="1" applyBorder="1" applyAlignment="1" applyProtection="1">
      <alignment horizontal="left"/>
      <protection locked="0"/>
    </xf>
    <xf numFmtId="173" fontId="15" fillId="0" borderId="105" xfId="10" applyNumberFormat="1" applyFont="1" applyBorder="1" applyAlignment="1" applyProtection="1">
      <alignment horizontal="left"/>
      <protection locked="0"/>
    </xf>
    <xf numFmtId="173" fontId="15" fillId="0" borderId="82" xfId="10" applyNumberFormat="1" applyFont="1" applyBorder="1" applyAlignment="1" applyProtection="1">
      <alignment horizontal="left"/>
      <protection locked="0"/>
    </xf>
    <xf numFmtId="173" fontId="15" fillId="0" borderId="94" xfId="10" applyNumberFormat="1" applyFont="1" applyBorder="1" applyAlignment="1" applyProtection="1">
      <alignment horizontal="left"/>
      <protection locked="0"/>
    </xf>
    <xf numFmtId="174" fontId="11" fillId="7" borderId="116" xfId="0" applyNumberFormat="1" applyFont="1" applyFill="1" applyBorder="1" applyAlignment="1">
      <alignment horizontal="center" vertical="center" wrapText="1"/>
    </xf>
    <xf numFmtId="174" fontId="11" fillId="7" borderId="117" xfId="0" applyNumberFormat="1" applyFont="1" applyFill="1" applyBorder="1" applyAlignment="1">
      <alignment horizontal="center" vertical="center" wrapText="1"/>
    </xf>
    <xf numFmtId="174" fontId="11" fillId="7" borderId="116" xfId="0" applyNumberFormat="1" applyFont="1" applyFill="1" applyBorder="1" applyAlignment="1">
      <alignment horizontal="center" vertical="center"/>
    </xf>
    <xf numFmtId="174" fontId="11" fillId="7" borderId="117" xfId="0" applyNumberFormat="1" applyFont="1" applyFill="1" applyBorder="1" applyAlignment="1">
      <alignment horizontal="center" vertical="center"/>
    </xf>
    <xf numFmtId="173" fontId="15" fillId="0" borderId="91" xfId="10" applyNumberFormat="1" applyFont="1" applyBorder="1" applyAlignment="1" applyProtection="1">
      <alignment horizontal="left"/>
      <protection locked="0"/>
    </xf>
    <xf numFmtId="173" fontId="15" fillId="0" borderId="85" xfId="10" applyNumberFormat="1" applyFont="1" applyBorder="1" applyAlignment="1" applyProtection="1">
      <alignment horizontal="left"/>
      <protection locked="0"/>
    </xf>
    <xf numFmtId="173" fontId="15" fillId="0" borderId="89" xfId="10" applyNumberFormat="1" applyFont="1" applyBorder="1" applyAlignment="1" applyProtection="1">
      <alignment horizontal="left"/>
      <protection locked="0"/>
    </xf>
    <xf numFmtId="0" fontId="63" fillId="10" borderId="7" xfId="5" applyFont="1" applyFill="1" applyBorder="1" applyAlignment="1" applyProtection="1">
      <alignment horizontal="left" vertical="center"/>
      <protection locked="0"/>
    </xf>
    <xf numFmtId="0" fontId="63" fillId="10" borderId="30" xfId="5" applyFont="1" applyFill="1" applyBorder="1" applyAlignment="1" applyProtection="1">
      <alignment horizontal="left" vertical="center"/>
      <protection locked="0"/>
    </xf>
  </cellXfs>
  <cellStyles count="24">
    <cellStyle name="Lien hypertexte" xfId="5" builtinId="8"/>
    <cellStyle name="Lien hypertexte 2" xfId="18" xr:uid="{305CF6C2-7220-48A7-8D66-EA6EA69C8212}"/>
    <cellStyle name="Milliers" xfId="1" builtinId="3"/>
    <cellStyle name="Milliers 2" xfId="15" xr:uid="{00000000-0005-0000-0000-000002000000}"/>
    <cellStyle name="Milliers 2 2" xfId="17" xr:uid="{00000000-0005-0000-0000-000002000000}"/>
    <cellStyle name="Milliers 3" xfId="22" xr:uid="{00000000-0005-0000-0000-000040000000}"/>
    <cellStyle name="Milliers 4" xfId="16" xr:uid="{00000000-0005-0000-0000-00003E000000}"/>
    <cellStyle name="Normal" xfId="0" builtinId="0"/>
    <cellStyle name="Normal 2" xfId="3" xr:uid="{00000000-0005-0000-0000-000004000000}"/>
    <cellStyle name="Normal 3" xfId="19" xr:uid="{5DBBA582-F577-45AF-87E0-39EA738DE5D4}"/>
    <cellStyle name="Normal 4" xfId="12" xr:uid="{00000000-0005-0000-0000-000005000000}"/>
    <cellStyle name="Normal 5" xfId="20" xr:uid="{00D9A526-6A7E-439D-861D-658A98C05AF9}"/>
    <cellStyle name="Normal 5 2" xfId="23" xr:uid="{00D9A526-6A7E-439D-861D-658A98C05AF9}"/>
    <cellStyle name="Normal 6" xfId="21" xr:uid="{00000000-0005-0000-0000-000041000000}"/>
    <cellStyle name="Normal 8" xfId="14" xr:uid="{00000000-0005-0000-0000-000006000000}"/>
    <cellStyle name="Normal_(08-12) - E - Clients - Novembal" xfId="11" xr:uid="{00000000-0005-0000-0000-000007000000}"/>
    <cellStyle name="Normal_311205-Clients Douteux" xfId="9" xr:uid="{00000000-0005-0000-0000-000008000000}"/>
    <cellStyle name="Normal_IDE 311205 Clients" xfId="6" xr:uid="{00000000-0005-0000-0000-000009000000}"/>
    <cellStyle name="Normal_J- écart de conversion" xfId="10" xr:uid="{00000000-0005-0000-0000-00000A000000}"/>
    <cellStyle name="Normal_xxx-L-Clients 200x" xfId="7" xr:uid="{00000000-0005-0000-0000-00000B000000}"/>
    <cellStyle name="Pourcentage" xfId="2" builtinId="5"/>
    <cellStyle name="Pourcentage 3" xfId="13" xr:uid="{00000000-0005-0000-0000-00000D000000}"/>
    <cellStyle name="Pourcentage_xxx-L-Clients 200x" xfId="8" xr:uid="{00000000-0005-0000-0000-00000E000000}"/>
    <cellStyle name="Texte de fond" xfId="4" xr:uid="{00000000-0005-0000-0000-00000F000000}"/>
  </cellStyles>
  <dxfs count="0"/>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247650</xdr:colOff>
          <xdr:row>10</xdr:row>
          <xdr:rowOff>1933575</xdr:rowOff>
        </xdr:from>
        <xdr:to>
          <xdr:col>12</xdr:col>
          <xdr:colOff>552450</xdr:colOff>
          <xdr:row>10</xdr:row>
          <xdr:rowOff>2619375</xdr:rowOff>
        </xdr:to>
        <xdr:sp macro="" textlink="">
          <xdr:nvSpPr>
            <xdr:cNvPr id="7171" name="Objet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xdr:col>
      <xdr:colOff>0</xdr:colOff>
      <xdr:row>16</xdr:row>
      <xdr:rowOff>0</xdr:rowOff>
    </xdr:from>
    <xdr:to>
      <xdr:col>4</xdr:col>
      <xdr:colOff>0</xdr:colOff>
      <xdr:row>16</xdr:row>
      <xdr:rowOff>0</xdr:rowOff>
    </xdr:to>
    <xdr:sp macro="" textlink="">
      <xdr:nvSpPr>
        <xdr:cNvPr id="4" name="Line 1">
          <a:extLst>
            <a:ext uri="{FF2B5EF4-FFF2-40B4-BE49-F238E27FC236}">
              <a16:creationId xmlns:a16="http://schemas.microsoft.com/office/drawing/2014/main" id="{00000000-0008-0000-0800-000004000000}"/>
            </a:ext>
          </a:extLst>
        </xdr:cNvPr>
        <xdr:cNvSpPr>
          <a:spLocks noChangeShapeType="1"/>
        </xdr:cNvSpPr>
      </xdr:nvSpPr>
      <xdr:spPr bwMode="auto">
        <a:xfrm flipV="1">
          <a:off x="2621280" y="5715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16</xdr:row>
      <xdr:rowOff>0</xdr:rowOff>
    </xdr:from>
    <xdr:to>
      <xdr:col>4</xdr:col>
      <xdr:colOff>0</xdr:colOff>
      <xdr:row>16</xdr:row>
      <xdr:rowOff>0</xdr:rowOff>
    </xdr:to>
    <xdr:sp macro="" textlink="">
      <xdr:nvSpPr>
        <xdr:cNvPr id="5" name="Line 1">
          <a:extLst>
            <a:ext uri="{FF2B5EF4-FFF2-40B4-BE49-F238E27FC236}">
              <a16:creationId xmlns:a16="http://schemas.microsoft.com/office/drawing/2014/main" id="{00000000-0008-0000-0900-000005000000}"/>
            </a:ext>
          </a:extLst>
        </xdr:cNvPr>
        <xdr:cNvSpPr>
          <a:spLocks noChangeShapeType="1"/>
        </xdr:cNvSpPr>
      </xdr:nvSpPr>
      <xdr:spPr bwMode="auto">
        <a:xfrm flipV="1">
          <a:off x="2686050" y="5762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16</xdr:row>
      <xdr:rowOff>0</xdr:rowOff>
    </xdr:from>
    <xdr:to>
      <xdr:col>4</xdr:col>
      <xdr:colOff>0</xdr:colOff>
      <xdr:row>16</xdr:row>
      <xdr:rowOff>0</xdr:rowOff>
    </xdr:to>
    <xdr:sp macro="" textlink="">
      <xdr:nvSpPr>
        <xdr:cNvPr id="5" name="Line 1">
          <a:extLst>
            <a:ext uri="{FF2B5EF4-FFF2-40B4-BE49-F238E27FC236}">
              <a16:creationId xmlns:a16="http://schemas.microsoft.com/office/drawing/2014/main" id="{00000000-0008-0000-0B00-000005000000}"/>
            </a:ext>
          </a:extLst>
        </xdr:cNvPr>
        <xdr:cNvSpPr>
          <a:spLocks noChangeShapeType="1"/>
        </xdr:cNvSpPr>
      </xdr:nvSpPr>
      <xdr:spPr bwMode="auto">
        <a:xfrm flipV="1">
          <a:off x="2686050" y="5762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dclyo\Collaborateurs\CHA\CAC%20-%20Dossier%20annuel%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sheetName val="Dossier Annuel"/>
      <sheetName val="Programme de travail"/>
      <sheetName val="Seuils de signification"/>
      <sheetName val="Quest Lutte contre blanchiment"/>
      <sheetName val="Quest Maintien mission"/>
      <sheetName val="Quest Fin de mission"/>
      <sheetName val="Quest Evènements post."/>
      <sheetName val="Quest Continuité exploi"/>
      <sheetName val="Quest Fraudes"/>
      <sheetName val="Quest Text légaux"/>
      <sheetName val="Quest Expert compt."/>
      <sheetName val="Quest Dirigeant"/>
      <sheetName val="Prépa. Décalration act."/>
      <sheetName val="Contrôle Annexe"/>
      <sheetName val="Contrôle Juridique (SAS)"/>
      <sheetName val="Contrôle Juridique (SA)"/>
      <sheetName val="Synthèse des ajustements"/>
      <sheetName val="B synth"/>
      <sheetName val="b10 quest"/>
      <sheetName val="B20"/>
      <sheetName val="B30"/>
      <sheetName val="B 40"/>
      <sheetName val="B 50"/>
      <sheetName val="B 60"/>
      <sheetName val="C synth"/>
      <sheetName val="C 10"/>
      <sheetName val="C 20"/>
      <sheetName val="D synth"/>
      <sheetName val="D.10 quest"/>
      <sheetName val="D15"/>
      <sheetName val="D 20"/>
      <sheetName val="D 30"/>
      <sheetName val="D 40"/>
      <sheetName val="D 50 "/>
      <sheetName val="D 55"/>
      <sheetName val="D60"/>
      <sheetName val="E synthèse"/>
      <sheetName val="E10 quest"/>
      <sheetName val="E 20"/>
      <sheetName val="E 30"/>
      <sheetName val="E 35"/>
      <sheetName val="E 40"/>
      <sheetName val="E 50"/>
      <sheetName val="E 60"/>
      <sheetName val="E 70"/>
      <sheetName val="E 75"/>
      <sheetName val="E80"/>
      <sheetName val="E85"/>
      <sheetName val="E 90"/>
      <sheetName val="F synthèse"/>
      <sheetName val="F10 quest"/>
      <sheetName val="F 20"/>
      <sheetName val="F 30"/>
      <sheetName val="F 40"/>
      <sheetName val="F50"/>
      <sheetName val="F60"/>
      <sheetName val="G synthèse"/>
      <sheetName val="H synthèse"/>
      <sheetName val="H10 quest"/>
      <sheetName val=" J synthèse"/>
      <sheetName val="K synthèse"/>
      <sheetName val="K 10"/>
      <sheetName val="L synthèse"/>
      <sheetName val="M synthèse"/>
      <sheetName val="M.10 quest"/>
      <sheetName val="M 20"/>
      <sheetName val="M 30"/>
      <sheetName val="M 35"/>
      <sheetName val="M 40"/>
      <sheetName val="M 50"/>
      <sheetName val="M 60"/>
      <sheetName val="M 65"/>
      <sheetName val="M70"/>
      <sheetName val="M75"/>
      <sheetName val="N synthèse"/>
      <sheetName val="N.10 quest"/>
      <sheetName val="N 01"/>
      <sheetName val="N 20"/>
      <sheetName val="N 30"/>
      <sheetName val="N 40"/>
      <sheetName val="N 50"/>
      <sheetName val="N 60"/>
      <sheetName val="P synth"/>
      <sheetName val="P10 quest"/>
      <sheetName val="P 20"/>
      <sheetName val="P 301"/>
      <sheetName val="P 302"/>
      <sheetName val="P 40"/>
      <sheetName val="P 50"/>
      <sheetName val="P 55"/>
      <sheetName val="P 60"/>
      <sheetName val="P 70"/>
      <sheetName val="P 80"/>
      <sheetName val="S synth"/>
      <sheetName val="T synth"/>
      <sheetName val="Tableau pour NDS"/>
      <sheetName val="BILAN ACTIF"/>
      <sheetName val="BILAN PASSIF"/>
      <sheetName val="SI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ow r="24">
          <cell r="F24">
            <v>0</v>
          </cell>
          <cell r="H24">
            <v>0</v>
          </cell>
        </row>
        <row r="29">
          <cell r="F29">
            <v>0</v>
          </cell>
          <cell r="H29">
            <v>0</v>
          </cell>
        </row>
        <row r="34">
          <cell r="F34">
            <v>0</v>
          </cell>
          <cell r="H34">
            <v>0</v>
          </cell>
        </row>
        <row r="54">
          <cell r="F54">
            <v>0</v>
          </cell>
          <cell r="H54">
            <v>0</v>
          </cell>
        </row>
        <row r="56">
          <cell r="F56" t="str">
            <v>#DC{£AED=1}</v>
          </cell>
          <cell r="H56" t="str">
            <v>#DC{£AED_1=1}</v>
          </cell>
        </row>
        <row r="58">
          <cell r="F58" t="e">
            <v>#VALUE!</v>
          </cell>
          <cell r="H58" t="e">
            <v>#VALUE!</v>
          </cell>
        </row>
      </sheetData>
      <sheetData sheetId="99">
        <row r="8">
          <cell r="B8" t="str">
            <v>#DC{£DS1=1}</v>
          </cell>
          <cell r="D8" t="str">
            <v>#DC{£DS1_1=1}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43"/>
  <sheetViews>
    <sheetView showGridLines="0" tabSelected="1" topLeftCell="A7" zoomScale="90" zoomScaleNormal="90" workbookViewId="0">
      <selection activeCell="A39" sqref="A39:O43"/>
    </sheetView>
  </sheetViews>
  <sheetFormatPr baseColWidth="10" defaultColWidth="11.42578125" defaultRowHeight="15.75"/>
  <cols>
    <col min="1" max="12" width="14.7109375" style="7" customWidth="1"/>
    <col min="13" max="13" width="23.42578125" style="7" customWidth="1"/>
    <col min="14" max="15" width="14.7109375" style="7" customWidth="1"/>
    <col min="16" max="16" width="4.7109375" style="7" customWidth="1"/>
    <col min="17" max="17" width="11.42578125" style="7" hidden="1" customWidth="1"/>
    <col min="18" max="16384" width="11.42578125" style="7"/>
  </cols>
  <sheetData>
    <row r="1" spans="1:23" s="1" customFormat="1" ht="15" customHeight="1">
      <c r="A1" s="10"/>
      <c r="B1" s="11"/>
      <c r="C1" s="11"/>
      <c r="D1" s="935" t="s">
        <v>18</v>
      </c>
      <c r="E1" s="936"/>
      <c r="F1" s="936"/>
      <c r="G1" s="936"/>
      <c r="H1" s="936"/>
      <c r="I1" s="936"/>
      <c r="J1" s="936"/>
      <c r="K1" s="936"/>
      <c r="L1" s="936"/>
      <c r="M1" s="937"/>
      <c r="N1" s="11"/>
      <c r="O1" s="12"/>
      <c r="Q1" s="28" t="s">
        <v>0</v>
      </c>
    </row>
    <row r="2" spans="1:23" s="1" customFormat="1" ht="15" customHeight="1" thickBot="1">
      <c r="A2" s="13"/>
      <c r="B2" s="14"/>
      <c r="C2" s="14"/>
      <c r="D2" s="938"/>
      <c r="E2" s="939"/>
      <c r="F2" s="939"/>
      <c r="G2" s="939"/>
      <c r="H2" s="939"/>
      <c r="I2" s="939"/>
      <c r="J2" s="939"/>
      <c r="K2" s="939"/>
      <c r="L2" s="939"/>
      <c r="M2" s="940"/>
      <c r="N2" s="14"/>
      <c r="O2" s="15"/>
      <c r="Q2" s="28" t="s">
        <v>1</v>
      </c>
    </row>
    <row r="3" spans="1:23" ht="15" customHeight="1">
      <c r="A3" s="905" t="s">
        <v>22</v>
      </c>
      <c r="B3" s="906"/>
      <c r="C3" s="906"/>
      <c r="D3" s="906"/>
      <c r="E3" s="906"/>
      <c r="F3" s="906"/>
      <c r="G3" s="906"/>
      <c r="H3" s="906"/>
      <c r="I3" s="906"/>
      <c r="J3" s="906"/>
      <c r="K3" s="906"/>
      <c r="L3" s="906"/>
      <c r="M3" s="906"/>
      <c r="N3" s="906"/>
      <c r="O3" s="907"/>
      <c r="Q3" s="29"/>
      <c r="T3" s="3"/>
      <c r="V3" s="5"/>
      <c r="W3" s="6"/>
    </row>
    <row r="4" spans="1:23" ht="15" customHeight="1">
      <c r="A4" s="905"/>
      <c r="B4" s="906"/>
      <c r="C4" s="906"/>
      <c r="D4" s="906"/>
      <c r="E4" s="906"/>
      <c r="F4" s="906"/>
      <c r="G4" s="906"/>
      <c r="H4" s="906"/>
      <c r="I4" s="906"/>
      <c r="J4" s="906"/>
      <c r="K4" s="906"/>
      <c r="L4" s="906"/>
      <c r="M4" s="906"/>
      <c r="N4" s="906"/>
      <c r="O4" s="907"/>
      <c r="Q4" s="28" t="s">
        <v>14</v>
      </c>
      <c r="R4" s="2"/>
      <c r="T4" s="3"/>
      <c r="V4" s="5"/>
      <c r="W4" s="6"/>
    </row>
    <row r="5" spans="1:23" ht="15" customHeight="1" thickBot="1">
      <c r="A5" s="908"/>
      <c r="B5" s="909"/>
      <c r="C5" s="909"/>
      <c r="D5" s="909"/>
      <c r="E5" s="909"/>
      <c r="F5" s="909"/>
      <c r="G5" s="909"/>
      <c r="H5" s="909"/>
      <c r="I5" s="909"/>
      <c r="J5" s="909"/>
      <c r="K5" s="909"/>
      <c r="L5" s="909"/>
      <c r="M5" s="909"/>
      <c r="N5" s="909"/>
      <c r="O5" s="910"/>
      <c r="Q5" s="28" t="s">
        <v>15</v>
      </c>
      <c r="S5" s="8"/>
      <c r="T5" s="4"/>
      <c r="U5" s="24"/>
      <c r="V5" s="24"/>
      <c r="W5" s="24"/>
    </row>
    <row r="6" spans="1:23" ht="15" customHeight="1">
      <c r="A6" s="17" t="s">
        <v>3</v>
      </c>
      <c r="B6" s="415" t="s">
        <v>366</v>
      </c>
      <c r="C6" s="17" t="s">
        <v>294</v>
      </c>
      <c r="D6" s="415"/>
      <c r="E6" s="923" t="s">
        <v>8</v>
      </c>
      <c r="F6" s="924"/>
      <c r="G6" s="924"/>
      <c r="H6" s="924"/>
      <c r="I6" s="924"/>
      <c r="J6" s="924"/>
      <c r="K6" s="924"/>
      <c r="L6" s="925"/>
      <c r="M6" s="853" t="s">
        <v>7</v>
      </c>
      <c r="N6" s="915" t="s">
        <v>6</v>
      </c>
      <c r="O6" s="916"/>
      <c r="Q6" s="29" t="s">
        <v>11</v>
      </c>
      <c r="R6" s="9"/>
      <c r="T6" s="1"/>
      <c r="U6" s="1"/>
    </row>
    <row r="7" spans="1:23" ht="15" customHeight="1" thickBot="1">
      <c r="A7" s="18" t="s">
        <v>4</v>
      </c>
      <c r="B7" s="416"/>
      <c r="C7" s="18" t="s">
        <v>4</v>
      </c>
      <c r="D7" s="416"/>
      <c r="E7" s="926"/>
      <c r="F7" s="927"/>
      <c r="G7" s="927"/>
      <c r="H7" s="927"/>
      <c r="I7" s="927"/>
      <c r="J7" s="927"/>
      <c r="K7" s="927"/>
      <c r="L7" s="928"/>
      <c r="M7" s="854" t="s">
        <v>20</v>
      </c>
      <c r="N7" s="917" t="s">
        <v>23</v>
      </c>
      <c r="O7" s="918"/>
      <c r="Q7" s="28" t="s">
        <v>16</v>
      </c>
    </row>
    <row r="8" spans="1:23" ht="21" customHeight="1" thickBot="1">
      <c r="A8" s="19"/>
      <c r="B8" s="16"/>
      <c r="C8" s="20"/>
      <c r="D8" s="20"/>
      <c r="E8" s="21"/>
      <c r="F8" s="21"/>
      <c r="G8" s="21"/>
      <c r="H8" s="21"/>
      <c r="I8" s="21"/>
      <c r="J8" s="21"/>
      <c r="K8" s="21"/>
      <c r="L8" s="21"/>
      <c r="M8" s="22"/>
      <c r="N8" s="23"/>
      <c r="O8" s="23"/>
      <c r="Q8" s="28" t="s">
        <v>17</v>
      </c>
    </row>
    <row r="9" spans="1:23" s="20" customFormat="1" ht="31.5" customHeight="1" thickBot="1">
      <c r="A9" s="919" t="s">
        <v>9</v>
      </c>
      <c r="B9" s="920"/>
      <c r="C9" s="920"/>
      <c r="D9" s="488" t="s">
        <v>11</v>
      </c>
      <c r="E9" s="489"/>
      <c r="F9" s="911" t="s">
        <v>2</v>
      </c>
      <c r="G9" s="912"/>
      <c r="H9" s="912"/>
      <c r="I9" s="912"/>
      <c r="J9" s="490"/>
      <c r="K9" s="491"/>
      <c r="L9" s="911" t="s">
        <v>10</v>
      </c>
      <c r="M9" s="912"/>
      <c r="N9" s="488" t="s">
        <v>12</v>
      </c>
      <c r="O9" s="489"/>
      <c r="Q9" s="29" t="s">
        <v>12</v>
      </c>
    </row>
    <row r="10" spans="1:23" s="27" customFormat="1" ht="21" customHeight="1" thickBot="1">
      <c r="A10" s="25"/>
      <c r="B10" s="25"/>
      <c r="C10" s="25"/>
      <c r="D10" s="25"/>
      <c r="E10" s="25"/>
      <c r="F10" s="25"/>
      <c r="G10" s="25"/>
      <c r="H10" s="25"/>
      <c r="I10" s="25"/>
      <c r="J10" s="25"/>
      <c r="K10" s="25"/>
      <c r="L10" s="25"/>
      <c r="M10" s="25"/>
      <c r="N10" s="25"/>
      <c r="O10" s="25"/>
    </row>
    <row r="11" spans="1:23" ht="15" customHeight="1" thickBot="1">
      <c r="A11" s="921" t="s">
        <v>5</v>
      </c>
      <c r="B11" s="922"/>
      <c r="C11" s="901" t="s">
        <v>13</v>
      </c>
      <c r="D11" s="902"/>
      <c r="E11" s="902"/>
      <c r="F11" s="902"/>
      <c r="G11" s="902"/>
      <c r="H11" s="902"/>
      <c r="I11" s="902"/>
      <c r="J11" s="902"/>
      <c r="K11" s="902"/>
      <c r="L11" s="902"/>
      <c r="M11" s="849" t="s">
        <v>304</v>
      </c>
      <c r="N11" s="899" t="s">
        <v>296</v>
      </c>
      <c r="O11" s="900"/>
      <c r="P11" s="417"/>
    </row>
    <row r="12" spans="1:23" s="1" customFormat="1" ht="15" customHeight="1">
      <c r="A12" s="913" t="s">
        <v>24</v>
      </c>
      <c r="B12" s="914"/>
      <c r="C12" s="493" t="s">
        <v>32</v>
      </c>
      <c r="D12" s="493"/>
      <c r="E12" s="493"/>
      <c r="F12" s="493"/>
      <c r="G12" s="493"/>
      <c r="H12" s="493"/>
      <c r="I12" s="493"/>
      <c r="J12" s="493"/>
      <c r="K12" s="493"/>
      <c r="L12" s="493"/>
      <c r="M12" s="850" t="s">
        <v>0</v>
      </c>
      <c r="N12" s="903" t="s">
        <v>297</v>
      </c>
      <c r="O12" s="904"/>
      <c r="P12" s="418"/>
    </row>
    <row r="13" spans="1:23" s="1" customFormat="1" ht="15" customHeight="1">
      <c r="A13" s="933" t="s">
        <v>25</v>
      </c>
      <c r="B13" s="934"/>
      <c r="C13" s="492" t="s">
        <v>33</v>
      </c>
      <c r="D13" s="492"/>
      <c r="E13" s="492"/>
      <c r="F13" s="492"/>
      <c r="G13" s="492"/>
      <c r="H13" s="492"/>
      <c r="I13" s="492"/>
      <c r="J13" s="492"/>
      <c r="K13" s="492"/>
      <c r="L13" s="492"/>
      <c r="M13" s="851" t="s">
        <v>0</v>
      </c>
      <c r="N13" s="931" t="s">
        <v>298</v>
      </c>
      <c r="O13" s="932"/>
      <c r="P13" s="419"/>
    </row>
    <row r="14" spans="1:23" s="1" customFormat="1" ht="15" customHeight="1">
      <c r="A14" s="933"/>
      <c r="B14" s="934"/>
      <c r="C14" s="492" t="s">
        <v>247</v>
      </c>
      <c r="D14" s="492"/>
      <c r="E14" s="492"/>
      <c r="F14" s="492"/>
      <c r="G14" s="492"/>
      <c r="H14" s="492"/>
      <c r="I14" s="492"/>
      <c r="J14" s="492"/>
      <c r="K14" s="492"/>
      <c r="L14" s="492"/>
      <c r="M14" s="851" t="s">
        <v>1</v>
      </c>
      <c r="N14" s="1247" t="s">
        <v>299</v>
      </c>
      <c r="O14" s="1248"/>
      <c r="P14" s="418"/>
    </row>
    <row r="15" spans="1:23" s="1" customFormat="1" ht="15" customHeight="1">
      <c r="A15" s="933"/>
      <c r="B15" s="934"/>
      <c r="C15" s="492" t="s">
        <v>34</v>
      </c>
      <c r="D15" s="492"/>
      <c r="E15" s="492"/>
      <c r="F15" s="492"/>
      <c r="G15" s="492"/>
      <c r="H15" s="492"/>
      <c r="I15" s="492"/>
      <c r="J15" s="492"/>
      <c r="K15" s="492"/>
      <c r="L15" s="492"/>
      <c r="M15" s="851" t="s">
        <v>1</v>
      </c>
      <c r="N15" s="1247" t="s">
        <v>300</v>
      </c>
      <c r="O15" s="1248"/>
      <c r="P15" s="420"/>
    </row>
    <row r="16" spans="1:23" s="1" customFormat="1" ht="15" customHeight="1">
      <c r="A16" s="933" t="s">
        <v>27</v>
      </c>
      <c r="B16" s="934"/>
      <c r="C16" s="492" t="s">
        <v>38</v>
      </c>
      <c r="D16" s="492"/>
      <c r="E16" s="492"/>
      <c r="F16" s="492"/>
      <c r="G16" s="492"/>
      <c r="H16" s="492"/>
      <c r="I16" s="492"/>
      <c r="J16" s="492"/>
      <c r="K16" s="492"/>
      <c r="L16" s="492"/>
      <c r="M16" s="851" t="s">
        <v>0</v>
      </c>
      <c r="N16" s="929" t="s">
        <v>301</v>
      </c>
      <c r="O16" s="930"/>
      <c r="P16" s="420"/>
    </row>
    <row r="17" spans="1:16" s="1" customFormat="1" ht="15" customHeight="1">
      <c r="A17" s="933" t="s">
        <v>30</v>
      </c>
      <c r="B17" s="934"/>
      <c r="C17" s="492" t="s">
        <v>35</v>
      </c>
      <c r="D17" s="492"/>
      <c r="E17" s="492"/>
      <c r="F17" s="492"/>
      <c r="G17" s="492"/>
      <c r="H17" s="492"/>
      <c r="I17" s="492"/>
      <c r="J17" s="492"/>
      <c r="K17" s="492"/>
      <c r="L17" s="492"/>
      <c r="M17" s="851" t="s">
        <v>0</v>
      </c>
      <c r="N17" s="929" t="s">
        <v>302</v>
      </c>
      <c r="O17" s="930"/>
      <c r="P17" s="418"/>
    </row>
    <row r="18" spans="1:16" s="1" customFormat="1" ht="15" customHeight="1">
      <c r="A18" s="933" t="s">
        <v>45</v>
      </c>
      <c r="B18" s="934"/>
      <c r="C18" s="492" t="s">
        <v>36</v>
      </c>
      <c r="D18" s="492"/>
      <c r="E18" s="492"/>
      <c r="F18" s="492"/>
      <c r="G18" s="492"/>
      <c r="H18" s="492"/>
      <c r="I18" s="492"/>
      <c r="J18" s="492"/>
      <c r="K18" s="492"/>
      <c r="L18" s="492"/>
      <c r="M18" s="851" t="s">
        <v>0</v>
      </c>
      <c r="N18" s="929" t="s">
        <v>303</v>
      </c>
      <c r="O18" s="930"/>
    </row>
    <row r="19" spans="1:16" s="1" customFormat="1" ht="15" customHeight="1">
      <c r="A19" s="933" t="s">
        <v>305</v>
      </c>
      <c r="B19" s="934"/>
      <c r="C19" s="492" t="s">
        <v>39</v>
      </c>
      <c r="D19" s="492"/>
      <c r="E19" s="492"/>
      <c r="F19" s="492"/>
      <c r="G19" s="492"/>
      <c r="H19" s="492"/>
      <c r="I19" s="492"/>
      <c r="J19" s="492"/>
      <c r="K19" s="492"/>
      <c r="L19" s="492"/>
      <c r="M19" s="851" t="s">
        <v>0</v>
      </c>
      <c r="N19" s="929" t="s">
        <v>310</v>
      </c>
      <c r="O19" s="930"/>
    </row>
    <row r="20" spans="1:16" s="1" customFormat="1" ht="15" customHeight="1">
      <c r="A20" s="933" t="s">
        <v>306</v>
      </c>
      <c r="B20" s="934"/>
      <c r="C20" s="492" t="s">
        <v>40</v>
      </c>
      <c r="D20" s="492"/>
      <c r="E20" s="492"/>
      <c r="F20" s="492"/>
      <c r="G20" s="492"/>
      <c r="H20" s="492"/>
      <c r="I20" s="492"/>
      <c r="J20" s="492"/>
      <c r="K20" s="492"/>
      <c r="L20" s="492"/>
      <c r="M20" s="851" t="s">
        <v>0</v>
      </c>
      <c r="N20" s="929" t="s">
        <v>311</v>
      </c>
      <c r="O20" s="930"/>
    </row>
    <row r="21" spans="1:16" s="1" customFormat="1" ht="15" customHeight="1">
      <c r="A21" s="933"/>
      <c r="B21" s="934"/>
      <c r="C21" s="492" t="s">
        <v>248</v>
      </c>
      <c r="D21" s="492"/>
      <c r="E21" s="492"/>
      <c r="F21" s="492"/>
      <c r="G21" s="492"/>
      <c r="H21" s="492"/>
      <c r="I21" s="492"/>
      <c r="J21" s="492"/>
      <c r="K21" s="492"/>
      <c r="L21" s="492"/>
      <c r="M21" s="851" t="s">
        <v>1</v>
      </c>
      <c r="N21" s="1247" t="s">
        <v>312</v>
      </c>
      <c r="O21" s="1248"/>
    </row>
    <row r="22" spans="1:16" s="1" customFormat="1" ht="15" customHeight="1">
      <c r="A22" s="933" t="s">
        <v>308</v>
      </c>
      <c r="B22" s="934"/>
      <c r="C22" s="492" t="s">
        <v>44</v>
      </c>
      <c r="D22" s="492"/>
      <c r="E22" s="492"/>
      <c r="F22" s="492"/>
      <c r="G22" s="492"/>
      <c r="H22" s="492"/>
      <c r="I22" s="492"/>
      <c r="J22" s="492"/>
      <c r="K22" s="492"/>
      <c r="L22" s="492"/>
      <c r="M22" s="851" t="s">
        <v>0</v>
      </c>
      <c r="N22" s="929" t="s">
        <v>313</v>
      </c>
      <c r="O22" s="930"/>
    </row>
    <row r="23" spans="1:16" s="1" customFormat="1" ht="15" customHeight="1">
      <c r="A23" s="933" t="s">
        <v>309</v>
      </c>
      <c r="B23" s="934"/>
      <c r="C23" s="492" t="s">
        <v>41</v>
      </c>
      <c r="D23" s="492"/>
      <c r="E23" s="492"/>
      <c r="F23" s="492"/>
      <c r="G23" s="492"/>
      <c r="H23" s="492"/>
      <c r="I23" s="492"/>
      <c r="J23" s="492"/>
      <c r="K23" s="492"/>
      <c r="L23" s="492"/>
      <c r="M23" s="851" t="s">
        <v>0</v>
      </c>
      <c r="N23" s="929" t="s">
        <v>314</v>
      </c>
      <c r="O23" s="930"/>
    </row>
    <row r="24" spans="1:16" s="1" customFormat="1" ht="15" customHeight="1">
      <c r="A24" s="933" t="s">
        <v>31</v>
      </c>
      <c r="B24" s="934"/>
      <c r="C24" s="492" t="s">
        <v>42</v>
      </c>
      <c r="D24" s="492"/>
      <c r="E24" s="492"/>
      <c r="F24" s="492"/>
      <c r="G24" s="492"/>
      <c r="H24" s="492"/>
      <c r="I24" s="492"/>
      <c r="J24" s="492"/>
      <c r="K24" s="492"/>
      <c r="L24" s="492"/>
      <c r="M24" s="851" t="s">
        <v>0</v>
      </c>
      <c r="N24" s="929" t="s">
        <v>315</v>
      </c>
      <c r="O24" s="930"/>
    </row>
    <row r="25" spans="1:16" s="1" customFormat="1" ht="15" customHeight="1">
      <c r="A25" s="933" t="s">
        <v>46</v>
      </c>
      <c r="B25" s="934"/>
      <c r="C25" s="492" t="s">
        <v>50</v>
      </c>
      <c r="D25" s="492"/>
      <c r="E25" s="492"/>
      <c r="F25" s="492"/>
      <c r="G25" s="492"/>
      <c r="H25" s="492"/>
      <c r="I25" s="492"/>
      <c r="J25" s="492"/>
      <c r="K25" s="492"/>
      <c r="L25" s="492"/>
      <c r="M25" s="851" t="s">
        <v>0</v>
      </c>
      <c r="N25" s="929" t="s">
        <v>316</v>
      </c>
      <c r="O25" s="930"/>
    </row>
    <row r="26" spans="1:16" s="1" customFormat="1" ht="15" customHeight="1">
      <c r="A26" s="933" t="s">
        <v>47</v>
      </c>
      <c r="B26" s="934"/>
      <c r="C26" s="492" t="s">
        <v>43</v>
      </c>
      <c r="D26" s="492"/>
      <c r="E26" s="492"/>
      <c r="F26" s="492"/>
      <c r="G26" s="492"/>
      <c r="H26" s="492"/>
      <c r="I26" s="492"/>
      <c r="J26" s="492"/>
      <c r="K26" s="492"/>
      <c r="L26" s="492"/>
      <c r="M26" s="851" t="s">
        <v>0</v>
      </c>
      <c r="N26" s="929" t="s">
        <v>317</v>
      </c>
      <c r="O26" s="930"/>
    </row>
    <row r="27" spans="1:16" s="1" customFormat="1" ht="15" customHeight="1">
      <c r="A27" s="933"/>
      <c r="B27" s="934"/>
      <c r="C27" s="492" t="s">
        <v>364</v>
      </c>
      <c r="D27" s="492"/>
      <c r="E27" s="492"/>
      <c r="F27" s="492"/>
      <c r="G27" s="492"/>
      <c r="H27" s="492"/>
      <c r="I27" s="492"/>
      <c r="J27" s="492"/>
      <c r="K27" s="492"/>
      <c r="L27" s="492"/>
      <c r="M27" s="851" t="s">
        <v>1</v>
      </c>
      <c r="N27" s="1247" t="s">
        <v>365</v>
      </c>
      <c r="O27" s="1248"/>
    </row>
    <row r="28" spans="1:16" s="1" customFormat="1" ht="15" customHeight="1">
      <c r="A28" s="933"/>
      <c r="B28" s="934"/>
      <c r="C28" s="492" t="s">
        <v>37</v>
      </c>
      <c r="D28" s="492"/>
      <c r="E28" s="492"/>
      <c r="F28" s="492"/>
      <c r="G28" s="492"/>
      <c r="H28" s="492"/>
      <c r="I28" s="492"/>
      <c r="J28" s="492"/>
      <c r="K28" s="492"/>
      <c r="L28" s="492"/>
      <c r="M28" s="851" t="s">
        <v>1</v>
      </c>
      <c r="N28" s="1247" t="s">
        <v>318</v>
      </c>
      <c r="O28" s="1248"/>
    </row>
    <row r="29" spans="1:16" s="1" customFormat="1" ht="15" customHeight="1" thickBot="1">
      <c r="A29" s="950"/>
      <c r="B29" s="951"/>
      <c r="C29" s="958"/>
      <c r="D29" s="958"/>
      <c r="E29" s="958"/>
      <c r="F29" s="958"/>
      <c r="G29" s="958"/>
      <c r="H29" s="958"/>
      <c r="I29" s="958"/>
      <c r="J29" s="958"/>
      <c r="K29" s="958"/>
      <c r="L29" s="958"/>
      <c r="M29" s="852"/>
      <c r="N29" s="959"/>
      <c r="O29" s="960"/>
    </row>
    <row r="30" spans="1:16" s="26" customFormat="1" ht="21" customHeight="1" thickBot="1"/>
    <row r="31" spans="1:16" s="359" customFormat="1" ht="15">
      <c r="A31" s="955" t="s">
        <v>274</v>
      </c>
      <c r="B31" s="956"/>
      <c r="C31" s="956"/>
      <c r="D31" s="956"/>
      <c r="E31" s="956"/>
      <c r="F31" s="956"/>
      <c r="G31" s="956"/>
      <c r="H31" s="956"/>
      <c r="I31" s="956"/>
      <c r="J31" s="956"/>
      <c r="K31" s="956"/>
      <c r="L31" s="956"/>
      <c r="M31" s="956"/>
      <c r="N31" s="956"/>
      <c r="O31" s="957"/>
    </row>
    <row r="32" spans="1:16" s="359" customFormat="1" ht="10.15" customHeight="1">
      <c r="A32" s="941" t="s">
        <v>367</v>
      </c>
      <c r="B32" s="942"/>
      <c r="C32" s="942"/>
      <c r="D32" s="942"/>
      <c r="E32" s="942"/>
      <c r="F32" s="942"/>
      <c r="G32" s="942"/>
      <c r="H32" s="942"/>
      <c r="I32" s="942"/>
      <c r="J32" s="942"/>
      <c r="K32" s="942"/>
      <c r="L32" s="942"/>
      <c r="M32" s="942"/>
      <c r="N32" s="942"/>
      <c r="O32" s="943"/>
    </row>
    <row r="33" spans="1:15" s="359" customFormat="1" ht="10.15" customHeight="1">
      <c r="A33" s="944"/>
      <c r="B33" s="945"/>
      <c r="C33" s="945"/>
      <c r="D33" s="945"/>
      <c r="E33" s="945"/>
      <c r="F33" s="945"/>
      <c r="G33" s="945"/>
      <c r="H33" s="945"/>
      <c r="I33" s="945"/>
      <c r="J33" s="945"/>
      <c r="K33" s="945"/>
      <c r="L33" s="945"/>
      <c r="M33" s="945"/>
      <c r="N33" s="945"/>
      <c r="O33" s="946"/>
    </row>
    <row r="34" spans="1:15" s="359" customFormat="1" ht="10.15" customHeight="1">
      <c r="A34" s="944"/>
      <c r="B34" s="945"/>
      <c r="C34" s="945"/>
      <c r="D34" s="945"/>
      <c r="E34" s="945"/>
      <c r="F34" s="945"/>
      <c r="G34" s="945"/>
      <c r="H34" s="945"/>
      <c r="I34" s="945"/>
      <c r="J34" s="945"/>
      <c r="K34" s="945"/>
      <c r="L34" s="945"/>
      <c r="M34" s="945"/>
      <c r="N34" s="945"/>
      <c r="O34" s="946"/>
    </row>
    <row r="35" spans="1:15" s="359" customFormat="1" ht="10.15" customHeight="1">
      <c r="A35" s="944"/>
      <c r="B35" s="945"/>
      <c r="C35" s="945"/>
      <c r="D35" s="945"/>
      <c r="E35" s="945"/>
      <c r="F35" s="945"/>
      <c r="G35" s="945"/>
      <c r="H35" s="945"/>
      <c r="I35" s="945"/>
      <c r="J35" s="945"/>
      <c r="K35" s="945"/>
      <c r="L35" s="945"/>
      <c r="M35" s="945"/>
      <c r="N35" s="945"/>
      <c r="O35" s="946"/>
    </row>
    <row r="36" spans="1:15" s="359" customFormat="1" ht="11.45" customHeight="1" thickBot="1">
      <c r="A36" s="947"/>
      <c r="B36" s="948"/>
      <c r="C36" s="948"/>
      <c r="D36" s="948"/>
      <c r="E36" s="948"/>
      <c r="F36" s="948"/>
      <c r="G36" s="948"/>
      <c r="H36" s="948"/>
      <c r="I36" s="948"/>
      <c r="J36" s="948"/>
      <c r="K36" s="948"/>
      <c r="L36" s="948"/>
      <c r="M36" s="948"/>
      <c r="N36" s="948"/>
      <c r="O36" s="949"/>
    </row>
    <row r="37" spans="1:15" s="26" customFormat="1" ht="22.15" customHeight="1" thickBot="1"/>
    <row r="38" spans="1:15" s="26" customFormat="1" ht="22.15" customHeight="1">
      <c r="A38" s="952" t="s">
        <v>19</v>
      </c>
      <c r="B38" s="953"/>
      <c r="C38" s="953"/>
      <c r="D38" s="953"/>
      <c r="E38" s="953"/>
      <c r="F38" s="953"/>
      <c r="G38" s="953"/>
      <c r="H38" s="953"/>
      <c r="I38" s="953"/>
      <c r="J38" s="953"/>
      <c r="K38" s="953"/>
      <c r="L38" s="953"/>
      <c r="M38" s="953"/>
      <c r="N38" s="953"/>
      <c r="O38" s="954"/>
    </row>
    <row r="39" spans="1:15" s="26" customFormat="1" ht="10.15" customHeight="1">
      <c r="A39" s="941"/>
      <c r="B39" s="942"/>
      <c r="C39" s="942"/>
      <c r="D39" s="942"/>
      <c r="E39" s="942"/>
      <c r="F39" s="942"/>
      <c r="G39" s="942"/>
      <c r="H39" s="942"/>
      <c r="I39" s="942"/>
      <c r="J39" s="942"/>
      <c r="K39" s="942"/>
      <c r="L39" s="942"/>
      <c r="M39" s="942"/>
      <c r="N39" s="942"/>
      <c r="O39" s="943"/>
    </row>
    <row r="40" spans="1:15" s="26" customFormat="1" ht="10.15" customHeight="1">
      <c r="A40" s="944"/>
      <c r="B40" s="945"/>
      <c r="C40" s="945"/>
      <c r="D40" s="945"/>
      <c r="E40" s="945"/>
      <c r="F40" s="945"/>
      <c r="G40" s="945"/>
      <c r="H40" s="945"/>
      <c r="I40" s="945"/>
      <c r="J40" s="945"/>
      <c r="K40" s="945"/>
      <c r="L40" s="945"/>
      <c r="M40" s="945"/>
      <c r="N40" s="945"/>
      <c r="O40" s="946"/>
    </row>
    <row r="41" spans="1:15" s="26" customFormat="1" ht="10.15" customHeight="1">
      <c r="A41" s="944"/>
      <c r="B41" s="945"/>
      <c r="C41" s="945"/>
      <c r="D41" s="945"/>
      <c r="E41" s="945"/>
      <c r="F41" s="945"/>
      <c r="G41" s="945"/>
      <c r="H41" s="945"/>
      <c r="I41" s="945"/>
      <c r="J41" s="945"/>
      <c r="K41" s="945"/>
      <c r="L41" s="945"/>
      <c r="M41" s="945"/>
      <c r="N41" s="945"/>
      <c r="O41" s="946"/>
    </row>
    <row r="42" spans="1:15" s="26" customFormat="1" ht="10.15" customHeight="1">
      <c r="A42" s="944"/>
      <c r="B42" s="945"/>
      <c r="C42" s="945"/>
      <c r="D42" s="945"/>
      <c r="E42" s="945"/>
      <c r="F42" s="945"/>
      <c r="G42" s="945"/>
      <c r="H42" s="945"/>
      <c r="I42" s="945"/>
      <c r="J42" s="945"/>
      <c r="K42" s="945"/>
      <c r="L42" s="945"/>
      <c r="M42" s="945"/>
      <c r="N42" s="945"/>
      <c r="O42" s="946"/>
    </row>
    <row r="43" spans="1:15" s="26" customFormat="1" ht="12" customHeight="1" thickBot="1">
      <c r="A43" s="947"/>
      <c r="B43" s="948"/>
      <c r="C43" s="948"/>
      <c r="D43" s="948"/>
      <c r="E43" s="948"/>
      <c r="F43" s="948"/>
      <c r="G43" s="948"/>
      <c r="H43" s="948"/>
      <c r="I43" s="948"/>
      <c r="J43" s="948"/>
      <c r="K43" s="948"/>
      <c r="L43" s="948"/>
      <c r="M43" s="948"/>
      <c r="N43" s="948"/>
      <c r="O43" s="949"/>
    </row>
  </sheetData>
  <sheetProtection formatCells="0" formatColumns="0" formatRows="0" insertColumns="0" insertRows="0" insertHyperlinks="0" deleteColumns="0" deleteRows="0" sort="0" autoFilter="0" pivotTables="0"/>
  <mergeCells count="52">
    <mergeCell ref="D1:M2"/>
    <mergeCell ref="A32:O36"/>
    <mergeCell ref="A29:B29"/>
    <mergeCell ref="A23:B23"/>
    <mergeCell ref="A38:O38"/>
    <mergeCell ref="N27:O27"/>
    <mergeCell ref="A31:O31"/>
    <mergeCell ref="A28:B28"/>
    <mergeCell ref="A26:B26"/>
    <mergeCell ref="A27:B27"/>
    <mergeCell ref="C29:L29"/>
    <mergeCell ref="N29:O29"/>
    <mergeCell ref="N28:O28"/>
    <mergeCell ref="N26:O26"/>
    <mergeCell ref="N21:O21"/>
    <mergeCell ref="N25:O25"/>
    <mergeCell ref="N24:O24"/>
    <mergeCell ref="A20:B20"/>
    <mergeCell ref="A25:B25"/>
    <mergeCell ref="N20:O20"/>
    <mergeCell ref="A21:B21"/>
    <mergeCell ref="A22:B22"/>
    <mergeCell ref="A24:B24"/>
    <mergeCell ref="N22:O22"/>
    <mergeCell ref="N23:O23"/>
    <mergeCell ref="A14:B14"/>
    <mergeCell ref="N19:O19"/>
    <mergeCell ref="A19:B19"/>
    <mergeCell ref="A16:B16"/>
    <mergeCell ref="A17:B17"/>
    <mergeCell ref="A18:B18"/>
    <mergeCell ref="A15:B15"/>
    <mergeCell ref="N15:O15"/>
    <mergeCell ref="N18:O18"/>
    <mergeCell ref="N16:O16"/>
    <mergeCell ref="N17:O17"/>
    <mergeCell ref="A39:O43"/>
    <mergeCell ref="N11:O11"/>
    <mergeCell ref="C11:L11"/>
    <mergeCell ref="N12:O12"/>
    <mergeCell ref="A3:O5"/>
    <mergeCell ref="F9:I9"/>
    <mergeCell ref="A12:B12"/>
    <mergeCell ref="N6:O6"/>
    <mergeCell ref="N7:O7"/>
    <mergeCell ref="L9:M9"/>
    <mergeCell ref="A9:C9"/>
    <mergeCell ref="A11:B11"/>
    <mergeCell ref="E6:L7"/>
    <mergeCell ref="N14:O14"/>
    <mergeCell ref="N13:O13"/>
    <mergeCell ref="A13:B13"/>
  </mergeCells>
  <dataValidations count="3">
    <dataValidation type="list" showInputMessage="1" showErrorMessage="1" sqref="D9:E9" xr:uid="{00000000-0002-0000-0000-000000000000}">
      <formula1>RAS</formula1>
    </dataValidation>
    <dataValidation type="list" allowBlank="1" showInputMessage="1" showErrorMessage="1" sqref="N9:O9" xr:uid="{00000000-0002-0000-0000-000001000000}">
      <formula1>Diligences</formula1>
    </dataValidation>
    <dataValidation type="list" allowBlank="1" showInputMessage="1" showErrorMessage="1" sqref="M12:M18 M19:M29" xr:uid="{00000000-0002-0000-0000-000002000000}">
      <formula1>Etat</formula1>
    </dataValidation>
  </dataValidations>
  <hyperlinks>
    <hyperlink ref="N12:O12" location="'V100 Rappro BA-BG'!A1" display="V100 Rappro BA-BG" xr:uid="{00000000-0004-0000-0000-000000000000}"/>
    <hyperlink ref="N13:O13" location="'V110 Revue clients créditeurs'!A1" display="V110 Revue clients créditeurs" xr:uid="{00000000-0004-0000-0000-000001000000}"/>
    <hyperlink ref="N14:O14" location="'V120 Revue EAR'!A1" display="V120 Revue EAR" xr:uid="{00000000-0004-0000-0000-000002000000}"/>
    <hyperlink ref="N15:O15" location="'V200 DSO clients'!A1" display="V200 DSO clients" xr:uid="{00000000-0004-0000-0000-000003000000}"/>
    <hyperlink ref="N16:O16" location="'V300 Réciprocité intragroupe'!A1" display="V300 Réciprocité intragroupe" xr:uid="{00000000-0004-0000-0000-000004000000}"/>
    <hyperlink ref="N17:O17" location="'V400 Réalité clients douteux'!A1" display="V400 Réalité clients douteux" xr:uid="{00000000-0004-0000-0000-000005000000}"/>
    <hyperlink ref="N18:O18" location="'V410 Exhaustivité dépréciation'!A1" display="V410 Exhaustivité dépréciation" xr:uid="{00000000-0004-0000-0000-000006000000}"/>
    <hyperlink ref="N28:O28" location="'V800 Clients en devise'!A1" display="V800 Clients en devise" xr:uid="{00000000-0004-0000-0000-000007000000}"/>
    <hyperlink ref="N20:O20" location="'V520 Revue AAE'!A1" display="V520 Revue AAE" xr:uid="{00000000-0004-0000-0000-000009000000}"/>
    <hyperlink ref="N21:O21" location="'V525 Revue RFA'!A1" display="V525 Revue RFA" xr:uid="{00000000-0004-0000-0000-00000A000000}"/>
    <hyperlink ref="N22:O22" location="'V530 Revue PCA'!A1" display="V530 Revue PCA" xr:uid="{00000000-0004-0000-0000-00000B000000}"/>
    <hyperlink ref="N23:O23" location="'V540 Test cut off ventes'!A1" display="V540 Test cut off ventes" xr:uid="{00000000-0004-0000-0000-00000C000000}"/>
    <hyperlink ref="N24:O24" location="'V600 Circularisations'!A1" display="V600 Circularisations" xr:uid="{00000000-0004-0000-0000-00000D000000}"/>
    <hyperlink ref="N25:O25" location="'V610 Procédures alternatives'!A1" display="V610 Procédures alternatives" xr:uid="{00000000-0004-0000-0000-00000E000000}"/>
    <hyperlink ref="N26:O26" location="'V700 Rappro CA gesco-CA compta'!A1" display="V700 Rappro CA gesco-CA compta" xr:uid="{00000000-0004-0000-0000-00000F000000}"/>
    <hyperlink ref="N27:O27" location="'V710 Palmarès clients'!A1" display="V710 Palmarès clients" xr:uid="{00000000-0004-0000-0000-000010000000}"/>
    <hyperlink ref="N19:O19" location="'V510 Revue FAE'!A1" display="V510 Revue FAE" xr:uid="{4960D3A1-A827-4C70-9154-58CB793B0BD2}"/>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U27"/>
  <sheetViews>
    <sheetView showGridLines="0" zoomScale="90" zoomScaleNormal="90" workbookViewId="0">
      <selection activeCell="O10" sqref="O10"/>
    </sheetView>
  </sheetViews>
  <sheetFormatPr baseColWidth="10" defaultColWidth="11.42578125" defaultRowHeight="15"/>
  <cols>
    <col min="1" max="3" width="14.7109375" style="26" customWidth="1"/>
    <col min="4" max="6" width="17.140625" style="26" customWidth="1"/>
    <col min="7" max="7" width="14.7109375" style="26" customWidth="1"/>
    <col min="8" max="16" width="13.140625" style="26" customWidth="1"/>
    <col min="17" max="16384" width="11.42578125" style="26"/>
  </cols>
  <sheetData>
    <row r="1" spans="1:21" s="36" customFormat="1" ht="15" customHeight="1">
      <c r="A1" s="10"/>
      <c r="B1" s="11"/>
      <c r="C1" s="11"/>
      <c r="D1" s="972" t="str">
        <f>'V Synthèse'!D1:M2</f>
        <v>#NomClient</v>
      </c>
      <c r="E1" s="973"/>
      <c r="F1" s="973"/>
      <c r="G1" s="973"/>
      <c r="H1" s="973"/>
      <c r="I1" s="973"/>
      <c r="J1" s="973"/>
      <c r="K1" s="973"/>
      <c r="L1" s="973"/>
      <c r="M1" s="974"/>
      <c r="N1" s="11"/>
      <c r="O1" s="11"/>
      <c r="P1" s="12"/>
    </row>
    <row r="2" spans="1:21" s="36"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5"/>
    </row>
    <row r="4" spans="1:21" ht="15" customHeight="1">
      <c r="A4" s="905"/>
      <c r="B4" s="906"/>
      <c r="C4" s="906"/>
      <c r="D4" s="906"/>
      <c r="E4" s="906"/>
      <c r="F4" s="906"/>
      <c r="G4" s="906"/>
      <c r="H4" s="906"/>
      <c r="I4" s="906"/>
      <c r="J4" s="906"/>
      <c r="K4" s="906"/>
      <c r="L4" s="906"/>
      <c r="M4" s="906"/>
      <c r="N4" s="906"/>
      <c r="O4" s="906"/>
      <c r="P4" s="907"/>
      <c r="R4" s="3"/>
      <c r="T4" s="5"/>
      <c r="U4" s="5"/>
    </row>
    <row r="5" spans="1:21" ht="15" customHeight="1" thickBot="1">
      <c r="A5" s="908"/>
      <c r="B5" s="909"/>
      <c r="C5" s="909"/>
      <c r="D5" s="909"/>
      <c r="E5" s="909"/>
      <c r="F5" s="909"/>
      <c r="G5" s="909"/>
      <c r="H5" s="909"/>
      <c r="I5" s="909"/>
      <c r="J5" s="909"/>
      <c r="K5" s="909"/>
      <c r="L5" s="909"/>
      <c r="M5" s="909"/>
      <c r="N5" s="909"/>
      <c r="O5" s="909"/>
      <c r="P5" s="910"/>
      <c r="Q5" s="3"/>
      <c r="R5" s="37"/>
      <c r="S5" s="38"/>
      <c r="T5" s="38"/>
      <c r="U5" s="38"/>
    </row>
    <row r="6" spans="1:21" ht="15" customHeight="1">
      <c r="A6" s="17" t="s">
        <v>3</v>
      </c>
      <c r="B6" s="415" t="str">
        <f>'V Synthèse'!B6</f>
        <v>BRA</v>
      </c>
      <c r="C6" s="17" t="s">
        <v>294</v>
      </c>
      <c r="D6" s="415">
        <f>'V Synthèse'!D6</f>
        <v>0</v>
      </c>
      <c r="E6" s="923" t="s">
        <v>32</v>
      </c>
      <c r="F6" s="924"/>
      <c r="G6" s="924"/>
      <c r="H6" s="924"/>
      <c r="I6" s="924"/>
      <c r="J6" s="924"/>
      <c r="K6" s="924"/>
      <c r="L6" s="925"/>
      <c r="M6" s="978" t="s">
        <v>7</v>
      </c>
      <c r="N6" s="979"/>
      <c r="O6" s="915" t="s">
        <v>6</v>
      </c>
      <c r="P6" s="916"/>
      <c r="R6" s="36"/>
      <c r="S6" s="36"/>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24</v>
      </c>
      <c r="P7" s="918"/>
    </row>
    <row r="8" spans="1:21" ht="21" customHeight="1" thickBot="1">
      <c r="A8" s="19"/>
      <c r="B8" s="39"/>
      <c r="C8" s="20"/>
      <c r="D8" s="20"/>
      <c r="E8" s="40"/>
      <c r="F8" s="40"/>
      <c r="G8" s="40"/>
      <c r="H8" s="40"/>
      <c r="I8" s="40"/>
      <c r="J8" s="40"/>
      <c r="K8" s="40"/>
      <c r="L8" s="40"/>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ht="104.45" customHeight="1" thickBot="1">
      <c r="A11" s="964" t="s">
        <v>275</v>
      </c>
      <c r="B11" s="965"/>
      <c r="C11" s="965"/>
      <c r="D11" s="965"/>
      <c r="E11" s="965"/>
      <c r="F11" s="965"/>
      <c r="G11" s="965"/>
      <c r="H11" s="965"/>
      <c r="I11" s="965"/>
      <c r="J11" s="965"/>
      <c r="K11" s="965"/>
      <c r="L11" s="965"/>
      <c r="M11" s="965"/>
      <c r="N11" s="965"/>
      <c r="O11" s="965"/>
      <c r="P11" s="966"/>
    </row>
    <row r="12" spans="1:21" ht="9" customHeight="1" thickBot="1"/>
    <row r="13" spans="1:21">
      <c r="A13" s="952" t="s">
        <v>21</v>
      </c>
      <c r="B13" s="953"/>
      <c r="C13" s="953"/>
      <c r="D13" s="953"/>
      <c r="E13" s="953"/>
      <c r="F13" s="953"/>
      <c r="G13" s="953"/>
      <c r="H13" s="953"/>
      <c r="I13" s="953"/>
      <c r="J13" s="953"/>
      <c r="K13" s="953"/>
      <c r="L13" s="953"/>
      <c r="M13" s="953"/>
      <c r="N13" s="953"/>
      <c r="O13" s="953"/>
      <c r="P13" s="954"/>
    </row>
    <row r="14" spans="1:21" ht="60" customHeight="1" thickBot="1">
      <c r="A14" s="967"/>
      <c r="B14" s="968"/>
      <c r="C14" s="968"/>
      <c r="D14" s="968"/>
      <c r="E14" s="968"/>
      <c r="F14" s="968"/>
      <c r="G14" s="968"/>
      <c r="H14" s="968"/>
      <c r="I14" s="968"/>
      <c r="J14" s="968"/>
      <c r="K14" s="968"/>
      <c r="L14" s="968"/>
      <c r="M14" s="968"/>
      <c r="N14" s="968"/>
      <c r="O14" s="968"/>
      <c r="P14" s="969"/>
    </row>
    <row r="15" spans="1:21" ht="15.75" thickBot="1"/>
    <row r="16" spans="1:21">
      <c r="A16" s="127"/>
      <c r="B16" s="128"/>
      <c r="C16" s="128"/>
      <c r="D16" s="128"/>
      <c r="E16" s="128"/>
      <c r="F16" s="128"/>
      <c r="G16" s="128"/>
      <c r="H16" s="128"/>
      <c r="I16" s="128"/>
      <c r="J16" s="128"/>
      <c r="K16" s="128"/>
      <c r="L16" s="128"/>
      <c r="M16" s="128"/>
      <c r="N16" s="128"/>
      <c r="O16" s="128"/>
      <c r="P16" s="129"/>
    </row>
    <row r="17" spans="1:16">
      <c r="A17" s="130"/>
      <c r="B17" s="126" t="s">
        <v>52</v>
      </c>
      <c r="C17" s="30"/>
      <c r="D17" s="511" t="s">
        <v>53</v>
      </c>
      <c r="E17" s="511" t="s">
        <v>54</v>
      </c>
      <c r="F17" s="511" t="s">
        <v>55</v>
      </c>
      <c r="P17" s="131"/>
    </row>
    <row r="18" spans="1:16">
      <c r="A18" s="130"/>
      <c r="B18" s="68" t="s">
        <v>56</v>
      </c>
      <c r="C18" s="30"/>
      <c r="D18" s="509"/>
      <c r="E18" s="509"/>
      <c r="F18" s="509">
        <f>D18-E18</f>
        <v>0</v>
      </c>
      <c r="G18" s="32" t="s">
        <v>57</v>
      </c>
      <c r="P18" s="131"/>
    </row>
    <row r="19" spans="1:16">
      <c r="A19" s="130"/>
      <c r="B19" s="68"/>
      <c r="C19" s="30"/>
      <c r="D19" s="30"/>
      <c r="F19" s="30"/>
      <c r="P19" s="131"/>
    </row>
    <row r="20" spans="1:16">
      <c r="A20" s="130"/>
      <c r="B20" s="68"/>
      <c r="C20" s="30"/>
      <c r="D20" s="30"/>
      <c r="E20" s="30"/>
      <c r="F20" s="30"/>
      <c r="P20" s="131"/>
    </row>
    <row r="21" spans="1:16">
      <c r="A21" s="130"/>
      <c r="B21" s="126" t="s">
        <v>58</v>
      </c>
      <c r="C21" s="30"/>
      <c r="D21" s="511" t="s">
        <v>53</v>
      </c>
      <c r="E21" s="511" t="s">
        <v>54</v>
      </c>
      <c r="F21" s="511" t="s">
        <v>55</v>
      </c>
      <c r="P21" s="131"/>
    </row>
    <row r="22" spans="1:16">
      <c r="A22" s="130"/>
      <c r="B22" s="68" t="s">
        <v>59</v>
      </c>
      <c r="C22" s="30"/>
      <c r="D22" s="509"/>
      <c r="E22" s="509"/>
      <c r="F22" s="509">
        <f>D22-E22</f>
        <v>0</v>
      </c>
      <c r="P22" s="131"/>
    </row>
    <row r="23" spans="1:16">
      <c r="A23" s="130"/>
      <c r="B23" s="68" t="s">
        <v>259</v>
      </c>
      <c r="C23" s="30"/>
      <c r="D23" s="509"/>
      <c r="E23" s="509"/>
      <c r="F23" s="509"/>
      <c r="P23" s="131"/>
    </row>
    <row r="24" spans="1:16">
      <c r="A24" s="130"/>
      <c r="B24" s="68" t="s">
        <v>60</v>
      </c>
      <c r="C24" s="30"/>
      <c r="D24" s="509">
        <f>+SUM(D22:D23)</f>
        <v>0</v>
      </c>
      <c r="E24" s="509">
        <f>+SUM(E22:E23)</f>
        <v>0</v>
      </c>
      <c r="F24" s="509">
        <f>D24-E24</f>
        <v>0</v>
      </c>
      <c r="G24" s="32" t="s">
        <v>348</v>
      </c>
      <c r="P24" s="131"/>
    </row>
    <row r="25" spans="1:16">
      <c r="A25" s="130"/>
      <c r="B25" s="41"/>
      <c r="C25" s="41"/>
      <c r="D25" s="41"/>
      <c r="E25" s="41"/>
      <c r="F25" s="41"/>
      <c r="G25" s="41"/>
      <c r="P25" s="131"/>
    </row>
    <row r="26" spans="1:16">
      <c r="A26" s="130"/>
      <c r="B26" s="26" t="s">
        <v>61</v>
      </c>
      <c r="D26" s="510">
        <f>D18-D24</f>
        <v>0</v>
      </c>
      <c r="E26" s="510">
        <f>E18-E24</f>
        <v>0</v>
      </c>
      <c r="F26" s="510">
        <f>F18-F24</f>
        <v>0</v>
      </c>
      <c r="P26" s="131"/>
    </row>
    <row r="27" spans="1:16" ht="15.75" thickBot="1">
      <c r="A27" s="132"/>
      <c r="B27" s="133"/>
      <c r="C27" s="133"/>
      <c r="D27" s="133"/>
      <c r="E27" s="133"/>
      <c r="F27" s="133"/>
      <c r="G27" s="133"/>
      <c r="H27" s="133"/>
      <c r="I27" s="133"/>
      <c r="J27" s="133"/>
      <c r="K27" s="133"/>
      <c r="L27" s="133"/>
      <c r="M27" s="133"/>
      <c r="N27" s="133"/>
      <c r="O27" s="133"/>
      <c r="P27" s="134"/>
    </row>
  </sheetData>
  <sheetProtection formatCells="0" formatColumns="0" formatRows="0" insertColumns="0" insertRows="0" insertHyperlinks="0" deleteColumns="0" deleteRows="0" sort="0" autoFilter="0" pivotTables="0"/>
  <mergeCells count="17">
    <mergeCell ref="D1:M2"/>
    <mergeCell ref="A3:P5"/>
    <mergeCell ref="E6:L7"/>
    <mergeCell ref="M6:N6"/>
    <mergeCell ref="O6:P6"/>
    <mergeCell ref="M7:N7"/>
    <mergeCell ref="O7:P7"/>
    <mergeCell ref="A14:P14"/>
    <mergeCell ref="O9:P9"/>
    <mergeCell ref="A9:C9"/>
    <mergeCell ref="D9:E9"/>
    <mergeCell ref="F9:I9"/>
    <mergeCell ref="O8:P8"/>
    <mergeCell ref="J9:K9"/>
    <mergeCell ref="L9:N9"/>
    <mergeCell ref="A11:P11"/>
    <mergeCell ref="A13:P13"/>
  </mergeCells>
  <dataValidations count="2">
    <dataValidation type="list" allowBlank="1" showInputMessage="1" showErrorMessage="1" sqref="O9:P9" xr:uid="{00000000-0002-0000-0200-000000000000}">
      <formula1>Diligences</formula1>
    </dataValidation>
    <dataValidation type="list" showInputMessage="1" showErrorMessage="1" sqref="D9:E9" xr:uid="{00000000-0002-0000-0200-000001000000}">
      <formula1>RAS</formula1>
    </dataValidation>
  </dataValidations>
  <hyperlinks>
    <hyperlink ref="O8:P8" location="'V Synthèse'!A1" display="V Synthèse" xr:uid="{00000000-0004-0000-02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E26"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U35"/>
  <sheetViews>
    <sheetView showGridLines="0" zoomScaleNormal="100" workbookViewId="0">
      <selection activeCell="O10" sqref="O10"/>
    </sheetView>
  </sheetViews>
  <sheetFormatPr baseColWidth="10" defaultColWidth="11.42578125" defaultRowHeight="15"/>
  <cols>
    <col min="1" max="8" width="14.7109375" style="26" customWidth="1"/>
    <col min="9" max="16" width="10.85546875" style="26" customWidth="1"/>
    <col min="17" max="16384" width="11.42578125" style="26"/>
  </cols>
  <sheetData>
    <row r="1" spans="1:21" s="36" customFormat="1" ht="15" customHeight="1">
      <c r="A1" s="10"/>
      <c r="B1" s="11"/>
      <c r="C1" s="11"/>
      <c r="D1" s="972" t="str">
        <f>'V Synthèse'!D1:M2</f>
        <v>#NomClient</v>
      </c>
      <c r="E1" s="973"/>
      <c r="F1" s="973"/>
      <c r="G1" s="973"/>
      <c r="H1" s="973"/>
      <c r="I1" s="973"/>
      <c r="J1" s="973"/>
      <c r="K1" s="973"/>
      <c r="L1" s="973"/>
      <c r="M1" s="974"/>
      <c r="N1" s="11"/>
      <c r="O1" s="11"/>
      <c r="P1" s="12"/>
    </row>
    <row r="2" spans="1:21" s="36"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5"/>
    </row>
    <row r="4" spans="1:21" ht="15" customHeight="1">
      <c r="A4" s="905"/>
      <c r="B4" s="906"/>
      <c r="C4" s="906"/>
      <c r="D4" s="906"/>
      <c r="E4" s="906"/>
      <c r="F4" s="906"/>
      <c r="G4" s="906"/>
      <c r="H4" s="906"/>
      <c r="I4" s="906"/>
      <c r="J4" s="906"/>
      <c r="K4" s="906"/>
      <c r="L4" s="906"/>
      <c r="M4" s="906"/>
      <c r="N4" s="906"/>
      <c r="O4" s="906"/>
      <c r="P4" s="907"/>
      <c r="R4" s="3"/>
      <c r="T4" s="5"/>
      <c r="U4" s="5"/>
    </row>
    <row r="5" spans="1:21" ht="15" customHeight="1" thickBot="1">
      <c r="A5" s="908"/>
      <c r="B5" s="909"/>
      <c r="C5" s="909"/>
      <c r="D5" s="909"/>
      <c r="E5" s="909"/>
      <c r="F5" s="909"/>
      <c r="G5" s="909"/>
      <c r="H5" s="909"/>
      <c r="I5" s="909"/>
      <c r="J5" s="909"/>
      <c r="K5" s="909"/>
      <c r="L5" s="909"/>
      <c r="M5" s="909"/>
      <c r="N5" s="909"/>
      <c r="O5" s="909"/>
      <c r="P5" s="910"/>
      <c r="Q5" s="3"/>
      <c r="R5" s="37"/>
      <c r="S5" s="38"/>
      <c r="T5" s="38"/>
      <c r="U5" s="38"/>
    </row>
    <row r="6" spans="1:21" ht="15" customHeight="1">
      <c r="A6" s="17" t="s">
        <v>3</v>
      </c>
      <c r="B6" s="415" t="str">
        <f>'V Synthèse'!B6</f>
        <v>BRA</v>
      </c>
      <c r="C6" s="17" t="s">
        <v>294</v>
      </c>
      <c r="D6" s="415">
        <f>'V Synthèse'!D6</f>
        <v>0</v>
      </c>
      <c r="E6" s="923" t="s">
        <v>249</v>
      </c>
      <c r="F6" s="924"/>
      <c r="G6" s="924"/>
      <c r="H6" s="924"/>
      <c r="I6" s="924"/>
      <c r="J6" s="924"/>
      <c r="K6" s="924"/>
      <c r="L6" s="925"/>
      <c r="M6" s="978" t="s">
        <v>7</v>
      </c>
      <c r="N6" s="979"/>
      <c r="O6" s="915" t="s">
        <v>6</v>
      </c>
      <c r="P6" s="916"/>
      <c r="R6" s="36"/>
      <c r="S6" s="36"/>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25</v>
      </c>
      <c r="P7" s="918"/>
    </row>
    <row r="8" spans="1:21" ht="21" customHeight="1" thickBot="1">
      <c r="A8" s="19"/>
      <c r="B8" s="39"/>
      <c r="C8" s="20"/>
      <c r="D8" s="20"/>
      <c r="E8" s="40"/>
      <c r="F8" s="40"/>
      <c r="G8" s="40"/>
      <c r="H8" s="40"/>
      <c r="I8" s="40"/>
      <c r="J8" s="40"/>
      <c r="K8" s="40"/>
      <c r="L8" s="40"/>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ht="106.9" customHeight="1" thickBot="1">
      <c r="A11" s="964" t="s">
        <v>62</v>
      </c>
      <c r="B11" s="965"/>
      <c r="C11" s="965"/>
      <c r="D11" s="965"/>
      <c r="E11" s="965"/>
      <c r="F11" s="965"/>
      <c r="G11" s="965"/>
      <c r="H11" s="965"/>
      <c r="I11" s="965"/>
      <c r="J11" s="965"/>
      <c r="K11" s="965"/>
      <c r="L11" s="965"/>
      <c r="M11" s="965"/>
      <c r="N11" s="965"/>
      <c r="O11" s="965"/>
      <c r="P11" s="966"/>
    </row>
    <row r="12" spans="1:21" ht="9" customHeight="1" thickBot="1"/>
    <row r="13" spans="1:21">
      <c r="A13" s="952" t="s">
        <v>21</v>
      </c>
      <c r="B13" s="953"/>
      <c r="C13" s="953"/>
      <c r="D13" s="953"/>
      <c r="E13" s="953"/>
      <c r="F13" s="953"/>
      <c r="G13" s="953"/>
      <c r="H13" s="953"/>
      <c r="I13" s="953"/>
      <c r="J13" s="953"/>
      <c r="K13" s="953"/>
      <c r="L13" s="953"/>
      <c r="M13" s="953"/>
      <c r="N13" s="953"/>
      <c r="O13" s="953"/>
      <c r="P13" s="954"/>
    </row>
    <row r="14" spans="1:21" ht="60" customHeight="1" thickBot="1">
      <c r="A14" s="967"/>
      <c r="B14" s="968"/>
      <c r="C14" s="968"/>
      <c r="D14" s="968"/>
      <c r="E14" s="968"/>
      <c r="F14" s="968"/>
      <c r="G14" s="968"/>
      <c r="H14" s="968"/>
      <c r="I14" s="968"/>
      <c r="J14" s="968"/>
      <c r="K14" s="968"/>
      <c r="L14" s="968"/>
      <c r="M14" s="968"/>
      <c r="N14" s="968"/>
      <c r="O14" s="968"/>
      <c r="P14" s="969"/>
    </row>
    <row r="15" spans="1:21" ht="15.75" thickBot="1"/>
    <row r="16" spans="1:21">
      <c r="A16" s="127"/>
      <c r="B16" s="128"/>
      <c r="C16" s="128"/>
      <c r="D16" s="128"/>
      <c r="E16" s="128"/>
      <c r="F16" s="128"/>
      <c r="G16" s="128"/>
      <c r="H16" s="128"/>
      <c r="I16" s="128"/>
      <c r="J16" s="128"/>
      <c r="K16" s="128"/>
      <c r="L16" s="128"/>
      <c r="M16" s="128"/>
      <c r="N16" s="128"/>
      <c r="O16" s="128"/>
      <c r="P16" s="129"/>
    </row>
    <row r="17" spans="1:16">
      <c r="A17" s="51"/>
      <c r="B17" s="30"/>
      <c r="C17" s="513" t="s">
        <v>63</v>
      </c>
      <c r="F17" s="989"/>
      <c r="G17" s="989"/>
      <c r="P17" s="131"/>
    </row>
    <row r="18" spans="1:16">
      <c r="A18" s="855" t="s">
        <v>64</v>
      </c>
      <c r="B18" s="514"/>
      <c r="C18" s="512">
        <f>+'V100 Rappro BA-BG'!E18</f>
        <v>0</v>
      </c>
      <c r="P18" s="131"/>
    </row>
    <row r="19" spans="1:16">
      <c r="A19" s="130"/>
      <c r="B19" s="64"/>
      <c r="C19" s="30"/>
      <c r="D19" s="46"/>
      <c r="E19" s="46"/>
      <c r="F19" s="44"/>
      <c r="G19" s="30"/>
      <c r="P19" s="131"/>
    </row>
    <row r="20" spans="1:16">
      <c r="A20" s="130"/>
      <c r="B20" s="64"/>
      <c r="C20" s="30"/>
      <c r="D20" s="46"/>
      <c r="E20" s="46"/>
      <c r="F20" s="43"/>
      <c r="G20" s="44"/>
      <c r="H20" s="30"/>
      <c r="P20" s="131"/>
    </row>
    <row r="21" spans="1:16">
      <c r="A21" s="130"/>
      <c r="B21" s="30"/>
      <c r="C21" s="30"/>
      <c r="D21" s="30"/>
      <c r="E21" s="30"/>
      <c r="F21" s="43"/>
      <c r="G21" s="47"/>
      <c r="H21" s="30"/>
      <c r="P21" s="131"/>
    </row>
    <row r="22" spans="1:16" s="135" customFormat="1" ht="42.75" customHeight="1">
      <c r="A22" s="829" t="s">
        <v>65</v>
      </c>
      <c r="B22" s="623" t="s">
        <v>66</v>
      </c>
      <c r="C22" s="623" t="s">
        <v>67</v>
      </c>
      <c r="D22" s="986" t="s">
        <v>68</v>
      </c>
      <c r="E22" s="986"/>
      <c r="F22" s="986"/>
      <c r="G22" s="986"/>
      <c r="H22" s="136" t="s">
        <v>57</v>
      </c>
      <c r="P22" s="856"/>
    </row>
    <row r="23" spans="1:16" s="36" customFormat="1">
      <c r="A23" s="712"/>
      <c r="B23" s="716"/>
      <c r="C23" s="717" t="e">
        <f t="shared" ref="C23:C32" si="0">+B23/$C$18</f>
        <v>#DIV/0!</v>
      </c>
      <c r="D23" s="988"/>
      <c r="E23" s="988"/>
      <c r="F23" s="988"/>
      <c r="G23" s="988"/>
      <c r="H23" s="718"/>
      <c r="P23" s="226"/>
    </row>
    <row r="24" spans="1:16" s="36" customFormat="1">
      <c r="A24" s="713"/>
      <c r="B24" s="719"/>
      <c r="C24" s="720" t="e">
        <f t="shared" si="0"/>
        <v>#DIV/0!</v>
      </c>
      <c r="D24" s="985"/>
      <c r="E24" s="985"/>
      <c r="F24" s="985"/>
      <c r="G24" s="985"/>
      <c r="H24" s="721"/>
      <c r="P24" s="226"/>
    </row>
    <row r="25" spans="1:16" s="36" customFormat="1">
      <c r="A25" s="713"/>
      <c r="B25" s="719"/>
      <c r="C25" s="720" t="e">
        <f t="shared" si="0"/>
        <v>#DIV/0!</v>
      </c>
      <c r="D25" s="985"/>
      <c r="E25" s="985"/>
      <c r="F25" s="985"/>
      <c r="G25" s="985"/>
      <c r="H25" s="721"/>
      <c r="P25" s="226"/>
    </row>
    <row r="26" spans="1:16" s="36" customFormat="1">
      <c r="A26" s="713"/>
      <c r="B26" s="719"/>
      <c r="C26" s="720" t="e">
        <f t="shared" si="0"/>
        <v>#DIV/0!</v>
      </c>
      <c r="D26" s="985"/>
      <c r="E26" s="985"/>
      <c r="F26" s="985"/>
      <c r="G26" s="985"/>
      <c r="H26" s="721"/>
      <c r="P26" s="226"/>
    </row>
    <row r="27" spans="1:16" s="36" customFormat="1">
      <c r="A27" s="713"/>
      <c r="B27" s="719"/>
      <c r="C27" s="720" t="e">
        <f t="shared" si="0"/>
        <v>#DIV/0!</v>
      </c>
      <c r="D27" s="985"/>
      <c r="E27" s="985"/>
      <c r="F27" s="985"/>
      <c r="G27" s="985"/>
      <c r="H27" s="721"/>
      <c r="P27" s="226"/>
    </row>
    <row r="28" spans="1:16" s="36" customFormat="1">
      <c r="A28" s="713"/>
      <c r="B28" s="719"/>
      <c r="C28" s="720" t="e">
        <f t="shared" si="0"/>
        <v>#DIV/0!</v>
      </c>
      <c r="D28" s="985"/>
      <c r="E28" s="985"/>
      <c r="F28" s="985"/>
      <c r="G28" s="985"/>
      <c r="H28" s="721"/>
      <c r="P28" s="226"/>
    </row>
    <row r="29" spans="1:16" s="36" customFormat="1">
      <c r="A29" s="713"/>
      <c r="B29" s="719"/>
      <c r="C29" s="720" t="e">
        <f t="shared" si="0"/>
        <v>#DIV/0!</v>
      </c>
      <c r="D29" s="985"/>
      <c r="E29" s="985"/>
      <c r="F29" s="985"/>
      <c r="G29" s="985"/>
      <c r="H29" s="721"/>
      <c r="P29" s="226"/>
    </row>
    <row r="30" spans="1:16" s="36" customFormat="1">
      <c r="A30" s="713"/>
      <c r="B30" s="719"/>
      <c r="C30" s="722" t="e">
        <f t="shared" si="0"/>
        <v>#DIV/0!</v>
      </c>
      <c r="D30" s="985"/>
      <c r="E30" s="985"/>
      <c r="F30" s="985"/>
      <c r="G30" s="985"/>
      <c r="H30" s="721"/>
      <c r="P30" s="226"/>
    </row>
    <row r="31" spans="1:16" s="36" customFormat="1">
      <c r="A31" s="713"/>
      <c r="B31" s="719"/>
      <c r="C31" s="720" t="e">
        <f t="shared" si="0"/>
        <v>#DIV/0!</v>
      </c>
      <c r="D31" s="985"/>
      <c r="E31" s="985"/>
      <c r="F31" s="985"/>
      <c r="G31" s="985"/>
      <c r="H31" s="721"/>
      <c r="P31" s="226"/>
    </row>
    <row r="32" spans="1:16" s="36" customFormat="1">
      <c r="A32" s="714"/>
      <c r="B32" s="857"/>
      <c r="C32" s="858" t="e">
        <f t="shared" si="0"/>
        <v>#DIV/0!</v>
      </c>
      <c r="D32" s="987"/>
      <c r="E32" s="987"/>
      <c r="F32" s="987"/>
      <c r="G32" s="987"/>
      <c r="H32" s="859"/>
      <c r="P32" s="226"/>
    </row>
    <row r="33" spans="1:16">
      <c r="A33" s="860" t="s">
        <v>319</v>
      </c>
      <c r="B33" s="866">
        <f>SUM(B23:B32)</f>
        <v>0</v>
      </c>
      <c r="C33" s="862"/>
      <c r="D33" s="982"/>
      <c r="E33" s="983"/>
      <c r="F33" s="983"/>
      <c r="G33" s="984"/>
      <c r="H33" s="861"/>
      <c r="P33" s="131"/>
    </row>
    <row r="34" spans="1:16">
      <c r="A34" s="715" t="s">
        <v>184</v>
      </c>
      <c r="B34" s="865" t="e">
        <f>B33/C18</f>
        <v>#DIV/0!</v>
      </c>
      <c r="C34" s="864"/>
      <c r="D34" s="863"/>
      <c r="E34" s="48"/>
      <c r="I34" s="48"/>
      <c r="K34" s="48"/>
      <c r="P34" s="131"/>
    </row>
    <row r="35" spans="1:16" ht="15.75" thickBot="1">
      <c r="A35" s="132"/>
      <c r="B35" s="133"/>
      <c r="C35" s="133"/>
      <c r="D35" s="133"/>
      <c r="E35" s="133"/>
      <c r="F35" s="133"/>
      <c r="G35" s="133"/>
      <c r="H35" s="133"/>
      <c r="I35" s="133"/>
      <c r="J35" s="133"/>
      <c r="K35" s="133"/>
      <c r="L35" s="133"/>
      <c r="M35" s="133"/>
      <c r="N35" s="133"/>
      <c r="O35" s="133"/>
      <c r="P35" s="134"/>
    </row>
  </sheetData>
  <sheetProtection formatCells="0" formatColumns="0" formatRows="0" insertColumns="0" insertRows="0" insertHyperlinks="0" deleteColumns="0" deleteRows="0" sort="0" autoFilter="0" pivotTables="0"/>
  <mergeCells count="30">
    <mergeCell ref="D33:G33"/>
    <mergeCell ref="A11:P11"/>
    <mergeCell ref="A13:P13"/>
    <mergeCell ref="A14:P14"/>
    <mergeCell ref="D24:G24"/>
    <mergeCell ref="D22:G22"/>
    <mergeCell ref="D29:G29"/>
    <mergeCell ref="D28:G28"/>
    <mergeCell ref="D27:G27"/>
    <mergeCell ref="D32:G32"/>
    <mergeCell ref="D31:G31"/>
    <mergeCell ref="D30:G30"/>
    <mergeCell ref="D25:G25"/>
    <mergeCell ref="D23:G23"/>
    <mergeCell ref="F17:G17"/>
    <mergeCell ref="D26:G26"/>
    <mergeCell ref="J9:K9"/>
    <mergeCell ref="L9:N9"/>
    <mergeCell ref="O9:P9"/>
    <mergeCell ref="A9:C9"/>
    <mergeCell ref="D9:E9"/>
    <mergeCell ref="F9:I9"/>
    <mergeCell ref="O8:P8"/>
    <mergeCell ref="D1:M2"/>
    <mergeCell ref="A3:P5"/>
    <mergeCell ref="E6:L7"/>
    <mergeCell ref="M6:N6"/>
    <mergeCell ref="O6:P6"/>
    <mergeCell ref="M7:N7"/>
    <mergeCell ref="O7:P7"/>
  </mergeCells>
  <dataValidations count="2">
    <dataValidation type="list" showInputMessage="1" showErrorMessage="1" sqref="D9:E9" xr:uid="{00000000-0002-0000-0300-000000000000}">
      <formula1>RAS</formula1>
    </dataValidation>
    <dataValidation type="list" allowBlank="1" showInputMessage="1" showErrorMessage="1" sqref="O9:P9" xr:uid="{00000000-0002-0000-0300-000001000000}">
      <formula1>Diligences</formula1>
    </dataValidation>
  </dataValidations>
  <hyperlinks>
    <hyperlink ref="O8:P8" location="'V Synthèse'!A1" display="V Synthèse" xr:uid="{00000000-0004-0000-03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U39"/>
  <sheetViews>
    <sheetView showGridLines="0" zoomScale="90" zoomScaleNormal="90" workbookViewId="0">
      <selection activeCell="O10" sqref="O10"/>
    </sheetView>
  </sheetViews>
  <sheetFormatPr baseColWidth="10" defaultColWidth="11.42578125" defaultRowHeight="15"/>
  <cols>
    <col min="1" max="1" width="14.7109375" style="26" customWidth="1"/>
    <col min="2" max="2" width="35.7109375" style="26" customWidth="1"/>
    <col min="3" max="6" width="16.7109375" style="26" customWidth="1"/>
    <col min="7" max="16" width="11.140625" style="26" customWidth="1"/>
    <col min="17" max="16384" width="11.42578125" style="26"/>
  </cols>
  <sheetData>
    <row r="1" spans="1:21" s="36" customFormat="1" ht="15" customHeight="1">
      <c r="A1" s="10"/>
      <c r="B1" s="11"/>
      <c r="C1" s="11"/>
      <c r="D1" s="972" t="str">
        <f>'V Synthèse'!D1:M2</f>
        <v>#NomClient</v>
      </c>
      <c r="E1" s="973"/>
      <c r="F1" s="973"/>
      <c r="G1" s="973"/>
      <c r="H1" s="973"/>
      <c r="I1" s="973"/>
      <c r="J1" s="973"/>
      <c r="K1" s="973"/>
      <c r="L1" s="973"/>
      <c r="M1" s="974"/>
      <c r="N1" s="11"/>
      <c r="O1" s="11"/>
      <c r="P1" s="12"/>
    </row>
    <row r="2" spans="1:21" s="36"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5"/>
    </row>
    <row r="4" spans="1:21" ht="15" customHeight="1">
      <c r="A4" s="905"/>
      <c r="B4" s="906"/>
      <c r="C4" s="906"/>
      <c r="D4" s="906"/>
      <c r="E4" s="906"/>
      <c r="F4" s="906"/>
      <c r="G4" s="906"/>
      <c r="H4" s="906"/>
      <c r="I4" s="906"/>
      <c r="J4" s="906"/>
      <c r="K4" s="906"/>
      <c r="L4" s="906"/>
      <c r="M4" s="906"/>
      <c r="N4" s="906"/>
      <c r="O4" s="906"/>
      <c r="P4" s="907"/>
      <c r="R4" s="3"/>
      <c r="T4" s="5"/>
      <c r="U4" s="5"/>
    </row>
    <row r="5" spans="1:21" ht="15" customHeight="1" thickBot="1">
      <c r="A5" s="908"/>
      <c r="B5" s="909"/>
      <c r="C5" s="909"/>
      <c r="D5" s="909"/>
      <c r="E5" s="909"/>
      <c r="F5" s="909"/>
      <c r="G5" s="909"/>
      <c r="H5" s="909"/>
      <c r="I5" s="909"/>
      <c r="J5" s="909"/>
      <c r="K5" s="909"/>
      <c r="L5" s="909"/>
      <c r="M5" s="909"/>
      <c r="N5" s="909"/>
      <c r="O5" s="909"/>
      <c r="P5" s="910"/>
      <c r="Q5" s="3"/>
      <c r="R5" s="37"/>
      <c r="S5" s="38"/>
      <c r="T5" s="38"/>
      <c r="U5" s="38"/>
    </row>
    <row r="6" spans="1:21" ht="15" customHeight="1">
      <c r="A6" s="17" t="s">
        <v>3</v>
      </c>
      <c r="B6" s="415" t="str">
        <f>'V Synthèse'!B6</f>
        <v>BRA</v>
      </c>
      <c r="C6" s="17" t="s">
        <v>294</v>
      </c>
      <c r="D6" s="415">
        <f>'V Synthèse'!D6</f>
        <v>0</v>
      </c>
      <c r="E6" s="923" t="s">
        <v>247</v>
      </c>
      <c r="F6" s="924"/>
      <c r="G6" s="924"/>
      <c r="H6" s="924"/>
      <c r="I6" s="924"/>
      <c r="J6" s="924"/>
      <c r="K6" s="924"/>
      <c r="L6" s="925"/>
      <c r="M6" s="978" t="s">
        <v>7</v>
      </c>
      <c r="N6" s="979"/>
      <c r="O6" s="915" t="s">
        <v>6</v>
      </c>
      <c r="P6" s="916"/>
      <c r="R6" s="36"/>
      <c r="S6" s="36"/>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246</v>
      </c>
      <c r="P7" s="918"/>
    </row>
    <row r="8" spans="1:21" ht="21" customHeight="1" thickBot="1">
      <c r="A8" s="19"/>
      <c r="B8" s="39"/>
      <c r="C8" s="20"/>
      <c r="D8" s="20"/>
      <c r="E8" s="40"/>
      <c r="F8" s="40"/>
      <c r="G8" s="40"/>
      <c r="H8" s="40"/>
      <c r="I8" s="40"/>
      <c r="J8" s="40"/>
      <c r="K8" s="40"/>
      <c r="L8" s="40"/>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ht="162" customHeight="1" thickBot="1">
      <c r="A11" s="964" t="s">
        <v>202</v>
      </c>
      <c r="B11" s="965"/>
      <c r="C11" s="965"/>
      <c r="D11" s="965"/>
      <c r="E11" s="965"/>
      <c r="F11" s="965"/>
      <c r="G11" s="965"/>
      <c r="H11" s="965"/>
      <c r="I11" s="965"/>
      <c r="J11" s="965"/>
      <c r="K11" s="965"/>
      <c r="L11" s="965"/>
      <c r="M11" s="965"/>
      <c r="N11" s="965"/>
      <c r="O11" s="965"/>
      <c r="P11" s="966"/>
    </row>
    <row r="12" spans="1:21" ht="9" customHeight="1" thickBot="1"/>
    <row r="13" spans="1:21">
      <c r="A13" s="952" t="s">
        <v>21</v>
      </c>
      <c r="B13" s="953"/>
      <c r="C13" s="953"/>
      <c r="D13" s="953"/>
      <c r="E13" s="953"/>
      <c r="F13" s="953"/>
      <c r="G13" s="953"/>
      <c r="H13" s="953"/>
      <c r="I13" s="953"/>
      <c r="J13" s="953"/>
      <c r="K13" s="953"/>
      <c r="L13" s="953"/>
      <c r="M13" s="953"/>
      <c r="N13" s="953"/>
      <c r="O13" s="953"/>
      <c r="P13" s="954"/>
    </row>
    <row r="14" spans="1:21" ht="60" customHeight="1" thickBot="1">
      <c r="A14" s="967"/>
      <c r="B14" s="968"/>
      <c r="C14" s="968"/>
      <c r="D14" s="968"/>
      <c r="E14" s="968"/>
      <c r="F14" s="968"/>
      <c r="G14" s="968"/>
      <c r="H14" s="968"/>
      <c r="I14" s="968"/>
      <c r="J14" s="968"/>
      <c r="K14" s="968"/>
      <c r="L14" s="968"/>
      <c r="M14" s="968"/>
      <c r="N14" s="968"/>
      <c r="O14" s="968"/>
      <c r="P14" s="969"/>
    </row>
    <row r="15" spans="1:21" ht="15.75" thickBot="1"/>
    <row r="16" spans="1:21">
      <c r="A16" s="127"/>
      <c r="B16" s="128"/>
      <c r="C16" s="128"/>
      <c r="D16" s="128"/>
      <c r="E16" s="128"/>
      <c r="F16" s="128"/>
      <c r="G16" s="128"/>
      <c r="H16" s="128"/>
      <c r="I16" s="128"/>
      <c r="J16" s="128"/>
      <c r="K16" s="128"/>
      <c r="L16" s="128"/>
      <c r="M16" s="128"/>
      <c r="N16" s="128"/>
      <c r="O16" s="128"/>
      <c r="P16" s="129"/>
    </row>
    <row r="17" spans="1:16">
      <c r="A17" s="993" t="s">
        <v>203</v>
      </c>
      <c r="B17" s="994"/>
      <c r="C17" s="994"/>
      <c r="D17" s="994"/>
      <c r="E17" s="994"/>
      <c r="F17" s="994"/>
      <c r="G17" s="994"/>
      <c r="H17" s="994"/>
      <c r="I17" s="994"/>
      <c r="J17" s="994"/>
      <c r="K17" s="994"/>
      <c r="L17" s="994"/>
      <c r="M17" s="994"/>
      <c r="N17" s="994"/>
      <c r="O17" s="994"/>
      <c r="P17" s="995"/>
    </row>
    <row r="18" spans="1:16">
      <c r="A18" s="112"/>
      <c r="B18" s="55"/>
      <c r="C18" s="55"/>
      <c r="D18" s="55"/>
      <c r="E18" s="55"/>
      <c r="F18" s="55"/>
      <c r="G18" s="55"/>
      <c r="P18" s="131"/>
    </row>
    <row r="19" spans="1:16" ht="105.75" customHeight="1">
      <c r="A19" s="996" t="s">
        <v>260</v>
      </c>
      <c r="B19" s="997"/>
      <c r="C19" s="997"/>
      <c r="D19" s="997"/>
      <c r="E19" s="997"/>
      <c r="F19" s="997"/>
      <c r="G19" s="997"/>
      <c r="H19" s="997"/>
      <c r="I19" s="997"/>
      <c r="J19" s="997"/>
      <c r="K19" s="997"/>
      <c r="L19" s="997"/>
      <c r="M19" s="997"/>
      <c r="N19" s="997"/>
      <c r="O19" s="997"/>
      <c r="P19" s="998"/>
    </row>
    <row r="20" spans="1:16" ht="228.6" customHeight="1" thickBot="1">
      <c r="A20" s="990" t="s">
        <v>261</v>
      </c>
      <c r="B20" s="991"/>
      <c r="C20" s="991"/>
      <c r="D20" s="991"/>
      <c r="E20" s="991"/>
      <c r="F20" s="991"/>
      <c r="G20" s="991"/>
      <c r="H20" s="991"/>
      <c r="I20" s="991"/>
      <c r="J20" s="991"/>
      <c r="K20" s="991"/>
      <c r="L20" s="991"/>
      <c r="M20" s="991"/>
      <c r="N20" s="991"/>
      <c r="O20" s="991"/>
      <c r="P20" s="992"/>
    </row>
    <row r="21" spans="1:16" ht="15.75" thickBot="1">
      <c r="A21" s="144"/>
      <c r="B21" s="137"/>
      <c r="C21" s="137"/>
      <c r="D21" s="137"/>
      <c r="E21" s="137"/>
      <c r="F21" s="137"/>
      <c r="G21" s="137"/>
      <c r="H21" s="133"/>
      <c r="I21" s="133"/>
      <c r="J21" s="133"/>
      <c r="K21" s="133"/>
      <c r="L21" s="133"/>
      <c r="M21" s="133"/>
      <c r="N21" s="133"/>
      <c r="O21" s="133"/>
      <c r="P21" s="133"/>
    </row>
    <row r="22" spans="1:16">
      <c r="A22" s="143"/>
      <c r="B22" s="139"/>
      <c r="C22" s="139"/>
      <c r="D22" s="139"/>
      <c r="E22" s="139"/>
      <c r="F22" s="139"/>
      <c r="G22" s="139"/>
      <c r="H22" s="128"/>
      <c r="I22" s="128"/>
      <c r="J22" s="128"/>
      <c r="K22" s="128"/>
      <c r="L22" s="128"/>
      <c r="M22" s="128"/>
      <c r="N22" s="128"/>
      <c r="O22" s="128"/>
      <c r="P22" s="129"/>
    </row>
    <row r="23" spans="1:16">
      <c r="A23" s="993" t="s">
        <v>204</v>
      </c>
      <c r="B23" s="994"/>
      <c r="C23" s="994"/>
      <c r="D23" s="994"/>
      <c r="E23" s="994"/>
      <c r="F23" s="994"/>
      <c r="G23" s="994"/>
      <c r="H23" s="994"/>
      <c r="I23" s="994"/>
      <c r="J23" s="994"/>
      <c r="K23" s="994"/>
      <c r="L23" s="994"/>
      <c r="M23" s="994"/>
      <c r="N23" s="994"/>
      <c r="O23" s="994"/>
      <c r="P23" s="995"/>
    </row>
    <row r="24" spans="1:16">
      <c r="A24" s="112"/>
      <c r="B24" s="55"/>
      <c r="C24" s="55"/>
      <c r="D24" s="55"/>
      <c r="E24" s="55"/>
      <c r="P24" s="131"/>
    </row>
    <row r="25" spans="1:16">
      <c r="A25" s="130"/>
      <c r="B25" s="55"/>
      <c r="C25" s="481" t="s">
        <v>205</v>
      </c>
      <c r="D25" s="481" t="s">
        <v>206</v>
      </c>
      <c r="E25" s="481" t="s">
        <v>207</v>
      </c>
      <c r="F25" s="481" t="s">
        <v>60</v>
      </c>
      <c r="P25" s="131"/>
    </row>
    <row r="26" spans="1:16">
      <c r="A26" s="130"/>
      <c r="B26" s="515" t="s">
        <v>208</v>
      </c>
      <c r="C26" s="518"/>
      <c r="D26" s="518"/>
      <c r="E26" s="517"/>
      <c r="F26" s="516">
        <f>SUM(C26:E26)</f>
        <v>0</v>
      </c>
      <c r="P26" s="131"/>
    </row>
    <row r="27" spans="1:16">
      <c r="A27" s="130"/>
      <c r="B27" s="515" t="s">
        <v>209</v>
      </c>
      <c r="C27" s="518"/>
      <c r="D27" s="518"/>
      <c r="E27" s="517"/>
      <c r="F27" s="516">
        <f>SUM(C27:E27)</f>
        <v>0</v>
      </c>
      <c r="P27" s="131"/>
    </row>
    <row r="28" spans="1:16">
      <c r="A28" s="130"/>
      <c r="B28" s="515" t="s">
        <v>61</v>
      </c>
      <c r="C28" s="519">
        <f>C26-C27</f>
        <v>0</v>
      </c>
      <c r="D28" s="519">
        <f>D26-D27</f>
        <v>0</v>
      </c>
      <c r="E28" s="516">
        <f>E26-E27</f>
        <v>0</v>
      </c>
      <c r="F28" s="516">
        <f>SUM(C28:E28)</f>
        <v>0</v>
      </c>
      <c r="P28" s="131"/>
    </row>
    <row r="29" spans="1:16" ht="15.75" thickBot="1">
      <c r="A29" s="140"/>
      <c r="B29" s="137"/>
      <c r="C29" s="137"/>
      <c r="D29" s="137"/>
      <c r="E29" s="137"/>
      <c r="F29" s="137"/>
      <c r="G29" s="137"/>
      <c r="H29" s="133"/>
      <c r="I29" s="133"/>
      <c r="J29" s="133"/>
      <c r="K29" s="133"/>
      <c r="L29" s="133"/>
      <c r="M29" s="133"/>
      <c r="N29" s="133"/>
      <c r="O29" s="133"/>
      <c r="P29" s="134"/>
    </row>
    <row r="30" spans="1:16" ht="15.75" thickBot="1">
      <c r="A30" s="75"/>
      <c r="B30" s="55"/>
      <c r="C30" s="55"/>
      <c r="D30" s="55"/>
      <c r="E30" s="55"/>
      <c r="F30" s="55"/>
      <c r="G30" s="55"/>
    </row>
    <row r="31" spans="1:16">
      <c r="A31" s="138"/>
      <c r="B31" s="139"/>
      <c r="C31" s="139"/>
      <c r="D31" s="139"/>
      <c r="E31" s="139"/>
      <c r="F31" s="139"/>
      <c r="G31" s="139"/>
      <c r="H31" s="128"/>
      <c r="I31" s="128"/>
      <c r="J31" s="128"/>
      <c r="K31" s="128"/>
      <c r="L31" s="128"/>
      <c r="M31" s="128"/>
      <c r="N31" s="128"/>
      <c r="O31" s="128"/>
      <c r="P31" s="129"/>
    </row>
    <row r="32" spans="1:16">
      <c r="A32" s="993" t="s">
        <v>210</v>
      </c>
      <c r="B32" s="994"/>
      <c r="C32" s="994"/>
      <c r="D32" s="994"/>
      <c r="E32" s="994"/>
      <c r="F32" s="994"/>
      <c r="G32" s="994"/>
      <c r="H32" s="994"/>
      <c r="I32" s="994"/>
      <c r="J32" s="994"/>
      <c r="K32" s="994"/>
      <c r="L32" s="994"/>
      <c r="M32" s="994"/>
      <c r="N32" s="994"/>
      <c r="O32" s="994"/>
      <c r="P32" s="995"/>
    </row>
    <row r="33" spans="1:16">
      <c r="A33" s="830"/>
      <c r="B33" s="831"/>
      <c r="C33" s="831"/>
      <c r="D33" s="831"/>
      <c r="E33" s="831"/>
      <c r="F33" s="831"/>
      <c r="G33" s="831"/>
      <c r="H33" s="831"/>
      <c r="I33" s="831"/>
      <c r="J33" s="831"/>
      <c r="K33" s="831"/>
      <c r="L33" s="831"/>
      <c r="M33" s="831"/>
      <c r="N33" s="831"/>
      <c r="O33" s="831"/>
      <c r="P33" s="832"/>
    </row>
    <row r="34" spans="1:16">
      <c r="A34" s="830"/>
      <c r="B34" s="55"/>
      <c r="C34" s="481" t="s">
        <v>205</v>
      </c>
      <c r="D34" s="481" t="s">
        <v>206</v>
      </c>
      <c r="E34" s="481" t="s">
        <v>207</v>
      </c>
      <c r="F34" s="481" t="s">
        <v>60</v>
      </c>
      <c r="G34" s="831"/>
      <c r="H34" s="831"/>
      <c r="I34" s="831"/>
      <c r="J34" s="831"/>
      <c r="K34" s="831"/>
      <c r="L34" s="831"/>
      <c r="M34" s="831"/>
      <c r="N34" s="831"/>
      <c r="O34" s="831"/>
      <c r="P34" s="832"/>
    </row>
    <row r="35" spans="1:16">
      <c r="A35" s="830"/>
      <c r="B35" s="835" t="s">
        <v>350</v>
      </c>
      <c r="C35" s="836"/>
      <c r="D35" s="836"/>
      <c r="E35" s="836"/>
      <c r="F35" s="516">
        <f t="shared" ref="F35:F36" si="0">SUM(C35:E35)</f>
        <v>0</v>
      </c>
      <c r="G35" s="831"/>
      <c r="H35" s="831"/>
      <c r="I35" s="831"/>
      <c r="J35" s="831"/>
      <c r="K35" s="831"/>
      <c r="L35" s="831"/>
      <c r="M35" s="831"/>
      <c r="N35" s="831"/>
      <c r="O35" s="831"/>
      <c r="P35" s="832"/>
    </row>
    <row r="36" spans="1:16">
      <c r="A36" s="830"/>
      <c r="B36" s="837" t="s">
        <v>351</v>
      </c>
      <c r="C36" s="836"/>
      <c r="D36" s="836"/>
      <c r="E36" s="836"/>
      <c r="F36" s="516">
        <f t="shared" si="0"/>
        <v>0</v>
      </c>
      <c r="G36" s="831"/>
      <c r="H36" s="831"/>
      <c r="I36" s="831"/>
      <c r="J36" s="831"/>
      <c r="K36" s="831"/>
      <c r="L36" s="831"/>
      <c r="M36" s="831"/>
      <c r="N36" s="831"/>
      <c r="O36" s="831"/>
      <c r="P36" s="832"/>
    </row>
    <row r="37" spans="1:16">
      <c r="A37" s="830"/>
      <c r="B37" s="834" t="s">
        <v>208</v>
      </c>
      <c r="C37" s="518"/>
      <c r="D37" s="518"/>
      <c r="E37" s="517"/>
      <c r="F37" s="516">
        <f>SUM(C37:E37)</f>
        <v>0</v>
      </c>
      <c r="G37" s="831"/>
      <c r="H37" s="831"/>
      <c r="I37" s="831"/>
      <c r="J37" s="831"/>
      <c r="K37" s="831"/>
      <c r="L37" s="831"/>
      <c r="M37" s="831"/>
      <c r="N37" s="831"/>
      <c r="O37" s="831"/>
      <c r="P37" s="832"/>
    </row>
    <row r="38" spans="1:16">
      <c r="A38" s="830"/>
      <c r="B38" s="834" t="s">
        <v>349</v>
      </c>
      <c r="C38" s="518" t="e">
        <f>C36/C35</f>
        <v>#DIV/0!</v>
      </c>
      <c r="D38" s="518" t="e">
        <f t="shared" ref="D38:E38" si="1">D36/D35</f>
        <v>#DIV/0!</v>
      </c>
      <c r="E38" s="518" t="e">
        <f t="shared" si="1"/>
        <v>#DIV/0!</v>
      </c>
      <c r="F38" s="516" t="e">
        <f>SUM(C38:E38)</f>
        <v>#DIV/0!</v>
      </c>
      <c r="G38" s="831"/>
      <c r="H38" s="831"/>
      <c r="I38" s="831"/>
      <c r="J38" s="831"/>
      <c r="K38" s="831"/>
      <c r="L38" s="831"/>
      <c r="M38" s="831"/>
      <c r="N38" s="831"/>
      <c r="O38" s="831"/>
      <c r="P38" s="832"/>
    </row>
    <row r="39" spans="1:16" ht="15.75" thickBot="1">
      <c r="A39" s="140"/>
      <c r="B39" s="141"/>
      <c r="C39" s="142"/>
      <c r="D39" s="137"/>
      <c r="E39" s="137"/>
      <c r="F39" s="137"/>
      <c r="G39" s="137"/>
      <c r="H39" s="133"/>
      <c r="I39" s="133"/>
      <c r="J39" s="133"/>
      <c r="K39" s="133"/>
      <c r="L39" s="133"/>
      <c r="M39" s="133"/>
      <c r="N39" s="133"/>
      <c r="O39" s="133"/>
      <c r="P39" s="134"/>
    </row>
  </sheetData>
  <sheetProtection formatCells="0" formatColumns="0" formatRows="0" insertColumns="0" insertRows="0" insertHyperlinks="0" deleteColumns="0" deleteRows="0" sort="0" autoFilter="0" pivotTables="0"/>
  <mergeCells count="22">
    <mergeCell ref="A32:P32"/>
    <mergeCell ref="O9:P9"/>
    <mergeCell ref="D1:M2"/>
    <mergeCell ref="A3:P5"/>
    <mergeCell ref="E6:L7"/>
    <mergeCell ref="M6:N6"/>
    <mergeCell ref="O6:P6"/>
    <mergeCell ref="M7:N7"/>
    <mergeCell ref="O7:P7"/>
    <mergeCell ref="A9:C9"/>
    <mergeCell ref="D9:E9"/>
    <mergeCell ref="F9:I9"/>
    <mergeCell ref="J9:K9"/>
    <mergeCell ref="L9:N9"/>
    <mergeCell ref="O8:P8"/>
    <mergeCell ref="A23:P23"/>
    <mergeCell ref="A20:P20"/>
    <mergeCell ref="A17:P17"/>
    <mergeCell ref="A11:P11"/>
    <mergeCell ref="A13:P13"/>
    <mergeCell ref="A14:P14"/>
    <mergeCell ref="A19:P19"/>
  </mergeCells>
  <dataValidations count="2">
    <dataValidation type="list" allowBlank="1" showInputMessage="1" showErrorMessage="1" sqref="O9:P9" xr:uid="{00000000-0002-0000-0400-000000000000}">
      <formula1>Diligences</formula1>
    </dataValidation>
    <dataValidation type="list" showInputMessage="1" showErrorMessage="1" sqref="D9:E9" xr:uid="{00000000-0002-0000-0400-000001000000}">
      <formula1>RAS</formula1>
    </dataValidation>
  </dataValidations>
  <hyperlinks>
    <hyperlink ref="O8:P8" location="'V Synthèse'!A1" display="V Synthèse" xr:uid="{00000000-0004-0000-04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U53"/>
  <sheetViews>
    <sheetView showGridLines="0" zoomScale="90" zoomScaleNormal="90" workbookViewId="0">
      <selection activeCell="O10" sqref="O10"/>
    </sheetView>
  </sheetViews>
  <sheetFormatPr baseColWidth="10" defaultColWidth="11.42578125" defaultRowHeight="15.75"/>
  <cols>
    <col min="1" max="3" width="14.7109375" style="7" customWidth="1"/>
    <col min="4" max="4" width="17.28515625" style="7" customWidth="1"/>
    <col min="5" max="10" width="14.7109375" style="7" customWidth="1"/>
    <col min="11" max="16" width="12.7109375" style="7" customWidth="1"/>
    <col min="17" max="16384" width="11.42578125" style="7"/>
  </cols>
  <sheetData>
    <row r="1" spans="1:21" s="1" customFormat="1" ht="15" customHeight="1">
      <c r="A1" s="10"/>
      <c r="B1" s="11"/>
      <c r="C1" s="11"/>
      <c r="D1" s="972" t="str">
        <f>'V Synthèse'!D1:M2</f>
        <v>#NomClient</v>
      </c>
      <c r="E1" s="973"/>
      <c r="F1" s="973"/>
      <c r="G1" s="973"/>
      <c r="H1" s="973"/>
      <c r="I1" s="973"/>
      <c r="J1" s="973"/>
      <c r="K1" s="973"/>
      <c r="L1" s="973"/>
      <c r="M1" s="974"/>
      <c r="N1" s="11"/>
      <c r="O1" s="11"/>
      <c r="P1" s="12"/>
    </row>
    <row r="2" spans="1:21" s="1"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6"/>
    </row>
    <row r="4" spans="1:21" ht="15" customHeight="1">
      <c r="A4" s="905"/>
      <c r="B4" s="906"/>
      <c r="C4" s="906"/>
      <c r="D4" s="906"/>
      <c r="E4" s="906"/>
      <c r="F4" s="906"/>
      <c r="G4" s="906"/>
      <c r="H4" s="906"/>
      <c r="I4" s="906"/>
      <c r="J4" s="906"/>
      <c r="K4" s="906"/>
      <c r="L4" s="906"/>
      <c r="M4" s="906"/>
      <c r="N4" s="906"/>
      <c r="O4" s="906"/>
      <c r="P4" s="907"/>
      <c r="R4" s="3"/>
      <c r="T4" s="5"/>
      <c r="U4" s="6"/>
    </row>
    <row r="5" spans="1:21" ht="15" customHeight="1" thickBot="1">
      <c r="A5" s="908"/>
      <c r="B5" s="909"/>
      <c r="C5" s="909"/>
      <c r="D5" s="909"/>
      <c r="E5" s="909"/>
      <c r="F5" s="909"/>
      <c r="G5" s="909"/>
      <c r="H5" s="909"/>
      <c r="I5" s="909"/>
      <c r="J5" s="909"/>
      <c r="K5" s="909"/>
      <c r="L5" s="909"/>
      <c r="M5" s="909"/>
      <c r="N5" s="909"/>
      <c r="O5" s="909"/>
      <c r="P5" s="910"/>
      <c r="Q5" s="8"/>
      <c r="R5" s="4"/>
      <c r="S5" s="24"/>
      <c r="T5" s="24"/>
      <c r="U5" s="24"/>
    </row>
    <row r="6" spans="1:21" ht="15" customHeight="1">
      <c r="A6" s="17" t="s">
        <v>3</v>
      </c>
      <c r="B6" s="415" t="str">
        <f>'V Synthèse'!B6</f>
        <v>BRA</v>
      </c>
      <c r="C6" s="17" t="s">
        <v>294</v>
      </c>
      <c r="D6" s="415">
        <f>'V Synthèse'!D6</f>
        <v>0</v>
      </c>
      <c r="E6" s="923" t="s">
        <v>34</v>
      </c>
      <c r="F6" s="924"/>
      <c r="G6" s="924"/>
      <c r="H6" s="924"/>
      <c r="I6" s="924"/>
      <c r="J6" s="924"/>
      <c r="K6" s="924"/>
      <c r="L6" s="925"/>
      <c r="M6" s="978" t="s">
        <v>7</v>
      </c>
      <c r="N6" s="979"/>
      <c r="O6" s="915" t="s">
        <v>6</v>
      </c>
      <c r="P6" s="916"/>
      <c r="R6" s="1"/>
      <c r="S6" s="1"/>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26</v>
      </c>
      <c r="P7" s="918"/>
    </row>
    <row r="8" spans="1:21" ht="21" customHeight="1" thickBot="1">
      <c r="A8" s="19"/>
      <c r="B8" s="16"/>
      <c r="C8" s="20"/>
      <c r="D8" s="20"/>
      <c r="E8" s="21"/>
      <c r="F8" s="21"/>
      <c r="G8" s="21"/>
      <c r="H8" s="21"/>
      <c r="I8" s="21"/>
      <c r="J8" s="21"/>
      <c r="K8" s="21"/>
      <c r="L8" s="21"/>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s="26" customFormat="1" ht="155.25" customHeight="1" thickBot="1">
      <c r="A11" s="964" t="s">
        <v>85</v>
      </c>
      <c r="B11" s="965"/>
      <c r="C11" s="965"/>
      <c r="D11" s="965"/>
      <c r="E11" s="965"/>
      <c r="F11" s="965"/>
      <c r="G11" s="965"/>
      <c r="H11" s="965"/>
      <c r="I11" s="965"/>
      <c r="J11" s="965"/>
      <c r="K11" s="965"/>
      <c r="L11" s="965"/>
      <c r="M11" s="965"/>
      <c r="N11" s="965"/>
      <c r="O11" s="965"/>
      <c r="P11" s="966"/>
    </row>
    <row r="12" spans="1:21" s="26" customFormat="1" ht="9" customHeight="1" thickBot="1"/>
    <row r="13" spans="1:21" s="26" customFormat="1" ht="15">
      <c r="A13" s="952" t="s">
        <v>21</v>
      </c>
      <c r="B13" s="953"/>
      <c r="C13" s="953"/>
      <c r="D13" s="953"/>
      <c r="E13" s="953"/>
      <c r="F13" s="953"/>
      <c r="G13" s="953"/>
      <c r="H13" s="953"/>
      <c r="I13" s="953"/>
      <c r="J13" s="953"/>
      <c r="K13" s="953"/>
      <c r="L13" s="953"/>
      <c r="M13" s="953"/>
      <c r="N13" s="953"/>
      <c r="O13" s="953"/>
      <c r="P13" s="954"/>
    </row>
    <row r="14" spans="1:21" s="26" customFormat="1" ht="60" customHeight="1" thickBot="1">
      <c r="A14" s="967"/>
      <c r="B14" s="968"/>
      <c r="C14" s="968"/>
      <c r="D14" s="968"/>
      <c r="E14" s="968"/>
      <c r="F14" s="968"/>
      <c r="G14" s="968"/>
      <c r="H14" s="968"/>
      <c r="I14" s="968"/>
      <c r="J14" s="968"/>
      <c r="K14" s="968"/>
      <c r="L14" s="968"/>
      <c r="M14" s="968"/>
      <c r="N14" s="968"/>
      <c r="O14" s="968"/>
      <c r="P14" s="969"/>
    </row>
    <row r="15" spans="1:21" s="26" customFormat="1" thickBot="1"/>
    <row r="16" spans="1:21" s="26" customFormat="1" thickBot="1">
      <c r="A16" s="127"/>
      <c r="B16" s="128"/>
      <c r="C16" s="128"/>
      <c r="D16" s="128"/>
      <c r="E16" s="128"/>
      <c r="F16" s="128"/>
      <c r="G16" s="128"/>
      <c r="H16" s="128"/>
      <c r="I16" s="128"/>
      <c r="J16" s="128"/>
      <c r="K16" s="128"/>
      <c r="L16" s="128"/>
      <c r="M16" s="128"/>
      <c r="N16" s="128"/>
      <c r="O16" s="128"/>
      <c r="P16" s="129"/>
    </row>
    <row r="17" spans="1:16" s="26" customFormat="1" thickBot="1">
      <c r="A17" s="130"/>
      <c r="B17" s="1015" t="s">
        <v>69</v>
      </c>
      <c r="C17" s="1016"/>
      <c r="D17" s="1017"/>
      <c r="E17" s="186" t="s">
        <v>70</v>
      </c>
      <c r="F17" s="197" t="s">
        <v>71</v>
      </c>
      <c r="G17" s="145"/>
      <c r="H17" s="146"/>
      <c r="I17" s="145"/>
      <c r="J17" s="145"/>
      <c r="P17" s="131"/>
    </row>
    <row r="18" spans="1:16" s="26" customFormat="1" thickBot="1">
      <c r="A18" s="130"/>
      <c r="B18" s="198"/>
      <c r="E18" s="147"/>
      <c r="F18" s="199"/>
      <c r="G18" s="147"/>
      <c r="H18" s="147"/>
      <c r="I18" s="147"/>
      <c r="J18" s="147"/>
      <c r="P18" s="131"/>
    </row>
    <row r="19" spans="1:16" s="26" customFormat="1" ht="15">
      <c r="A19" s="130"/>
      <c r="B19" s="1012" t="s">
        <v>352</v>
      </c>
      <c r="C19" s="1002"/>
      <c r="D19" s="1013"/>
      <c r="E19" s="148"/>
      <c r="F19" s="200"/>
      <c r="G19" s="179"/>
      <c r="H19" s="147"/>
      <c r="I19" s="147"/>
      <c r="J19" s="147"/>
      <c r="P19" s="131"/>
    </row>
    <row r="20" spans="1:16" s="26" customFormat="1" ht="15">
      <c r="A20" s="130"/>
      <c r="B20" s="1012" t="s">
        <v>266</v>
      </c>
      <c r="C20" s="1002"/>
      <c r="D20" s="1013"/>
      <c r="E20" s="149"/>
      <c r="F20" s="201"/>
      <c r="G20" s="147"/>
      <c r="H20" s="147"/>
      <c r="I20" s="147"/>
      <c r="J20" s="147"/>
      <c r="P20" s="131"/>
    </row>
    <row r="21" spans="1:16" s="26" customFormat="1" thickBot="1">
      <c r="A21" s="130"/>
      <c r="B21" s="1012"/>
      <c r="C21" s="1002"/>
      <c r="D21" s="1013"/>
      <c r="E21" s="150"/>
      <c r="F21" s="202"/>
      <c r="G21" s="151"/>
      <c r="H21" s="147"/>
      <c r="I21" s="147"/>
      <c r="J21" s="147"/>
      <c r="P21" s="131"/>
    </row>
    <row r="22" spans="1:16" s="26" customFormat="1" thickBot="1">
      <c r="A22" s="130"/>
      <c r="B22" s="198"/>
      <c r="E22" s="147"/>
      <c r="F22" s="199"/>
      <c r="G22" s="147"/>
      <c r="H22" s="147"/>
      <c r="I22" s="147"/>
      <c r="J22" s="147"/>
      <c r="P22" s="131"/>
    </row>
    <row r="23" spans="1:16" s="26" customFormat="1" thickBot="1">
      <c r="A23" s="130"/>
      <c r="B23" s="1019" t="s">
        <v>72</v>
      </c>
      <c r="C23" s="1020"/>
      <c r="D23" s="1021"/>
      <c r="E23" s="196">
        <f>SUM(E19:E21)</f>
        <v>0</v>
      </c>
      <c r="F23" s="207">
        <f>SUM(F19:F21)</f>
        <v>0</v>
      </c>
      <c r="G23" s="34"/>
      <c r="H23" s="30"/>
      <c r="I23" s="147"/>
      <c r="J23" s="147"/>
      <c r="P23" s="131"/>
    </row>
    <row r="24" spans="1:16" s="26" customFormat="1" ht="15">
      <c r="A24" s="130"/>
      <c r="B24" s="147"/>
      <c r="E24" s="147"/>
      <c r="F24" s="147"/>
      <c r="G24" s="30"/>
      <c r="H24" s="30"/>
      <c r="I24" s="147"/>
      <c r="J24" s="147"/>
      <c r="P24" s="131"/>
    </row>
    <row r="25" spans="1:16" s="26" customFormat="1" thickBot="1">
      <c r="A25" s="130"/>
      <c r="B25" s="1018" t="s">
        <v>73</v>
      </c>
      <c r="C25" s="1018"/>
      <c r="D25" s="1018"/>
      <c r="E25" s="218">
        <f>E23-F23</f>
        <v>0</v>
      </c>
      <c r="F25" s="152"/>
      <c r="G25" s="30"/>
      <c r="H25" s="30"/>
      <c r="I25" s="147"/>
      <c r="J25" s="147"/>
      <c r="P25" s="131"/>
    </row>
    <row r="26" spans="1:16" s="26" customFormat="1" ht="15">
      <c r="A26" s="130"/>
      <c r="B26" s="147"/>
      <c r="E26" s="147"/>
      <c r="F26" s="147"/>
      <c r="G26" s="30"/>
      <c r="H26" s="30"/>
      <c r="I26" s="194" t="s">
        <v>75</v>
      </c>
      <c r="J26" s="194" t="s">
        <v>75</v>
      </c>
      <c r="P26" s="131"/>
    </row>
    <row r="27" spans="1:16" s="26" customFormat="1" thickBot="1">
      <c r="A27" s="130"/>
      <c r="B27" s="147"/>
      <c r="E27" s="153"/>
      <c r="F27" s="153"/>
      <c r="G27" s="30"/>
      <c r="H27" s="30"/>
      <c r="I27" s="195" t="s">
        <v>76</v>
      </c>
      <c r="J27" s="195" t="s">
        <v>76</v>
      </c>
      <c r="P27" s="131"/>
    </row>
    <row r="28" spans="1:16" s="26" customFormat="1" thickBot="1">
      <c r="A28" s="130"/>
      <c r="B28" s="204" t="s">
        <v>74</v>
      </c>
      <c r="C28" s="205"/>
      <c r="D28" s="206"/>
      <c r="E28" s="186" t="str">
        <f>E17</f>
        <v>N</v>
      </c>
      <c r="F28" s="197" t="str">
        <f>F17</f>
        <v>N-1</v>
      </c>
      <c r="G28" s="30"/>
      <c r="H28" s="30"/>
      <c r="I28" s="494" t="s">
        <v>70</v>
      </c>
      <c r="J28" s="495" t="s">
        <v>71</v>
      </c>
      <c r="P28" s="131"/>
    </row>
    <row r="29" spans="1:16" s="26" customFormat="1" thickBot="1">
      <c r="A29" s="130"/>
      <c r="B29" s="198"/>
      <c r="E29" s="154"/>
      <c r="F29" s="203"/>
      <c r="G29" s="34"/>
      <c r="H29" s="52"/>
      <c r="P29" s="131"/>
    </row>
    <row r="30" spans="1:16" s="26" customFormat="1" ht="15">
      <c r="A30" s="130"/>
      <c r="B30" s="1012" t="s">
        <v>263</v>
      </c>
      <c r="C30" s="1002"/>
      <c r="D30" s="1013"/>
      <c r="E30" s="212"/>
      <c r="F30" s="213"/>
      <c r="G30" s="155"/>
      <c r="H30" s="35"/>
      <c r="I30" s="157">
        <v>31</v>
      </c>
      <c r="J30" s="157">
        <v>31</v>
      </c>
      <c r="P30" s="131"/>
    </row>
    <row r="31" spans="1:16" s="26" customFormat="1" ht="15">
      <c r="A31" s="130"/>
      <c r="B31" s="1012" t="s">
        <v>264</v>
      </c>
      <c r="C31" s="1002"/>
      <c r="D31" s="1013"/>
      <c r="E31" s="214"/>
      <c r="F31" s="215"/>
      <c r="G31" s="155"/>
      <c r="H31" s="35"/>
      <c r="I31" s="158">
        <v>30</v>
      </c>
      <c r="J31" s="158">
        <v>30</v>
      </c>
      <c r="P31" s="131"/>
    </row>
    <row r="32" spans="1:16" s="26" customFormat="1" ht="15">
      <c r="A32" s="130"/>
      <c r="B32" s="1012" t="s">
        <v>265</v>
      </c>
      <c r="C32" s="1002"/>
      <c r="D32" s="1013"/>
      <c r="E32" s="214"/>
      <c r="F32" s="215"/>
      <c r="G32" s="155"/>
      <c r="H32" s="35"/>
      <c r="I32" s="158">
        <v>31</v>
      </c>
      <c r="J32" s="158">
        <v>31</v>
      </c>
      <c r="P32" s="131"/>
    </row>
    <row r="33" spans="1:16" s="26" customFormat="1" ht="15">
      <c r="A33" s="130"/>
      <c r="B33" s="1012"/>
      <c r="C33" s="1002"/>
      <c r="D33" s="1013"/>
      <c r="E33" s="149"/>
      <c r="F33" s="201"/>
      <c r="G33" s="155"/>
      <c r="H33" s="33"/>
      <c r="I33" s="158"/>
      <c r="J33" s="158"/>
      <c r="P33" s="131"/>
    </row>
    <row r="34" spans="1:16" s="26" customFormat="1" thickBot="1">
      <c r="A34" s="130"/>
      <c r="B34" s="1005"/>
      <c r="C34" s="1006"/>
      <c r="D34" s="1011"/>
      <c r="E34" s="150"/>
      <c r="F34" s="202"/>
      <c r="G34" s="155"/>
      <c r="H34" s="33"/>
      <c r="I34" s="161"/>
      <c r="J34" s="161"/>
      <c r="P34" s="131"/>
    </row>
    <row r="35" spans="1:16" s="26" customFormat="1" thickBot="1">
      <c r="A35" s="130"/>
      <c r="B35" s="146"/>
      <c r="E35" s="159"/>
      <c r="F35" s="159"/>
      <c r="G35" s="30"/>
      <c r="H35" s="160"/>
      <c r="P35" s="131"/>
    </row>
    <row r="36" spans="1:16" s="26" customFormat="1" thickBot="1">
      <c r="A36" s="130"/>
      <c r="B36" s="1008" t="s">
        <v>72</v>
      </c>
      <c r="C36" s="1009"/>
      <c r="D36" s="1010"/>
      <c r="E36" s="196">
        <f>SUM(E30:E34)</f>
        <v>0</v>
      </c>
      <c r="F36" s="207">
        <f>SUM(F30:F34)</f>
        <v>0</v>
      </c>
      <c r="G36" s="163"/>
      <c r="H36" s="164"/>
      <c r="I36" s="151"/>
      <c r="J36" s="151"/>
      <c r="P36" s="131"/>
    </row>
    <row r="37" spans="1:16" s="26" customFormat="1" ht="15">
      <c r="A37" s="130"/>
      <c r="B37" s="146"/>
      <c r="E37" s="162"/>
      <c r="F37" s="162"/>
      <c r="G37" s="155"/>
      <c r="H37" s="166"/>
      <c r="I37" s="165"/>
      <c r="J37" s="147"/>
      <c r="P37" s="131"/>
    </row>
    <row r="38" spans="1:16" s="26" customFormat="1" thickBot="1">
      <c r="A38" s="130"/>
      <c r="B38" s="146"/>
      <c r="E38" s="162"/>
      <c r="F38" s="162"/>
      <c r="G38" s="155"/>
      <c r="H38" s="166"/>
      <c r="P38" s="131"/>
    </row>
    <row r="39" spans="1:16" s="26" customFormat="1" thickBot="1">
      <c r="A39" s="130"/>
      <c r="B39" s="1015" t="s">
        <v>78</v>
      </c>
      <c r="C39" s="1016"/>
      <c r="D39" s="1017"/>
      <c r="E39" s="186" t="str">
        <f>E17</f>
        <v>N</v>
      </c>
      <c r="F39" s="197" t="str">
        <f>F17</f>
        <v>N-1</v>
      </c>
      <c r="G39" s="31"/>
      <c r="H39" s="30"/>
      <c r="I39" s="189" t="s">
        <v>77</v>
      </c>
      <c r="J39" s="190" t="s">
        <v>71</v>
      </c>
      <c r="P39" s="131"/>
    </row>
    <row r="40" spans="1:16" s="26" customFormat="1" thickBot="1">
      <c r="A40" s="130"/>
      <c r="B40" s="198"/>
      <c r="E40" s="147"/>
      <c r="F40" s="199"/>
      <c r="G40" s="30"/>
      <c r="H40" s="30"/>
      <c r="I40" s="147"/>
      <c r="J40" s="147"/>
      <c r="P40" s="131"/>
    </row>
    <row r="41" spans="1:16" s="26" customFormat="1" ht="15">
      <c r="A41" s="130"/>
      <c r="B41" s="1012" t="str">
        <f>B30</f>
        <v>M</v>
      </c>
      <c r="C41" s="1002"/>
      <c r="D41" s="1014"/>
      <c r="E41" s="395" t="str">
        <f>IF(E30="","",IF(E23&gt;E30,I30,E23*I30/E30))</f>
        <v/>
      </c>
      <c r="F41" s="395" t="str">
        <f>IF(F30="","",IF(F23&gt;F30,J30,F23*J30/F30))</f>
        <v/>
      </c>
      <c r="G41" s="30"/>
      <c r="H41" s="30"/>
      <c r="I41" s="187">
        <f>IF($E$23-$E$30&gt;0,$E$23-$E$30,0)</f>
        <v>0</v>
      </c>
      <c r="J41" s="191">
        <f>IF(F23-F30&gt;0,F23-F30,0)</f>
        <v>0</v>
      </c>
      <c r="P41" s="131"/>
    </row>
    <row r="42" spans="1:16" s="26" customFormat="1" ht="15">
      <c r="A42" s="130"/>
      <c r="B42" s="1012" t="str">
        <f t="shared" ref="B42:B43" si="0">B31</f>
        <v>M-1</v>
      </c>
      <c r="C42" s="1002"/>
      <c r="D42" s="1014"/>
      <c r="E42" s="396" t="str">
        <f t="shared" ref="E42:F45" si="1">IF(E31="","",IF(I41&gt;E31,I31,I41*I31/E31))</f>
        <v/>
      </c>
      <c r="F42" s="396" t="str">
        <f t="shared" si="1"/>
        <v/>
      </c>
      <c r="G42" s="167"/>
      <c r="H42" s="30"/>
      <c r="I42" s="188">
        <f>IF($I$41-$E$31&gt;0,$I$41-$E$31,0)</f>
        <v>0</v>
      </c>
      <c r="J42" s="192">
        <f>IF(J41-$F$31&gt;0,J41-$F$31,0)</f>
        <v>0</v>
      </c>
      <c r="P42" s="131"/>
    </row>
    <row r="43" spans="1:16" s="26" customFormat="1" ht="15">
      <c r="A43" s="130"/>
      <c r="B43" s="1012" t="str">
        <f t="shared" si="0"/>
        <v>M-2</v>
      </c>
      <c r="C43" s="1002"/>
      <c r="D43" s="1014"/>
      <c r="E43" s="396" t="str">
        <f t="shared" si="1"/>
        <v/>
      </c>
      <c r="F43" s="396" t="str">
        <f t="shared" si="1"/>
        <v/>
      </c>
      <c r="G43" s="167"/>
      <c r="H43" s="30"/>
      <c r="I43" s="188">
        <f>IF($I$42-$E$32&gt;0,$I$42-$E$32,0)</f>
        <v>0</v>
      </c>
      <c r="J43" s="193">
        <f>IF(J42-$F$32&gt;0,J42-$F$32,0)</f>
        <v>0</v>
      </c>
      <c r="P43" s="131"/>
    </row>
    <row r="44" spans="1:16" s="26" customFormat="1" ht="15">
      <c r="A44" s="130"/>
      <c r="B44" s="1012"/>
      <c r="C44" s="1002"/>
      <c r="D44" s="1014"/>
      <c r="E44" s="149"/>
      <c r="F44" s="216" t="str">
        <f t="shared" si="1"/>
        <v/>
      </c>
      <c r="G44" s="167"/>
      <c r="H44" s="30"/>
      <c r="I44" s="168"/>
      <c r="J44" s="169"/>
      <c r="P44" s="131"/>
    </row>
    <row r="45" spans="1:16" s="26" customFormat="1" thickBot="1">
      <c r="A45" s="130"/>
      <c r="B45" s="1005"/>
      <c r="C45" s="1006"/>
      <c r="D45" s="1007"/>
      <c r="E45" s="150"/>
      <c r="F45" s="217" t="str">
        <f t="shared" si="1"/>
        <v/>
      </c>
      <c r="G45" s="167"/>
      <c r="H45" s="30"/>
      <c r="I45" s="170"/>
      <c r="J45" s="171"/>
      <c r="P45" s="131"/>
    </row>
    <row r="46" spans="1:16" s="26" customFormat="1" thickBot="1">
      <c r="A46" s="130"/>
      <c r="B46" s="180"/>
      <c r="C46" s="180"/>
      <c r="D46" s="180"/>
      <c r="E46" s="208"/>
      <c r="F46" s="208"/>
      <c r="G46" s="167"/>
      <c r="H46" s="30"/>
      <c r="I46" s="208"/>
      <c r="J46" s="208"/>
      <c r="P46" s="131"/>
    </row>
    <row r="47" spans="1:16" s="26" customFormat="1" thickBot="1">
      <c r="A47" s="130"/>
      <c r="B47" s="147"/>
      <c r="E47" s="147"/>
      <c r="F47" s="147"/>
      <c r="G47" s="496" t="s">
        <v>79</v>
      </c>
      <c r="H47" s="172"/>
      <c r="I47" s="147"/>
      <c r="J47" s="147"/>
      <c r="P47" s="131"/>
    </row>
    <row r="48" spans="1:16" s="26" customFormat="1" thickBot="1">
      <c r="A48" s="130"/>
      <c r="B48" s="1003" t="s">
        <v>80</v>
      </c>
      <c r="C48" s="1003"/>
      <c r="D48" s="1004"/>
      <c r="E48" s="210">
        <f>SUM(E41:E45)</f>
        <v>0</v>
      </c>
      <c r="F48" s="210">
        <f>SUM(F41:F45)</f>
        <v>0</v>
      </c>
      <c r="G48" s="211">
        <f>E48-F48</f>
        <v>0</v>
      </c>
      <c r="H48" s="173"/>
      <c r="I48" s="181" t="s">
        <v>81</v>
      </c>
      <c r="J48" s="183" t="e">
        <f>(G49*E48)</f>
        <v>#DIV/0!</v>
      </c>
      <c r="P48" s="131"/>
    </row>
    <row r="49" spans="1:16" s="26" customFormat="1" ht="15">
      <c r="A49" s="130"/>
      <c r="B49" s="1002" t="s">
        <v>82</v>
      </c>
      <c r="C49" s="1002"/>
      <c r="D49" s="1002"/>
      <c r="E49" s="174" t="e">
        <f>+E23/E48</f>
        <v>#DIV/0!</v>
      </c>
      <c r="F49" s="520" t="e">
        <f>+F23/F48</f>
        <v>#DIV/0!</v>
      </c>
      <c r="G49" s="209" t="e">
        <f>+E49-F49</f>
        <v>#DIV/0!</v>
      </c>
      <c r="H49" s="160"/>
      <c r="I49" s="182" t="s">
        <v>83</v>
      </c>
      <c r="J49" s="184" t="e">
        <f>G48*F49</f>
        <v>#DIV/0!</v>
      </c>
      <c r="P49" s="131"/>
    </row>
    <row r="50" spans="1:16" s="26" customFormat="1" ht="15">
      <c r="A50" s="156"/>
      <c r="B50" s="175"/>
      <c r="C50" s="175"/>
      <c r="E50" s="176"/>
      <c r="F50" s="35"/>
      <c r="I50" s="180" t="s">
        <v>84</v>
      </c>
      <c r="J50" s="185" t="e">
        <f>SUM(J48:J49)</f>
        <v>#DIV/0!</v>
      </c>
      <c r="P50" s="131"/>
    </row>
    <row r="51" spans="1:16" s="26" customFormat="1" ht="15">
      <c r="A51" s="177"/>
      <c r="B51" s="178"/>
      <c r="C51" s="178"/>
      <c r="D51" s="178"/>
      <c r="E51" s="178"/>
      <c r="F51" s="178"/>
      <c r="G51" s="178"/>
      <c r="H51" s="178"/>
      <c r="I51" s="178"/>
      <c r="J51" s="178"/>
      <c r="P51" s="131"/>
    </row>
    <row r="52" spans="1:16" s="26" customFormat="1" ht="124.5" customHeight="1">
      <c r="A52" s="999" t="s">
        <v>262</v>
      </c>
      <c r="B52" s="1000"/>
      <c r="C52" s="1000"/>
      <c r="D52" s="1000"/>
      <c r="E52" s="1000"/>
      <c r="F52" s="1000"/>
      <c r="G52" s="1000"/>
      <c r="H52" s="1000"/>
      <c r="I52" s="1000"/>
      <c r="J52" s="1000"/>
      <c r="K52" s="1000"/>
      <c r="L52" s="1000"/>
      <c r="M52" s="1000"/>
      <c r="N52" s="1000"/>
      <c r="O52" s="1000"/>
      <c r="P52" s="1001"/>
    </row>
    <row r="53" spans="1:16" s="26" customFormat="1" thickBot="1">
      <c r="A53" s="132"/>
      <c r="B53" s="133"/>
      <c r="C53" s="133"/>
      <c r="D53" s="133"/>
      <c r="E53" s="133"/>
      <c r="F53" s="133"/>
      <c r="G53" s="133"/>
      <c r="H53" s="133"/>
      <c r="I53" s="133"/>
      <c r="J53" s="133"/>
      <c r="K53" s="133"/>
      <c r="L53" s="133"/>
      <c r="M53" s="133"/>
      <c r="N53" s="133"/>
      <c r="O53" s="133"/>
      <c r="P53" s="134"/>
    </row>
  </sheetData>
  <sheetProtection formatCells="0" formatColumns="0" formatRows="0" insertColumns="0" insertRows="0" insertHyperlinks="0" deleteColumns="0" deleteRows="0" sort="0" autoFilter="0" pivotTables="0"/>
  <mergeCells count="38">
    <mergeCell ref="B21:D21"/>
    <mergeCell ref="B20:D20"/>
    <mergeCell ref="B19:D19"/>
    <mergeCell ref="B17:D17"/>
    <mergeCell ref="B31:D31"/>
    <mergeCell ref="B30:D30"/>
    <mergeCell ref="B25:D25"/>
    <mergeCell ref="B23:D23"/>
    <mergeCell ref="B32:D32"/>
    <mergeCell ref="B44:D44"/>
    <mergeCell ref="B43:D43"/>
    <mergeCell ref="B42:D42"/>
    <mergeCell ref="B41:D41"/>
    <mergeCell ref="B39:D39"/>
    <mergeCell ref="A14:P14"/>
    <mergeCell ref="A9:C9"/>
    <mergeCell ref="D9:E9"/>
    <mergeCell ref="F9:I9"/>
    <mergeCell ref="A52:P52"/>
    <mergeCell ref="B49:D49"/>
    <mergeCell ref="B48:D48"/>
    <mergeCell ref="B45:D45"/>
    <mergeCell ref="J9:K9"/>
    <mergeCell ref="L9:N9"/>
    <mergeCell ref="O9:P9"/>
    <mergeCell ref="A11:P11"/>
    <mergeCell ref="A13:P13"/>
    <mergeCell ref="B36:D36"/>
    <mergeCell ref="B34:D34"/>
    <mergeCell ref="B33:D33"/>
    <mergeCell ref="O8:P8"/>
    <mergeCell ref="D1:M2"/>
    <mergeCell ref="A3:P5"/>
    <mergeCell ref="E6:L7"/>
    <mergeCell ref="M6:N6"/>
    <mergeCell ref="O6:P6"/>
    <mergeCell ref="M7:N7"/>
    <mergeCell ref="O7:P7"/>
  </mergeCells>
  <dataValidations count="2">
    <dataValidation type="list" showInputMessage="1" showErrorMessage="1" sqref="D9:E9" xr:uid="{00000000-0002-0000-0500-000000000000}">
      <formula1>RAS</formula1>
    </dataValidation>
    <dataValidation type="list" allowBlank="1" showInputMessage="1" showErrorMessage="1" sqref="O9:P9" xr:uid="{00000000-0002-0000-0500-000001000000}">
      <formula1>Diligences</formula1>
    </dataValidation>
  </dataValidations>
  <hyperlinks>
    <hyperlink ref="O8:P8" location="'V Synthèse'!A1" display="V Synthèse" xr:uid="{00000000-0004-0000-05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U25"/>
  <sheetViews>
    <sheetView showGridLines="0" zoomScaleNormal="100" workbookViewId="0">
      <selection activeCell="B8" sqref="B8"/>
    </sheetView>
  </sheetViews>
  <sheetFormatPr baseColWidth="10" defaultColWidth="11.42578125" defaultRowHeight="15.75"/>
  <cols>
    <col min="1" max="1" width="10.140625" style="7" customWidth="1"/>
    <col min="2" max="10" width="14.7109375" style="7" customWidth="1"/>
    <col min="11" max="16" width="10.140625" style="7" customWidth="1"/>
    <col min="17" max="16384" width="11.42578125" style="7"/>
  </cols>
  <sheetData>
    <row r="1" spans="1:21" s="1" customFormat="1" ht="15" customHeight="1">
      <c r="A1" s="10"/>
      <c r="B1" s="11"/>
      <c r="C1" s="11"/>
      <c r="D1" s="972" t="str">
        <f>'V Synthèse'!D1:M2</f>
        <v>#NomClient</v>
      </c>
      <c r="E1" s="973"/>
      <c r="F1" s="973"/>
      <c r="G1" s="973"/>
      <c r="H1" s="973"/>
      <c r="I1" s="973"/>
      <c r="J1" s="973"/>
      <c r="K1" s="973"/>
      <c r="L1" s="973"/>
      <c r="M1" s="974"/>
      <c r="N1" s="11"/>
      <c r="O1" s="11"/>
      <c r="P1" s="12"/>
    </row>
    <row r="2" spans="1:21" s="1"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6"/>
    </row>
    <row r="4" spans="1:21" ht="15" customHeight="1">
      <c r="A4" s="905"/>
      <c r="B4" s="906"/>
      <c r="C4" s="906"/>
      <c r="D4" s="906"/>
      <c r="E4" s="906"/>
      <c r="F4" s="906"/>
      <c r="G4" s="906"/>
      <c r="H4" s="906"/>
      <c r="I4" s="906"/>
      <c r="J4" s="906"/>
      <c r="K4" s="906"/>
      <c r="L4" s="906"/>
      <c r="M4" s="906"/>
      <c r="N4" s="906"/>
      <c r="O4" s="906"/>
      <c r="P4" s="907"/>
      <c r="R4" s="3"/>
      <c r="T4" s="5"/>
      <c r="U4" s="6"/>
    </row>
    <row r="5" spans="1:21" ht="15" customHeight="1" thickBot="1">
      <c r="A5" s="908"/>
      <c r="B5" s="909"/>
      <c r="C5" s="909"/>
      <c r="D5" s="909"/>
      <c r="E5" s="909"/>
      <c r="F5" s="909"/>
      <c r="G5" s="909"/>
      <c r="H5" s="909"/>
      <c r="I5" s="909"/>
      <c r="J5" s="909"/>
      <c r="K5" s="909"/>
      <c r="L5" s="909"/>
      <c r="M5" s="909"/>
      <c r="N5" s="909"/>
      <c r="O5" s="909"/>
      <c r="P5" s="910"/>
      <c r="Q5" s="8"/>
      <c r="R5" s="4"/>
      <c r="S5" s="24"/>
      <c r="T5" s="24"/>
      <c r="U5" s="24"/>
    </row>
    <row r="6" spans="1:21" ht="15" customHeight="1">
      <c r="A6" s="17" t="s">
        <v>3</v>
      </c>
      <c r="B6" s="415" t="str">
        <f>'V Synthèse'!B6</f>
        <v>BRA</v>
      </c>
      <c r="C6" s="17" t="s">
        <v>294</v>
      </c>
      <c r="D6" s="415">
        <f>'V Synthèse'!D6</f>
        <v>0</v>
      </c>
      <c r="E6" s="923" t="s">
        <v>38</v>
      </c>
      <c r="F6" s="924"/>
      <c r="G6" s="924"/>
      <c r="H6" s="924"/>
      <c r="I6" s="924"/>
      <c r="J6" s="924"/>
      <c r="K6" s="924"/>
      <c r="L6" s="925"/>
      <c r="M6" s="978" t="s">
        <v>7</v>
      </c>
      <c r="N6" s="979"/>
      <c r="O6" s="915" t="s">
        <v>6</v>
      </c>
      <c r="P6" s="916"/>
      <c r="R6" s="1"/>
      <c r="S6" s="1"/>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27</v>
      </c>
      <c r="P7" s="918"/>
    </row>
    <row r="8" spans="1:21" ht="21" customHeight="1" thickBot="1">
      <c r="A8" s="19"/>
      <c r="B8" s="16"/>
      <c r="C8" s="20"/>
      <c r="D8" s="20"/>
      <c r="E8" s="21"/>
      <c r="F8" s="21"/>
      <c r="G8" s="21"/>
      <c r="H8" s="21"/>
      <c r="I8" s="21"/>
      <c r="J8" s="21"/>
      <c r="K8" s="21"/>
      <c r="L8" s="21"/>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s="26" customFormat="1" ht="79.5" customHeight="1" thickBot="1">
      <c r="A11" s="964" t="s">
        <v>86</v>
      </c>
      <c r="B11" s="965"/>
      <c r="C11" s="965"/>
      <c r="D11" s="965"/>
      <c r="E11" s="965"/>
      <c r="F11" s="965"/>
      <c r="G11" s="965"/>
      <c r="H11" s="965"/>
      <c r="I11" s="965"/>
      <c r="J11" s="965"/>
      <c r="K11" s="965"/>
      <c r="L11" s="965"/>
      <c r="M11" s="965"/>
      <c r="N11" s="965"/>
      <c r="O11" s="965"/>
      <c r="P11" s="966"/>
    </row>
    <row r="12" spans="1:21" s="26" customFormat="1" ht="9" customHeight="1" thickBot="1"/>
    <row r="13" spans="1:21" s="26" customFormat="1" ht="15">
      <c r="A13" s="952" t="s">
        <v>21</v>
      </c>
      <c r="B13" s="953"/>
      <c r="C13" s="953"/>
      <c r="D13" s="953"/>
      <c r="E13" s="953"/>
      <c r="F13" s="953"/>
      <c r="G13" s="953"/>
      <c r="H13" s="953"/>
      <c r="I13" s="953"/>
      <c r="J13" s="953"/>
      <c r="K13" s="953"/>
      <c r="L13" s="953"/>
      <c r="M13" s="953"/>
      <c r="N13" s="953"/>
      <c r="O13" s="953"/>
      <c r="P13" s="954"/>
    </row>
    <row r="14" spans="1:21" s="26" customFormat="1" ht="60" customHeight="1" thickBot="1">
      <c r="A14" s="967"/>
      <c r="B14" s="968"/>
      <c r="C14" s="968"/>
      <c r="D14" s="968"/>
      <c r="E14" s="968"/>
      <c r="F14" s="968"/>
      <c r="G14" s="968"/>
      <c r="H14" s="968"/>
      <c r="I14" s="968"/>
      <c r="J14" s="968"/>
      <c r="K14" s="968"/>
      <c r="L14" s="968"/>
      <c r="M14" s="968"/>
      <c r="N14" s="968"/>
      <c r="O14" s="968"/>
      <c r="P14" s="969"/>
    </row>
    <row r="15" spans="1:21" ht="16.5" thickBot="1"/>
    <row r="16" spans="1:21" s="26" customFormat="1" ht="15">
      <c r="A16" s="117"/>
      <c r="B16" s="219"/>
      <c r="C16" s="219"/>
      <c r="D16" s="219"/>
      <c r="E16" s="219"/>
      <c r="F16" s="139"/>
      <c r="G16" s="219"/>
      <c r="H16" s="219"/>
      <c r="I16" s="128"/>
      <c r="J16" s="128"/>
      <c r="K16" s="128"/>
      <c r="L16" s="128"/>
      <c r="M16" s="128"/>
      <c r="N16" s="128"/>
      <c r="O16" s="128"/>
      <c r="P16" s="129"/>
    </row>
    <row r="17" spans="1:16" s="36" customFormat="1" ht="31.5" customHeight="1">
      <c r="A17" s="433"/>
      <c r="C17" s="723"/>
      <c r="D17" s="1026" t="s">
        <v>87</v>
      </c>
      <c r="E17" s="1026"/>
      <c r="F17" s="1026"/>
      <c r="G17" s="1026" t="s">
        <v>88</v>
      </c>
      <c r="H17" s="1026"/>
      <c r="I17" s="1026"/>
      <c r="J17" s="1024" t="s">
        <v>89</v>
      </c>
      <c r="P17" s="226"/>
    </row>
    <row r="18" spans="1:16" s="36" customFormat="1" ht="31.5" customHeight="1">
      <c r="A18" s="433"/>
      <c r="B18" s="1022" t="s">
        <v>353</v>
      </c>
      <c r="C18" s="1023"/>
      <c r="D18" s="437" t="s">
        <v>90</v>
      </c>
      <c r="E18" s="724" t="s">
        <v>91</v>
      </c>
      <c r="F18" s="437" t="s">
        <v>92</v>
      </c>
      <c r="G18" s="437" t="s">
        <v>93</v>
      </c>
      <c r="H18" s="437" t="s">
        <v>92</v>
      </c>
      <c r="I18" s="724" t="s">
        <v>91</v>
      </c>
      <c r="J18" s="1025"/>
      <c r="P18" s="226"/>
    </row>
    <row r="19" spans="1:16" s="36" customFormat="1" ht="31.5" customHeight="1">
      <c r="A19" s="433"/>
      <c r="B19" s="730" t="s">
        <v>94</v>
      </c>
      <c r="C19" s="731"/>
      <c r="D19" s="725"/>
      <c r="E19" s="726"/>
      <c r="F19" s="727"/>
      <c r="G19" s="727"/>
      <c r="H19" s="727"/>
      <c r="I19" s="728"/>
      <c r="J19" s="729">
        <f>D19-H19</f>
        <v>0</v>
      </c>
      <c r="P19" s="226"/>
    </row>
    <row r="20" spans="1:16" s="36" customFormat="1" ht="31.5" customHeight="1">
      <c r="A20" s="433"/>
      <c r="B20" s="730" t="s">
        <v>95</v>
      </c>
      <c r="C20" s="731"/>
      <c r="D20" s="725"/>
      <c r="E20" s="726"/>
      <c r="F20" s="727"/>
      <c r="G20" s="727"/>
      <c r="H20" s="727"/>
      <c r="I20" s="728"/>
      <c r="J20" s="729">
        <f>D20-H20</f>
        <v>0</v>
      </c>
      <c r="P20" s="226"/>
    </row>
    <row r="21" spans="1:16" s="36" customFormat="1" ht="31.5" customHeight="1">
      <c r="A21" s="433"/>
      <c r="B21" s="730" t="s">
        <v>96</v>
      </c>
      <c r="C21" s="731"/>
      <c r="D21" s="725"/>
      <c r="E21" s="726"/>
      <c r="F21" s="727"/>
      <c r="G21" s="727"/>
      <c r="H21" s="727"/>
      <c r="I21" s="728"/>
      <c r="J21" s="729">
        <f>D21-H21</f>
        <v>0</v>
      </c>
      <c r="P21" s="226"/>
    </row>
    <row r="22" spans="1:16" s="36" customFormat="1" ht="31.5" customHeight="1">
      <c r="A22" s="433"/>
      <c r="B22" s="730" t="s">
        <v>97</v>
      </c>
      <c r="C22" s="731"/>
      <c r="D22" s="725"/>
      <c r="E22" s="726"/>
      <c r="F22" s="727"/>
      <c r="G22" s="727"/>
      <c r="H22" s="727"/>
      <c r="I22" s="728"/>
      <c r="J22" s="729">
        <f>D22-H22</f>
        <v>0</v>
      </c>
      <c r="P22" s="226"/>
    </row>
    <row r="23" spans="1:16" s="26" customFormat="1" thickBot="1">
      <c r="A23" s="132"/>
      <c r="B23" s="133"/>
      <c r="C23" s="133"/>
      <c r="D23" s="133"/>
      <c r="E23" s="133"/>
      <c r="F23" s="133"/>
      <c r="G23" s="133"/>
      <c r="H23" s="133"/>
      <c r="I23" s="133"/>
      <c r="J23" s="133"/>
      <c r="K23" s="133"/>
      <c r="L23" s="133"/>
      <c r="M23" s="133"/>
      <c r="N23" s="133"/>
      <c r="O23" s="133"/>
      <c r="P23" s="134"/>
    </row>
    <row r="24" spans="1:16" s="26" customFormat="1" ht="15"/>
    <row r="25" spans="1:16" s="26" customFormat="1" ht="15"/>
  </sheetData>
  <sheetProtection formatCells="0" formatColumns="0" formatRows="0" insertColumns="0" insertRows="0" insertHyperlinks="0" deleteColumns="0" deleteRows="0" sort="0" autoFilter="0" pivotTables="0"/>
  <mergeCells count="21">
    <mergeCell ref="B18:C18"/>
    <mergeCell ref="J17:J18"/>
    <mergeCell ref="O8:P8"/>
    <mergeCell ref="D1:M2"/>
    <mergeCell ref="A3:P5"/>
    <mergeCell ref="E6:L7"/>
    <mergeCell ref="M6:N6"/>
    <mergeCell ref="O6:P6"/>
    <mergeCell ref="M7:N7"/>
    <mergeCell ref="O7:P7"/>
    <mergeCell ref="O9:P9"/>
    <mergeCell ref="A11:P11"/>
    <mergeCell ref="D17:F17"/>
    <mergeCell ref="G17:I17"/>
    <mergeCell ref="A13:P13"/>
    <mergeCell ref="A14:P14"/>
    <mergeCell ref="A9:C9"/>
    <mergeCell ref="D9:E9"/>
    <mergeCell ref="F9:I9"/>
    <mergeCell ref="J9:K9"/>
    <mergeCell ref="L9:N9"/>
  </mergeCells>
  <dataValidations count="2">
    <dataValidation type="list" allowBlank="1" showInputMessage="1" showErrorMessage="1" sqref="O9:P9" xr:uid="{00000000-0002-0000-0600-000000000000}">
      <formula1>Diligences</formula1>
    </dataValidation>
    <dataValidation type="list" showInputMessage="1" showErrorMessage="1" sqref="D9:E9" xr:uid="{00000000-0002-0000-0600-000001000000}">
      <formula1>RAS</formula1>
    </dataValidation>
  </dataValidations>
  <hyperlinks>
    <hyperlink ref="O8:P8" location="'V Synthèse'!A1" display="V Synthèse" xr:uid="{00000000-0004-0000-06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A1:U74"/>
  <sheetViews>
    <sheetView showGridLines="0" zoomScale="90" zoomScaleNormal="90" workbookViewId="0">
      <selection activeCell="A2" sqref="A2"/>
    </sheetView>
  </sheetViews>
  <sheetFormatPr baseColWidth="10" defaultColWidth="11.42578125" defaultRowHeight="15"/>
  <cols>
    <col min="1" max="1" width="14.7109375" style="26" customWidth="1"/>
    <col min="2" max="2" width="19.85546875" style="26" customWidth="1"/>
    <col min="3" max="3" width="22.7109375" style="26" customWidth="1"/>
    <col min="4" max="4" width="18.85546875" style="26" customWidth="1"/>
    <col min="5" max="5" width="17.42578125" style="26" bestFit="1" customWidth="1"/>
    <col min="6" max="8" width="14.7109375" style="26" customWidth="1"/>
    <col min="9" max="9" width="16.7109375" style="26" customWidth="1"/>
    <col min="10" max="10" width="14.7109375" style="26" customWidth="1"/>
    <col min="11" max="16" width="9.28515625" style="26" customWidth="1"/>
    <col min="17" max="16384" width="11.42578125" style="26"/>
  </cols>
  <sheetData>
    <row r="1" spans="1:21" s="36" customFormat="1" ht="15" customHeight="1">
      <c r="A1" s="10"/>
      <c r="B1" s="11"/>
      <c r="C1" s="11"/>
      <c r="D1" s="972" t="str">
        <f>'V Synthèse'!D1:M2</f>
        <v>#NomClient</v>
      </c>
      <c r="E1" s="973"/>
      <c r="F1" s="973"/>
      <c r="G1" s="973"/>
      <c r="H1" s="973"/>
      <c r="I1" s="973"/>
      <c r="J1" s="973"/>
      <c r="K1" s="973"/>
      <c r="L1" s="973"/>
      <c r="M1" s="974"/>
      <c r="N1" s="11"/>
      <c r="O1" s="11"/>
      <c r="P1" s="12"/>
    </row>
    <row r="2" spans="1:21" s="36"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5"/>
    </row>
    <row r="4" spans="1:21" ht="15" customHeight="1">
      <c r="A4" s="905"/>
      <c r="B4" s="906"/>
      <c r="C4" s="906"/>
      <c r="D4" s="906"/>
      <c r="E4" s="906"/>
      <c r="F4" s="906"/>
      <c r="G4" s="906"/>
      <c r="H4" s="906"/>
      <c r="I4" s="906"/>
      <c r="J4" s="906"/>
      <c r="K4" s="906"/>
      <c r="L4" s="906"/>
      <c r="M4" s="906"/>
      <c r="N4" s="906"/>
      <c r="O4" s="906"/>
      <c r="P4" s="907"/>
      <c r="R4" s="3"/>
      <c r="T4" s="5"/>
      <c r="U4" s="5"/>
    </row>
    <row r="5" spans="1:21" ht="15" customHeight="1" thickBot="1">
      <c r="A5" s="908"/>
      <c r="B5" s="909"/>
      <c r="C5" s="909"/>
      <c r="D5" s="909"/>
      <c r="E5" s="909"/>
      <c r="F5" s="909"/>
      <c r="G5" s="909"/>
      <c r="H5" s="909"/>
      <c r="I5" s="909"/>
      <c r="J5" s="909"/>
      <c r="K5" s="909"/>
      <c r="L5" s="909"/>
      <c r="M5" s="909"/>
      <c r="N5" s="909"/>
      <c r="O5" s="909"/>
      <c r="P5" s="910"/>
      <c r="Q5" s="3"/>
      <c r="R5" s="37"/>
      <c r="S5" s="38"/>
      <c r="T5" s="38"/>
      <c r="U5" s="38"/>
    </row>
    <row r="6" spans="1:21" ht="15" customHeight="1">
      <c r="A6" s="17" t="s">
        <v>3</v>
      </c>
      <c r="B6" s="415" t="str">
        <f>'V Synthèse'!B6</f>
        <v>BRA</v>
      </c>
      <c r="C6" s="17" t="s">
        <v>294</v>
      </c>
      <c r="D6" s="415">
        <f>'V Synthèse'!D6</f>
        <v>0</v>
      </c>
      <c r="E6" s="923" t="s">
        <v>250</v>
      </c>
      <c r="F6" s="924"/>
      <c r="G6" s="924"/>
      <c r="H6" s="924"/>
      <c r="I6" s="924"/>
      <c r="J6" s="924"/>
      <c r="K6" s="924"/>
      <c r="L6" s="925"/>
      <c r="M6" s="978" t="s">
        <v>7</v>
      </c>
      <c r="N6" s="979"/>
      <c r="O6" s="915" t="s">
        <v>6</v>
      </c>
      <c r="P6" s="916"/>
      <c r="R6" s="36"/>
      <c r="S6" s="36"/>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28</v>
      </c>
      <c r="P7" s="918"/>
    </row>
    <row r="8" spans="1:21" ht="21" customHeight="1" thickBot="1">
      <c r="A8" s="19"/>
      <c r="B8" s="39"/>
      <c r="C8" s="20"/>
      <c r="D8" s="20"/>
      <c r="E8" s="40"/>
      <c r="F8" s="40"/>
      <c r="G8" s="40"/>
      <c r="H8" s="40"/>
      <c r="I8" s="40"/>
      <c r="J8" s="40"/>
      <c r="K8" s="40"/>
      <c r="L8" s="40"/>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ht="224.45" customHeight="1" thickBot="1">
      <c r="A11" s="964" t="s">
        <v>98</v>
      </c>
      <c r="B11" s="965"/>
      <c r="C11" s="965"/>
      <c r="D11" s="965"/>
      <c r="E11" s="965"/>
      <c r="F11" s="965"/>
      <c r="G11" s="965"/>
      <c r="H11" s="965"/>
      <c r="I11" s="965"/>
      <c r="J11" s="965"/>
      <c r="K11" s="965"/>
      <c r="L11" s="965"/>
      <c r="M11" s="965"/>
      <c r="N11" s="965"/>
      <c r="O11" s="965"/>
      <c r="P11" s="966"/>
    </row>
    <row r="12" spans="1:21" ht="9" customHeight="1" thickBot="1"/>
    <row r="13" spans="1:21">
      <c r="A13" s="952" t="s">
        <v>21</v>
      </c>
      <c r="B13" s="953"/>
      <c r="C13" s="953"/>
      <c r="D13" s="953"/>
      <c r="E13" s="953"/>
      <c r="F13" s="953"/>
      <c r="G13" s="953"/>
      <c r="H13" s="953"/>
      <c r="I13" s="953"/>
      <c r="J13" s="953"/>
      <c r="K13" s="953"/>
      <c r="L13" s="953"/>
      <c r="M13" s="953"/>
      <c r="N13" s="953"/>
      <c r="O13" s="953"/>
      <c r="P13" s="954"/>
    </row>
    <row r="14" spans="1:21" ht="60" customHeight="1" thickBot="1">
      <c r="A14" s="967"/>
      <c r="B14" s="968"/>
      <c r="C14" s="968"/>
      <c r="D14" s="968"/>
      <c r="E14" s="968"/>
      <c r="F14" s="968"/>
      <c r="G14" s="968"/>
      <c r="H14" s="968"/>
      <c r="I14" s="968"/>
      <c r="J14" s="968"/>
      <c r="K14" s="968"/>
      <c r="L14" s="968"/>
      <c r="M14" s="968"/>
      <c r="N14" s="968"/>
      <c r="O14" s="968"/>
      <c r="P14" s="969"/>
    </row>
    <row r="15" spans="1:21" ht="15.75" thickBot="1"/>
    <row r="16" spans="1:21">
      <c r="A16" s="127"/>
      <c r="B16" s="128"/>
      <c r="C16" s="128"/>
      <c r="D16" s="128"/>
      <c r="E16" s="128"/>
      <c r="F16" s="128"/>
      <c r="G16" s="128"/>
      <c r="H16" s="128"/>
      <c r="I16" s="128"/>
      <c r="J16" s="128"/>
      <c r="K16" s="128"/>
      <c r="L16" s="128"/>
      <c r="M16" s="128"/>
      <c r="N16" s="128"/>
      <c r="O16" s="128"/>
      <c r="P16" s="129"/>
    </row>
    <row r="17" spans="1:16">
      <c r="A17" s="113" t="s">
        <v>99</v>
      </c>
      <c r="P17" s="131"/>
    </row>
    <row r="18" spans="1:16" ht="104.45" customHeight="1">
      <c r="A18" s="1034"/>
      <c r="B18" s="1035"/>
      <c r="C18" s="1035"/>
      <c r="D18" s="1035"/>
      <c r="E18" s="1035"/>
      <c r="F18" s="1035"/>
      <c r="G18" s="1035"/>
      <c r="H18" s="1035"/>
      <c r="I18" s="1035"/>
      <c r="J18" s="1035"/>
      <c r="K18" s="1035"/>
      <c r="L18" s="1035"/>
      <c r="M18" s="1035"/>
      <c r="N18" s="1035"/>
      <c r="O18" s="1035"/>
      <c r="P18" s="1036"/>
    </row>
    <row r="19" spans="1:16" ht="15.75" thickBot="1">
      <c r="A19" s="132"/>
      <c r="B19" s="133"/>
      <c r="C19" s="133"/>
      <c r="D19" s="133"/>
      <c r="E19" s="133"/>
      <c r="F19" s="133"/>
      <c r="G19" s="133"/>
      <c r="H19" s="133"/>
      <c r="I19" s="133"/>
      <c r="J19" s="133"/>
      <c r="K19" s="133"/>
      <c r="L19" s="133"/>
      <c r="M19" s="133"/>
      <c r="N19" s="133"/>
      <c r="O19" s="133"/>
      <c r="P19" s="134"/>
    </row>
    <row r="20" spans="1:16" ht="15.75" thickBot="1"/>
    <row r="21" spans="1:16">
      <c r="A21" s="127"/>
      <c r="B21" s="128"/>
      <c r="C21" s="128"/>
      <c r="D21" s="128"/>
      <c r="E21" s="128"/>
      <c r="F21" s="128"/>
      <c r="G21" s="128"/>
      <c r="H21" s="128"/>
      <c r="I21" s="128"/>
      <c r="J21" s="128"/>
      <c r="K21" s="128"/>
      <c r="L21" s="128"/>
      <c r="M21" s="128"/>
      <c r="N21" s="128"/>
      <c r="O21" s="128"/>
      <c r="P21" s="129"/>
    </row>
    <row r="22" spans="1:16">
      <c r="A22" s="45" t="s">
        <v>100</v>
      </c>
      <c r="P22" s="131"/>
    </row>
    <row r="23" spans="1:16">
      <c r="A23" s="50"/>
      <c r="P23" s="131"/>
    </row>
    <row r="24" spans="1:16">
      <c r="A24" s="51" t="s">
        <v>101</v>
      </c>
      <c r="P24" s="131"/>
    </row>
    <row r="25" spans="1:16">
      <c r="A25" s="51" t="s">
        <v>102</v>
      </c>
      <c r="P25" s="131"/>
    </row>
    <row r="26" spans="1:16" ht="15.75" thickBot="1">
      <c r="A26" s="132"/>
      <c r="B26" s="133"/>
      <c r="C26" s="133"/>
      <c r="D26" s="133"/>
      <c r="E26" s="133"/>
      <c r="F26" s="133"/>
      <c r="G26" s="133"/>
      <c r="H26" s="133"/>
      <c r="I26" s="133"/>
      <c r="J26" s="133"/>
      <c r="K26" s="133"/>
      <c r="L26" s="133"/>
      <c r="M26" s="133"/>
      <c r="N26" s="133"/>
      <c r="O26" s="133"/>
      <c r="P26" s="134"/>
    </row>
    <row r="28" spans="1:16" ht="15.75" thickBot="1"/>
    <row r="29" spans="1:16">
      <c r="A29" s="127"/>
      <c r="B29" s="128"/>
      <c r="C29" s="128"/>
      <c r="D29" s="128"/>
      <c r="E29" s="128"/>
      <c r="F29" s="128"/>
      <c r="G29" s="128"/>
      <c r="H29" s="128"/>
      <c r="I29" s="128"/>
      <c r="J29" s="128"/>
      <c r="K29" s="128"/>
      <c r="L29" s="128"/>
      <c r="M29" s="128"/>
      <c r="N29" s="128"/>
      <c r="O29" s="128"/>
      <c r="P29" s="129"/>
    </row>
    <row r="30" spans="1:16">
      <c r="A30" s="45" t="s">
        <v>103</v>
      </c>
      <c r="B30" s="52"/>
      <c r="C30" s="53"/>
      <c r="D30" s="53"/>
      <c r="E30" s="53"/>
      <c r="F30" s="54"/>
      <c r="G30" s="53"/>
      <c r="H30" s="53"/>
      <c r="I30" s="55"/>
      <c r="J30" s="55"/>
      <c r="K30" s="55"/>
      <c r="P30" s="131"/>
    </row>
    <row r="31" spans="1:16">
      <c r="A31" s="56"/>
      <c r="B31" s="57"/>
      <c r="C31" s="57"/>
      <c r="D31" s="57"/>
      <c r="E31" s="58"/>
      <c r="F31" s="58"/>
      <c r="G31" s="57"/>
      <c r="H31" s="57"/>
      <c r="I31" s="55"/>
      <c r="J31" s="55"/>
      <c r="K31" s="55"/>
      <c r="P31" s="131"/>
    </row>
    <row r="32" spans="1:16" s="36" customFormat="1" ht="24" customHeight="1">
      <c r="A32" s="433"/>
      <c r="D32" s="434"/>
      <c r="E32" s="435" t="s">
        <v>71</v>
      </c>
      <c r="F32" s="436" t="s">
        <v>57</v>
      </c>
      <c r="G32" s="437" t="s">
        <v>104</v>
      </c>
      <c r="H32" s="437" t="s">
        <v>105</v>
      </c>
      <c r="I32" s="438" t="s">
        <v>70</v>
      </c>
      <c r="J32" s="439" t="s">
        <v>57</v>
      </c>
      <c r="P32" s="226"/>
    </row>
    <row r="33" spans="1:16">
      <c r="A33" s="130"/>
      <c r="C33" s="1048" t="s">
        <v>106</v>
      </c>
      <c r="D33" s="1049"/>
      <c r="E33" s="421"/>
      <c r="F33" s="100"/>
      <c r="G33" s="59"/>
      <c r="H33" s="59"/>
      <c r="I33" s="60">
        <f>E33+G33-H33</f>
        <v>0</v>
      </c>
      <c r="J33" s="422"/>
      <c r="P33" s="131"/>
    </row>
    <row r="34" spans="1:16" ht="15.75" thickBot="1">
      <c r="A34" s="130"/>
      <c r="C34" s="1046" t="s">
        <v>107</v>
      </c>
      <c r="D34" s="1047"/>
      <c r="E34" s="423"/>
      <c r="F34" s="61"/>
      <c r="G34" s="62"/>
      <c r="H34" s="62"/>
      <c r="I34" s="63"/>
      <c r="J34" s="424"/>
      <c r="P34" s="131"/>
    </row>
    <row r="35" spans="1:16" ht="15.75" thickTop="1">
      <c r="A35" s="130"/>
      <c r="C35" s="1044" t="s">
        <v>108</v>
      </c>
      <c r="D35" s="1045"/>
      <c r="E35" s="425">
        <f>E33-E34</f>
        <v>0</v>
      </c>
      <c r="F35" s="426"/>
      <c r="G35" s="425">
        <f>G33-G34</f>
        <v>0</v>
      </c>
      <c r="H35" s="425">
        <f>H33-H34</f>
        <v>0</v>
      </c>
      <c r="I35" s="427">
        <f>I33-I34</f>
        <v>0</v>
      </c>
      <c r="J35" s="425"/>
      <c r="P35" s="131"/>
    </row>
    <row r="36" spans="1:16">
      <c r="A36" s="130"/>
      <c r="C36" s="65"/>
      <c r="E36" s="65"/>
      <c r="F36" s="65"/>
      <c r="G36" s="66"/>
      <c r="H36" s="67"/>
      <c r="I36" s="65"/>
      <c r="J36" s="65"/>
      <c r="P36" s="131"/>
    </row>
    <row r="37" spans="1:16" s="36" customFormat="1" ht="15.75" customHeight="1">
      <c r="A37" s="433"/>
      <c r="C37" s="1042" t="s">
        <v>109</v>
      </c>
      <c r="D37" s="1043"/>
      <c r="E37" s="435" t="s">
        <v>71</v>
      </c>
      <c r="F37" s="436" t="s">
        <v>57</v>
      </c>
      <c r="G37" s="437" t="s">
        <v>104</v>
      </c>
      <c r="H37" s="437" t="s">
        <v>105</v>
      </c>
      <c r="I37" s="438" t="s">
        <v>70</v>
      </c>
      <c r="J37" s="439" t="s">
        <v>57</v>
      </c>
      <c r="P37" s="226"/>
    </row>
    <row r="38" spans="1:16">
      <c r="A38" s="130"/>
      <c r="C38" s="1040" t="s">
        <v>110</v>
      </c>
      <c r="D38" s="1041"/>
      <c r="E38" s="428"/>
      <c r="F38" s="429"/>
      <c r="G38" s="430"/>
      <c r="H38" s="430"/>
      <c r="I38" s="431">
        <f>E38+G38-H38</f>
        <v>0</v>
      </c>
      <c r="J38" s="432"/>
      <c r="P38" s="131"/>
    </row>
    <row r="39" spans="1:16">
      <c r="A39" s="130"/>
      <c r="B39" s="30"/>
      <c r="C39" s="30"/>
      <c r="F39" s="69"/>
      <c r="G39" s="69"/>
      <c r="H39" s="70" t="s">
        <v>111</v>
      </c>
      <c r="I39" s="70" t="s">
        <v>112</v>
      </c>
      <c r="J39" s="69"/>
      <c r="K39" s="69"/>
      <c r="L39" s="55"/>
      <c r="P39" s="131"/>
    </row>
    <row r="40" spans="1:16">
      <c r="A40" s="130"/>
      <c r="B40" s="30"/>
      <c r="C40" s="30"/>
      <c r="F40" s="69"/>
      <c r="G40" s="69"/>
      <c r="H40" s="70"/>
      <c r="I40" s="70"/>
      <c r="J40" s="69"/>
      <c r="K40" s="69"/>
      <c r="L40" s="55"/>
      <c r="P40" s="131"/>
    </row>
    <row r="41" spans="1:16">
      <c r="A41" s="130"/>
      <c r="B41" s="30"/>
      <c r="C41" s="71"/>
      <c r="F41" s="69"/>
      <c r="G41" s="69"/>
      <c r="H41" s="69"/>
      <c r="I41" s="69"/>
      <c r="J41" s="69"/>
      <c r="K41" s="69"/>
      <c r="L41" s="55"/>
      <c r="P41" s="131"/>
    </row>
    <row r="42" spans="1:16" ht="15.75" thickBot="1">
      <c r="A42" s="130"/>
      <c r="B42" s="1039" t="s">
        <v>113</v>
      </c>
      <c r="C42" s="1039"/>
      <c r="D42" s="1039"/>
      <c r="E42" s="71"/>
      <c r="F42" s="69"/>
      <c r="G42" s="69"/>
      <c r="H42" s="69"/>
      <c r="I42" s="69"/>
      <c r="J42" s="69"/>
      <c r="K42" s="69"/>
      <c r="L42" s="55"/>
      <c r="P42" s="131"/>
    </row>
    <row r="43" spans="1:16" ht="15.75" customHeight="1" thickBot="1">
      <c r="A43" s="130"/>
      <c r="B43" s="1037" t="s">
        <v>114</v>
      </c>
      <c r="C43" s="1037"/>
      <c r="D43" s="1038"/>
      <c r="E43" s="72" t="str">
        <f>IF(E35=0,"N/A",E38/E35)</f>
        <v>N/A</v>
      </c>
      <c r="F43" s="73"/>
      <c r="G43" s="74"/>
      <c r="H43" s="74"/>
      <c r="I43" s="72" t="str">
        <f>IF(I35=0,"N/A",I38/I35)</f>
        <v>N/A</v>
      </c>
      <c r="K43" s="73"/>
      <c r="L43" s="55"/>
      <c r="P43" s="131"/>
    </row>
    <row r="44" spans="1:16" ht="15.75" thickBot="1">
      <c r="A44" s="221"/>
      <c r="B44" s="222"/>
      <c r="C44" s="223"/>
      <c r="D44" s="223"/>
      <c r="E44" s="223"/>
      <c r="F44" s="223"/>
      <c r="G44" s="223"/>
      <c r="H44" s="223"/>
      <c r="I44" s="137"/>
      <c r="J44" s="137"/>
      <c r="K44" s="137"/>
      <c r="L44" s="133"/>
      <c r="M44" s="133"/>
      <c r="N44" s="133"/>
      <c r="O44" s="133"/>
      <c r="P44" s="134"/>
    </row>
    <row r="45" spans="1:16">
      <c r="A45" s="75"/>
      <c r="B45" s="55"/>
      <c r="C45" s="55"/>
      <c r="D45" s="55"/>
      <c r="E45" s="55"/>
      <c r="F45" s="55"/>
      <c r="G45" s="55"/>
      <c r="H45" s="55"/>
      <c r="I45" s="55"/>
      <c r="J45" s="55"/>
      <c r="K45" s="55"/>
    </row>
    <row r="46" spans="1:16" ht="15.75" thickBot="1">
      <c r="A46" s="75"/>
      <c r="B46" s="55"/>
      <c r="C46" s="55"/>
      <c r="D46" s="55"/>
      <c r="E46" s="55"/>
      <c r="F46" s="55"/>
      <c r="G46" s="55"/>
      <c r="H46" s="55"/>
      <c r="I46" s="55"/>
      <c r="J46" s="55"/>
      <c r="K46" s="55"/>
    </row>
    <row r="47" spans="1:16">
      <c r="A47" s="138"/>
      <c r="B47" s="139"/>
      <c r="C47" s="139"/>
      <c r="D47" s="139"/>
      <c r="E47" s="139"/>
      <c r="F47" s="139"/>
      <c r="G47" s="139"/>
      <c r="H47" s="139"/>
      <c r="I47" s="139"/>
      <c r="J47" s="139"/>
      <c r="K47" s="139"/>
      <c r="L47" s="128"/>
      <c r="M47" s="128"/>
      <c r="N47" s="128"/>
      <c r="O47" s="128"/>
      <c r="P47" s="129"/>
    </row>
    <row r="48" spans="1:16">
      <c r="A48" s="113" t="s">
        <v>115</v>
      </c>
      <c r="B48" s="76"/>
      <c r="C48" s="77"/>
      <c r="D48" s="77"/>
      <c r="E48" s="77"/>
      <c r="F48" s="77"/>
      <c r="G48" s="77"/>
      <c r="H48" s="77"/>
      <c r="I48" s="77"/>
      <c r="J48" s="77"/>
      <c r="K48" s="77"/>
      <c r="P48" s="131"/>
    </row>
    <row r="49" spans="1:16">
      <c r="A49" s="78"/>
      <c r="B49" s="77"/>
      <c r="C49" s="77"/>
      <c r="D49" s="77"/>
      <c r="E49" s="77"/>
      <c r="F49" s="77"/>
      <c r="G49" s="77"/>
      <c r="H49" s="77"/>
      <c r="I49" s="77"/>
      <c r="J49" s="77"/>
      <c r="K49" s="77"/>
      <c r="P49" s="131"/>
    </row>
    <row r="50" spans="1:16">
      <c r="A50" s="441" t="s">
        <v>116</v>
      </c>
      <c r="B50" s="442"/>
      <c r="C50" s="442"/>
      <c r="D50" s="442"/>
      <c r="E50" s="442"/>
      <c r="F50" s="41"/>
      <c r="G50" s="41"/>
      <c r="H50" s="41"/>
      <c r="I50" s="762"/>
      <c r="J50" s="762"/>
      <c r="K50" s="762"/>
      <c r="L50" s="762"/>
      <c r="P50" s="131"/>
    </row>
    <row r="51" spans="1:16" s="36" customFormat="1" ht="48.75" customHeight="1">
      <c r="A51" s="1027" t="s">
        <v>117</v>
      </c>
      <c r="B51" s="1028"/>
      <c r="C51" s="440" t="s">
        <v>118</v>
      </c>
      <c r="D51" s="440" t="s">
        <v>119</v>
      </c>
      <c r="E51" s="525" t="s">
        <v>120</v>
      </c>
      <c r="F51" s="440" t="s">
        <v>121</v>
      </c>
      <c r="G51" s="440" t="s">
        <v>122</v>
      </c>
      <c r="H51" s="440" t="s">
        <v>123</v>
      </c>
      <c r="I51" s="1029" t="s">
        <v>68</v>
      </c>
      <c r="J51" s="1029"/>
      <c r="K51" s="1029"/>
      <c r="L51" s="1029"/>
      <c r="M51" s="1029"/>
      <c r="N51" s="1029"/>
      <c r="O51" s="1029"/>
      <c r="P51" s="1030"/>
    </row>
    <row r="52" spans="1:16">
      <c r="A52" s="523"/>
      <c r="B52" s="732"/>
      <c r="C52" s="735"/>
      <c r="D52" s="735"/>
      <c r="E52" s="736"/>
      <c r="F52" s="737"/>
      <c r="G52" s="735">
        <f>F52*D52</f>
        <v>0</v>
      </c>
      <c r="H52" s="744"/>
      <c r="I52" s="747"/>
      <c r="J52" s="748"/>
      <c r="K52" s="748"/>
      <c r="L52" s="748"/>
      <c r="M52" s="748"/>
      <c r="N52" s="749"/>
      <c r="O52" s="749"/>
      <c r="P52" s="750"/>
    </row>
    <row r="53" spans="1:16">
      <c r="A53" s="521"/>
      <c r="B53" s="733"/>
      <c r="C53" s="739"/>
      <c r="D53" s="739"/>
      <c r="E53" s="740"/>
      <c r="F53" s="738"/>
      <c r="G53" s="739">
        <f>F53*D53</f>
        <v>0</v>
      </c>
      <c r="H53" s="744"/>
      <c r="I53" s="751"/>
      <c r="J53" s="646"/>
      <c r="K53" s="646"/>
      <c r="L53" s="646"/>
      <c r="M53" s="646"/>
      <c r="N53" s="350"/>
      <c r="O53" s="350"/>
      <c r="P53" s="752"/>
    </row>
    <row r="54" spans="1:16">
      <c r="A54" s="521"/>
      <c r="B54" s="733"/>
      <c r="C54" s="739"/>
      <c r="D54" s="739"/>
      <c r="E54" s="740"/>
      <c r="F54" s="738"/>
      <c r="G54" s="739">
        <f>F54*D54</f>
        <v>0</v>
      </c>
      <c r="H54" s="744"/>
      <c r="I54" s="751"/>
      <c r="J54" s="646"/>
      <c r="K54" s="646"/>
      <c r="L54" s="646"/>
      <c r="M54" s="646"/>
      <c r="N54" s="350"/>
      <c r="O54" s="350"/>
      <c r="P54" s="752"/>
    </row>
    <row r="55" spans="1:16">
      <c r="A55" s="521"/>
      <c r="B55" s="733"/>
      <c r="C55" s="739"/>
      <c r="D55" s="739"/>
      <c r="E55" s="740"/>
      <c r="F55" s="738"/>
      <c r="G55" s="739">
        <f>F55*D55</f>
        <v>0</v>
      </c>
      <c r="H55" s="744"/>
      <c r="I55" s="751"/>
      <c r="J55" s="646"/>
      <c r="K55" s="646"/>
      <c r="L55" s="646"/>
      <c r="M55" s="646"/>
      <c r="N55" s="350"/>
      <c r="O55" s="350"/>
      <c r="P55" s="752"/>
    </row>
    <row r="56" spans="1:16">
      <c r="A56" s="522"/>
      <c r="B56" s="734"/>
      <c r="C56" s="741"/>
      <c r="D56" s="741"/>
      <c r="E56" s="742"/>
      <c r="F56" s="743"/>
      <c r="G56" s="741">
        <f>F56*D56</f>
        <v>0</v>
      </c>
      <c r="H56" s="745"/>
      <c r="I56" s="753"/>
      <c r="J56" s="645"/>
      <c r="K56" s="645"/>
      <c r="L56" s="645"/>
      <c r="M56" s="645"/>
      <c r="N56" s="754"/>
      <c r="O56" s="754"/>
      <c r="P56" s="755"/>
    </row>
    <row r="57" spans="1:16" ht="15.75" thickBot="1">
      <c r="A57" s="78"/>
      <c r="C57" s="77"/>
      <c r="D57" s="77"/>
      <c r="E57" s="77"/>
      <c r="F57" s="77"/>
      <c r="G57" s="30"/>
      <c r="H57" s="30"/>
      <c r="P57" s="131"/>
    </row>
    <row r="58" spans="1:16">
      <c r="A58" s="78"/>
      <c r="C58" s="77"/>
      <c r="D58" s="83"/>
      <c r="E58" s="84"/>
      <c r="F58" s="85" t="s">
        <v>124</v>
      </c>
      <c r="G58" s="86">
        <f>SUM(G52:G56)</f>
        <v>0</v>
      </c>
      <c r="H58" s="30"/>
      <c r="P58" s="131"/>
    </row>
    <row r="59" spans="1:16">
      <c r="A59" s="78"/>
      <c r="C59" s="30"/>
      <c r="D59" s="83"/>
      <c r="E59" s="78"/>
      <c r="F59" s="87" t="s">
        <v>125</v>
      </c>
      <c r="G59" s="88"/>
      <c r="H59" s="30"/>
      <c r="P59" s="131"/>
    </row>
    <row r="60" spans="1:16" ht="15.75" thickBot="1">
      <c r="A60" s="78"/>
      <c r="C60" s="77"/>
      <c r="D60" s="89"/>
      <c r="E60" s="90"/>
      <c r="F60" s="91" t="s">
        <v>126</v>
      </c>
      <c r="G60" s="220" t="e">
        <f>G58/G59</f>
        <v>#DIV/0!</v>
      </c>
      <c r="H60" s="30"/>
      <c r="P60" s="131"/>
    </row>
    <row r="61" spans="1:16">
      <c r="A61" s="78"/>
      <c r="B61" s="77"/>
      <c r="C61" s="77"/>
      <c r="D61" s="77"/>
      <c r="E61" s="89"/>
      <c r="F61" s="89"/>
      <c r="G61" s="77"/>
      <c r="H61" s="89"/>
      <c r="I61" s="89"/>
      <c r="J61" s="77"/>
      <c r="K61" s="30"/>
      <c r="P61" s="131"/>
    </row>
    <row r="62" spans="1:16">
      <c r="A62" s="78"/>
      <c r="B62" s="77"/>
      <c r="C62" s="77"/>
      <c r="D62" s="77"/>
      <c r="E62" s="77"/>
      <c r="F62" s="77"/>
      <c r="G62" s="77"/>
      <c r="H62" s="77"/>
      <c r="I62" s="77"/>
      <c r="J62" s="77"/>
      <c r="K62" s="77"/>
      <c r="P62" s="131"/>
    </row>
    <row r="63" spans="1:16" ht="15.75" customHeight="1">
      <c r="A63" s="1031" t="s">
        <v>127</v>
      </c>
      <c r="B63" s="1032"/>
      <c r="C63" s="1032"/>
      <c r="D63" s="1032"/>
      <c r="E63" s="1032"/>
      <c r="F63" s="1032"/>
      <c r="G63" s="1032"/>
      <c r="H63" s="1032"/>
      <c r="I63" s="1032"/>
      <c r="J63" s="1032"/>
      <c r="K63" s="1032"/>
      <c r="L63" s="1032"/>
      <c r="M63" s="1032"/>
      <c r="N63" s="1032"/>
      <c r="O63" s="1032"/>
      <c r="P63" s="1033"/>
    </row>
    <row r="64" spans="1:16" ht="59.25" customHeight="1">
      <c r="A64" s="1027" t="s">
        <v>117</v>
      </c>
      <c r="B64" s="1028"/>
      <c r="C64" s="440" t="s">
        <v>128</v>
      </c>
      <c r="D64" s="440" t="s">
        <v>129</v>
      </c>
      <c r="E64" s="440" t="s">
        <v>130</v>
      </c>
      <c r="F64" s="440" t="s">
        <v>267</v>
      </c>
      <c r="G64" s="440" t="s">
        <v>131</v>
      </c>
      <c r="H64" s="440" t="s">
        <v>132</v>
      </c>
      <c r="I64" s="440" t="s">
        <v>133</v>
      </c>
      <c r="J64" s="1029" t="s">
        <v>68</v>
      </c>
      <c r="K64" s="1029"/>
      <c r="L64" s="1029"/>
      <c r="M64" s="1029"/>
      <c r="N64" s="1029"/>
      <c r="O64" s="1029"/>
      <c r="P64" s="1030"/>
    </row>
    <row r="65" spans="1:16">
      <c r="A65" s="523"/>
      <c r="B65" s="732"/>
      <c r="C65" s="227"/>
      <c r="D65" s="528"/>
      <c r="E65" s="79"/>
      <c r="F65" s="79"/>
      <c r="G65" s="80"/>
      <c r="H65" s="230">
        <f>E65-F65</f>
        <v>0</v>
      </c>
      <c r="I65" s="529"/>
      <c r="J65" s="756"/>
      <c r="K65" s="759"/>
      <c r="L65" s="749"/>
      <c r="M65" s="749"/>
      <c r="N65" s="749"/>
      <c r="O65" s="749"/>
      <c r="P65" s="750"/>
    </row>
    <row r="66" spans="1:16">
      <c r="A66" s="521"/>
      <c r="B66" s="733"/>
      <c r="C66" s="228"/>
      <c r="D66" s="527"/>
      <c r="E66" s="81"/>
      <c r="F66" s="81"/>
      <c r="G66" s="82"/>
      <c r="H66" s="231">
        <f t="shared" ref="H66:H69" si="0">E66-F66</f>
        <v>0</v>
      </c>
      <c r="I66" s="530"/>
      <c r="J66" s="757"/>
      <c r="K66" s="760"/>
      <c r="L66" s="350"/>
      <c r="M66" s="350"/>
      <c r="N66" s="350"/>
      <c r="O66" s="350"/>
      <c r="P66" s="752"/>
    </row>
    <row r="67" spans="1:16">
      <c r="A67" s="521"/>
      <c r="B67" s="733"/>
      <c r="C67" s="228"/>
      <c r="D67" s="527"/>
      <c r="E67" s="81"/>
      <c r="F67" s="81"/>
      <c r="G67" s="82"/>
      <c r="H67" s="231">
        <f t="shared" si="0"/>
        <v>0</v>
      </c>
      <c r="I67" s="530"/>
      <c r="J67" s="757"/>
      <c r="K67" s="760"/>
      <c r="L67" s="350"/>
      <c r="M67" s="350"/>
      <c r="N67" s="350"/>
      <c r="O67" s="350"/>
      <c r="P67" s="752"/>
    </row>
    <row r="68" spans="1:16">
      <c r="A68" s="521"/>
      <c r="B68" s="733"/>
      <c r="C68" s="228"/>
      <c r="D68" s="527"/>
      <c r="E68" s="81"/>
      <c r="F68" s="81"/>
      <c r="G68" s="82"/>
      <c r="H68" s="231">
        <f t="shared" si="0"/>
        <v>0</v>
      </c>
      <c r="I68" s="530"/>
      <c r="J68" s="757"/>
      <c r="K68" s="760"/>
      <c r="L68" s="350"/>
      <c r="M68" s="350"/>
      <c r="N68" s="350"/>
      <c r="O68" s="350"/>
      <c r="P68" s="752"/>
    </row>
    <row r="69" spans="1:16">
      <c r="A69" s="522"/>
      <c r="B69" s="734"/>
      <c r="C69" s="229"/>
      <c r="D69" s="526"/>
      <c r="E69" s="224"/>
      <c r="F69" s="224"/>
      <c r="G69" s="225"/>
      <c r="H69" s="232">
        <f t="shared" si="0"/>
        <v>0</v>
      </c>
      <c r="I69" s="746"/>
      <c r="J69" s="758"/>
      <c r="K69" s="761"/>
      <c r="L69" s="754"/>
      <c r="M69" s="754"/>
      <c r="N69" s="754"/>
      <c r="O69" s="754"/>
      <c r="P69" s="755"/>
    </row>
    <row r="70" spans="1:16" ht="15.75" thickBot="1">
      <c r="A70" s="78"/>
      <c r="C70" s="77"/>
      <c r="D70" s="77"/>
      <c r="E70" s="77"/>
      <c r="F70" s="77"/>
      <c r="G70" s="77"/>
      <c r="H70" s="77"/>
      <c r="I70" s="77"/>
      <c r="P70" s="131"/>
    </row>
    <row r="71" spans="1:16">
      <c r="A71" s="78"/>
      <c r="C71" s="92"/>
      <c r="D71" s="85" t="s">
        <v>124</v>
      </c>
      <c r="E71" s="93">
        <f>SUM(E65:E69)</f>
        <v>0</v>
      </c>
      <c r="F71" s="93">
        <f>SUM(F65:F69)</f>
        <v>0</v>
      </c>
      <c r="G71" s="93"/>
      <c r="H71" s="94">
        <f>SUM(E65:E69)</f>
        <v>0</v>
      </c>
      <c r="P71" s="131"/>
    </row>
    <row r="72" spans="1:16">
      <c r="A72" s="78"/>
      <c r="C72" s="45"/>
      <c r="D72" s="87" t="s">
        <v>134</v>
      </c>
      <c r="E72" s="95"/>
      <c r="F72" s="95"/>
      <c r="G72" s="95"/>
      <c r="H72" s="96"/>
      <c r="P72" s="131"/>
    </row>
    <row r="73" spans="1:16" ht="15.75" thickBot="1">
      <c r="A73" s="78"/>
      <c r="C73" s="97"/>
      <c r="D73" s="91" t="s">
        <v>126</v>
      </c>
      <c r="E73" s="98" t="e">
        <f>E71/E72</f>
        <v>#DIV/0!</v>
      </c>
      <c r="F73" s="98" t="e">
        <f>F71/F72</f>
        <v>#DIV/0!</v>
      </c>
      <c r="G73" s="98"/>
      <c r="H73" s="99" t="e">
        <f>H71/H72</f>
        <v>#DIV/0!</v>
      </c>
      <c r="P73" s="131"/>
    </row>
    <row r="74" spans="1:16" ht="15.75" thickBot="1">
      <c r="A74" s="132"/>
      <c r="B74" s="133"/>
      <c r="C74" s="133"/>
      <c r="D74" s="133"/>
      <c r="E74" s="133"/>
      <c r="F74" s="133"/>
      <c r="G74" s="133"/>
      <c r="H74" s="133"/>
      <c r="I74" s="133"/>
      <c r="J74" s="133"/>
      <c r="K74" s="133"/>
      <c r="L74" s="133"/>
      <c r="M74" s="133"/>
      <c r="N74" s="133"/>
      <c r="O74" s="133"/>
      <c r="P74" s="134"/>
    </row>
  </sheetData>
  <sheetProtection formatCells="0" formatColumns="0" formatRows="0" insertColumns="0" insertRows="0" insertHyperlinks="0" deleteColumns="0" deleteRows="0" sort="0" autoFilter="0" pivotTables="0"/>
  <mergeCells count="30">
    <mergeCell ref="O8:P8"/>
    <mergeCell ref="L9:N9"/>
    <mergeCell ref="O9:P9"/>
    <mergeCell ref="A63:P63"/>
    <mergeCell ref="A11:P11"/>
    <mergeCell ref="A13:P13"/>
    <mergeCell ref="A14:P14"/>
    <mergeCell ref="A18:P18"/>
    <mergeCell ref="B43:D43"/>
    <mergeCell ref="B42:D42"/>
    <mergeCell ref="C38:D38"/>
    <mergeCell ref="C37:D37"/>
    <mergeCell ref="C35:D35"/>
    <mergeCell ref="C34:D34"/>
    <mergeCell ref="C33:D33"/>
    <mergeCell ref="A51:B51"/>
    <mergeCell ref="D1:M2"/>
    <mergeCell ref="A3:P5"/>
    <mergeCell ref="E6:L7"/>
    <mergeCell ref="M6:N6"/>
    <mergeCell ref="O6:P6"/>
    <mergeCell ref="M7:N7"/>
    <mergeCell ref="O7:P7"/>
    <mergeCell ref="A64:B64"/>
    <mergeCell ref="I51:P51"/>
    <mergeCell ref="J64:P64"/>
    <mergeCell ref="A9:C9"/>
    <mergeCell ref="D9:E9"/>
    <mergeCell ref="F9:I9"/>
    <mergeCell ref="J9:K9"/>
  </mergeCells>
  <dataValidations count="2">
    <dataValidation type="list" showInputMessage="1" showErrorMessage="1" sqref="D9:E9" xr:uid="{00000000-0002-0000-0700-000000000000}">
      <formula1>RAS</formula1>
    </dataValidation>
    <dataValidation type="list" allowBlank="1" showInputMessage="1" showErrorMessage="1" sqref="O9:P9" xr:uid="{00000000-0002-0000-0700-000001000000}">
      <formula1>Diligences</formula1>
    </dataValidation>
  </dataValidations>
  <hyperlinks>
    <hyperlink ref="O8:P8" location="'V Synthèse'!A1" display="V Synthèse" xr:uid="{00000000-0004-0000-0700-000000000000}"/>
  </hyperlinks>
  <printOptions horizontalCentered="1"/>
  <pageMargins left="0.27559055118110237" right="0.27559055118110237" top="0.39370078740157483" bottom="0.39370078740157483" header="0.51181102362204722" footer="0.51181102362204722"/>
  <pageSetup paperSize="9" scale="43" fitToHeight="0" orientation="portrait" r:id="rId1"/>
  <headerFooter alignWithMargins="0"/>
  <drawing r:id="rId2"/>
  <legacyDrawing r:id="rId3"/>
  <oleObjects>
    <mc:AlternateContent xmlns:mc="http://schemas.openxmlformats.org/markup-compatibility/2006">
      <mc:Choice Requires="x14">
        <oleObject progId="Acrobat Document" dvAspect="DVASPECT_ICON" shapeId="7171" r:id="rId4">
          <objectPr defaultSize="0" r:id="rId5">
            <anchor moveWithCells="1">
              <from>
                <xdr:col>11</xdr:col>
                <xdr:colOff>247650</xdr:colOff>
                <xdr:row>10</xdr:row>
                <xdr:rowOff>1933575</xdr:rowOff>
              </from>
              <to>
                <xdr:col>12</xdr:col>
                <xdr:colOff>552450</xdr:colOff>
                <xdr:row>10</xdr:row>
                <xdr:rowOff>2619375</xdr:rowOff>
              </to>
            </anchor>
          </objectPr>
        </oleObject>
      </mc:Choice>
      <mc:Fallback>
        <oleObject progId="Acrobat Document" dvAspect="DVASPECT_ICON" shapeId="7171" r:id="rId4"/>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dimension ref="A1:U42"/>
  <sheetViews>
    <sheetView showGridLines="0" zoomScale="90" zoomScaleNormal="90" workbookViewId="0"/>
  </sheetViews>
  <sheetFormatPr baseColWidth="10" defaultColWidth="11.42578125" defaultRowHeight="15.75"/>
  <cols>
    <col min="1" max="1" width="20.7109375" style="7" customWidth="1"/>
    <col min="2" max="2" width="21.7109375" style="7" customWidth="1"/>
    <col min="3" max="3" width="16.85546875" style="7" customWidth="1"/>
    <col min="4" max="11" width="14.7109375" style="7" customWidth="1"/>
    <col min="12" max="16" width="9.5703125" style="7" customWidth="1"/>
    <col min="17" max="16384" width="11.42578125" style="7"/>
  </cols>
  <sheetData>
    <row r="1" spans="1:21" s="1" customFormat="1" ht="15" customHeight="1">
      <c r="A1" s="10"/>
      <c r="B1" s="11"/>
      <c r="C1" s="11"/>
      <c r="D1" s="972" t="str">
        <f>'V Synthèse'!D1:M2</f>
        <v>#NomClient</v>
      </c>
      <c r="E1" s="973"/>
      <c r="F1" s="973"/>
      <c r="G1" s="973"/>
      <c r="H1" s="973"/>
      <c r="I1" s="973"/>
      <c r="J1" s="973"/>
      <c r="K1" s="973"/>
      <c r="L1" s="973"/>
      <c r="M1" s="974"/>
      <c r="N1" s="11"/>
      <c r="O1" s="11"/>
      <c r="P1" s="12"/>
    </row>
    <row r="2" spans="1:21" s="1"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6"/>
    </row>
    <row r="4" spans="1:21" ht="15" customHeight="1">
      <c r="A4" s="905"/>
      <c r="B4" s="906"/>
      <c r="C4" s="906"/>
      <c r="D4" s="906"/>
      <c r="E4" s="906"/>
      <c r="F4" s="906"/>
      <c r="G4" s="906"/>
      <c r="H4" s="906"/>
      <c r="I4" s="906"/>
      <c r="J4" s="906"/>
      <c r="K4" s="906"/>
      <c r="L4" s="906"/>
      <c r="M4" s="906"/>
      <c r="N4" s="906"/>
      <c r="O4" s="906"/>
      <c r="P4" s="907"/>
      <c r="R4" s="3"/>
      <c r="T4" s="5"/>
      <c r="U4" s="6"/>
    </row>
    <row r="5" spans="1:21" ht="15" customHeight="1" thickBot="1">
      <c r="A5" s="908"/>
      <c r="B5" s="909"/>
      <c r="C5" s="909"/>
      <c r="D5" s="909"/>
      <c r="E5" s="909"/>
      <c r="F5" s="909"/>
      <c r="G5" s="909"/>
      <c r="H5" s="909"/>
      <c r="I5" s="909"/>
      <c r="J5" s="909"/>
      <c r="K5" s="909"/>
      <c r="L5" s="909"/>
      <c r="M5" s="909"/>
      <c r="N5" s="909"/>
      <c r="O5" s="909"/>
      <c r="P5" s="910"/>
      <c r="Q5" s="8"/>
      <c r="R5" s="4"/>
      <c r="S5" s="24"/>
      <c r="T5" s="24"/>
      <c r="U5" s="24"/>
    </row>
    <row r="6" spans="1:21" ht="15" customHeight="1">
      <c r="A6" s="17" t="s">
        <v>3</v>
      </c>
      <c r="B6" s="415" t="str">
        <f>'V Synthèse'!B6</f>
        <v>BRA</v>
      </c>
      <c r="C6" s="17" t="s">
        <v>294</v>
      </c>
      <c r="D6" s="415">
        <f>'V Synthèse'!D6</f>
        <v>0</v>
      </c>
      <c r="E6" s="923" t="s">
        <v>251</v>
      </c>
      <c r="F6" s="924"/>
      <c r="G6" s="924"/>
      <c r="H6" s="924"/>
      <c r="I6" s="924"/>
      <c r="J6" s="924"/>
      <c r="K6" s="924"/>
      <c r="L6" s="925"/>
      <c r="M6" s="978" t="s">
        <v>7</v>
      </c>
      <c r="N6" s="979"/>
      <c r="O6" s="915" t="s">
        <v>6</v>
      </c>
      <c r="P6" s="916"/>
      <c r="R6" s="1"/>
      <c r="S6" s="1"/>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29</v>
      </c>
      <c r="P7" s="918"/>
    </row>
    <row r="8" spans="1:21" ht="21" customHeight="1" thickBot="1">
      <c r="A8" s="19"/>
      <c r="B8" s="16"/>
      <c r="C8" s="20"/>
      <c r="D8" s="20"/>
      <c r="E8" s="21"/>
      <c r="F8" s="21"/>
      <c r="G8" s="21"/>
      <c r="H8" s="21"/>
      <c r="I8" s="21"/>
      <c r="J8" s="21"/>
      <c r="K8" s="21"/>
      <c r="L8" s="21"/>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s="26" customFormat="1" ht="111" customHeight="1" thickBot="1">
      <c r="A11" s="964" t="s">
        <v>135</v>
      </c>
      <c r="B11" s="965"/>
      <c r="C11" s="965"/>
      <c r="D11" s="965"/>
      <c r="E11" s="965"/>
      <c r="F11" s="965"/>
      <c r="G11" s="965"/>
      <c r="H11" s="965"/>
      <c r="I11" s="965"/>
      <c r="J11" s="965"/>
      <c r="K11" s="965"/>
      <c r="L11" s="965"/>
      <c r="M11" s="965"/>
      <c r="N11" s="965"/>
      <c r="O11" s="965"/>
      <c r="P11" s="966"/>
    </row>
    <row r="12" spans="1:21" s="26" customFormat="1" ht="9" customHeight="1" thickBot="1"/>
    <row r="13" spans="1:21" s="26" customFormat="1" ht="15">
      <c r="A13" s="952" t="s">
        <v>21</v>
      </c>
      <c r="B13" s="953"/>
      <c r="C13" s="953"/>
      <c r="D13" s="953"/>
      <c r="E13" s="953"/>
      <c r="F13" s="953"/>
      <c r="G13" s="953"/>
      <c r="H13" s="953"/>
      <c r="I13" s="953"/>
      <c r="J13" s="953"/>
      <c r="K13" s="953"/>
      <c r="L13" s="953"/>
      <c r="M13" s="953"/>
      <c r="N13" s="953"/>
      <c r="O13" s="953"/>
      <c r="P13" s="954"/>
    </row>
    <row r="14" spans="1:21" s="26" customFormat="1" ht="60" customHeight="1" thickBot="1">
      <c r="A14" s="967"/>
      <c r="B14" s="968"/>
      <c r="C14" s="968"/>
      <c r="D14" s="968"/>
      <c r="E14" s="968"/>
      <c r="F14" s="968"/>
      <c r="G14" s="968"/>
      <c r="H14" s="968"/>
      <c r="I14" s="968"/>
      <c r="J14" s="968"/>
      <c r="K14" s="968"/>
      <c r="L14" s="968"/>
      <c r="M14" s="968"/>
      <c r="N14" s="968"/>
      <c r="O14" s="968"/>
      <c r="P14" s="969"/>
    </row>
    <row r="15" spans="1:21" ht="16.5" thickBot="1"/>
    <row r="16" spans="1:21">
      <c r="A16" s="233"/>
      <c r="B16" s="234"/>
      <c r="C16" s="234"/>
      <c r="D16" s="234"/>
      <c r="E16" s="234"/>
      <c r="F16" s="234"/>
      <c r="G16" s="234"/>
      <c r="H16" s="234"/>
      <c r="I16" s="234"/>
      <c r="J16" s="234"/>
      <c r="K16" s="234"/>
      <c r="L16" s="234"/>
      <c r="M16" s="234"/>
      <c r="N16" s="234"/>
      <c r="O16" s="234"/>
      <c r="P16" s="235"/>
    </row>
    <row r="17" spans="1:16">
      <c r="A17" s="236" t="s">
        <v>136</v>
      </c>
      <c r="B17" s="101"/>
      <c r="C17" s="101"/>
      <c r="D17" s="101"/>
      <c r="E17" s="101"/>
      <c r="F17" s="101"/>
      <c r="G17" s="103"/>
      <c r="H17" s="103"/>
      <c r="I17" s="101"/>
      <c r="P17" s="237"/>
    </row>
    <row r="18" spans="1:16">
      <c r="A18" s="238"/>
      <c r="B18" s="101"/>
      <c r="C18" s="101"/>
      <c r="D18" s="101"/>
      <c r="E18" s="101"/>
      <c r="F18" s="101"/>
      <c r="G18" s="103"/>
      <c r="H18" s="103"/>
      <c r="I18" s="101"/>
      <c r="P18" s="237"/>
    </row>
    <row r="19" spans="1:16">
      <c r="A19" s="239"/>
      <c r="B19" s="101"/>
      <c r="C19" s="7" t="s">
        <v>268</v>
      </c>
      <c r="D19" s="240" t="s">
        <v>320</v>
      </c>
      <c r="E19" s="240" t="s">
        <v>137</v>
      </c>
      <c r="F19" s="241" t="s">
        <v>138</v>
      </c>
      <c r="G19" s="241" t="s">
        <v>139</v>
      </c>
      <c r="H19" s="241" t="s">
        <v>140</v>
      </c>
      <c r="I19" s="241" t="s">
        <v>141</v>
      </c>
      <c r="J19" s="241" t="s">
        <v>142</v>
      </c>
      <c r="K19" s="241" t="s">
        <v>143</v>
      </c>
      <c r="P19" s="237"/>
    </row>
    <row r="20" spans="1:16" s="1" customFormat="1" ht="21" customHeight="1">
      <c r="A20" s="783"/>
      <c r="B20" s="784" t="s">
        <v>144</v>
      </c>
      <c r="C20" s="785">
        <f>SUM(D20:K20)</f>
        <v>0</v>
      </c>
      <c r="D20" s="786"/>
      <c r="E20" s="787"/>
      <c r="F20" s="787"/>
      <c r="G20" s="787"/>
      <c r="H20" s="787"/>
      <c r="I20" s="787"/>
      <c r="J20" s="617"/>
      <c r="K20" s="788"/>
      <c r="P20" s="789"/>
    </row>
    <row r="21" spans="1:16" s="1" customFormat="1" ht="21" customHeight="1">
      <c r="A21" s="783"/>
      <c r="B21" s="790" t="s">
        <v>145</v>
      </c>
      <c r="D21" s="622" t="e">
        <f>+D20/$C$20</f>
        <v>#DIV/0!</v>
      </c>
      <c r="E21" s="622" t="e">
        <f>+E20/$C$20</f>
        <v>#DIV/0!</v>
      </c>
      <c r="F21" s="622" t="e">
        <f t="shared" ref="F21:K21" si="0">+F20/$C$20</f>
        <v>#DIV/0!</v>
      </c>
      <c r="G21" s="622" t="e">
        <f t="shared" si="0"/>
        <v>#DIV/0!</v>
      </c>
      <c r="H21" s="622" t="e">
        <f t="shared" si="0"/>
        <v>#DIV/0!</v>
      </c>
      <c r="I21" s="622" t="e">
        <f t="shared" si="0"/>
        <v>#DIV/0!</v>
      </c>
      <c r="J21" s="622" t="e">
        <f t="shared" si="0"/>
        <v>#DIV/0!</v>
      </c>
      <c r="K21" s="622" t="e">
        <f t="shared" si="0"/>
        <v>#DIV/0!</v>
      </c>
      <c r="P21" s="789"/>
    </row>
    <row r="22" spans="1:16">
      <c r="A22" s="242"/>
      <c r="B22" s="243"/>
      <c r="D22" s="497"/>
      <c r="E22" s="497"/>
      <c r="F22" s="497"/>
      <c r="G22" s="497"/>
      <c r="H22" s="497"/>
      <c r="I22" s="497"/>
      <c r="J22" s="497"/>
      <c r="K22" s="497"/>
      <c r="P22" s="237"/>
    </row>
    <row r="23" spans="1:16">
      <c r="A23" s="242"/>
      <c r="B23" s="102"/>
      <c r="D23" s="240" t="s">
        <v>320</v>
      </c>
      <c r="E23" s="244"/>
      <c r="F23" s="244"/>
      <c r="G23" s="244"/>
      <c r="H23" s="244"/>
      <c r="I23" s="244"/>
      <c r="J23" s="244"/>
      <c r="K23" s="244"/>
      <c r="P23" s="237"/>
    </row>
    <row r="24" spans="1:16" s="1" customFormat="1" ht="21" customHeight="1">
      <c r="A24" s="783"/>
      <c r="B24" s="784" t="s">
        <v>146</v>
      </c>
      <c r="C24" s="785">
        <f>SUM(D24:K24)</f>
        <v>0</v>
      </c>
      <c r="D24" s="786"/>
      <c r="E24" s="787"/>
      <c r="F24" s="787"/>
      <c r="G24" s="787"/>
      <c r="H24" s="787"/>
      <c r="I24" s="787"/>
      <c r="J24" s="617"/>
      <c r="K24" s="788"/>
      <c r="P24" s="789"/>
    </row>
    <row r="25" spans="1:16" s="1" customFormat="1" ht="21" customHeight="1">
      <c r="A25" s="783"/>
      <c r="B25" s="790" t="s">
        <v>145</v>
      </c>
      <c r="D25" s="622" t="e">
        <f>+D24/$C$24</f>
        <v>#DIV/0!</v>
      </c>
      <c r="E25" s="622" t="e">
        <f>+E24/$C$24</f>
        <v>#DIV/0!</v>
      </c>
      <c r="F25" s="622" t="e">
        <f t="shared" ref="F25:K25" si="1">+F24/$C$24</f>
        <v>#DIV/0!</v>
      </c>
      <c r="G25" s="622" t="e">
        <f t="shared" si="1"/>
        <v>#DIV/0!</v>
      </c>
      <c r="H25" s="622" t="e">
        <f t="shared" si="1"/>
        <v>#DIV/0!</v>
      </c>
      <c r="I25" s="622" t="e">
        <f t="shared" si="1"/>
        <v>#DIV/0!</v>
      </c>
      <c r="J25" s="622" t="e">
        <f t="shared" si="1"/>
        <v>#DIV/0!</v>
      </c>
      <c r="K25" s="622" t="e">
        <f t="shared" si="1"/>
        <v>#DIV/0!</v>
      </c>
      <c r="P25" s="789"/>
    </row>
    <row r="26" spans="1:16">
      <c r="A26" s="245"/>
      <c r="B26" s="103"/>
      <c r="C26" s="104"/>
      <c r="D26" s="103"/>
      <c r="E26" s="103"/>
      <c r="F26" s="105"/>
      <c r="G26" s="103"/>
      <c r="H26" s="103"/>
      <c r="P26" s="237"/>
    </row>
    <row r="27" spans="1:16">
      <c r="A27" s="245"/>
      <c r="B27" s="103"/>
      <c r="C27" s="103"/>
      <c r="D27" s="104"/>
      <c r="E27" s="103"/>
      <c r="F27" s="103"/>
      <c r="G27" s="105"/>
      <c r="H27" s="103"/>
      <c r="I27" s="103"/>
      <c r="P27" s="237"/>
    </row>
    <row r="28" spans="1:16">
      <c r="A28" s="246" t="s">
        <v>147</v>
      </c>
      <c r="B28" s="103"/>
      <c r="C28" s="103"/>
      <c r="D28" s="104"/>
      <c r="E28" s="103"/>
      <c r="F28" s="103"/>
      <c r="G28" s="105"/>
      <c r="H28" s="103"/>
      <c r="I28" s="103"/>
      <c r="P28" s="237"/>
    </row>
    <row r="29" spans="1:16">
      <c r="A29" s="247" t="s">
        <v>321</v>
      </c>
      <c r="B29" s="103"/>
      <c r="C29" s="103"/>
      <c r="D29" s="104"/>
      <c r="E29" s="103"/>
      <c r="F29" s="103"/>
      <c r="G29" s="105"/>
      <c r="H29" s="103"/>
      <c r="I29" s="103"/>
      <c r="P29" s="237"/>
    </row>
    <row r="30" spans="1:16">
      <c r="A30" s="248"/>
      <c r="B30" s="103"/>
      <c r="C30" s="103"/>
      <c r="D30" s="104"/>
      <c r="E30" s="103"/>
      <c r="F30" s="103"/>
      <c r="G30" s="105"/>
      <c r="H30" s="103"/>
      <c r="I30" s="103"/>
      <c r="P30" s="237"/>
    </row>
    <row r="31" spans="1:16" ht="38.25" customHeight="1">
      <c r="A31" s="498" t="s">
        <v>148</v>
      </c>
      <c r="B31" s="1050" t="s">
        <v>149</v>
      </c>
      <c r="C31" s="1050"/>
      <c r="D31" s="1050"/>
      <c r="E31" s="482" t="s">
        <v>150</v>
      </c>
      <c r="F31" s="482" t="s">
        <v>151</v>
      </c>
      <c r="G31" s="482" t="s">
        <v>357</v>
      </c>
      <c r="H31" s="1051" t="s">
        <v>152</v>
      </c>
      <c r="I31" s="1052"/>
      <c r="J31" s="1052"/>
      <c r="K31" s="1052"/>
      <c r="L31" s="1052"/>
      <c r="M31" s="1052"/>
      <c r="N31" s="1052"/>
      <c r="O31" s="1052"/>
      <c r="P31" s="1053"/>
    </row>
    <row r="32" spans="1:16" s="1" customFormat="1">
      <c r="A32" s="768"/>
      <c r="B32" s="769"/>
      <c r="C32" s="770"/>
      <c r="D32" s="763"/>
      <c r="E32" s="618"/>
      <c r="F32" s="618"/>
      <c r="G32" s="618"/>
      <c r="H32" s="647"/>
      <c r="I32" s="648"/>
      <c r="J32" s="648"/>
      <c r="K32" s="648"/>
      <c r="L32" s="771"/>
      <c r="M32" s="771"/>
      <c r="N32" s="771"/>
      <c r="O32" s="771"/>
      <c r="P32" s="772"/>
    </row>
    <row r="33" spans="1:16" s="1" customFormat="1">
      <c r="A33" s="773"/>
      <c r="B33" s="774"/>
      <c r="C33" s="775"/>
      <c r="D33" s="764"/>
      <c r="E33" s="619"/>
      <c r="F33" s="619"/>
      <c r="G33" s="619"/>
      <c r="H33" s="649"/>
      <c r="I33" s="650"/>
      <c r="J33" s="650"/>
      <c r="K33" s="650"/>
      <c r="L33" s="776"/>
      <c r="M33" s="776"/>
      <c r="N33" s="776"/>
      <c r="O33" s="776"/>
      <c r="P33" s="777"/>
    </row>
    <row r="34" spans="1:16" s="1" customFormat="1">
      <c r="A34" s="773"/>
      <c r="B34" s="774"/>
      <c r="C34" s="775"/>
      <c r="D34" s="764"/>
      <c r="E34" s="619"/>
      <c r="F34" s="619"/>
      <c r="G34" s="619"/>
      <c r="H34" s="649"/>
      <c r="I34" s="650"/>
      <c r="J34" s="650"/>
      <c r="K34" s="650"/>
      <c r="L34" s="776"/>
      <c r="M34" s="776"/>
      <c r="N34" s="776"/>
      <c r="O34" s="776"/>
      <c r="P34" s="777"/>
    </row>
    <row r="35" spans="1:16" s="1" customFormat="1">
      <c r="A35" s="773"/>
      <c r="B35" s="774"/>
      <c r="C35" s="775"/>
      <c r="D35" s="764"/>
      <c r="E35" s="619"/>
      <c r="F35" s="619"/>
      <c r="G35" s="619"/>
      <c r="H35" s="649"/>
      <c r="I35" s="650"/>
      <c r="J35" s="650"/>
      <c r="K35" s="650"/>
      <c r="L35" s="776"/>
      <c r="M35" s="776"/>
      <c r="N35" s="776"/>
      <c r="O35" s="776"/>
      <c r="P35" s="777"/>
    </row>
    <row r="36" spans="1:16" s="1" customFormat="1">
      <c r="A36" s="773"/>
      <c r="B36" s="774"/>
      <c r="C36" s="775"/>
      <c r="D36" s="764"/>
      <c r="E36" s="619"/>
      <c r="F36" s="619"/>
      <c r="G36" s="619"/>
      <c r="H36" s="649"/>
      <c r="I36" s="650"/>
      <c r="J36" s="650"/>
      <c r="K36" s="650"/>
      <c r="L36" s="776"/>
      <c r="M36" s="776"/>
      <c r="N36" s="776"/>
      <c r="O36" s="776"/>
      <c r="P36" s="777"/>
    </row>
    <row r="37" spans="1:16" s="1" customFormat="1">
      <c r="A37" s="773"/>
      <c r="B37" s="774"/>
      <c r="C37" s="775"/>
      <c r="D37" s="764"/>
      <c r="E37" s="619"/>
      <c r="F37" s="619"/>
      <c r="G37" s="619"/>
      <c r="H37" s="649"/>
      <c r="I37" s="650"/>
      <c r="J37" s="650"/>
      <c r="K37" s="650"/>
      <c r="L37" s="776"/>
      <c r="M37" s="776"/>
      <c r="N37" s="776"/>
      <c r="O37" s="776"/>
      <c r="P37" s="777"/>
    </row>
    <row r="38" spans="1:16" s="1" customFormat="1">
      <c r="A38" s="778"/>
      <c r="B38" s="779"/>
      <c r="C38" s="780"/>
      <c r="D38" s="765"/>
      <c r="E38" s="620"/>
      <c r="F38" s="620"/>
      <c r="G38" s="620"/>
      <c r="H38" s="766"/>
      <c r="I38" s="651"/>
      <c r="J38" s="651"/>
      <c r="K38" s="651"/>
      <c r="L38" s="781"/>
      <c r="M38" s="781"/>
      <c r="N38" s="781"/>
      <c r="O38" s="781"/>
      <c r="P38" s="782"/>
    </row>
    <row r="39" spans="1:16">
      <c r="A39" s="242"/>
      <c r="D39" s="767" t="s">
        <v>322</v>
      </c>
      <c r="E39" s="621">
        <f>SUM(E32:E38)</f>
        <v>0</v>
      </c>
      <c r="F39" s="106"/>
      <c r="G39" s="106"/>
      <c r="P39" s="237"/>
    </row>
    <row r="40" spans="1:16">
      <c r="A40" s="242"/>
      <c r="D40" s="767" t="s">
        <v>323</v>
      </c>
      <c r="E40" s="621">
        <f>SUM(F20:K20)</f>
        <v>0</v>
      </c>
      <c r="F40" s="106"/>
      <c r="G40" s="106"/>
      <c r="P40" s="237"/>
    </row>
    <row r="41" spans="1:16">
      <c r="A41" s="242"/>
      <c r="D41" s="767" t="s">
        <v>153</v>
      </c>
      <c r="E41" s="622" t="str">
        <f>IF(E40=0,"N/A",E39/E40)</f>
        <v>N/A</v>
      </c>
      <c r="F41" s="107"/>
      <c r="G41" s="106"/>
      <c r="H41" s="103"/>
      <c r="P41" s="237"/>
    </row>
    <row r="42" spans="1:16" ht="16.5" thickBot="1">
      <c r="A42" s="249"/>
      <c r="B42" s="250"/>
      <c r="C42" s="250"/>
      <c r="D42" s="250"/>
      <c r="E42" s="250"/>
      <c r="F42" s="250"/>
      <c r="G42" s="250"/>
      <c r="H42" s="250"/>
      <c r="I42" s="250"/>
      <c r="J42" s="250"/>
      <c r="K42" s="250"/>
      <c r="L42" s="250"/>
      <c r="M42" s="250"/>
      <c r="N42" s="250"/>
      <c r="O42" s="250"/>
      <c r="P42" s="251"/>
    </row>
  </sheetData>
  <sheetProtection formatCells="0" formatColumns="0" formatRows="0" insertColumns="0" insertRows="0" insertHyperlinks="0" deleteColumns="0" deleteRows="0" sort="0" autoFilter="0" pivotTables="0"/>
  <mergeCells count="19">
    <mergeCell ref="D1:M2"/>
    <mergeCell ref="A3:P5"/>
    <mergeCell ref="E6:L7"/>
    <mergeCell ref="M6:N6"/>
    <mergeCell ref="O6:P6"/>
    <mergeCell ref="M7:N7"/>
    <mergeCell ref="O7:P7"/>
    <mergeCell ref="B31:D31"/>
    <mergeCell ref="H31:P31"/>
    <mergeCell ref="J9:K9"/>
    <mergeCell ref="L9:N9"/>
    <mergeCell ref="O8:P8"/>
    <mergeCell ref="O9:P9"/>
    <mergeCell ref="A11:P11"/>
    <mergeCell ref="A13:P13"/>
    <mergeCell ref="A14:P14"/>
    <mergeCell ref="A9:C9"/>
    <mergeCell ref="D9:E9"/>
    <mergeCell ref="F9:I9"/>
  </mergeCells>
  <dataValidations count="2">
    <dataValidation type="list" allowBlank="1" showInputMessage="1" showErrorMessage="1" sqref="O9:P9" xr:uid="{00000000-0002-0000-0800-000000000000}">
      <formula1>Diligences</formula1>
    </dataValidation>
    <dataValidation type="list" showInputMessage="1" showErrorMessage="1" sqref="D9:E9" xr:uid="{00000000-0002-0000-0800-000001000000}">
      <formula1>RAS</formula1>
    </dataValidation>
  </dataValidations>
  <hyperlinks>
    <hyperlink ref="O8:P8" location="'V Synthèse'!A1" display="V Synthèse" xr:uid="{00000000-0004-0000-08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dimension ref="A1:U38"/>
  <sheetViews>
    <sheetView showGridLines="0" topLeftCell="A7" zoomScale="90" zoomScaleNormal="90" workbookViewId="0">
      <selection activeCell="A14" sqref="A14:P14"/>
    </sheetView>
  </sheetViews>
  <sheetFormatPr baseColWidth="10" defaultColWidth="11.42578125" defaultRowHeight="15.75"/>
  <cols>
    <col min="1" max="7" width="14.7109375" style="7" customWidth="1"/>
    <col min="8" max="16" width="13.5703125" style="7" customWidth="1"/>
    <col min="17" max="16384" width="11.42578125" style="7"/>
  </cols>
  <sheetData>
    <row r="1" spans="1:21" s="1" customFormat="1" ht="15" customHeight="1">
      <c r="A1" s="10"/>
      <c r="B1" s="11"/>
      <c r="C1" s="11"/>
      <c r="D1" s="972" t="str">
        <f>'V Synthèse'!D1:M2</f>
        <v>#NomClient</v>
      </c>
      <c r="E1" s="973"/>
      <c r="F1" s="973"/>
      <c r="G1" s="973"/>
      <c r="H1" s="973"/>
      <c r="I1" s="973"/>
      <c r="J1" s="973"/>
      <c r="K1" s="973"/>
      <c r="L1" s="973"/>
      <c r="M1" s="974"/>
      <c r="N1" s="11"/>
      <c r="O1" s="11"/>
      <c r="P1" s="12"/>
    </row>
    <row r="2" spans="1:21" s="1"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6"/>
    </row>
    <row r="4" spans="1:21" ht="15" customHeight="1">
      <c r="A4" s="905"/>
      <c r="B4" s="906"/>
      <c r="C4" s="906"/>
      <c r="D4" s="906"/>
      <c r="E4" s="906"/>
      <c r="F4" s="906"/>
      <c r="G4" s="906"/>
      <c r="H4" s="906"/>
      <c r="I4" s="906"/>
      <c r="J4" s="906"/>
      <c r="K4" s="906"/>
      <c r="L4" s="906"/>
      <c r="M4" s="906"/>
      <c r="N4" s="906"/>
      <c r="O4" s="906"/>
      <c r="P4" s="907"/>
      <c r="R4" s="3"/>
      <c r="T4" s="5"/>
      <c r="U4" s="6"/>
    </row>
    <row r="5" spans="1:21" ht="15" customHeight="1" thickBot="1">
      <c r="A5" s="908"/>
      <c r="B5" s="909"/>
      <c r="C5" s="909"/>
      <c r="D5" s="909"/>
      <c r="E5" s="909"/>
      <c r="F5" s="909"/>
      <c r="G5" s="909"/>
      <c r="H5" s="909"/>
      <c r="I5" s="909"/>
      <c r="J5" s="909"/>
      <c r="K5" s="909"/>
      <c r="L5" s="909"/>
      <c r="M5" s="909"/>
      <c r="N5" s="909"/>
      <c r="O5" s="909"/>
      <c r="P5" s="910"/>
      <c r="Q5" s="8"/>
      <c r="R5" s="4"/>
      <c r="S5" s="24"/>
      <c r="T5" s="24"/>
      <c r="U5" s="24"/>
    </row>
    <row r="6" spans="1:21" ht="15" customHeight="1">
      <c r="A6" s="17" t="s">
        <v>3</v>
      </c>
      <c r="B6" s="415" t="str">
        <f>'V Synthèse'!B6</f>
        <v>BRA</v>
      </c>
      <c r="C6" s="17" t="s">
        <v>294</v>
      </c>
      <c r="D6" s="415">
        <f>'V Synthèse'!D6</f>
        <v>0</v>
      </c>
      <c r="E6" s="923" t="s">
        <v>252</v>
      </c>
      <c r="F6" s="924"/>
      <c r="G6" s="924"/>
      <c r="H6" s="924"/>
      <c r="I6" s="924"/>
      <c r="J6" s="924"/>
      <c r="K6" s="924"/>
      <c r="L6" s="925"/>
      <c r="M6" s="978" t="s">
        <v>7</v>
      </c>
      <c r="N6" s="979"/>
      <c r="O6" s="915" t="s">
        <v>6</v>
      </c>
      <c r="P6" s="916"/>
      <c r="R6" s="1"/>
      <c r="S6" s="1"/>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305</v>
      </c>
      <c r="P7" s="918"/>
    </row>
    <row r="8" spans="1:21" ht="21" customHeight="1" thickBot="1">
      <c r="A8" s="19"/>
      <c r="B8" s="16"/>
      <c r="C8" s="20"/>
      <c r="D8" s="20"/>
      <c r="E8" s="21"/>
      <c r="F8" s="21"/>
      <c r="G8" s="21"/>
      <c r="H8" s="21"/>
      <c r="I8" s="21"/>
      <c r="J8" s="21"/>
      <c r="K8" s="21"/>
      <c r="L8" s="21"/>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s="26" customFormat="1" ht="159" customHeight="1" thickBot="1">
      <c r="A11" s="964" t="s">
        <v>289</v>
      </c>
      <c r="B11" s="965"/>
      <c r="C11" s="965"/>
      <c r="D11" s="965"/>
      <c r="E11" s="965"/>
      <c r="F11" s="965"/>
      <c r="G11" s="965"/>
      <c r="H11" s="965"/>
      <c r="I11" s="965"/>
      <c r="J11" s="965"/>
      <c r="K11" s="965"/>
      <c r="L11" s="965"/>
      <c r="M11" s="965"/>
      <c r="N11" s="965"/>
      <c r="O11" s="965"/>
      <c r="P11" s="966"/>
    </row>
    <row r="12" spans="1:21" s="26" customFormat="1" ht="9" customHeight="1" thickBot="1"/>
    <row r="13" spans="1:21" s="26" customFormat="1" ht="15">
      <c r="A13" s="952" t="s">
        <v>21</v>
      </c>
      <c r="B13" s="953"/>
      <c r="C13" s="953"/>
      <c r="D13" s="953"/>
      <c r="E13" s="953"/>
      <c r="F13" s="953"/>
      <c r="G13" s="953"/>
      <c r="H13" s="953"/>
      <c r="I13" s="953"/>
      <c r="J13" s="953"/>
      <c r="K13" s="953"/>
      <c r="L13" s="953"/>
      <c r="M13" s="953"/>
      <c r="N13" s="953"/>
      <c r="O13" s="953"/>
      <c r="P13" s="954"/>
    </row>
    <row r="14" spans="1:21" s="26" customFormat="1" ht="60" customHeight="1" thickBot="1">
      <c r="A14" s="1054"/>
      <c r="B14" s="1055"/>
      <c r="C14" s="1055"/>
      <c r="D14" s="1055"/>
      <c r="E14" s="1055"/>
      <c r="F14" s="1055"/>
      <c r="G14" s="1055"/>
      <c r="H14" s="1055"/>
      <c r="I14" s="1055"/>
      <c r="J14" s="1055"/>
      <c r="K14" s="1055"/>
      <c r="L14" s="1055"/>
      <c r="M14" s="1055"/>
      <c r="N14" s="1055"/>
      <c r="O14" s="1055"/>
      <c r="P14" s="1056"/>
    </row>
    <row r="15" spans="1:21" ht="16.5" thickBot="1"/>
    <row r="16" spans="1:21" s="26" customFormat="1" ht="15">
      <c r="A16" s="127"/>
      <c r="B16" s="363"/>
      <c r="C16" s="364"/>
      <c r="D16" s="365"/>
      <c r="E16" s="364"/>
      <c r="F16" s="364"/>
      <c r="G16" s="364"/>
      <c r="H16" s="364"/>
      <c r="I16" s="364"/>
      <c r="J16" s="128"/>
      <c r="K16" s="128"/>
      <c r="L16" s="128"/>
      <c r="M16" s="128"/>
      <c r="N16" s="128"/>
      <c r="O16" s="128"/>
      <c r="P16" s="129"/>
    </row>
    <row r="17" spans="1:16" s="26" customFormat="1" ht="15">
      <c r="A17" s="366" t="s">
        <v>172</v>
      </c>
      <c r="C17" s="53"/>
      <c r="D17" s="367"/>
      <c r="E17" s="53"/>
      <c r="F17" s="53"/>
      <c r="G17" s="53"/>
      <c r="H17" s="53"/>
      <c r="I17" s="53"/>
      <c r="P17" s="131"/>
    </row>
    <row r="18" spans="1:16" s="26" customFormat="1" ht="15">
      <c r="A18" s="366"/>
      <c r="C18" s="53"/>
      <c r="D18" s="367"/>
      <c r="E18" s="53"/>
      <c r="F18" s="53"/>
      <c r="G18" s="53"/>
      <c r="H18" s="53"/>
      <c r="I18" s="53"/>
      <c r="P18" s="131"/>
    </row>
    <row r="19" spans="1:16" s="26" customFormat="1" ht="45.75" customHeight="1">
      <c r="A19" s="531" t="s">
        <v>173</v>
      </c>
      <c r="B19" s="370" t="s">
        <v>144</v>
      </c>
      <c r="C19" s="370" t="s">
        <v>146</v>
      </c>
      <c r="D19" s="370" t="s">
        <v>79</v>
      </c>
      <c r="E19" s="370" t="s">
        <v>242</v>
      </c>
      <c r="F19" s="370" t="s">
        <v>174</v>
      </c>
      <c r="G19" s="499" t="s">
        <v>324</v>
      </c>
      <c r="H19" s="1063" t="s">
        <v>68</v>
      </c>
      <c r="I19" s="1064"/>
      <c r="J19" s="1064"/>
      <c r="K19" s="1064"/>
      <c r="L19" s="1064"/>
      <c r="M19" s="1064"/>
      <c r="N19" s="1064"/>
      <c r="O19" s="1064"/>
      <c r="P19" s="1065"/>
    </row>
    <row r="20" spans="1:16" s="26" customFormat="1" ht="15">
      <c r="A20" s="532"/>
      <c r="B20" s="535"/>
      <c r="C20" s="398"/>
      <c r="D20" s="398">
        <f>B20-C20</f>
        <v>0</v>
      </c>
      <c r="E20" s="385" t="e">
        <f>D20/C20</f>
        <v>#DIV/0!</v>
      </c>
      <c r="F20" s="368"/>
      <c r="G20" s="368"/>
      <c r="H20" s="1066"/>
      <c r="I20" s="1067"/>
      <c r="J20" s="1067"/>
      <c r="K20" s="1067"/>
      <c r="L20" s="1067"/>
      <c r="M20" s="1067"/>
      <c r="N20" s="1067"/>
      <c r="O20" s="1067"/>
      <c r="P20" s="1068"/>
    </row>
    <row r="21" spans="1:16" s="26" customFormat="1" ht="15">
      <c r="A21" s="533"/>
      <c r="B21" s="536"/>
      <c r="C21" s="399"/>
      <c r="D21" s="399">
        <f>B21-C21</f>
        <v>0</v>
      </c>
      <c r="E21" s="386" t="e">
        <f t="shared" ref="E21:E23" si="0">D21/C21</f>
        <v>#DIV/0!</v>
      </c>
      <c r="F21" s="369"/>
      <c r="G21" s="369"/>
      <c r="H21" s="1057"/>
      <c r="I21" s="1058"/>
      <c r="J21" s="1058"/>
      <c r="K21" s="1058"/>
      <c r="L21" s="1058"/>
      <c r="M21" s="1058"/>
      <c r="N21" s="1058"/>
      <c r="O21" s="1058"/>
      <c r="P21" s="1059"/>
    </row>
    <row r="22" spans="1:16" s="26" customFormat="1" ht="15">
      <c r="A22" s="533"/>
      <c r="B22" s="536"/>
      <c r="C22" s="399"/>
      <c r="D22" s="399">
        <f>B22-C22</f>
        <v>0</v>
      </c>
      <c r="E22" s="386" t="e">
        <f>D22/C22</f>
        <v>#DIV/0!</v>
      </c>
      <c r="F22" s="369"/>
      <c r="G22" s="369"/>
      <c r="H22" s="1057"/>
      <c r="I22" s="1058"/>
      <c r="J22" s="1058"/>
      <c r="K22" s="1058"/>
      <c r="L22" s="1058"/>
      <c r="M22" s="1058"/>
      <c r="N22" s="1058"/>
      <c r="O22" s="1058"/>
      <c r="P22" s="1059"/>
    </row>
    <row r="23" spans="1:16" s="26" customFormat="1" ht="15">
      <c r="A23" s="534"/>
      <c r="B23" s="537"/>
      <c r="C23" s="400"/>
      <c r="D23" s="400">
        <f>B23-C23</f>
        <v>0</v>
      </c>
      <c r="E23" s="387" t="e">
        <f t="shared" si="0"/>
        <v>#DIV/0!</v>
      </c>
      <c r="F23" s="384"/>
      <c r="G23" s="384"/>
      <c r="H23" s="1069"/>
      <c r="I23" s="1070"/>
      <c r="J23" s="1070"/>
      <c r="K23" s="1070"/>
      <c r="L23" s="1070"/>
      <c r="M23" s="1070"/>
      <c r="N23" s="1070"/>
      <c r="O23" s="1070"/>
      <c r="P23" s="1071"/>
    </row>
    <row r="24" spans="1:16" s="389" customFormat="1" ht="15">
      <c r="A24" s="388" t="s">
        <v>72</v>
      </c>
      <c r="B24" s="394">
        <f>SUM(B20:B23)</f>
        <v>0</v>
      </c>
      <c r="C24" s="394">
        <f>SUM(C20:C23)</f>
        <v>0</v>
      </c>
      <c r="D24" s="394">
        <f>SUM(D20:D23)</f>
        <v>0</v>
      </c>
      <c r="E24" s="397" t="e">
        <f>+D24/C24</f>
        <v>#DIV/0!</v>
      </c>
      <c r="F24" s="388"/>
      <c r="G24" s="388"/>
      <c r="P24" s="390"/>
    </row>
    <row r="25" spans="1:16" s="26" customFormat="1" ht="15">
      <c r="A25" s="130"/>
      <c r="B25" s="53"/>
      <c r="C25" s="53"/>
      <c r="D25" s="367"/>
      <c r="E25" s="53"/>
      <c r="F25" s="53"/>
      <c r="G25" s="53"/>
      <c r="H25" s="53"/>
      <c r="I25" s="53"/>
      <c r="P25" s="131"/>
    </row>
    <row r="26" spans="1:16" s="26" customFormat="1" ht="15">
      <c r="A26" s="366" t="s">
        <v>175</v>
      </c>
      <c r="C26" s="53"/>
      <c r="D26" s="30"/>
      <c r="E26" s="53"/>
      <c r="F26" s="30"/>
      <c r="G26" s="53"/>
      <c r="H26" s="53"/>
      <c r="I26" s="53"/>
      <c r="P26" s="131"/>
    </row>
    <row r="27" spans="1:16" s="26" customFormat="1" ht="15">
      <c r="A27" s="366"/>
      <c r="C27" s="53"/>
      <c r="D27" s="30"/>
      <c r="E27" s="53"/>
      <c r="F27" s="30"/>
      <c r="G27" s="53"/>
      <c r="H27" s="53"/>
      <c r="I27" s="53"/>
      <c r="P27" s="131"/>
    </row>
    <row r="28" spans="1:16" s="26" customFormat="1" ht="45.75" customHeight="1">
      <c r="A28" s="625" t="s">
        <v>149</v>
      </c>
      <c r="B28" s="626" t="s">
        <v>176</v>
      </c>
      <c r="C28" s="625" t="s">
        <v>177</v>
      </c>
      <c r="D28" s="625" t="s">
        <v>178</v>
      </c>
      <c r="E28" s="625" t="s">
        <v>179</v>
      </c>
      <c r="F28" s="626" t="s">
        <v>180</v>
      </c>
      <c r="G28" s="634" t="s">
        <v>324</v>
      </c>
      <c r="H28" s="1072" t="s">
        <v>181</v>
      </c>
      <c r="I28" s="1073"/>
      <c r="J28" s="1073"/>
      <c r="K28" s="1073"/>
      <c r="L28" s="1073"/>
      <c r="M28" s="1073"/>
      <c r="N28" s="1073"/>
      <c r="O28" s="1073"/>
      <c r="P28" s="1074"/>
    </row>
    <row r="29" spans="1:16" s="26" customFormat="1" ht="15">
      <c r="A29" s="627"/>
      <c r="B29" s="628"/>
      <c r="C29" s="627"/>
      <c r="D29" s="627"/>
      <c r="E29" s="627"/>
      <c r="F29" s="628"/>
      <c r="G29" s="627"/>
      <c r="H29" s="1060"/>
      <c r="I29" s="1061"/>
      <c r="J29" s="1061"/>
      <c r="K29" s="1061"/>
      <c r="L29" s="1061"/>
      <c r="M29" s="1061"/>
      <c r="N29" s="1061"/>
      <c r="O29" s="1061"/>
      <c r="P29" s="1062"/>
    </row>
    <row r="30" spans="1:16" s="26" customFormat="1" ht="15">
      <c r="A30" s="629"/>
      <c r="B30" s="630"/>
      <c r="C30" s="629"/>
      <c r="D30" s="629"/>
      <c r="E30" s="629"/>
      <c r="F30" s="630"/>
      <c r="G30" s="629"/>
      <c r="H30" s="1057"/>
      <c r="I30" s="1058"/>
      <c r="J30" s="1058"/>
      <c r="K30" s="1058"/>
      <c r="L30" s="1058"/>
      <c r="M30" s="1058"/>
      <c r="N30" s="1058"/>
      <c r="O30" s="1058"/>
      <c r="P30" s="1059"/>
    </row>
    <row r="31" spans="1:16" s="26" customFormat="1" ht="15">
      <c r="A31" s="629"/>
      <c r="B31" s="630"/>
      <c r="C31" s="629"/>
      <c r="D31" s="629"/>
      <c r="E31" s="629"/>
      <c r="F31" s="630"/>
      <c r="G31" s="629"/>
      <c r="H31" s="1057"/>
      <c r="I31" s="1058"/>
      <c r="J31" s="1058"/>
      <c r="K31" s="1058"/>
      <c r="L31" s="1058"/>
      <c r="M31" s="1058"/>
      <c r="N31" s="1058"/>
      <c r="O31" s="1058"/>
      <c r="P31" s="1059"/>
    </row>
    <row r="32" spans="1:16" s="26" customFormat="1" ht="15">
      <c r="A32" s="631"/>
      <c r="B32" s="632"/>
      <c r="C32" s="633"/>
      <c r="D32" s="631"/>
      <c r="E32" s="633"/>
      <c r="F32" s="632"/>
      <c r="G32" s="631"/>
      <c r="H32" s="1069"/>
      <c r="I32" s="1070"/>
      <c r="J32" s="1070"/>
      <c r="K32" s="1070"/>
      <c r="L32" s="1070"/>
      <c r="M32" s="1070"/>
      <c r="N32" s="1070"/>
      <c r="O32" s="1070"/>
      <c r="P32" s="1071"/>
    </row>
    <row r="33" spans="1:16" s="26" customFormat="1" ht="15">
      <c r="A33" s="53"/>
      <c r="B33" s="1076" t="s">
        <v>182</v>
      </c>
      <c r="C33" s="1076"/>
      <c r="D33" s="635">
        <v>0</v>
      </c>
      <c r="E33" s="53"/>
      <c r="F33" s="53"/>
      <c r="G33" s="53"/>
      <c r="H33" s="53"/>
      <c r="P33" s="131"/>
    </row>
    <row r="34" spans="1:16" s="26" customFormat="1" ht="15">
      <c r="A34" s="53"/>
      <c r="B34" s="1075" t="s">
        <v>183</v>
      </c>
      <c r="C34" s="1075"/>
      <c r="D34" s="636"/>
      <c r="E34" s="53"/>
      <c r="F34" s="53"/>
      <c r="G34" s="53"/>
      <c r="H34" s="53"/>
      <c r="P34" s="131"/>
    </row>
    <row r="35" spans="1:16" s="26" customFormat="1" ht="15">
      <c r="A35" s="53"/>
      <c r="B35" s="1075" t="s">
        <v>184</v>
      </c>
      <c r="C35" s="1075"/>
      <c r="D35" s="637" t="e">
        <v>#DIV/0!</v>
      </c>
      <c r="E35" s="53"/>
      <c r="F35" s="53"/>
      <c r="G35" s="53"/>
      <c r="H35" s="53"/>
      <c r="P35" s="131"/>
    </row>
    <row r="36" spans="1:16" s="26" customFormat="1" thickBot="1">
      <c r="A36" s="132"/>
      <c r="B36" s="133"/>
      <c r="C36" s="133"/>
      <c r="D36" s="133"/>
      <c r="E36" s="133"/>
      <c r="F36" s="133"/>
      <c r="G36" s="133"/>
      <c r="H36" s="133"/>
      <c r="I36" s="133"/>
      <c r="J36" s="133"/>
      <c r="K36" s="133"/>
      <c r="L36" s="133"/>
      <c r="M36" s="133"/>
      <c r="N36" s="133"/>
      <c r="O36" s="133"/>
      <c r="P36" s="134"/>
    </row>
    <row r="37" spans="1:16" s="26" customFormat="1" ht="15"/>
    <row r="38" spans="1:16" s="26" customFormat="1" ht="15"/>
  </sheetData>
  <sheetProtection formatCells="0" formatColumns="0" formatRows="0" insertColumns="0" insertRows="0" insertHyperlinks="0" deleteColumns="0" deleteRows="0" sort="0" autoFilter="0" pivotTables="0"/>
  <mergeCells count="30">
    <mergeCell ref="B35:C35"/>
    <mergeCell ref="B34:C34"/>
    <mergeCell ref="B33:C33"/>
    <mergeCell ref="H32:P32"/>
    <mergeCell ref="H31:P31"/>
    <mergeCell ref="H30:P30"/>
    <mergeCell ref="H29:P29"/>
    <mergeCell ref="H19:P19"/>
    <mergeCell ref="H20:P20"/>
    <mergeCell ref="H21:P21"/>
    <mergeCell ref="H22:P22"/>
    <mergeCell ref="H23:P23"/>
    <mergeCell ref="H28:P28"/>
    <mergeCell ref="A11:P11"/>
    <mergeCell ref="A13:P13"/>
    <mergeCell ref="A14:P14"/>
    <mergeCell ref="A9:C9"/>
    <mergeCell ref="D9:E9"/>
    <mergeCell ref="F9:I9"/>
    <mergeCell ref="J9:K9"/>
    <mergeCell ref="L9:N9"/>
    <mergeCell ref="O9:P9"/>
    <mergeCell ref="O8:P8"/>
    <mergeCell ref="D1:M2"/>
    <mergeCell ref="A3:P5"/>
    <mergeCell ref="E6:L7"/>
    <mergeCell ref="M6:N6"/>
    <mergeCell ref="O6:P6"/>
    <mergeCell ref="M7:N7"/>
    <mergeCell ref="O7:P7"/>
  </mergeCells>
  <dataValidations count="2">
    <dataValidation type="list" showInputMessage="1" showErrorMessage="1" sqref="D9:E9" xr:uid="{00000000-0002-0000-0900-000000000000}">
      <formula1>RAS</formula1>
    </dataValidation>
    <dataValidation type="list" allowBlank="1" showInputMessage="1" showErrorMessage="1" sqref="O9:P9" xr:uid="{00000000-0002-0000-0900-000001000000}">
      <formula1>Diligences</formula1>
    </dataValidation>
  </dataValidations>
  <hyperlinks>
    <hyperlink ref="O8:P8" location="'V Synthèse'!A1" display="V Synthèse" xr:uid="{00000000-0004-0000-09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0"/>
  <dimension ref="A1:U51"/>
  <sheetViews>
    <sheetView showGridLines="0" zoomScale="90" zoomScaleNormal="90" workbookViewId="0">
      <selection activeCell="O10" sqref="O10"/>
    </sheetView>
  </sheetViews>
  <sheetFormatPr baseColWidth="10" defaultColWidth="11.42578125" defaultRowHeight="15.75"/>
  <cols>
    <col min="1" max="1" width="19.42578125" style="7" customWidth="1"/>
    <col min="2" max="8" width="15.7109375" style="7" customWidth="1"/>
    <col min="9" max="9" width="11.7109375" style="7" customWidth="1"/>
    <col min="10" max="16" width="12.28515625" style="7" customWidth="1"/>
    <col min="17" max="17" width="11.42578125" style="7"/>
    <col min="18" max="18" width="0" style="7" hidden="1" customWidth="1"/>
    <col min="19" max="16384" width="11.42578125" style="7"/>
  </cols>
  <sheetData>
    <row r="1" spans="1:21" s="1" customFormat="1" ht="15" customHeight="1">
      <c r="A1" s="10"/>
      <c r="B1" s="11"/>
      <c r="C1" s="11"/>
      <c r="D1" s="972" t="str">
        <f>'V Synthèse'!D1:M2</f>
        <v>#NomClient</v>
      </c>
      <c r="E1" s="973"/>
      <c r="F1" s="973"/>
      <c r="G1" s="973"/>
      <c r="H1" s="973"/>
      <c r="I1" s="973"/>
      <c r="J1" s="973"/>
      <c r="K1" s="973"/>
      <c r="L1" s="973"/>
      <c r="M1" s="974"/>
      <c r="N1" s="11"/>
      <c r="O1" s="11"/>
      <c r="P1" s="12"/>
    </row>
    <row r="2" spans="1:21" s="1"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6"/>
    </row>
    <row r="4" spans="1:21" ht="15" customHeight="1">
      <c r="A4" s="905"/>
      <c r="B4" s="906"/>
      <c r="C4" s="906"/>
      <c r="D4" s="906"/>
      <c r="E4" s="906"/>
      <c r="F4" s="906"/>
      <c r="G4" s="906"/>
      <c r="H4" s="906"/>
      <c r="I4" s="906"/>
      <c r="J4" s="906"/>
      <c r="K4" s="906"/>
      <c r="L4" s="906"/>
      <c r="M4" s="906"/>
      <c r="N4" s="906"/>
      <c r="O4" s="906"/>
      <c r="P4" s="907"/>
      <c r="R4" s="3"/>
      <c r="T4" s="5"/>
      <c r="U4" s="6"/>
    </row>
    <row r="5" spans="1:21" ht="15" customHeight="1" thickBot="1">
      <c r="A5" s="908"/>
      <c r="B5" s="909"/>
      <c r="C5" s="909"/>
      <c r="D5" s="909"/>
      <c r="E5" s="909"/>
      <c r="F5" s="909"/>
      <c r="G5" s="909"/>
      <c r="H5" s="909"/>
      <c r="I5" s="909"/>
      <c r="J5" s="909"/>
      <c r="K5" s="909"/>
      <c r="L5" s="909"/>
      <c r="M5" s="909"/>
      <c r="N5" s="909"/>
      <c r="O5" s="909"/>
      <c r="P5" s="910"/>
      <c r="Q5" s="8"/>
      <c r="R5" s="4"/>
      <c r="S5" s="24"/>
      <c r="T5" s="24"/>
      <c r="U5" s="24"/>
    </row>
    <row r="6" spans="1:21" ht="15" customHeight="1">
      <c r="A6" s="17" t="s">
        <v>3</v>
      </c>
      <c r="B6" s="415" t="str">
        <f>'V Synthèse'!B6</f>
        <v>BRA</v>
      </c>
      <c r="C6" s="17" t="s">
        <v>294</v>
      </c>
      <c r="D6" s="415">
        <f>'V Synthèse'!D6</f>
        <v>0</v>
      </c>
      <c r="E6" s="923" t="s">
        <v>253</v>
      </c>
      <c r="F6" s="924"/>
      <c r="G6" s="924"/>
      <c r="H6" s="924"/>
      <c r="I6" s="924"/>
      <c r="J6" s="924"/>
      <c r="K6" s="924"/>
      <c r="L6" s="925"/>
      <c r="M6" s="978" t="s">
        <v>7</v>
      </c>
      <c r="N6" s="979"/>
      <c r="O6" s="915" t="s">
        <v>6</v>
      </c>
      <c r="P6" s="916"/>
      <c r="R6" s="1"/>
      <c r="S6" s="1"/>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306</v>
      </c>
      <c r="P7" s="918"/>
    </row>
    <row r="8" spans="1:21" ht="21" customHeight="1" thickBot="1">
      <c r="A8" s="19"/>
      <c r="B8" s="16"/>
      <c r="C8" s="20"/>
      <c r="D8" s="20"/>
      <c r="E8" s="21"/>
      <c r="F8" s="21"/>
      <c r="G8" s="21"/>
      <c r="H8" s="21"/>
      <c r="I8" s="21"/>
      <c r="J8" s="21"/>
      <c r="K8" s="21"/>
      <c r="L8" s="21"/>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s="26" customFormat="1" ht="157.9" customHeight="1" thickBot="1">
      <c r="A11" s="964" t="s">
        <v>359</v>
      </c>
      <c r="B11" s="965"/>
      <c r="C11" s="965"/>
      <c r="D11" s="965"/>
      <c r="E11" s="965"/>
      <c r="F11" s="965"/>
      <c r="G11" s="965"/>
      <c r="H11" s="965"/>
      <c r="I11" s="965"/>
      <c r="J11" s="965"/>
      <c r="K11" s="965"/>
      <c r="L11" s="965"/>
      <c r="M11" s="965"/>
      <c r="N11" s="965"/>
      <c r="O11" s="965"/>
      <c r="P11" s="966"/>
    </row>
    <row r="12" spans="1:21" s="26" customFormat="1" ht="9" customHeight="1" thickBot="1"/>
    <row r="13" spans="1:21" s="26" customFormat="1" ht="15">
      <c r="A13" s="952" t="s">
        <v>21</v>
      </c>
      <c r="B13" s="953"/>
      <c r="C13" s="953"/>
      <c r="D13" s="953"/>
      <c r="E13" s="953"/>
      <c r="F13" s="953"/>
      <c r="G13" s="953"/>
      <c r="H13" s="953"/>
      <c r="I13" s="953"/>
      <c r="J13" s="953"/>
      <c r="K13" s="953"/>
      <c r="L13" s="953"/>
      <c r="M13" s="953"/>
      <c r="N13" s="953"/>
      <c r="O13" s="953"/>
      <c r="P13" s="954"/>
    </row>
    <row r="14" spans="1:21" s="26" customFormat="1" ht="60" customHeight="1" thickBot="1">
      <c r="A14" s="1085"/>
      <c r="B14" s="1086"/>
      <c r="C14" s="1086"/>
      <c r="D14" s="1086"/>
      <c r="E14" s="1086"/>
      <c r="F14" s="1086"/>
      <c r="G14" s="1086"/>
      <c r="H14" s="1086"/>
      <c r="I14" s="1086"/>
      <c r="J14" s="1086"/>
      <c r="K14" s="1086"/>
      <c r="L14" s="1086"/>
      <c r="M14" s="1086"/>
      <c r="N14" s="1086"/>
      <c r="O14" s="1086"/>
      <c r="P14" s="1087"/>
    </row>
    <row r="15" spans="1:21" ht="16.5" thickBot="1"/>
    <row r="16" spans="1:21" s="26" customFormat="1" ht="15">
      <c r="A16" s="127"/>
      <c r="B16" s="363"/>
      <c r="C16" s="364"/>
      <c r="D16" s="365"/>
      <c r="E16" s="364"/>
      <c r="F16" s="364"/>
      <c r="G16" s="364"/>
      <c r="H16" s="364"/>
      <c r="I16" s="364"/>
      <c r="J16" s="128"/>
      <c r="K16" s="128"/>
      <c r="L16" s="128"/>
      <c r="M16" s="128"/>
      <c r="N16" s="128"/>
      <c r="O16" s="128"/>
      <c r="P16" s="129"/>
    </row>
    <row r="17" spans="1:16" s="26" customFormat="1" ht="15">
      <c r="A17" s="366" t="s">
        <v>185</v>
      </c>
      <c r="C17" s="53"/>
      <c r="D17" s="367"/>
      <c r="E17" s="53"/>
      <c r="F17" s="53"/>
      <c r="G17" s="53"/>
      <c r="H17" s="53"/>
      <c r="I17" s="53"/>
      <c r="P17" s="131"/>
    </row>
    <row r="18" spans="1:16" s="26" customFormat="1" ht="15">
      <c r="A18" s="366"/>
      <c r="C18" s="53"/>
      <c r="D18" s="367"/>
      <c r="E18" s="53"/>
      <c r="F18" s="392"/>
      <c r="G18" s="392"/>
      <c r="H18" s="53"/>
      <c r="I18" s="53"/>
      <c r="P18" s="131"/>
    </row>
    <row r="19" spans="1:16" s="26" customFormat="1" ht="45.75" customHeight="1">
      <c r="A19" s="531" t="s">
        <v>286</v>
      </c>
      <c r="B19" s="370" t="s">
        <v>144</v>
      </c>
      <c r="C19" s="370" t="s">
        <v>146</v>
      </c>
      <c r="D19" s="370" t="s">
        <v>79</v>
      </c>
      <c r="E19" s="370" t="s">
        <v>242</v>
      </c>
      <c r="F19" s="370" t="s">
        <v>174</v>
      </c>
      <c r="G19" s="499" t="s">
        <v>324</v>
      </c>
      <c r="H19" s="1063" t="s">
        <v>68</v>
      </c>
      <c r="I19" s="1064"/>
      <c r="J19" s="1064"/>
      <c r="K19" s="1064"/>
      <c r="L19" s="1064"/>
      <c r="M19" s="1064"/>
      <c r="N19" s="1064"/>
      <c r="O19" s="1064"/>
      <c r="P19" s="1065"/>
    </row>
    <row r="20" spans="1:16" s="26" customFormat="1" ht="15">
      <c r="A20" s="532"/>
      <c r="B20" s="535"/>
      <c r="C20" s="398"/>
      <c r="D20" s="398">
        <f>B20-C20</f>
        <v>0</v>
      </c>
      <c r="E20" s="385" t="e">
        <f>D20/C20</f>
        <v>#DIV/0!</v>
      </c>
      <c r="F20" s="368"/>
      <c r="G20" s="368"/>
      <c r="H20" s="1066"/>
      <c r="I20" s="1067"/>
      <c r="J20" s="1067"/>
      <c r="K20" s="1067"/>
      <c r="L20" s="1067"/>
      <c r="M20" s="1067"/>
      <c r="N20" s="1067"/>
      <c r="O20" s="1067"/>
      <c r="P20" s="1068"/>
    </row>
    <row r="21" spans="1:16" s="26" customFormat="1" ht="15">
      <c r="A21" s="533"/>
      <c r="B21" s="536"/>
      <c r="C21" s="399"/>
      <c r="D21" s="399">
        <f>B21-C21</f>
        <v>0</v>
      </c>
      <c r="E21" s="386" t="e">
        <f t="shared" ref="E21:E23" si="0">D21/C21</f>
        <v>#DIV/0!</v>
      </c>
      <c r="F21" s="369"/>
      <c r="G21" s="369"/>
      <c r="H21" s="1057"/>
      <c r="I21" s="1058"/>
      <c r="J21" s="1058"/>
      <c r="K21" s="1058"/>
      <c r="L21" s="1058"/>
      <c r="M21" s="1058"/>
      <c r="N21" s="1058"/>
      <c r="O21" s="1058"/>
      <c r="P21" s="1059"/>
    </row>
    <row r="22" spans="1:16" s="26" customFormat="1" ht="15">
      <c r="A22" s="533"/>
      <c r="B22" s="536"/>
      <c r="C22" s="399"/>
      <c r="D22" s="399">
        <f>B22-C22</f>
        <v>0</v>
      </c>
      <c r="E22" s="386" t="e">
        <f>D22/C22</f>
        <v>#DIV/0!</v>
      </c>
      <c r="F22" s="369"/>
      <c r="G22" s="369"/>
      <c r="H22" s="1057"/>
      <c r="I22" s="1058"/>
      <c r="J22" s="1058"/>
      <c r="K22" s="1058"/>
      <c r="L22" s="1058"/>
      <c r="M22" s="1058"/>
      <c r="N22" s="1058"/>
      <c r="O22" s="1058"/>
      <c r="P22" s="1059"/>
    </row>
    <row r="23" spans="1:16" s="26" customFormat="1" ht="15">
      <c r="A23" s="534"/>
      <c r="B23" s="537"/>
      <c r="C23" s="400"/>
      <c r="D23" s="400">
        <f>B23-C23</f>
        <v>0</v>
      </c>
      <c r="E23" s="387" t="e">
        <f t="shared" si="0"/>
        <v>#DIV/0!</v>
      </c>
      <c r="F23" s="384"/>
      <c r="G23" s="384"/>
      <c r="H23" s="1069"/>
      <c r="I23" s="1070"/>
      <c r="J23" s="1070"/>
      <c r="K23" s="1070"/>
      <c r="L23" s="1070"/>
      <c r="M23" s="1070"/>
      <c r="N23" s="1070"/>
      <c r="O23" s="1070"/>
      <c r="P23" s="1071"/>
    </row>
    <row r="24" spans="1:16" s="389" customFormat="1" ht="15">
      <c r="A24" s="388" t="s">
        <v>72</v>
      </c>
      <c r="B24" s="394">
        <f>SUM(B20:B23)</f>
        <v>0</v>
      </c>
      <c r="C24" s="394">
        <f>SUM(C20:C23)</f>
        <v>0</v>
      </c>
      <c r="D24" s="394">
        <f>SUM(D20:D23)</f>
        <v>0</v>
      </c>
      <c r="E24" s="397" t="e">
        <f>+D24/C24</f>
        <v>#DIV/0!</v>
      </c>
      <c r="F24" s="388"/>
      <c r="G24" s="388"/>
      <c r="P24" s="390"/>
    </row>
    <row r="25" spans="1:16" s="26" customFormat="1" ht="15">
      <c r="A25" s="130"/>
      <c r="B25" s="53"/>
      <c r="C25" s="53"/>
      <c r="D25" s="367"/>
      <c r="E25" s="53"/>
      <c r="F25" s="53"/>
      <c r="G25" s="53"/>
      <c r="H25" s="53"/>
      <c r="I25" s="53"/>
      <c r="P25" s="131"/>
    </row>
    <row r="26" spans="1:16" s="26" customFormat="1" ht="15">
      <c r="A26" s="366" t="s">
        <v>186</v>
      </c>
      <c r="C26" s="53"/>
      <c r="D26" s="30"/>
      <c r="E26" s="53"/>
      <c r="F26" s="30"/>
      <c r="G26" s="53"/>
      <c r="H26" s="53"/>
      <c r="I26" s="53"/>
      <c r="P26" s="131"/>
    </row>
    <row r="27" spans="1:16" s="26" customFormat="1" ht="15">
      <c r="A27" s="366"/>
      <c r="C27" s="53"/>
      <c r="D27" s="30"/>
      <c r="E27" s="53"/>
      <c r="F27" s="30"/>
      <c r="G27" s="53"/>
      <c r="H27" s="53"/>
      <c r="I27" s="53"/>
      <c r="P27" s="131"/>
    </row>
    <row r="28" spans="1:16" s="26" customFormat="1" ht="45.75" customHeight="1">
      <c r="A28" s="625" t="s">
        <v>149</v>
      </c>
      <c r="B28" s="626" t="s">
        <v>176</v>
      </c>
      <c r="C28" s="625" t="s">
        <v>177</v>
      </c>
      <c r="D28" s="625" t="s">
        <v>178</v>
      </c>
      <c r="E28" s="625" t="s">
        <v>179</v>
      </c>
      <c r="F28" s="626" t="s">
        <v>180</v>
      </c>
      <c r="G28" s="634" t="s">
        <v>324</v>
      </c>
      <c r="H28" s="1072" t="s">
        <v>181</v>
      </c>
      <c r="I28" s="1073"/>
      <c r="J28" s="1073"/>
      <c r="K28" s="1073"/>
      <c r="L28" s="1073"/>
      <c r="M28" s="1073"/>
      <c r="N28" s="1073"/>
      <c r="O28" s="1073"/>
      <c r="P28" s="1074"/>
    </row>
    <row r="29" spans="1:16" s="26" customFormat="1" ht="15">
      <c r="A29" s="627"/>
      <c r="B29" s="628"/>
      <c r="C29" s="627"/>
      <c r="D29" s="627"/>
      <c r="E29" s="627"/>
      <c r="F29" s="628"/>
      <c r="G29" s="627"/>
      <c r="H29" s="1091"/>
      <c r="I29" s="1092"/>
      <c r="J29" s="1092"/>
      <c r="K29" s="1092"/>
      <c r="L29" s="1092"/>
      <c r="M29" s="1092"/>
      <c r="N29" s="1092"/>
      <c r="O29" s="1092"/>
      <c r="P29" s="1093"/>
    </row>
    <row r="30" spans="1:16" s="26" customFormat="1" ht="15">
      <c r="A30" s="629"/>
      <c r="B30" s="630"/>
      <c r="C30" s="629"/>
      <c r="D30" s="629"/>
      <c r="E30" s="629"/>
      <c r="F30" s="630"/>
      <c r="G30" s="629"/>
      <c r="H30" s="1094"/>
      <c r="I30" s="1095"/>
      <c r="J30" s="1095"/>
      <c r="K30" s="1095"/>
      <c r="L30" s="1095"/>
      <c r="M30" s="1095"/>
      <c r="N30" s="1095"/>
      <c r="O30" s="1095"/>
      <c r="P30" s="1096"/>
    </row>
    <row r="31" spans="1:16" s="26" customFormat="1" ht="15">
      <c r="A31" s="629"/>
      <c r="B31" s="630"/>
      <c r="C31" s="629"/>
      <c r="D31" s="629"/>
      <c r="E31" s="629"/>
      <c r="F31" s="630"/>
      <c r="G31" s="629"/>
      <c r="H31" s="1094"/>
      <c r="I31" s="1095"/>
      <c r="J31" s="1095"/>
      <c r="K31" s="1095"/>
      <c r="L31" s="1095"/>
      <c r="M31" s="1095"/>
      <c r="N31" s="1095"/>
      <c r="O31" s="1095"/>
      <c r="P31" s="1096"/>
    </row>
    <row r="32" spans="1:16" s="26" customFormat="1" ht="15">
      <c r="A32" s="631"/>
      <c r="B32" s="632"/>
      <c r="C32" s="633"/>
      <c r="D32" s="631"/>
      <c r="E32" s="633"/>
      <c r="F32" s="632"/>
      <c r="G32" s="631"/>
      <c r="H32" s="1097"/>
      <c r="I32" s="1098"/>
      <c r="J32" s="1098"/>
      <c r="K32" s="1098"/>
      <c r="L32" s="1098"/>
      <c r="M32" s="1098"/>
      <c r="N32" s="1098"/>
      <c r="O32" s="1098"/>
      <c r="P32" s="1099"/>
    </row>
    <row r="33" spans="1:17" s="26" customFormat="1" ht="15">
      <c r="A33" s="53"/>
      <c r="B33" s="1076" t="s">
        <v>182</v>
      </c>
      <c r="C33" s="1076"/>
      <c r="D33" s="635">
        <v>0</v>
      </c>
      <c r="E33" s="53"/>
      <c r="F33" s="53"/>
      <c r="G33" s="53"/>
      <c r="H33" s="53"/>
      <c r="P33" s="131"/>
    </row>
    <row r="34" spans="1:17" s="26" customFormat="1" ht="15">
      <c r="A34" s="53"/>
      <c r="B34" s="1075" t="s">
        <v>183</v>
      </c>
      <c r="C34" s="1075"/>
      <c r="D34" s="636"/>
      <c r="E34" s="53"/>
      <c r="F34" s="53"/>
      <c r="G34" s="53"/>
      <c r="H34" s="53"/>
      <c r="P34" s="131"/>
    </row>
    <row r="35" spans="1:17" s="26" customFormat="1" ht="15">
      <c r="A35" s="53"/>
      <c r="B35" s="1075" t="s">
        <v>184</v>
      </c>
      <c r="C35" s="1075"/>
      <c r="D35" s="637" t="e">
        <v>#DIV/0!</v>
      </c>
      <c r="E35" s="53"/>
      <c r="F35" s="53"/>
      <c r="G35" s="53"/>
      <c r="H35" s="53"/>
      <c r="P35" s="131"/>
    </row>
    <row r="36" spans="1:17" s="26" customFormat="1" thickBot="1">
      <c r="A36" s="132"/>
      <c r="B36" s="133"/>
      <c r="C36" s="133"/>
      <c r="D36" s="133"/>
      <c r="E36" s="133"/>
      <c r="F36" s="133"/>
      <c r="G36" s="133"/>
      <c r="H36" s="133"/>
      <c r="I36" s="133"/>
      <c r="J36" s="133"/>
      <c r="K36" s="133"/>
      <c r="L36" s="133"/>
      <c r="M36" s="133"/>
      <c r="N36" s="133"/>
      <c r="O36" s="133"/>
      <c r="P36" s="134"/>
    </row>
    <row r="37" spans="1:17" s="26" customFormat="1" thickBot="1"/>
    <row r="38" spans="1:17" s="26" customFormat="1" ht="15">
      <c r="A38" s="371"/>
      <c r="B38" s="372"/>
      <c r="C38" s="373"/>
      <c r="D38" s="374"/>
      <c r="E38" s="374"/>
      <c r="F38" s="374"/>
      <c r="G38" s="375"/>
      <c r="H38" s="376"/>
      <c r="I38" s="219"/>
      <c r="J38" s="219"/>
      <c r="K38" s="219"/>
      <c r="L38" s="128"/>
      <c r="M38" s="128"/>
      <c r="N38" s="128"/>
      <c r="O38" s="128"/>
      <c r="P38" s="129"/>
    </row>
    <row r="39" spans="1:17" s="26" customFormat="1" ht="15">
      <c r="A39" s="366" t="s">
        <v>284</v>
      </c>
      <c r="B39" s="378"/>
      <c r="C39" s="379"/>
      <c r="D39" s="499" t="s">
        <v>324</v>
      </c>
      <c r="E39" s="380"/>
      <c r="F39" s="380"/>
      <c r="G39" s="381"/>
      <c r="H39" s="382"/>
      <c r="I39" s="30"/>
      <c r="J39" s="30"/>
      <c r="K39" s="30"/>
      <c r="P39" s="131"/>
    </row>
    <row r="40" spans="1:17">
      <c r="A40" s="377"/>
      <c r="B40" s="378"/>
      <c r="C40" s="379"/>
      <c r="D40" s="380"/>
      <c r="E40" s="380"/>
      <c r="F40" s="380"/>
      <c r="G40" s="381"/>
      <c r="H40" s="382"/>
      <c r="I40" s="30"/>
      <c r="J40" s="30"/>
      <c r="K40" s="30"/>
      <c r="L40" s="26"/>
      <c r="M40" s="26"/>
      <c r="N40" s="26"/>
      <c r="O40" s="26"/>
      <c r="P40" s="131"/>
    </row>
    <row r="41" spans="1:17">
      <c r="A41" s="1088" t="s">
        <v>354</v>
      </c>
      <c r="B41" s="1089"/>
      <c r="C41" s="1090"/>
      <c r="D41" s="380"/>
      <c r="E41" s="380"/>
      <c r="F41" s="380"/>
      <c r="G41" s="381"/>
      <c r="H41" s="382"/>
      <c r="I41" s="30"/>
      <c r="J41" s="30"/>
      <c r="K41" s="30"/>
      <c r="L41" s="26"/>
      <c r="M41" s="26"/>
      <c r="N41" s="867"/>
      <c r="O41" s="64"/>
      <c r="P41" s="237"/>
    </row>
    <row r="42" spans="1:17" ht="30">
      <c r="A42" s="644" t="s">
        <v>276</v>
      </c>
      <c r="B42" s="437" t="s">
        <v>149</v>
      </c>
      <c r="C42" s="1083" t="s">
        <v>277</v>
      </c>
      <c r="D42" s="1084"/>
      <c r="E42" s="437" t="s">
        <v>278</v>
      </c>
      <c r="F42" s="437" t="s">
        <v>279</v>
      </c>
      <c r="G42" s="437" t="s">
        <v>280</v>
      </c>
      <c r="H42" s="623" t="s">
        <v>282</v>
      </c>
      <c r="I42" s="1109" t="s">
        <v>281</v>
      </c>
      <c r="J42" s="1110"/>
      <c r="K42" s="1110"/>
      <c r="L42" s="1110"/>
      <c r="M42" s="1110"/>
      <c r="N42" s="1110"/>
      <c r="O42" s="1110"/>
      <c r="P42" s="1111"/>
    </row>
    <row r="43" spans="1:17">
      <c r="A43" s="443"/>
      <c r="B43" s="540"/>
      <c r="C43" s="1081"/>
      <c r="D43" s="1082"/>
      <c r="E43" s="543"/>
      <c r="F43" s="404"/>
      <c r="G43" s="405">
        <f>E43*(1+F43)</f>
        <v>0</v>
      </c>
      <c r="H43" s="406"/>
      <c r="I43" s="1106"/>
      <c r="J43" s="1107"/>
      <c r="K43" s="1107"/>
      <c r="L43" s="1107"/>
      <c r="M43" s="1107"/>
      <c r="N43" s="1107"/>
      <c r="O43" s="1107"/>
      <c r="P43" s="1108"/>
      <c r="Q43" s="7" t="s">
        <v>0</v>
      </c>
    </row>
    <row r="44" spans="1:17">
      <c r="A44" s="444"/>
      <c r="B44" s="538"/>
      <c r="C44" s="1079"/>
      <c r="D44" s="1080"/>
      <c r="E44" s="541"/>
      <c r="F44" s="445"/>
      <c r="G44" s="401">
        <f>E44*(1+F44)</f>
        <v>0</v>
      </c>
      <c r="H44" s="402"/>
      <c r="I44" s="1103"/>
      <c r="J44" s="1104"/>
      <c r="K44" s="1104"/>
      <c r="L44" s="1104"/>
      <c r="M44" s="1104"/>
      <c r="N44" s="1104"/>
      <c r="O44" s="1104"/>
      <c r="P44" s="1105"/>
      <c r="Q44" s="7" t="s">
        <v>1</v>
      </c>
    </row>
    <row r="45" spans="1:17">
      <c r="A45" s="444"/>
      <c r="B45" s="538"/>
      <c r="C45" s="1079"/>
      <c r="D45" s="1080"/>
      <c r="E45" s="541"/>
      <c r="F45" s="445"/>
      <c r="G45" s="401">
        <f>E45*(1+F45)</f>
        <v>0</v>
      </c>
      <c r="H45" s="402"/>
      <c r="I45" s="1103"/>
      <c r="J45" s="1104"/>
      <c r="K45" s="1104"/>
      <c r="L45" s="1104"/>
      <c r="M45" s="1104"/>
      <c r="N45" s="1104"/>
      <c r="O45" s="1104"/>
      <c r="P45" s="1105"/>
    </row>
    <row r="46" spans="1:17">
      <c r="A46" s="446"/>
      <c r="B46" s="539"/>
      <c r="C46" s="1077"/>
      <c r="D46" s="1078"/>
      <c r="E46" s="542"/>
      <c r="F46" s="408"/>
      <c r="G46" s="409">
        <f>E46*(1+F46)</f>
        <v>0</v>
      </c>
      <c r="H46" s="403"/>
      <c r="I46" s="1100"/>
      <c r="J46" s="1101"/>
      <c r="K46" s="1101"/>
      <c r="L46" s="1101"/>
      <c r="M46" s="1101"/>
      <c r="N46" s="1101"/>
      <c r="O46" s="1101"/>
      <c r="P46" s="1102"/>
    </row>
    <row r="47" spans="1:17">
      <c r="A47" s="383"/>
      <c r="B47" s="378"/>
      <c r="C47" s="379"/>
      <c r="E47" s="379"/>
      <c r="F47" s="410" t="s">
        <v>213</v>
      </c>
      <c r="G47" s="544">
        <f>SUM(G43:G46)</f>
        <v>0</v>
      </c>
      <c r="H47" s="30"/>
      <c r="I47" s="30"/>
      <c r="J47" s="26"/>
      <c r="K47" s="26"/>
      <c r="L47" s="26"/>
      <c r="M47" s="26"/>
      <c r="P47" s="131"/>
    </row>
    <row r="48" spans="1:17">
      <c r="A48" s="383"/>
      <c r="B48" s="378"/>
      <c r="C48" s="379"/>
      <c r="E48" s="379"/>
      <c r="F48" s="407" t="s">
        <v>283</v>
      </c>
      <c r="G48" s="545"/>
      <c r="H48" s="30"/>
      <c r="I48" s="30"/>
      <c r="J48" s="26"/>
      <c r="K48" s="26"/>
      <c r="L48" s="26"/>
      <c r="M48" s="26"/>
      <c r="P48" s="131"/>
    </row>
    <row r="49" spans="1:16">
      <c r="A49" s="383"/>
      <c r="B49" s="378"/>
      <c r="C49" s="379"/>
      <c r="E49" s="379"/>
      <c r="F49" s="407" t="s">
        <v>126</v>
      </c>
      <c r="G49" s="546" t="e">
        <f>G47/G48</f>
        <v>#DIV/0!</v>
      </c>
      <c r="H49" s="30"/>
      <c r="I49" s="30"/>
      <c r="J49" s="26"/>
      <c r="K49" s="26"/>
      <c r="L49" s="26"/>
      <c r="M49" s="26"/>
      <c r="P49" s="131"/>
    </row>
    <row r="50" spans="1:16">
      <c r="A50" s="130"/>
      <c r="B50" s="26"/>
      <c r="C50" s="26"/>
      <c r="D50" s="26"/>
      <c r="E50" s="26"/>
      <c r="F50" s="26"/>
      <c r="G50" s="26"/>
      <c r="H50" s="26"/>
      <c r="I50" s="26"/>
      <c r="J50" s="26"/>
      <c r="K50" s="26"/>
      <c r="L50" s="26"/>
      <c r="P50" s="131"/>
    </row>
    <row r="51" spans="1:16" ht="16.5" thickBot="1">
      <c r="A51" s="249"/>
      <c r="B51" s="250"/>
      <c r="C51" s="250"/>
      <c r="D51" s="250"/>
      <c r="E51" s="250"/>
      <c r="F51" s="250"/>
      <c r="G51" s="250"/>
      <c r="H51" s="250"/>
      <c r="I51" s="250"/>
      <c r="J51" s="250"/>
      <c r="K51" s="250"/>
      <c r="L51" s="250"/>
      <c r="M51" s="250"/>
      <c r="N51" s="250"/>
      <c r="O51" s="250"/>
      <c r="P51" s="251"/>
    </row>
  </sheetData>
  <sheetProtection formatCells="0" formatColumns="0" formatRows="0" insertColumns="0" insertRows="0" insertHyperlinks="0" deleteColumns="0" deleteRows="0" sort="0" autoFilter="0" pivotTables="0"/>
  <mergeCells count="41">
    <mergeCell ref="I46:P46"/>
    <mergeCell ref="I44:P44"/>
    <mergeCell ref="I43:P43"/>
    <mergeCell ref="I42:P42"/>
    <mergeCell ref="I45:P45"/>
    <mergeCell ref="A41:C41"/>
    <mergeCell ref="H29:P29"/>
    <mergeCell ref="H30:P30"/>
    <mergeCell ref="H31:P31"/>
    <mergeCell ref="H32:P32"/>
    <mergeCell ref="B33:C33"/>
    <mergeCell ref="B34:C34"/>
    <mergeCell ref="B35:C35"/>
    <mergeCell ref="H28:P28"/>
    <mergeCell ref="A11:P11"/>
    <mergeCell ref="A13:P13"/>
    <mergeCell ref="A14:P14"/>
    <mergeCell ref="A9:C9"/>
    <mergeCell ref="D9:E9"/>
    <mergeCell ref="F9:I9"/>
    <mergeCell ref="J9:K9"/>
    <mergeCell ref="L9:N9"/>
    <mergeCell ref="O9:P9"/>
    <mergeCell ref="H19:P19"/>
    <mergeCell ref="H20:P20"/>
    <mergeCell ref="H21:P21"/>
    <mergeCell ref="H22:P22"/>
    <mergeCell ref="H23:P23"/>
    <mergeCell ref="O8:P8"/>
    <mergeCell ref="D1:M2"/>
    <mergeCell ref="A3:P5"/>
    <mergeCell ref="E6:L7"/>
    <mergeCell ref="M6:N6"/>
    <mergeCell ref="O6:P6"/>
    <mergeCell ref="M7:N7"/>
    <mergeCell ref="O7:P7"/>
    <mergeCell ref="C46:D46"/>
    <mergeCell ref="C45:D45"/>
    <mergeCell ref="C44:D44"/>
    <mergeCell ref="C43:D43"/>
    <mergeCell ref="C42:D42"/>
  </mergeCells>
  <dataValidations count="4">
    <dataValidation type="list" allowBlank="1" showInputMessage="1" showErrorMessage="1" sqref="O9:P9" xr:uid="{00000000-0002-0000-0A00-000000000000}">
      <formula1>Diligences</formula1>
    </dataValidation>
    <dataValidation type="list" showInputMessage="1" showErrorMessage="1" sqref="D9:E9" xr:uid="{00000000-0002-0000-0A00-000001000000}">
      <formula1>RAS</formula1>
    </dataValidation>
    <dataValidation type="list" allowBlank="1" showInputMessage="1" showErrorMessage="1" sqref="F43:F46" xr:uid="{00000000-0002-0000-0A00-000002000000}">
      <mc:AlternateContent xmlns:x12ac="http://schemas.microsoft.com/office/spreadsheetml/2011/1/ac" xmlns:mc="http://schemas.openxmlformats.org/markup-compatibility/2006">
        <mc:Choice Requires="x12ac">
          <x12ac:list>20%,"19,6%",10%,7%,"5,5%",5%,2%,1%,0%</x12ac:list>
        </mc:Choice>
        <mc:Fallback>
          <formula1>"20%,19,6%,10%,7%,5,5%,5%,2%,1%,0%"</formula1>
        </mc:Fallback>
      </mc:AlternateContent>
    </dataValidation>
    <dataValidation type="list" allowBlank="1" showInputMessage="1" showErrorMessage="1" sqref="H43:H46" xr:uid="{00000000-0002-0000-0A00-000003000000}">
      <formula1>$Q$43:$Q$44</formula1>
    </dataValidation>
  </dataValidations>
  <hyperlinks>
    <hyperlink ref="O8:P8" location="'V Synthèse'!A1" display="V Synthèse" xr:uid="{00000000-0004-0000-0A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1"/>
  <dimension ref="A1:U66"/>
  <sheetViews>
    <sheetView showGridLines="0" zoomScale="90" zoomScaleNormal="90" workbookViewId="0">
      <selection activeCell="O10" sqref="O10"/>
    </sheetView>
  </sheetViews>
  <sheetFormatPr baseColWidth="10" defaultColWidth="11.42578125" defaultRowHeight="15"/>
  <cols>
    <col min="1" max="1" width="14.7109375" style="285" customWidth="1"/>
    <col min="2" max="2" width="24.28515625" style="285" customWidth="1"/>
    <col min="3" max="3" width="21.5703125" style="285" customWidth="1"/>
    <col min="4" max="4" width="18.7109375" style="285" customWidth="1"/>
    <col min="5" max="7" width="14.7109375" style="285" customWidth="1"/>
    <col min="8" max="16" width="11.5703125" style="285" customWidth="1"/>
    <col min="17" max="16384" width="11.42578125" style="285"/>
  </cols>
  <sheetData>
    <row r="1" spans="1:21" s="284" customFormat="1" ht="15" customHeight="1">
      <c r="A1" s="10"/>
      <c r="B1" s="11"/>
      <c r="C1" s="11"/>
      <c r="D1" s="972" t="str">
        <f>'V Synthèse'!D1:M2</f>
        <v>#NomClient</v>
      </c>
      <c r="E1" s="973"/>
      <c r="F1" s="973"/>
      <c r="G1" s="973"/>
      <c r="H1" s="973"/>
      <c r="I1" s="973"/>
      <c r="J1" s="973"/>
      <c r="K1" s="973"/>
      <c r="L1" s="973"/>
      <c r="M1" s="974"/>
      <c r="N1" s="11"/>
      <c r="O1" s="11"/>
      <c r="P1" s="12"/>
    </row>
    <row r="2" spans="1:21" s="284"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286"/>
      <c r="T3" s="287"/>
      <c r="U3" s="287"/>
    </row>
    <row r="4" spans="1:21" ht="15" customHeight="1">
      <c r="A4" s="905"/>
      <c r="B4" s="906"/>
      <c r="C4" s="906"/>
      <c r="D4" s="906"/>
      <c r="E4" s="906"/>
      <c r="F4" s="906"/>
      <c r="G4" s="906"/>
      <c r="H4" s="906"/>
      <c r="I4" s="906"/>
      <c r="J4" s="906"/>
      <c r="K4" s="906"/>
      <c r="L4" s="906"/>
      <c r="M4" s="906"/>
      <c r="N4" s="906"/>
      <c r="O4" s="906"/>
      <c r="P4" s="907"/>
      <c r="R4" s="286"/>
      <c r="T4" s="287"/>
      <c r="U4" s="287"/>
    </row>
    <row r="5" spans="1:21" ht="15" customHeight="1" thickBot="1">
      <c r="A5" s="908"/>
      <c r="B5" s="909"/>
      <c r="C5" s="909"/>
      <c r="D5" s="909"/>
      <c r="E5" s="909"/>
      <c r="F5" s="909"/>
      <c r="G5" s="909"/>
      <c r="H5" s="909"/>
      <c r="I5" s="909"/>
      <c r="J5" s="909"/>
      <c r="K5" s="909"/>
      <c r="L5" s="909"/>
      <c r="M5" s="909"/>
      <c r="N5" s="909"/>
      <c r="O5" s="909"/>
      <c r="P5" s="910"/>
      <c r="Q5" s="286"/>
      <c r="R5" s="288"/>
      <c r="S5" s="289"/>
      <c r="T5" s="289"/>
      <c r="U5" s="289"/>
    </row>
    <row r="6" spans="1:21" ht="15" customHeight="1">
      <c r="A6" s="17" t="s">
        <v>3</v>
      </c>
      <c r="B6" s="415" t="str">
        <f>'V Synthèse'!B6</f>
        <v>BRA</v>
      </c>
      <c r="C6" s="17" t="s">
        <v>294</v>
      </c>
      <c r="D6" s="415">
        <f>'V Synthèse'!D6</f>
        <v>0</v>
      </c>
      <c r="E6" s="1140" t="s">
        <v>254</v>
      </c>
      <c r="F6" s="1141"/>
      <c r="G6" s="1141"/>
      <c r="H6" s="1141"/>
      <c r="I6" s="1141"/>
      <c r="J6" s="1141"/>
      <c r="K6" s="1141"/>
      <c r="L6" s="1142"/>
      <c r="M6" s="1146" t="s">
        <v>7</v>
      </c>
      <c r="N6" s="1147"/>
      <c r="O6" s="1148" t="s">
        <v>6</v>
      </c>
      <c r="P6" s="1149"/>
      <c r="R6" s="284"/>
      <c r="S6" s="284"/>
    </row>
    <row r="7" spans="1:21" ht="15" customHeight="1" thickBot="1">
      <c r="A7" s="18" t="s">
        <v>4</v>
      </c>
      <c r="B7" s="416">
        <f>'V Synthèse'!B7</f>
        <v>0</v>
      </c>
      <c r="C7" s="18" t="s">
        <v>4</v>
      </c>
      <c r="D7" s="416">
        <f>'V Synthèse'!D7</f>
        <v>0</v>
      </c>
      <c r="E7" s="1143"/>
      <c r="F7" s="1144"/>
      <c r="G7" s="1144"/>
      <c r="H7" s="1144"/>
      <c r="I7" s="1144"/>
      <c r="J7" s="1144"/>
      <c r="K7" s="1144"/>
      <c r="L7" s="1145"/>
      <c r="M7" s="980" t="str">
        <f>'V Synthèse'!M7:M7</f>
        <v>#DateClôture</v>
      </c>
      <c r="N7" s="981"/>
      <c r="O7" s="917" t="s">
        <v>307</v>
      </c>
      <c r="P7" s="1150"/>
    </row>
    <row r="8" spans="1:21" ht="21" customHeight="1" thickBot="1">
      <c r="A8" s="290"/>
      <c r="B8" s="291"/>
      <c r="C8" s="292"/>
      <c r="D8" s="292"/>
      <c r="E8" s="293"/>
      <c r="F8" s="293"/>
      <c r="G8" s="293"/>
      <c r="H8" s="293"/>
      <c r="I8" s="293"/>
      <c r="J8" s="293"/>
      <c r="K8" s="293"/>
      <c r="L8" s="293"/>
      <c r="M8" s="294"/>
      <c r="N8" s="292"/>
      <c r="O8" s="961" t="s">
        <v>295</v>
      </c>
      <c r="P8" s="961"/>
    </row>
    <row r="9" spans="1:21" s="292" customFormat="1" ht="31.5" customHeight="1" thickBot="1">
      <c r="A9" s="1134" t="s">
        <v>9</v>
      </c>
      <c r="B9" s="1135"/>
      <c r="C9" s="1135"/>
      <c r="D9" s="1132" t="str">
        <f>'V Synthèse'!D9:E9</f>
        <v>Elevé</v>
      </c>
      <c r="E9" s="1133"/>
      <c r="F9" s="1136" t="s">
        <v>2</v>
      </c>
      <c r="G9" s="1137"/>
      <c r="H9" s="1137"/>
      <c r="I9" s="1137"/>
      <c r="J9" s="1138">
        <f>'V Synthèse'!J9:K9</f>
        <v>0</v>
      </c>
      <c r="K9" s="1139"/>
      <c r="L9" s="1136" t="s">
        <v>10</v>
      </c>
      <c r="M9" s="1137"/>
      <c r="N9" s="1137"/>
      <c r="O9" s="1132" t="str">
        <f>'V Synthèse'!N9</f>
        <v>PE + VP</v>
      </c>
      <c r="P9" s="1133"/>
    </row>
    <row r="10" spans="1:21" s="292" customFormat="1" ht="21" customHeight="1" thickBot="1">
      <c r="A10" s="295"/>
      <c r="B10" s="295"/>
      <c r="C10" s="295"/>
      <c r="D10" s="295"/>
      <c r="E10" s="295"/>
      <c r="F10" s="295"/>
      <c r="G10" s="295"/>
      <c r="H10" s="295"/>
      <c r="I10" s="295"/>
      <c r="J10" s="295"/>
      <c r="K10" s="295"/>
      <c r="L10" s="295"/>
      <c r="M10" s="295"/>
      <c r="N10" s="295"/>
      <c r="O10" s="295"/>
      <c r="P10" s="295"/>
    </row>
    <row r="11" spans="1:21" ht="188.25" customHeight="1" thickBot="1">
      <c r="A11" s="964" t="s">
        <v>287</v>
      </c>
      <c r="B11" s="1124"/>
      <c r="C11" s="1124"/>
      <c r="D11" s="1124"/>
      <c r="E11" s="1124"/>
      <c r="F11" s="1124"/>
      <c r="G11" s="1124"/>
      <c r="H11" s="1124"/>
      <c r="I11" s="1124"/>
      <c r="J11" s="1124"/>
      <c r="K11" s="1124"/>
      <c r="L11" s="1124"/>
      <c r="M11" s="1124"/>
      <c r="N11" s="1124"/>
      <c r="O11" s="1124"/>
      <c r="P11" s="1125"/>
    </row>
    <row r="12" spans="1:21" ht="9" customHeight="1" thickBot="1"/>
    <row r="13" spans="1:21">
      <c r="A13" s="1126" t="s">
        <v>21</v>
      </c>
      <c r="B13" s="1127"/>
      <c r="C13" s="1127"/>
      <c r="D13" s="1127"/>
      <c r="E13" s="1127"/>
      <c r="F13" s="1127"/>
      <c r="G13" s="1127"/>
      <c r="H13" s="1127"/>
      <c r="I13" s="1127"/>
      <c r="J13" s="1127"/>
      <c r="K13" s="1127"/>
      <c r="L13" s="1127"/>
      <c r="M13" s="1127"/>
      <c r="N13" s="1127"/>
      <c r="O13" s="1127"/>
      <c r="P13" s="1128"/>
    </row>
    <row r="14" spans="1:21" ht="60" customHeight="1" thickBot="1">
      <c r="A14" s="1129"/>
      <c r="B14" s="1130"/>
      <c r="C14" s="1130"/>
      <c r="D14" s="1130"/>
      <c r="E14" s="1130"/>
      <c r="F14" s="1130"/>
      <c r="G14" s="1130"/>
      <c r="H14" s="1130"/>
      <c r="I14" s="1130"/>
      <c r="J14" s="1130"/>
      <c r="K14" s="1130"/>
      <c r="L14" s="1130"/>
      <c r="M14" s="1130"/>
      <c r="N14" s="1130"/>
      <c r="O14" s="1130"/>
      <c r="P14" s="1131"/>
    </row>
    <row r="15" spans="1:21" ht="15.75" thickBot="1"/>
    <row r="16" spans="1:21" s="26" customFormat="1">
      <c r="A16" s="127"/>
      <c r="B16" s="128"/>
      <c r="C16" s="128"/>
      <c r="D16" s="128"/>
      <c r="E16" s="128"/>
      <c r="F16" s="128"/>
      <c r="G16" s="128"/>
      <c r="H16" s="128"/>
      <c r="I16" s="128"/>
      <c r="J16" s="128"/>
      <c r="K16" s="128"/>
      <c r="L16" s="128"/>
      <c r="M16" s="128"/>
      <c r="N16" s="128"/>
      <c r="O16" s="128"/>
      <c r="P16" s="129"/>
    </row>
    <row r="17" spans="1:16" s="26" customFormat="1">
      <c r="A17" s="113" t="s">
        <v>187</v>
      </c>
      <c r="B17" s="55"/>
      <c r="C17" s="55"/>
      <c r="D17" s="55"/>
      <c r="E17" s="55"/>
      <c r="F17" s="55"/>
      <c r="G17" s="55"/>
      <c r="H17" s="30"/>
      <c r="P17" s="131"/>
    </row>
    <row r="18" spans="1:16" s="26" customFormat="1">
      <c r="A18" s="75"/>
      <c r="B18" s="55"/>
      <c r="C18" s="55"/>
      <c r="D18" s="55"/>
      <c r="E18" s="55"/>
      <c r="F18" s="55"/>
      <c r="G18" s="55"/>
      <c r="H18" s="30"/>
      <c r="P18" s="131"/>
    </row>
    <row r="19" spans="1:16" s="26" customFormat="1" ht="28.5" customHeight="1">
      <c r="A19" s="130"/>
      <c r="B19" s="524" t="s">
        <v>188</v>
      </c>
      <c r="C19" s="524" t="s">
        <v>189</v>
      </c>
      <c r="D19" s="360" t="s">
        <v>57</v>
      </c>
      <c r="P19" s="131"/>
    </row>
    <row r="20" spans="1:16" s="26" customFormat="1">
      <c r="A20" s="130"/>
      <c r="B20" s="547"/>
      <c r="C20" s="550"/>
      <c r="D20" s="412"/>
      <c r="P20" s="131"/>
    </row>
    <row r="21" spans="1:16" s="26" customFormat="1">
      <c r="A21" s="130"/>
      <c r="B21" s="548"/>
      <c r="C21" s="551"/>
      <c r="D21" s="413"/>
      <c r="P21" s="131"/>
    </row>
    <row r="22" spans="1:16" s="26" customFormat="1">
      <c r="A22" s="130"/>
      <c r="B22" s="548"/>
      <c r="C22" s="551"/>
      <c r="D22" s="413"/>
      <c r="P22" s="131"/>
    </row>
    <row r="23" spans="1:16" s="26" customFormat="1">
      <c r="A23" s="130"/>
      <c r="B23" s="549"/>
      <c r="C23" s="552"/>
      <c r="D23" s="414"/>
      <c r="P23" s="131"/>
    </row>
    <row r="24" spans="1:16" s="26" customFormat="1" ht="15.75" thickBot="1">
      <c r="A24" s="132"/>
      <c r="B24" s="361"/>
      <c r="C24" s="361"/>
      <c r="D24" s="361"/>
      <c r="E24" s="361"/>
      <c r="F24" s="361"/>
      <c r="G24" s="361"/>
      <c r="H24" s="361"/>
      <c r="I24" s="361"/>
      <c r="J24" s="361"/>
      <c r="K24" s="361"/>
      <c r="L24" s="361"/>
      <c r="M24" s="361"/>
      <c r="N24" s="361"/>
      <c r="O24" s="314"/>
      <c r="P24" s="134"/>
    </row>
    <row r="25" spans="1:16" s="26" customFormat="1" ht="15.75" thickBot="1">
      <c r="A25" s="75"/>
      <c r="B25" s="55"/>
      <c r="C25" s="55"/>
      <c r="D25" s="362"/>
      <c r="E25" s="362"/>
      <c r="F25" s="55"/>
      <c r="G25" s="55"/>
      <c r="H25" s="30"/>
    </row>
    <row r="26" spans="1:16" s="26" customFormat="1">
      <c r="A26" s="138"/>
      <c r="B26" s="139"/>
      <c r="C26" s="139"/>
      <c r="D26" s="139"/>
      <c r="E26" s="139"/>
      <c r="F26" s="139"/>
      <c r="G26" s="139"/>
      <c r="H26" s="219"/>
      <c r="I26" s="128"/>
      <c r="J26" s="128"/>
      <c r="K26" s="128"/>
      <c r="L26" s="128"/>
      <c r="M26" s="128"/>
      <c r="N26" s="128"/>
      <c r="O26" s="128"/>
      <c r="P26" s="129"/>
    </row>
    <row r="27" spans="1:16" s="26" customFormat="1">
      <c r="A27" s="113" t="s">
        <v>190</v>
      </c>
      <c r="B27" s="55"/>
      <c r="C27" s="55"/>
      <c r="D27" s="55"/>
      <c r="E27" s="55"/>
      <c r="F27" s="55"/>
      <c r="G27" s="55"/>
      <c r="H27" s="30"/>
      <c r="P27" s="131"/>
    </row>
    <row r="28" spans="1:16" s="26" customFormat="1">
      <c r="A28" s="75"/>
      <c r="B28" s="55"/>
      <c r="C28" s="55"/>
      <c r="D28" s="55"/>
      <c r="E28" s="55"/>
      <c r="F28" s="55"/>
      <c r="G28" s="55"/>
      <c r="H28" s="30"/>
      <c r="P28" s="131"/>
    </row>
    <row r="29" spans="1:16" s="26" customFormat="1" ht="28.5" customHeight="1">
      <c r="A29" s="570"/>
      <c r="B29" s="483" t="s">
        <v>188</v>
      </c>
      <c r="C29" s="435" t="s">
        <v>144</v>
      </c>
      <c r="D29" s="435" t="s">
        <v>146</v>
      </c>
      <c r="E29" s="438" t="s">
        <v>285</v>
      </c>
      <c r="F29" s="435" t="s">
        <v>242</v>
      </c>
      <c r="P29" s="131"/>
    </row>
    <row r="30" spans="1:16" s="26" customFormat="1">
      <c r="A30" s="130"/>
      <c r="B30" s="553"/>
      <c r="C30" s="557"/>
      <c r="D30" s="557"/>
      <c r="E30" s="557">
        <f>C30-D30</f>
        <v>0</v>
      </c>
      <c r="F30" s="567" t="e">
        <f t="shared" ref="F30:F35" si="0">E30/D30</f>
        <v>#DIV/0!</v>
      </c>
      <c r="P30" s="131"/>
    </row>
    <row r="31" spans="1:16" s="26" customFormat="1">
      <c r="A31" s="130"/>
      <c r="B31" s="554"/>
      <c r="C31" s="558"/>
      <c r="D31" s="558"/>
      <c r="E31" s="563">
        <f>C31-D31</f>
        <v>0</v>
      </c>
      <c r="F31" s="568" t="e">
        <f t="shared" si="0"/>
        <v>#DIV/0!</v>
      </c>
      <c r="P31" s="131"/>
    </row>
    <row r="32" spans="1:16" s="26" customFormat="1">
      <c r="A32" s="130"/>
      <c r="B32" s="554"/>
      <c r="C32" s="558"/>
      <c r="D32" s="558"/>
      <c r="E32" s="563">
        <f>C32-D32</f>
        <v>0</v>
      </c>
      <c r="F32" s="568" t="e">
        <f t="shared" si="0"/>
        <v>#DIV/0!</v>
      </c>
      <c r="P32" s="131"/>
    </row>
    <row r="33" spans="1:16" s="26" customFormat="1">
      <c r="A33" s="130"/>
      <c r="B33" s="554"/>
      <c r="C33" s="558"/>
      <c r="D33" s="558"/>
      <c r="E33" s="563">
        <f>C33-D33</f>
        <v>0</v>
      </c>
      <c r="F33" s="568" t="e">
        <f t="shared" si="0"/>
        <v>#DIV/0!</v>
      </c>
      <c r="P33" s="131"/>
    </row>
    <row r="34" spans="1:16" s="26" customFormat="1">
      <c r="A34" s="130"/>
      <c r="B34" s="555"/>
      <c r="C34" s="560"/>
      <c r="D34" s="560"/>
      <c r="E34" s="564">
        <f>C34-D34</f>
        <v>0</v>
      </c>
      <c r="F34" s="569" t="e">
        <f t="shared" si="0"/>
        <v>#DIV/0!</v>
      </c>
      <c r="P34" s="131"/>
    </row>
    <row r="35" spans="1:16" s="26" customFormat="1">
      <c r="A35" s="130"/>
      <c r="B35" s="556" t="s">
        <v>191</v>
      </c>
      <c r="C35" s="561">
        <f>SUM(C30:C34)</f>
        <v>0</v>
      </c>
      <c r="D35" s="561">
        <f>SUM(D30:D34)</f>
        <v>0</v>
      </c>
      <c r="E35" s="565">
        <f>+C35-D35</f>
        <v>0</v>
      </c>
      <c r="F35" s="561" t="e">
        <f t="shared" si="0"/>
        <v>#DIV/0!</v>
      </c>
      <c r="P35" s="131"/>
    </row>
    <row r="36" spans="1:16" s="26" customFormat="1">
      <c r="A36" s="75"/>
      <c r="B36" s="55"/>
      <c r="C36" s="123"/>
      <c r="D36" s="123"/>
      <c r="E36" s="411"/>
      <c r="P36" s="131"/>
    </row>
    <row r="37" spans="1:16" s="26" customFormat="1" ht="30">
      <c r="A37" s="130"/>
      <c r="B37" s="571" t="s">
        <v>192</v>
      </c>
      <c r="C37" s="517"/>
      <c r="D37" s="517"/>
      <c r="E37" s="562">
        <f>C37-D37</f>
        <v>0</v>
      </c>
      <c r="F37" s="566" t="e">
        <f>E37/D37</f>
        <v>#DIV/0!</v>
      </c>
      <c r="P37" s="131"/>
    </row>
    <row r="38" spans="1:16">
      <c r="A38" s="307"/>
      <c r="B38" s="296"/>
      <c r="C38" s="297"/>
      <c r="D38" s="297"/>
      <c r="P38" s="306"/>
    </row>
    <row r="39" spans="1:16">
      <c r="A39" s="307"/>
      <c r="B39" s="300" t="s">
        <v>193</v>
      </c>
      <c r="C39" s="559" t="e">
        <f>C35/C37</f>
        <v>#DIV/0!</v>
      </c>
      <c r="D39" s="559" t="e">
        <f>D35/D37</f>
        <v>#DIV/0!</v>
      </c>
      <c r="E39" s="559" t="e">
        <f>C39-D39</f>
        <v>#DIV/0!</v>
      </c>
      <c r="F39" s="1123"/>
      <c r="G39" s="1123"/>
      <c r="P39" s="306"/>
    </row>
    <row r="40" spans="1:16">
      <c r="A40" s="299"/>
      <c r="B40" s="300"/>
      <c r="C40" s="300"/>
      <c r="D40" s="296"/>
      <c r="E40" s="296"/>
      <c r="F40" s="296"/>
      <c r="G40" s="297"/>
      <c r="P40" s="306"/>
    </row>
    <row r="41" spans="1:16">
      <c r="A41" s="298"/>
      <c r="B41" s="296"/>
      <c r="C41" s="296"/>
      <c r="D41" s="296"/>
      <c r="E41" s="296"/>
      <c r="F41" s="296"/>
      <c r="G41" s="296"/>
      <c r="H41" s="297"/>
      <c r="P41" s="306"/>
    </row>
    <row r="42" spans="1:16" ht="45.75" customHeight="1">
      <c r="A42" s="1120" t="s">
        <v>269</v>
      </c>
      <c r="B42" s="1121"/>
      <c r="C42" s="1121"/>
      <c r="D42" s="1121"/>
      <c r="E42" s="1121"/>
      <c r="F42" s="1121"/>
      <c r="G42" s="1121"/>
      <c r="H42" s="1121"/>
      <c r="I42" s="1121"/>
      <c r="J42" s="1121"/>
      <c r="K42" s="1121"/>
      <c r="L42" s="1121"/>
      <c r="M42" s="1121"/>
      <c r="N42" s="1121"/>
      <c r="O42" s="1121"/>
      <c r="P42" s="1122"/>
    </row>
    <row r="43" spans="1:16" ht="15.75" thickBot="1">
      <c r="A43" s="308"/>
      <c r="B43" s="309"/>
      <c r="C43" s="309"/>
      <c r="D43" s="309"/>
      <c r="E43" s="309"/>
      <c r="F43" s="309"/>
      <c r="G43" s="309"/>
      <c r="H43" s="310"/>
      <c r="I43" s="311"/>
      <c r="J43" s="311"/>
      <c r="K43" s="311"/>
      <c r="L43" s="311"/>
      <c r="M43" s="311"/>
      <c r="N43" s="311"/>
      <c r="O43" s="311"/>
      <c r="P43" s="312"/>
    </row>
    <row r="44" spans="1:16" ht="15.75" thickBot="1">
      <c r="A44" s="298"/>
      <c r="B44" s="296"/>
      <c r="C44" s="296"/>
      <c r="D44" s="296"/>
      <c r="E44" s="296"/>
      <c r="F44" s="296"/>
      <c r="G44" s="296"/>
      <c r="H44" s="297"/>
    </row>
    <row r="45" spans="1:16">
      <c r="A45" s="301"/>
      <c r="B45" s="302"/>
      <c r="C45" s="302"/>
      <c r="D45" s="302"/>
      <c r="E45" s="302"/>
      <c r="F45" s="302"/>
      <c r="G45" s="302"/>
      <c r="H45" s="303"/>
      <c r="I45" s="304"/>
      <c r="J45" s="304"/>
      <c r="K45" s="304"/>
      <c r="L45" s="304"/>
      <c r="M45" s="304"/>
      <c r="N45" s="304"/>
      <c r="O45" s="304"/>
      <c r="P45" s="305"/>
    </row>
    <row r="46" spans="1:16">
      <c r="A46" s="113" t="s">
        <v>194</v>
      </c>
      <c r="B46" s="296"/>
      <c r="C46" s="296"/>
      <c r="D46" s="296"/>
      <c r="E46" s="296"/>
      <c r="F46" s="296"/>
      <c r="G46" s="296"/>
      <c r="H46" s="297"/>
      <c r="P46" s="306"/>
    </row>
    <row r="47" spans="1:16">
      <c r="A47" s="298"/>
      <c r="B47" s="296"/>
      <c r="C47" s="296"/>
      <c r="D47" s="296"/>
      <c r="E47" s="296"/>
      <c r="F47" s="296"/>
      <c r="G47" s="296"/>
      <c r="H47" s="297"/>
      <c r="P47" s="306"/>
    </row>
    <row r="48" spans="1:16" ht="31.5" customHeight="1">
      <c r="A48" s="641" t="s">
        <v>188</v>
      </c>
      <c r="B48" s="638" t="s">
        <v>201</v>
      </c>
      <c r="C48" s="639" t="s">
        <v>195</v>
      </c>
      <c r="D48" s="638" t="s">
        <v>196</v>
      </c>
      <c r="E48" s="640" t="s">
        <v>197</v>
      </c>
      <c r="F48" s="641" t="s">
        <v>89</v>
      </c>
      <c r="G48" s="642" t="s">
        <v>324</v>
      </c>
      <c r="H48" s="1112" t="s">
        <v>51</v>
      </c>
      <c r="I48" s="1112"/>
      <c r="J48" s="1112"/>
      <c r="K48" s="1112"/>
      <c r="L48" s="1112"/>
      <c r="M48" s="1112"/>
      <c r="N48" s="1112"/>
      <c r="O48" s="1112"/>
      <c r="P48" s="1113"/>
    </row>
    <row r="49" spans="1:16">
      <c r="A49" s="868"/>
      <c r="B49" s="576"/>
      <c r="C49" s="872"/>
      <c r="D49" s="875">
        <f>B49*C49</f>
        <v>0</v>
      </c>
      <c r="E49" s="582"/>
      <c r="F49" s="875">
        <f>E49-D49</f>
        <v>0</v>
      </c>
      <c r="G49" s="879"/>
      <c r="H49" s="1151"/>
      <c r="I49" s="1151"/>
      <c r="J49" s="1151"/>
      <c r="K49" s="1151"/>
      <c r="L49" s="1151"/>
      <c r="M49" s="1151"/>
      <c r="N49" s="1151"/>
      <c r="O49" s="1151"/>
      <c r="P49" s="1152"/>
    </row>
    <row r="50" spans="1:16">
      <c r="A50" s="869"/>
      <c r="B50" s="578"/>
      <c r="C50" s="873"/>
      <c r="D50" s="876">
        <f>B50*C50</f>
        <v>0</v>
      </c>
      <c r="E50" s="580"/>
      <c r="F50" s="876">
        <f>E50-D50</f>
        <v>0</v>
      </c>
      <c r="G50" s="880"/>
      <c r="H50" s="1153"/>
      <c r="I50" s="1153"/>
      <c r="J50" s="1153"/>
      <c r="K50" s="1153"/>
      <c r="L50" s="1153"/>
      <c r="M50" s="1153"/>
      <c r="N50" s="1153"/>
      <c r="O50" s="1153"/>
      <c r="P50" s="1154"/>
    </row>
    <row r="51" spans="1:16">
      <c r="A51" s="869"/>
      <c r="B51" s="578"/>
      <c r="C51" s="873"/>
      <c r="D51" s="876">
        <f>B51*C51</f>
        <v>0</v>
      </c>
      <c r="E51" s="580"/>
      <c r="F51" s="876">
        <f>E51-D51</f>
        <v>0</v>
      </c>
      <c r="G51" s="880"/>
      <c r="H51" s="1153"/>
      <c r="I51" s="1153"/>
      <c r="J51" s="1153"/>
      <c r="K51" s="1153"/>
      <c r="L51" s="1153"/>
      <c r="M51" s="1153"/>
      <c r="N51" s="1153"/>
      <c r="O51" s="1153"/>
      <c r="P51" s="1154"/>
    </row>
    <row r="52" spans="1:16">
      <c r="A52" s="870"/>
      <c r="B52" s="871"/>
      <c r="C52" s="874"/>
      <c r="D52" s="877">
        <f>B52*C52</f>
        <v>0</v>
      </c>
      <c r="E52" s="878"/>
      <c r="F52" s="877">
        <f>E52-D52</f>
        <v>0</v>
      </c>
      <c r="G52" s="881"/>
      <c r="H52" s="1155"/>
      <c r="I52" s="1155"/>
      <c r="J52" s="1155"/>
      <c r="K52" s="1155"/>
      <c r="L52" s="1155"/>
      <c r="M52" s="1155"/>
      <c r="N52" s="1155"/>
      <c r="O52" s="1155"/>
      <c r="P52" s="1156"/>
    </row>
    <row r="53" spans="1:16" ht="15.75" thickBot="1">
      <c r="A53" s="838"/>
      <c r="B53" s="839"/>
      <c r="C53" s="840"/>
      <c r="D53" s="844"/>
      <c r="E53" s="844"/>
      <c r="F53" s="844"/>
      <c r="G53" s="841"/>
      <c r="H53" s="842"/>
      <c r="I53" s="842"/>
      <c r="J53" s="842"/>
      <c r="K53" s="842"/>
      <c r="L53" s="842"/>
      <c r="M53" s="842"/>
      <c r="N53" s="842"/>
      <c r="O53" s="842"/>
      <c r="P53" s="843"/>
    </row>
    <row r="54" spans="1:16">
      <c r="A54" s="838"/>
      <c r="B54" s="839"/>
      <c r="C54" s="845" t="s">
        <v>360</v>
      </c>
      <c r="D54" s="305"/>
      <c r="E54" s="844"/>
      <c r="F54" s="844"/>
      <c r="G54" s="841"/>
      <c r="H54" s="842"/>
      <c r="I54" s="842"/>
      <c r="J54" s="842"/>
      <c r="K54" s="842"/>
      <c r="L54" s="842"/>
      <c r="M54" s="842"/>
      <c r="N54" s="842"/>
      <c r="O54" s="842"/>
      <c r="P54" s="843"/>
    </row>
    <row r="55" spans="1:16" ht="15.75" thickBot="1">
      <c r="A55" s="838"/>
      <c r="B55" s="839"/>
      <c r="C55" s="846" t="s">
        <v>361</v>
      </c>
      <c r="D55" s="312" t="str">
        <f>IFERROR(SUM(D49:D52)/D54,"")</f>
        <v/>
      </c>
      <c r="E55" s="844"/>
      <c r="F55" s="844"/>
      <c r="G55" s="841"/>
      <c r="H55" s="842"/>
      <c r="I55" s="842"/>
      <c r="J55" s="842"/>
      <c r="K55" s="842"/>
      <c r="L55" s="842"/>
      <c r="M55" s="842"/>
      <c r="N55" s="842"/>
      <c r="O55" s="842"/>
      <c r="P55" s="843"/>
    </row>
    <row r="56" spans="1:16" ht="15.75" thickBot="1">
      <c r="A56" s="308"/>
      <c r="B56" s="309"/>
      <c r="C56" s="309"/>
      <c r="D56" s="309"/>
      <c r="E56" s="309"/>
      <c r="F56" s="309"/>
      <c r="G56" s="309"/>
      <c r="H56" s="310"/>
      <c r="I56" s="311"/>
      <c r="J56" s="311"/>
      <c r="K56" s="311"/>
      <c r="L56" s="311"/>
      <c r="M56" s="311"/>
      <c r="N56" s="311"/>
      <c r="O56" s="311"/>
      <c r="P56" s="312"/>
    </row>
    <row r="57" spans="1:16" ht="15.75" thickBot="1">
      <c r="A57" s="298"/>
      <c r="B57" s="296"/>
      <c r="C57" s="296"/>
      <c r="D57" s="296"/>
      <c r="E57" s="296"/>
      <c r="F57" s="296"/>
      <c r="G57" s="296"/>
      <c r="H57" s="297"/>
    </row>
    <row r="58" spans="1:16">
      <c r="A58" s="301"/>
      <c r="B58" s="302"/>
      <c r="C58" s="302"/>
      <c r="D58" s="302"/>
      <c r="E58" s="302"/>
      <c r="F58" s="302"/>
      <c r="G58" s="302"/>
      <c r="H58" s="303"/>
      <c r="I58" s="304"/>
      <c r="J58" s="304"/>
      <c r="K58" s="304"/>
      <c r="L58" s="304"/>
      <c r="M58" s="304"/>
      <c r="N58" s="304"/>
      <c r="O58" s="304"/>
      <c r="P58" s="305"/>
    </row>
    <row r="59" spans="1:16">
      <c r="A59" s="113" t="s">
        <v>198</v>
      </c>
      <c r="B59" s="296"/>
      <c r="C59" s="296"/>
      <c r="D59" s="296"/>
      <c r="E59" s="296"/>
      <c r="F59" s="296"/>
      <c r="G59" s="296"/>
      <c r="H59" s="297"/>
      <c r="P59" s="306"/>
    </row>
    <row r="60" spans="1:16">
      <c r="A60" s="298"/>
      <c r="B60" s="296"/>
      <c r="C60" s="296"/>
      <c r="D60" s="296"/>
      <c r="E60" s="296"/>
      <c r="F60" s="296"/>
      <c r="G60" s="296"/>
      <c r="H60" s="297"/>
      <c r="P60" s="306"/>
    </row>
    <row r="61" spans="1:16" ht="45.75" customHeight="1">
      <c r="A61" s="573" t="s">
        <v>188</v>
      </c>
      <c r="B61" s="484" t="s">
        <v>199</v>
      </c>
      <c r="C61" s="484" t="s">
        <v>200</v>
      </c>
      <c r="D61" s="577" t="s">
        <v>89</v>
      </c>
      <c r="E61" s="1160" t="s">
        <v>51</v>
      </c>
      <c r="F61" s="1161"/>
      <c r="G61" s="1161"/>
      <c r="H61" s="1161"/>
      <c r="I61" s="1161"/>
      <c r="J61" s="1161"/>
      <c r="K61" s="1161"/>
      <c r="L61" s="1161"/>
      <c r="M61" s="1161"/>
      <c r="N61" s="1161"/>
      <c r="O61" s="1161"/>
      <c r="P61" s="1162"/>
    </row>
    <row r="62" spans="1:16">
      <c r="A62" s="572"/>
      <c r="B62" s="576"/>
      <c r="C62" s="582"/>
      <c r="D62" s="585">
        <f>B62-C62</f>
        <v>0</v>
      </c>
      <c r="E62" s="1157"/>
      <c r="F62" s="1158"/>
      <c r="G62" s="1158"/>
      <c r="H62" s="1158"/>
      <c r="I62" s="1158"/>
      <c r="J62" s="1158"/>
      <c r="K62" s="1158"/>
      <c r="L62" s="1158"/>
      <c r="M62" s="1158"/>
      <c r="N62" s="1158"/>
      <c r="O62" s="1158"/>
      <c r="P62" s="1159"/>
    </row>
    <row r="63" spans="1:16">
      <c r="A63" s="574"/>
      <c r="B63" s="578"/>
      <c r="C63" s="580"/>
      <c r="D63" s="583">
        <f>B63-C63</f>
        <v>0</v>
      </c>
      <c r="E63" s="1114"/>
      <c r="F63" s="1115"/>
      <c r="G63" s="1115"/>
      <c r="H63" s="1115"/>
      <c r="I63" s="1115"/>
      <c r="J63" s="1115"/>
      <c r="K63" s="1115"/>
      <c r="L63" s="1115"/>
      <c r="M63" s="1115"/>
      <c r="N63" s="1115"/>
      <c r="O63" s="1115"/>
      <c r="P63" s="1116"/>
    </row>
    <row r="64" spans="1:16">
      <c r="A64" s="574"/>
      <c r="B64" s="578"/>
      <c r="C64" s="580"/>
      <c r="D64" s="583">
        <f>B64-C64</f>
        <v>0</v>
      </c>
      <c r="E64" s="1114"/>
      <c r="F64" s="1115"/>
      <c r="G64" s="1115"/>
      <c r="H64" s="1115"/>
      <c r="I64" s="1115"/>
      <c r="J64" s="1115"/>
      <c r="K64" s="1115"/>
      <c r="L64" s="1115"/>
      <c r="M64" s="1115"/>
      <c r="N64" s="1115"/>
      <c r="O64" s="1115"/>
      <c r="P64" s="1116"/>
    </row>
    <row r="65" spans="1:16">
      <c r="A65" s="575"/>
      <c r="B65" s="579"/>
      <c r="C65" s="581"/>
      <c r="D65" s="584">
        <f>B65-C65</f>
        <v>0</v>
      </c>
      <c r="E65" s="1117"/>
      <c r="F65" s="1118"/>
      <c r="G65" s="1118"/>
      <c r="H65" s="1118"/>
      <c r="I65" s="1118"/>
      <c r="J65" s="1118"/>
      <c r="K65" s="1118"/>
      <c r="L65" s="1118"/>
      <c r="M65" s="1118"/>
      <c r="N65" s="1118"/>
      <c r="O65" s="1118"/>
      <c r="P65" s="1119"/>
    </row>
    <row r="66" spans="1:16" ht="15.75" thickBot="1">
      <c r="A66" s="313"/>
      <c r="B66" s="311"/>
      <c r="C66" s="311"/>
      <c r="D66" s="311"/>
      <c r="E66" s="311"/>
      <c r="F66" s="311"/>
      <c r="G66" s="311"/>
      <c r="H66" s="311"/>
      <c r="I66" s="311"/>
      <c r="J66" s="311"/>
      <c r="K66" s="311"/>
      <c r="L66" s="311"/>
      <c r="M66" s="311"/>
      <c r="N66" s="311"/>
      <c r="O66" s="311"/>
      <c r="P66" s="312"/>
    </row>
  </sheetData>
  <sheetProtection formatCells="0" formatColumns="0" formatRows="0" insertColumns="0" insertRows="0" insertHyperlinks="0" deleteColumns="0" deleteRows="0" sort="0" autoFilter="0" pivotTables="0"/>
  <mergeCells count="29">
    <mergeCell ref="H49:P49"/>
    <mergeCell ref="H50:P50"/>
    <mergeCell ref="H51:P51"/>
    <mergeCell ref="H52:P52"/>
    <mergeCell ref="E62:P62"/>
    <mergeCell ref="E61:P61"/>
    <mergeCell ref="D1:M2"/>
    <mergeCell ref="A3:P5"/>
    <mergeCell ref="E6:L7"/>
    <mergeCell ref="M6:N6"/>
    <mergeCell ref="O6:P6"/>
    <mergeCell ref="M7:N7"/>
    <mergeCell ref="O7:P7"/>
    <mergeCell ref="H48:P48"/>
    <mergeCell ref="E63:P63"/>
    <mergeCell ref="E64:P64"/>
    <mergeCell ref="E65:P65"/>
    <mergeCell ref="O8:P8"/>
    <mergeCell ref="A42:P42"/>
    <mergeCell ref="F39:G39"/>
    <mergeCell ref="A11:P11"/>
    <mergeCell ref="A13:P13"/>
    <mergeCell ref="A14:P14"/>
    <mergeCell ref="O9:P9"/>
    <mergeCell ref="A9:C9"/>
    <mergeCell ref="D9:E9"/>
    <mergeCell ref="F9:I9"/>
    <mergeCell ref="J9:K9"/>
    <mergeCell ref="L9:N9"/>
  </mergeCells>
  <dataValidations count="2">
    <dataValidation type="list" showInputMessage="1" showErrorMessage="1" sqref="D9:E9" xr:uid="{00000000-0002-0000-0B00-000000000000}">
      <formula1>RAS</formula1>
    </dataValidation>
    <dataValidation type="list" allowBlank="1" showInputMessage="1" showErrorMessage="1" sqref="O9:P9" xr:uid="{00000000-0002-0000-0B00-000001000000}">
      <formula1>Diligences</formula1>
    </dataValidation>
  </dataValidations>
  <hyperlinks>
    <hyperlink ref="O8:P8" location="'V Synthèse'!A1" display="V Synthèse" xr:uid="{00000000-0004-0000-0B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2"/>
  <dimension ref="A1:U38"/>
  <sheetViews>
    <sheetView showGridLines="0" zoomScaleNormal="100" workbookViewId="0">
      <selection activeCell="B2" sqref="B2"/>
    </sheetView>
  </sheetViews>
  <sheetFormatPr baseColWidth="10" defaultColWidth="11.42578125" defaultRowHeight="15.75"/>
  <cols>
    <col min="1" max="1" width="24.7109375" style="7" customWidth="1"/>
    <col min="2" max="5" width="16.28515625" style="7" customWidth="1"/>
    <col min="6" max="6" width="15.140625" style="7" customWidth="1"/>
    <col min="7" max="7" width="10.28515625" style="7" customWidth="1"/>
    <col min="8" max="16" width="9.7109375" style="7" customWidth="1"/>
    <col min="17" max="16384" width="11.42578125" style="7"/>
  </cols>
  <sheetData>
    <row r="1" spans="1:21" s="1" customFormat="1" ht="15" customHeight="1">
      <c r="A1" s="10"/>
      <c r="B1" s="11"/>
      <c r="C1" s="11"/>
      <c r="D1" s="972" t="str">
        <f>'V Synthèse'!D1:M2</f>
        <v>#NomClient</v>
      </c>
      <c r="E1" s="973"/>
      <c r="F1" s="973"/>
      <c r="G1" s="973"/>
      <c r="H1" s="973"/>
      <c r="I1" s="973"/>
      <c r="J1" s="973"/>
      <c r="K1" s="973"/>
      <c r="L1" s="973"/>
      <c r="M1" s="974"/>
      <c r="N1" s="11"/>
      <c r="O1" s="11"/>
      <c r="P1" s="12"/>
    </row>
    <row r="2" spans="1:21" s="1"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6"/>
    </row>
    <row r="4" spans="1:21" ht="15" customHeight="1">
      <c r="A4" s="905"/>
      <c r="B4" s="906"/>
      <c r="C4" s="906"/>
      <c r="D4" s="906"/>
      <c r="E4" s="906"/>
      <c r="F4" s="906"/>
      <c r="G4" s="906"/>
      <c r="H4" s="906"/>
      <c r="I4" s="906"/>
      <c r="J4" s="906"/>
      <c r="K4" s="906"/>
      <c r="L4" s="906"/>
      <c r="M4" s="906"/>
      <c r="N4" s="906"/>
      <c r="O4" s="906"/>
      <c r="P4" s="907"/>
      <c r="R4" s="3"/>
      <c r="T4" s="5"/>
      <c r="U4" s="6"/>
    </row>
    <row r="5" spans="1:21" ht="15" customHeight="1" thickBot="1">
      <c r="A5" s="908"/>
      <c r="B5" s="909"/>
      <c r="C5" s="909"/>
      <c r="D5" s="909"/>
      <c r="E5" s="909"/>
      <c r="F5" s="909"/>
      <c r="G5" s="909"/>
      <c r="H5" s="909"/>
      <c r="I5" s="909"/>
      <c r="J5" s="909"/>
      <c r="K5" s="909"/>
      <c r="L5" s="909"/>
      <c r="M5" s="909"/>
      <c r="N5" s="909"/>
      <c r="O5" s="909"/>
      <c r="P5" s="910"/>
      <c r="Q5" s="8"/>
      <c r="R5" s="4"/>
      <c r="S5" s="24"/>
      <c r="T5" s="24"/>
      <c r="U5" s="24"/>
    </row>
    <row r="6" spans="1:21" ht="15" customHeight="1">
      <c r="A6" s="17" t="s">
        <v>3</v>
      </c>
      <c r="B6" s="415" t="str">
        <f>'V Synthèse'!B6</f>
        <v>BRA</v>
      </c>
      <c r="C6" s="17" t="s">
        <v>294</v>
      </c>
      <c r="D6" s="415">
        <f>'V Synthèse'!D6</f>
        <v>0</v>
      </c>
      <c r="E6" s="923" t="s">
        <v>255</v>
      </c>
      <c r="F6" s="924"/>
      <c r="G6" s="924"/>
      <c r="H6" s="924"/>
      <c r="I6" s="924"/>
      <c r="J6" s="924"/>
      <c r="K6" s="924"/>
      <c r="L6" s="925"/>
      <c r="M6" s="978" t="s">
        <v>7</v>
      </c>
      <c r="N6" s="979"/>
      <c r="O6" s="915" t="s">
        <v>6</v>
      </c>
      <c r="P6" s="916"/>
      <c r="R6" s="1"/>
      <c r="S6" s="1"/>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308</v>
      </c>
      <c r="P7" s="918"/>
    </row>
    <row r="8" spans="1:21" ht="21" customHeight="1" thickBot="1">
      <c r="A8" s="19"/>
      <c r="B8" s="16"/>
      <c r="C8" s="20"/>
      <c r="D8" s="20"/>
      <c r="E8" s="21"/>
      <c r="F8" s="21"/>
      <c r="G8" s="21"/>
      <c r="H8" s="21"/>
      <c r="I8" s="21"/>
      <c r="J8" s="21"/>
      <c r="K8" s="21"/>
      <c r="L8" s="21"/>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s="26" customFormat="1" ht="166.15" customHeight="1" thickBot="1">
      <c r="A11" s="964" t="s">
        <v>288</v>
      </c>
      <c r="B11" s="965"/>
      <c r="C11" s="965"/>
      <c r="D11" s="965"/>
      <c r="E11" s="965"/>
      <c r="F11" s="965"/>
      <c r="G11" s="965"/>
      <c r="H11" s="965"/>
      <c r="I11" s="965"/>
      <c r="J11" s="965"/>
      <c r="K11" s="965"/>
      <c r="L11" s="965"/>
      <c r="M11" s="965"/>
      <c r="N11" s="965"/>
      <c r="O11" s="965"/>
      <c r="P11" s="966"/>
    </row>
    <row r="12" spans="1:21" s="26" customFormat="1" ht="9" customHeight="1" thickBot="1"/>
    <row r="13" spans="1:21" s="26" customFormat="1" ht="15">
      <c r="A13" s="952" t="s">
        <v>21</v>
      </c>
      <c r="B13" s="953"/>
      <c r="C13" s="953"/>
      <c r="D13" s="953"/>
      <c r="E13" s="953"/>
      <c r="F13" s="953"/>
      <c r="G13" s="953"/>
      <c r="H13" s="953"/>
      <c r="I13" s="953"/>
      <c r="J13" s="953"/>
      <c r="K13" s="953"/>
      <c r="L13" s="953"/>
      <c r="M13" s="953"/>
      <c r="N13" s="953"/>
      <c r="O13" s="953"/>
      <c r="P13" s="954"/>
    </row>
    <row r="14" spans="1:21" s="26" customFormat="1" ht="60" customHeight="1" thickBot="1">
      <c r="A14" s="967"/>
      <c r="B14" s="968"/>
      <c r="C14" s="968"/>
      <c r="D14" s="968"/>
      <c r="E14" s="968"/>
      <c r="F14" s="968"/>
      <c r="G14" s="968"/>
      <c r="H14" s="968"/>
      <c r="I14" s="968"/>
      <c r="J14" s="968"/>
      <c r="K14" s="968"/>
      <c r="L14" s="968"/>
      <c r="M14" s="968"/>
      <c r="N14" s="968"/>
      <c r="O14" s="968"/>
      <c r="P14" s="969"/>
    </row>
    <row r="15" spans="1:21" ht="16.5" thickBot="1"/>
    <row r="16" spans="1:21" s="26" customFormat="1" ht="15">
      <c r="A16" s="127"/>
      <c r="B16" s="363"/>
      <c r="C16" s="364"/>
      <c r="D16" s="365"/>
      <c r="E16" s="364"/>
      <c r="F16" s="364"/>
      <c r="G16" s="364"/>
      <c r="H16" s="364"/>
      <c r="I16" s="364"/>
      <c r="J16" s="128"/>
      <c r="K16" s="128"/>
      <c r="L16" s="128"/>
      <c r="M16" s="128"/>
      <c r="N16" s="128"/>
      <c r="O16" s="128"/>
      <c r="P16" s="129"/>
    </row>
    <row r="17" spans="1:16" s="26" customFormat="1" ht="15">
      <c r="A17" s="366" t="s">
        <v>211</v>
      </c>
      <c r="C17" s="53"/>
      <c r="D17" s="367"/>
      <c r="E17" s="53"/>
      <c r="F17" s="53"/>
      <c r="G17" s="53"/>
      <c r="H17" s="53"/>
      <c r="I17" s="53"/>
      <c r="P17" s="131"/>
    </row>
    <row r="18" spans="1:16" s="26" customFormat="1" ht="15">
      <c r="A18" s="366"/>
      <c r="C18" s="53"/>
      <c r="D18" s="367"/>
      <c r="E18" s="53"/>
      <c r="F18" s="53"/>
      <c r="G18" s="391"/>
      <c r="H18" s="391"/>
      <c r="I18" s="53"/>
      <c r="P18" s="131"/>
    </row>
    <row r="19" spans="1:16" s="26" customFormat="1" ht="45.75" customHeight="1">
      <c r="A19" s="791" t="s">
        <v>338</v>
      </c>
      <c r="B19" s="370" t="s">
        <v>144</v>
      </c>
      <c r="C19" s="370" t="s">
        <v>146</v>
      </c>
      <c r="D19" s="370" t="s">
        <v>79</v>
      </c>
      <c r="E19" s="370" t="s">
        <v>242</v>
      </c>
      <c r="F19" s="370" t="s">
        <v>174</v>
      </c>
      <c r="G19" s="499" t="s">
        <v>324</v>
      </c>
      <c r="H19" s="1063" t="s">
        <v>68</v>
      </c>
      <c r="I19" s="1064"/>
      <c r="J19" s="1064"/>
      <c r="K19" s="1064"/>
      <c r="L19" s="1064"/>
      <c r="M19" s="1064"/>
      <c r="N19" s="1064"/>
      <c r="O19" s="1064"/>
      <c r="P19" s="1065"/>
    </row>
    <row r="20" spans="1:16" s="26" customFormat="1" ht="15">
      <c r="A20" s="532"/>
      <c r="B20" s="535"/>
      <c r="C20" s="398"/>
      <c r="D20" s="398">
        <f>B20-C20</f>
        <v>0</v>
      </c>
      <c r="E20" s="385" t="e">
        <f>D20/C20</f>
        <v>#DIV/0!</v>
      </c>
      <c r="F20" s="368"/>
      <c r="G20" s="368"/>
      <c r="H20" s="1066"/>
      <c r="I20" s="1067"/>
      <c r="J20" s="1067"/>
      <c r="K20" s="1067"/>
      <c r="L20" s="1067"/>
      <c r="M20" s="1067"/>
      <c r="N20" s="1067"/>
      <c r="O20" s="1067"/>
      <c r="P20" s="1068"/>
    </row>
    <row r="21" spans="1:16" s="26" customFormat="1" ht="15">
      <c r="A21" s="533"/>
      <c r="B21" s="536"/>
      <c r="C21" s="399"/>
      <c r="D21" s="399">
        <f>B21-C21</f>
        <v>0</v>
      </c>
      <c r="E21" s="386" t="e">
        <f t="shared" ref="E21:E23" si="0">D21/C21</f>
        <v>#DIV/0!</v>
      </c>
      <c r="F21" s="369"/>
      <c r="G21" s="369"/>
      <c r="H21" s="1057"/>
      <c r="I21" s="1058"/>
      <c r="J21" s="1058"/>
      <c r="K21" s="1058"/>
      <c r="L21" s="1058"/>
      <c r="M21" s="1058"/>
      <c r="N21" s="1058"/>
      <c r="O21" s="1058"/>
      <c r="P21" s="1059"/>
    </row>
    <row r="22" spans="1:16" s="26" customFormat="1" ht="15">
      <c r="A22" s="533"/>
      <c r="B22" s="536"/>
      <c r="C22" s="399"/>
      <c r="D22" s="399">
        <f>B22-C22</f>
        <v>0</v>
      </c>
      <c r="E22" s="386" t="e">
        <f>D22/C22</f>
        <v>#DIV/0!</v>
      </c>
      <c r="F22" s="369"/>
      <c r="G22" s="369"/>
      <c r="H22" s="1057"/>
      <c r="I22" s="1058"/>
      <c r="J22" s="1058"/>
      <c r="K22" s="1058"/>
      <c r="L22" s="1058"/>
      <c r="M22" s="1058"/>
      <c r="N22" s="1058"/>
      <c r="O22" s="1058"/>
      <c r="P22" s="1059"/>
    </row>
    <row r="23" spans="1:16" s="26" customFormat="1" ht="15">
      <c r="A23" s="534"/>
      <c r="B23" s="537"/>
      <c r="C23" s="400"/>
      <c r="D23" s="400">
        <f>B23-C23</f>
        <v>0</v>
      </c>
      <c r="E23" s="387" t="e">
        <f t="shared" si="0"/>
        <v>#DIV/0!</v>
      </c>
      <c r="F23" s="384"/>
      <c r="G23" s="384"/>
      <c r="H23" s="1069"/>
      <c r="I23" s="1070"/>
      <c r="J23" s="1070"/>
      <c r="K23" s="1070"/>
      <c r="L23" s="1070"/>
      <c r="M23" s="1070"/>
      <c r="N23" s="1070"/>
      <c r="O23" s="1070"/>
      <c r="P23" s="1071"/>
    </row>
    <row r="24" spans="1:16" s="389" customFormat="1" ht="15">
      <c r="A24" s="388" t="s">
        <v>72</v>
      </c>
      <c r="B24" s="394">
        <f>SUM(B20:B23)</f>
        <v>0</v>
      </c>
      <c r="C24" s="394">
        <f>SUM(C20:C23)</f>
        <v>0</v>
      </c>
      <c r="D24" s="394">
        <f>SUM(D20:D23)</f>
        <v>0</v>
      </c>
      <c r="E24" s="397" t="e">
        <f>+D24/C24</f>
        <v>#DIV/0!</v>
      </c>
      <c r="F24" s="388"/>
      <c r="G24" s="388"/>
      <c r="P24" s="390"/>
    </row>
    <row r="25" spans="1:16" s="26" customFormat="1" ht="15">
      <c r="A25" s="130"/>
      <c r="B25" s="53"/>
      <c r="C25" s="53"/>
      <c r="D25" s="367"/>
      <c r="E25" s="53"/>
      <c r="F25" s="53"/>
      <c r="G25" s="53"/>
      <c r="H25" s="53"/>
      <c r="I25" s="53"/>
      <c r="P25" s="131"/>
    </row>
    <row r="26" spans="1:16" s="26" customFormat="1" ht="15">
      <c r="A26" s="366" t="s">
        <v>212</v>
      </c>
      <c r="C26" s="53"/>
      <c r="D26" s="30"/>
      <c r="E26" s="53"/>
      <c r="F26" s="30"/>
      <c r="G26" s="53"/>
      <c r="H26" s="53"/>
      <c r="I26" s="53"/>
      <c r="P26" s="131"/>
    </row>
    <row r="27" spans="1:16" s="26" customFormat="1" ht="15">
      <c r="A27" s="366"/>
      <c r="C27" s="53"/>
      <c r="D27" s="30"/>
      <c r="E27" s="53"/>
      <c r="F27" s="30"/>
      <c r="G27" s="53"/>
      <c r="H27" s="53"/>
      <c r="I27" s="53"/>
      <c r="P27" s="131"/>
    </row>
    <row r="28" spans="1:16" s="26" customFormat="1" ht="45.75" customHeight="1">
      <c r="A28" s="625" t="s">
        <v>149</v>
      </c>
      <c r="B28" s="626" t="s">
        <v>176</v>
      </c>
      <c r="C28" s="625" t="s">
        <v>177</v>
      </c>
      <c r="D28" s="625" t="s">
        <v>178</v>
      </c>
      <c r="E28" s="625" t="s">
        <v>179</v>
      </c>
      <c r="F28" s="626" t="s">
        <v>180</v>
      </c>
      <c r="G28" s="634" t="s">
        <v>324</v>
      </c>
      <c r="H28" s="1072" t="s">
        <v>181</v>
      </c>
      <c r="I28" s="1073"/>
      <c r="J28" s="1073"/>
      <c r="K28" s="1073"/>
      <c r="L28" s="1073"/>
      <c r="M28" s="1073"/>
      <c r="N28" s="1073"/>
      <c r="O28" s="1073"/>
      <c r="P28" s="1074"/>
    </row>
    <row r="29" spans="1:16" s="26" customFormat="1" ht="15">
      <c r="A29" s="627"/>
      <c r="B29" s="628"/>
      <c r="C29" s="627"/>
      <c r="D29" s="627"/>
      <c r="E29" s="627"/>
      <c r="F29" s="628"/>
      <c r="G29" s="627"/>
      <c r="H29" s="1091"/>
      <c r="I29" s="1092"/>
      <c r="J29" s="1092"/>
      <c r="K29" s="1092"/>
      <c r="L29" s="1092"/>
      <c r="M29" s="1092"/>
      <c r="N29" s="1092"/>
      <c r="O29" s="1092"/>
      <c r="P29" s="1093"/>
    </row>
    <row r="30" spans="1:16" s="26" customFormat="1" ht="15">
      <c r="A30" s="629"/>
      <c r="B30" s="630"/>
      <c r="C30" s="629"/>
      <c r="D30" s="629"/>
      <c r="E30" s="629"/>
      <c r="F30" s="630"/>
      <c r="G30" s="629"/>
      <c r="H30" s="1094"/>
      <c r="I30" s="1095"/>
      <c r="J30" s="1095"/>
      <c r="K30" s="1095"/>
      <c r="L30" s="1095"/>
      <c r="M30" s="1095"/>
      <c r="N30" s="1095"/>
      <c r="O30" s="1095"/>
      <c r="P30" s="1096"/>
    </row>
    <row r="31" spans="1:16" s="26" customFormat="1" ht="15">
      <c r="A31" s="629"/>
      <c r="B31" s="630"/>
      <c r="C31" s="629"/>
      <c r="D31" s="629"/>
      <c r="E31" s="629"/>
      <c r="F31" s="630"/>
      <c r="G31" s="629"/>
      <c r="H31" s="1094"/>
      <c r="I31" s="1095"/>
      <c r="J31" s="1095"/>
      <c r="K31" s="1095"/>
      <c r="L31" s="1095"/>
      <c r="M31" s="1095"/>
      <c r="N31" s="1095"/>
      <c r="O31" s="1095"/>
      <c r="P31" s="1096"/>
    </row>
    <row r="32" spans="1:16" s="26" customFormat="1" ht="15">
      <c r="A32" s="631"/>
      <c r="B32" s="632"/>
      <c r="C32" s="633"/>
      <c r="D32" s="631"/>
      <c r="E32" s="633"/>
      <c r="F32" s="632"/>
      <c r="G32" s="631"/>
      <c r="H32" s="1097"/>
      <c r="I32" s="1098"/>
      <c r="J32" s="1098"/>
      <c r="K32" s="1098"/>
      <c r="L32" s="1098"/>
      <c r="M32" s="1098"/>
      <c r="N32" s="1098"/>
      <c r="O32" s="1098"/>
      <c r="P32" s="1099"/>
    </row>
    <row r="33" spans="1:16" s="26" customFormat="1" ht="15">
      <c r="A33" s="53"/>
      <c r="B33" s="1076" t="s">
        <v>182</v>
      </c>
      <c r="C33" s="1076"/>
      <c r="D33" s="635">
        <v>0</v>
      </c>
      <c r="E33" s="53"/>
      <c r="F33" s="53"/>
      <c r="G33" s="53"/>
      <c r="H33" s="53"/>
      <c r="P33" s="131"/>
    </row>
    <row r="34" spans="1:16" s="26" customFormat="1" ht="15">
      <c r="A34" s="53"/>
      <c r="B34" s="1075" t="s">
        <v>183</v>
      </c>
      <c r="C34" s="1075"/>
      <c r="D34" s="636"/>
      <c r="E34" s="53"/>
      <c r="F34" s="53"/>
      <c r="G34" s="53"/>
      <c r="H34" s="53"/>
      <c r="P34" s="131"/>
    </row>
    <row r="35" spans="1:16" s="26" customFormat="1" ht="15">
      <c r="A35" s="53"/>
      <c r="B35" s="1075" t="s">
        <v>184</v>
      </c>
      <c r="C35" s="1075"/>
      <c r="D35" s="637" t="e">
        <v>#DIV/0!</v>
      </c>
      <c r="E35" s="53"/>
      <c r="F35" s="53"/>
      <c r="G35" s="53"/>
      <c r="H35" s="53"/>
      <c r="P35" s="131"/>
    </row>
    <row r="36" spans="1:16" s="26" customFormat="1" thickBot="1">
      <c r="A36" s="132"/>
      <c r="B36" s="133"/>
      <c r="C36" s="133"/>
      <c r="D36" s="133"/>
      <c r="E36" s="133"/>
      <c r="F36" s="133"/>
      <c r="G36" s="133"/>
      <c r="H36" s="133"/>
      <c r="I36" s="133"/>
      <c r="J36" s="133"/>
      <c r="K36" s="133"/>
      <c r="L36" s="133"/>
      <c r="M36" s="133"/>
      <c r="N36" s="133"/>
      <c r="O36" s="133"/>
      <c r="P36" s="134"/>
    </row>
    <row r="37" spans="1:16" s="26" customFormat="1" ht="15"/>
    <row r="38" spans="1:16" s="26" customFormat="1" ht="15"/>
  </sheetData>
  <sheetProtection formatCells="0" formatColumns="0" formatRows="0" insertColumns="0" insertRows="0" insertHyperlinks="0" deleteColumns="0" deleteRows="0" sort="0" autoFilter="0" pivotTables="0"/>
  <mergeCells count="30">
    <mergeCell ref="B34:C34"/>
    <mergeCell ref="B35:C35"/>
    <mergeCell ref="B33:C33"/>
    <mergeCell ref="H31:P31"/>
    <mergeCell ref="H32:P32"/>
    <mergeCell ref="H30:P30"/>
    <mergeCell ref="D1:M2"/>
    <mergeCell ref="A3:P5"/>
    <mergeCell ref="E6:L7"/>
    <mergeCell ref="M6:N6"/>
    <mergeCell ref="O6:P6"/>
    <mergeCell ref="M7:N7"/>
    <mergeCell ref="O7:P7"/>
    <mergeCell ref="O8:P8"/>
    <mergeCell ref="A11:P11"/>
    <mergeCell ref="A13:P13"/>
    <mergeCell ref="A14:P14"/>
    <mergeCell ref="A9:C9"/>
    <mergeCell ref="D9:E9"/>
    <mergeCell ref="H19:P19"/>
    <mergeCell ref="H20:P20"/>
    <mergeCell ref="F9:I9"/>
    <mergeCell ref="J9:K9"/>
    <mergeCell ref="L9:N9"/>
    <mergeCell ref="O9:P9"/>
    <mergeCell ref="H29:P29"/>
    <mergeCell ref="H21:P21"/>
    <mergeCell ref="H22:P22"/>
    <mergeCell ref="H23:P23"/>
    <mergeCell ref="H28:P28"/>
  </mergeCells>
  <dataValidations count="2">
    <dataValidation type="list" showInputMessage="1" showErrorMessage="1" sqref="D9:E9" xr:uid="{00000000-0002-0000-0C00-000000000000}">
      <formula1>RAS</formula1>
    </dataValidation>
    <dataValidation type="list" allowBlank="1" showInputMessage="1" showErrorMessage="1" sqref="O9:P9" xr:uid="{00000000-0002-0000-0C00-000001000000}">
      <formula1>Diligences</formula1>
    </dataValidation>
  </dataValidations>
  <hyperlinks>
    <hyperlink ref="O8:P8" location="'V Synthèse'!A1" display="V Synthèse" xr:uid="{00000000-0004-0000-0C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3"/>
  <dimension ref="A1:U54"/>
  <sheetViews>
    <sheetView showGridLines="0" topLeftCell="A11" zoomScaleNormal="100" workbookViewId="0">
      <selection activeCell="A14" sqref="A14:P14"/>
    </sheetView>
  </sheetViews>
  <sheetFormatPr baseColWidth="10" defaultColWidth="11.42578125" defaultRowHeight="15"/>
  <cols>
    <col min="1" max="1" width="14.7109375" style="26" customWidth="1"/>
    <col min="2" max="2" width="22.7109375" style="26" customWidth="1"/>
    <col min="3" max="3" width="14.7109375" style="26" customWidth="1"/>
    <col min="4" max="4" width="19.42578125" style="26" customWidth="1"/>
    <col min="5" max="5" width="16.42578125" style="26" customWidth="1"/>
    <col min="6" max="15" width="9.85546875" style="26" customWidth="1"/>
    <col min="16" max="16" width="14.7109375" style="26" customWidth="1"/>
    <col min="17" max="16384" width="11.42578125" style="26"/>
  </cols>
  <sheetData>
    <row r="1" spans="1:21" s="36" customFormat="1" ht="15" customHeight="1">
      <c r="A1" s="10"/>
      <c r="B1" s="11"/>
      <c r="C1" s="11"/>
      <c r="D1" s="972" t="str">
        <f>'V Synthèse'!D1:M2</f>
        <v>#NomClient</v>
      </c>
      <c r="E1" s="973"/>
      <c r="F1" s="973"/>
      <c r="G1" s="973"/>
      <c r="H1" s="973"/>
      <c r="I1" s="973"/>
      <c r="J1" s="973"/>
      <c r="K1" s="973"/>
      <c r="L1" s="973"/>
      <c r="M1" s="974"/>
      <c r="N1" s="11"/>
      <c r="O1" s="11"/>
      <c r="P1" s="12"/>
    </row>
    <row r="2" spans="1:21" s="36"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5"/>
    </row>
    <row r="4" spans="1:21" ht="15" customHeight="1">
      <c r="A4" s="905"/>
      <c r="B4" s="906"/>
      <c r="C4" s="906"/>
      <c r="D4" s="906"/>
      <c r="E4" s="906"/>
      <c r="F4" s="906"/>
      <c r="G4" s="906"/>
      <c r="H4" s="906"/>
      <c r="I4" s="906"/>
      <c r="J4" s="906"/>
      <c r="K4" s="906"/>
      <c r="L4" s="906"/>
      <c r="M4" s="906"/>
      <c r="N4" s="906"/>
      <c r="O4" s="906"/>
      <c r="P4" s="907"/>
      <c r="R4" s="3"/>
      <c r="T4" s="5"/>
      <c r="U4" s="5"/>
    </row>
    <row r="5" spans="1:21" ht="15" customHeight="1" thickBot="1">
      <c r="A5" s="908"/>
      <c r="B5" s="909"/>
      <c r="C5" s="909"/>
      <c r="D5" s="909"/>
      <c r="E5" s="909"/>
      <c r="F5" s="909"/>
      <c r="G5" s="909"/>
      <c r="H5" s="909"/>
      <c r="I5" s="909"/>
      <c r="J5" s="909"/>
      <c r="K5" s="909"/>
      <c r="L5" s="909"/>
      <c r="M5" s="909"/>
      <c r="N5" s="909"/>
      <c r="O5" s="909"/>
      <c r="P5" s="910"/>
      <c r="Q5" s="3"/>
      <c r="R5" s="37"/>
      <c r="S5" s="38"/>
      <c r="T5" s="38"/>
      <c r="U5" s="38"/>
    </row>
    <row r="6" spans="1:21" ht="15" customHeight="1">
      <c r="A6" s="17" t="s">
        <v>3</v>
      </c>
      <c r="B6" s="415" t="str">
        <f>'V Synthèse'!B6</f>
        <v>BRA</v>
      </c>
      <c r="C6" s="17" t="s">
        <v>294</v>
      </c>
      <c r="D6" s="415">
        <f>'V Synthèse'!D6</f>
        <v>0</v>
      </c>
      <c r="E6" s="923" t="s">
        <v>256</v>
      </c>
      <c r="F6" s="924"/>
      <c r="G6" s="924"/>
      <c r="H6" s="924"/>
      <c r="I6" s="924"/>
      <c r="J6" s="924"/>
      <c r="K6" s="924"/>
      <c r="L6" s="925"/>
      <c r="M6" s="978" t="s">
        <v>7</v>
      </c>
      <c r="N6" s="979"/>
      <c r="O6" s="915" t="s">
        <v>6</v>
      </c>
      <c r="P6" s="916"/>
      <c r="R6" s="36"/>
      <c r="S6" s="36"/>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309</v>
      </c>
      <c r="P7" s="918"/>
    </row>
    <row r="8" spans="1:21" ht="21" customHeight="1" thickBot="1">
      <c r="A8" s="19"/>
      <c r="B8" s="39"/>
      <c r="C8" s="20"/>
      <c r="D8" s="20"/>
      <c r="E8" s="40"/>
      <c r="F8" s="40"/>
      <c r="G8" s="40"/>
      <c r="H8" s="40"/>
      <c r="I8" s="40"/>
      <c r="J8" s="40"/>
      <c r="K8" s="40"/>
      <c r="L8" s="40"/>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ht="170.25" customHeight="1" thickBot="1">
      <c r="A11" s="964" t="s">
        <v>290</v>
      </c>
      <c r="B11" s="965"/>
      <c r="C11" s="965"/>
      <c r="D11" s="965"/>
      <c r="E11" s="965"/>
      <c r="F11" s="965"/>
      <c r="G11" s="965"/>
      <c r="H11" s="965"/>
      <c r="I11" s="965"/>
      <c r="J11" s="965"/>
      <c r="K11" s="965"/>
      <c r="L11" s="965"/>
      <c r="M11" s="965"/>
      <c r="N11" s="965"/>
      <c r="O11" s="965"/>
      <c r="P11" s="966"/>
    </row>
    <row r="12" spans="1:21" ht="9" customHeight="1" thickBot="1"/>
    <row r="13" spans="1:21">
      <c r="A13" s="952" t="s">
        <v>21</v>
      </c>
      <c r="B13" s="953"/>
      <c r="C13" s="953"/>
      <c r="D13" s="953"/>
      <c r="E13" s="953"/>
      <c r="F13" s="953"/>
      <c r="G13" s="953"/>
      <c r="H13" s="953"/>
      <c r="I13" s="953"/>
      <c r="J13" s="953"/>
      <c r="K13" s="953"/>
      <c r="L13" s="953"/>
      <c r="M13" s="953"/>
      <c r="N13" s="953"/>
      <c r="O13" s="953"/>
      <c r="P13" s="954"/>
    </row>
    <row r="14" spans="1:21" ht="60" customHeight="1" thickBot="1">
      <c r="A14" s="1054"/>
      <c r="B14" s="1055"/>
      <c r="C14" s="1055"/>
      <c r="D14" s="1055"/>
      <c r="E14" s="1055"/>
      <c r="F14" s="1055"/>
      <c r="G14" s="1055"/>
      <c r="H14" s="1055"/>
      <c r="I14" s="1055"/>
      <c r="J14" s="1055"/>
      <c r="K14" s="1055"/>
      <c r="L14" s="1055"/>
      <c r="M14" s="1055"/>
      <c r="N14" s="1055"/>
      <c r="O14" s="1055"/>
      <c r="P14" s="1056"/>
    </row>
    <row r="15" spans="1:21" ht="15.75" thickBot="1"/>
    <row r="16" spans="1:21">
      <c r="A16" s="127"/>
      <c r="B16" s="128"/>
      <c r="C16" s="128"/>
      <c r="D16" s="128"/>
      <c r="E16" s="128"/>
      <c r="F16" s="128"/>
      <c r="G16" s="128"/>
      <c r="H16" s="128"/>
      <c r="I16" s="128"/>
      <c r="J16" s="128"/>
      <c r="K16" s="128"/>
      <c r="L16" s="128"/>
      <c r="M16" s="128"/>
      <c r="N16" s="128"/>
      <c r="O16" s="128"/>
      <c r="P16" s="129"/>
    </row>
    <row r="17" spans="1:16">
      <c r="A17" s="274" t="s">
        <v>270</v>
      </c>
      <c r="B17" s="30"/>
      <c r="C17" s="30"/>
      <c r="D17" s="30"/>
      <c r="E17" s="30"/>
      <c r="F17" s="30"/>
      <c r="G17" s="30"/>
      <c r="P17" s="131"/>
    </row>
    <row r="18" spans="1:16">
      <c r="A18" s="45"/>
      <c r="B18" s="55"/>
      <c r="C18" s="55"/>
      <c r="D18" s="55"/>
      <c r="E18" s="55"/>
      <c r="F18" s="55"/>
      <c r="G18" s="55"/>
      <c r="P18" s="131"/>
    </row>
    <row r="19" spans="1:16" ht="39" customHeight="1">
      <c r="A19" s="792" t="s">
        <v>339</v>
      </c>
      <c r="B19" s="485" t="s">
        <v>149</v>
      </c>
      <c r="C19" s="793" t="s">
        <v>340</v>
      </c>
      <c r="D19" s="485" t="s">
        <v>358</v>
      </c>
      <c r="E19" s="485" t="s">
        <v>291</v>
      </c>
      <c r="F19" s="1163" t="s">
        <v>164</v>
      </c>
      <c r="G19" s="1164"/>
      <c r="H19" s="1164"/>
      <c r="I19" s="1164"/>
      <c r="J19" s="1164"/>
      <c r="K19" s="1164"/>
      <c r="L19" s="1164"/>
      <c r="M19" s="1164"/>
      <c r="N19" s="1164"/>
      <c r="O19" s="1165"/>
      <c r="P19" s="319" t="s">
        <v>224</v>
      </c>
    </row>
    <row r="20" spans="1:16">
      <c r="A20" s="586"/>
      <c r="B20" s="589"/>
      <c r="C20" s="592"/>
      <c r="D20" s="595"/>
      <c r="E20" s="601"/>
      <c r="F20" s="1166"/>
      <c r="G20" s="1167"/>
      <c r="H20" s="1167"/>
      <c r="I20" s="1167"/>
      <c r="J20" s="1167"/>
      <c r="K20" s="1167"/>
      <c r="L20" s="1167"/>
      <c r="M20" s="1167"/>
      <c r="N20" s="1167"/>
      <c r="O20" s="1168"/>
      <c r="P20" s="320"/>
    </row>
    <row r="21" spans="1:16">
      <c r="A21" s="587"/>
      <c r="B21" s="590"/>
      <c r="C21" s="593"/>
      <c r="D21" s="596"/>
      <c r="E21" s="602"/>
      <c r="F21" s="1169"/>
      <c r="G21" s="1170"/>
      <c r="H21" s="1170"/>
      <c r="I21" s="1170"/>
      <c r="J21" s="1170"/>
      <c r="K21" s="1170"/>
      <c r="L21" s="1170"/>
      <c r="M21" s="1170"/>
      <c r="N21" s="1170"/>
      <c r="O21" s="1171"/>
      <c r="P21" s="321"/>
    </row>
    <row r="22" spans="1:16">
      <c r="A22" s="587"/>
      <c r="B22" s="590"/>
      <c r="C22" s="593"/>
      <c r="D22" s="596"/>
      <c r="E22" s="602"/>
      <c r="F22" s="1169"/>
      <c r="G22" s="1170"/>
      <c r="H22" s="1170"/>
      <c r="I22" s="1170"/>
      <c r="J22" s="1170"/>
      <c r="K22" s="1170"/>
      <c r="L22" s="1170"/>
      <c r="M22" s="1170"/>
      <c r="N22" s="1170"/>
      <c r="O22" s="1171"/>
      <c r="P22" s="321"/>
    </row>
    <row r="23" spans="1:16">
      <c r="A23" s="587"/>
      <c r="B23" s="590"/>
      <c r="C23" s="593"/>
      <c r="D23" s="596"/>
      <c r="E23" s="602"/>
      <c r="F23" s="1169"/>
      <c r="G23" s="1170"/>
      <c r="H23" s="1170"/>
      <c r="I23" s="1170"/>
      <c r="J23" s="1170"/>
      <c r="K23" s="1170"/>
      <c r="L23" s="1170"/>
      <c r="M23" s="1170"/>
      <c r="N23" s="1170"/>
      <c r="O23" s="1171"/>
      <c r="P23" s="321"/>
    </row>
    <row r="24" spans="1:16">
      <c r="A24" s="587"/>
      <c r="B24" s="590"/>
      <c r="C24" s="593"/>
      <c r="D24" s="596"/>
      <c r="E24" s="602"/>
      <c r="F24" s="1169"/>
      <c r="G24" s="1170"/>
      <c r="H24" s="1170"/>
      <c r="I24" s="1170"/>
      <c r="J24" s="1170"/>
      <c r="K24" s="1170"/>
      <c r="L24" s="1170"/>
      <c r="M24" s="1170"/>
      <c r="N24" s="1170"/>
      <c r="O24" s="1171"/>
      <c r="P24" s="321"/>
    </row>
    <row r="25" spans="1:16">
      <c r="A25" s="587"/>
      <c r="B25" s="590"/>
      <c r="C25" s="593"/>
      <c r="D25" s="596"/>
      <c r="E25" s="602"/>
      <c r="F25" s="1169"/>
      <c r="G25" s="1170"/>
      <c r="H25" s="1170"/>
      <c r="I25" s="1170"/>
      <c r="J25" s="1170"/>
      <c r="K25" s="1170"/>
      <c r="L25" s="1170"/>
      <c r="M25" s="1170"/>
      <c r="N25" s="1170"/>
      <c r="O25" s="1171"/>
      <c r="P25" s="321"/>
    </row>
    <row r="26" spans="1:16">
      <c r="A26" s="587"/>
      <c r="B26" s="590"/>
      <c r="C26" s="593"/>
      <c r="D26" s="596"/>
      <c r="E26" s="602"/>
      <c r="F26" s="1169"/>
      <c r="G26" s="1170"/>
      <c r="H26" s="1170"/>
      <c r="I26" s="1170"/>
      <c r="J26" s="1170"/>
      <c r="K26" s="1170"/>
      <c r="L26" s="1170"/>
      <c r="M26" s="1170"/>
      <c r="N26" s="1170"/>
      <c r="O26" s="1171"/>
      <c r="P26" s="321"/>
    </row>
    <row r="27" spans="1:16">
      <c r="A27" s="587"/>
      <c r="B27" s="590"/>
      <c r="C27" s="593"/>
      <c r="D27" s="596"/>
      <c r="E27" s="602"/>
      <c r="F27" s="1169"/>
      <c r="G27" s="1170"/>
      <c r="H27" s="1170"/>
      <c r="I27" s="1170"/>
      <c r="J27" s="1170"/>
      <c r="K27" s="1170"/>
      <c r="L27" s="1170"/>
      <c r="M27" s="1170"/>
      <c r="N27" s="1170"/>
      <c r="O27" s="1171"/>
      <c r="P27" s="321"/>
    </row>
    <row r="28" spans="1:16">
      <c r="A28" s="587"/>
      <c r="B28" s="590"/>
      <c r="C28" s="593"/>
      <c r="D28" s="596"/>
      <c r="E28" s="602"/>
      <c r="F28" s="1169"/>
      <c r="G28" s="1170"/>
      <c r="H28" s="1170"/>
      <c r="I28" s="1170"/>
      <c r="J28" s="1170"/>
      <c r="K28" s="1170"/>
      <c r="L28" s="1170"/>
      <c r="M28" s="1170"/>
      <c r="N28" s="1170"/>
      <c r="O28" s="1171"/>
      <c r="P28" s="321"/>
    </row>
    <row r="29" spans="1:16">
      <c r="A29" s="587"/>
      <c r="B29" s="590"/>
      <c r="C29" s="593"/>
      <c r="D29" s="596"/>
      <c r="E29" s="602"/>
      <c r="F29" s="1169"/>
      <c r="G29" s="1170"/>
      <c r="H29" s="1170"/>
      <c r="I29" s="1170"/>
      <c r="J29" s="1170"/>
      <c r="K29" s="1170"/>
      <c r="L29" s="1170"/>
      <c r="M29" s="1170"/>
      <c r="N29" s="1170"/>
      <c r="O29" s="1171"/>
      <c r="P29" s="321"/>
    </row>
    <row r="30" spans="1:16">
      <c r="A30" s="588"/>
      <c r="B30" s="591"/>
      <c r="C30" s="594"/>
      <c r="D30" s="597"/>
      <c r="E30" s="603"/>
      <c r="F30" s="655"/>
      <c r="G30" s="656"/>
      <c r="H30" s="656"/>
      <c r="I30" s="656"/>
      <c r="J30" s="656"/>
      <c r="K30" s="656"/>
      <c r="L30" s="656"/>
      <c r="M30" s="656"/>
      <c r="N30" s="656"/>
      <c r="O30" s="657"/>
      <c r="P30" s="322"/>
    </row>
    <row r="31" spans="1:16">
      <c r="A31" s="51"/>
      <c r="C31" s="87" t="s">
        <v>213</v>
      </c>
      <c r="D31" s="598">
        <f>SUM(D20:D30)</f>
        <v>0</v>
      </c>
      <c r="P31" s="131"/>
    </row>
    <row r="32" spans="1:16">
      <c r="A32" s="51"/>
      <c r="C32" s="315" t="s">
        <v>214</v>
      </c>
      <c r="D32" s="600"/>
      <c r="P32" s="131"/>
    </row>
    <row r="33" spans="1:16">
      <c r="A33" s="51"/>
      <c r="C33" s="315" t="s">
        <v>126</v>
      </c>
      <c r="D33" s="599" t="e">
        <f>D31/D32</f>
        <v>#DIV/0!</v>
      </c>
      <c r="P33" s="131"/>
    </row>
    <row r="34" spans="1:16" ht="15.75" thickBot="1">
      <c r="A34" s="118"/>
      <c r="B34" s="316"/>
      <c r="C34" s="317"/>
      <c r="D34" s="318"/>
      <c r="E34" s="318"/>
      <c r="F34" s="316"/>
      <c r="G34" s="141"/>
      <c r="H34" s="133"/>
      <c r="I34" s="133"/>
      <c r="J34" s="133"/>
      <c r="K34" s="133"/>
      <c r="L34" s="133"/>
      <c r="M34" s="133"/>
      <c r="N34" s="133"/>
      <c r="O34" s="133"/>
      <c r="P34" s="134"/>
    </row>
    <row r="35" spans="1:16" ht="15.75" thickBot="1">
      <c r="A35" s="51"/>
      <c r="B35" s="114"/>
      <c r="C35" s="115"/>
      <c r="D35" s="116"/>
      <c r="E35" s="116"/>
      <c r="F35" s="114"/>
      <c r="G35" s="30"/>
    </row>
    <row r="36" spans="1:16">
      <c r="A36" s="117"/>
      <c r="B36" s="326"/>
      <c r="C36" s="327"/>
      <c r="D36" s="328"/>
      <c r="E36" s="328"/>
      <c r="F36" s="326"/>
      <c r="G36" s="219"/>
      <c r="H36" s="128"/>
      <c r="I36" s="128"/>
      <c r="J36" s="128"/>
      <c r="K36" s="128"/>
      <c r="L36" s="128"/>
      <c r="M36" s="128"/>
      <c r="N36" s="128"/>
      <c r="O36" s="128"/>
      <c r="P36" s="129"/>
    </row>
    <row r="37" spans="1:16">
      <c r="A37" s="274" t="s">
        <v>271</v>
      </c>
      <c r="B37" s="30"/>
      <c r="C37" s="30"/>
      <c r="D37" s="30"/>
      <c r="E37" s="30"/>
      <c r="F37" s="30"/>
      <c r="G37" s="30"/>
      <c r="P37" s="131"/>
    </row>
    <row r="38" spans="1:16">
      <c r="A38" s="45"/>
      <c r="B38" s="30"/>
      <c r="C38" s="30"/>
      <c r="D38" s="30"/>
      <c r="E38" s="30"/>
      <c r="F38" s="30"/>
      <c r="G38" s="30"/>
      <c r="P38" s="131"/>
    </row>
    <row r="39" spans="1:16" ht="39" customHeight="1">
      <c r="A39" s="792" t="s">
        <v>339</v>
      </c>
      <c r="B39" s="485" t="s">
        <v>149</v>
      </c>
      <c r="C39" s="793" t="s">
        <v>340</v>
      </c>
      <c r="D39" s="485" t="s">
        <v>358</v>
      </c>
      <c r="E39" s="485" t="s">
        <v>291</v>
      </c>
      <c r="F39" s="1163" t="s">
        <v>164</v>
      </c>
      <c r="G39" s="1164"/>
      <c r="H39" s="1164"/>
      <c r="I39" s="1164"/>
      <c r="J39" s="1164"/>
      <c r="K39" s="1164"/>
      <c r="L39" s="1164"/>
      <c r="M39" s="1164"/>
      <c r="N39" s="1164"/>
      <c r="O39" s="1165"/>
      <c r="P39" s="319" t="s">
        <v>224</v>
      </c>
    </row>
    <row r="40" spans="1:16">
      <c r="A40" s="586"/>
      <c r="B40" s="589"/>
      <c r="C40" s="592"/>
      <c r="D40" s="595"/>
      <c r="E40" s="601"/>
      <c r="F40" s="794"/>
      <c r="G40" s="795"/>
      <c r="H40" s="795"/>
      <c r="I40" s="795"/>
      <c r="J40" s="795"/>
      <c r="K40" s="795"/>
      <c r="L40" s="795"/>
      <c r="M40" s="795"/>
      <c r="N40" s="795"/>
      <c r="O40" s="796"/>
      <c r="P40" s="320"/>
    </row>
    <row r="41" spans="1:16">
      <c r="A41" s="587"/>
      <c r="B41" s="590"/>
      <c r="C41" s="593"/>
      <c r="D41" s="596"/>
      <c r="E41" s="602"/>
      <c r="F41" s="652"/>
      <c r="G41" s="653"/>
      <c r="H41" s="653"/>
      <c r="I41" s="653"/>
      <c r="J41" s="653"/>
      <c r="K41" s="653"/>
      <c r="L41" s="653"/>
      <c r="M41" s="653"/>
      <c r="N41" s="653"/>
      <c r="O41" s="654"/>
      <c r="P41" s="321"/>
    </row>
    <row r="42" spans="1:16">
      <c r="A42" s="587"/>
      <c r="B42" s="590"/>
      <c r="C42" s="593"/>
      <c r="D42" s="596"/>
      <c r="E42" s="602"/>
      <c r="F42" s="652"/>
      <c r="G42" s="653"/>
      <c r="H42" s="653"/>
      <c r="I42" s="653"/>
      <c r="J42" s="653"/>
      <c r="K42" s="653"/>
      <c r="L42" s="653"/>
      <c r="M42" s="653"/>
      <c r="N42" s="653"/>
      <c r="O42" s="654"/>
      <c r="P42" s="321"/>
    </row>
    <row r="43" spans="1:16">
      <c r="A43" s="587"/>
      <c r="B43" s="590"/>
      <c r="C43" s="593"/>
      <c r="D43" s="596"/>
      <c r="E43" s="602"/>
      <c r="F43" s="652"/>
      <c r="G43" s="653"/>
      <c r="H43" s="653"/>
      <c r="I43" s="653"/>
      <c r="J43" s="653"/>
      <c r="K43" s="653"/>
      <c r="L43" s="653"/>
      <c r="M43" s="653"/>
      <c r="N43" s="653"/>
      <c r="O43" s="654"/>
      <c r="P43" s="321"/>
    </row>
    <row r="44" spans="1:16">
      <c r="A44" s="587"/>
      <c r="B44" s="590"/>
      <c r="C44" s="593"/>
      <c r="D44" s="596"/>
      <c r="E44" s="602"/>
      <c r="F44" s="652"/>
      <c r="G44" s="653"/>
      <c r="H44" s="653"/>
      <c r="I44" s="653"/>
      <c r="J44" s="653"/>
      <c r="K44" s="653"/>
      <c r="L44" s="653"/>
      <c r="M44" s="653"/>
      <c r="N44" s="653"/>
      <c r="O44" s="654"/>
      <c r="P44" s="321"/>
    </row>
    <row r="45" spans="1:16">
      <c r="A45" s="587"/>
      <c r="B45" s="590"/>
      <c r="C45" s="593"/>
      <c r="D45" s="596"/>
      <c r="E45" s="602"/>
      <c r="F45" s="652"/>
      <c r="G45" s="653"/>
      <c r="H45" s="653"/>
      <c r="I45" s="653"/>
      <c r="J45" s="653"/>
      <c r="K45" s="653"/>
      <c r="L45" s="653"/>
      <c r="M45" s="653"/>
      <c r="N45" s="653"/>
      <c r="O45" s="654"/>
      <c r="P45" s="321"/>
    </row>
    <row r="46" spans="1:16">
      <c r="A46" s="587"/>
      <c r="B46" s="590"/>
      <c r="C46" s="593"/>
      <c r="D46" s="596"/>
      <c r="E46" s="602"/>
      <c r="F46" s="652"/>
      <c r="G46" s="653"/>
      <c r="H46" s="653"/>
      <c r="I46" s="653"/>
      <c r="J46" s="653"/>
      <c r="K46" s="653"/>
      <c r="L46" s="653"/>
      <c r="M46" s="653"/>
      <c r="N46" s="653"/>
      <c r="O46" s="654"/>
      <c r="P46" s="321"/>
    </row>
    <row r="47" spans="1:16">
      <c r="A47" s="587"/>
      <c r="B47" s="590"/>
      <c r="C47" s="593"/>
      <c r="D47" s="596"/>
      <c r="E47" s="602"/>
      <c r="F47" s="652"/>
      <c r="G47" s="653"/>
      <c r="H47" s="653"/>
      <c r="I47" s="653"/>
      <c r="J47" s="653"/>
      <c r="K47" s="653"/>
      <c r="L47" s="653"/>
      <c r="M47" s="653"/>
      <c r="N47" s="653"/>
      <c r="O47" s="654"/>
      <c r="P47" s="321"/>
    </row>
    <row r="48" spans="1:16">
      <c r="A48" s="587"/>
      <c r="B48" s="590"/>
      <c r="C48" s="593"/>
      <c r="D48" s="596"/>
      <c r="E48" s="602"/>
      <c r="F48" s="652"/>
      <c r="G48" s="653"/>
      <c r="H48" s="653"/>
      <c r="I48" s="653"/>
      <c r="J48" s="653"/>
      <c r="K48" s="653"/>
      <c r="L48" s="653"/>
      <c r="M48" s="653"/>
      <c r="N48" s="653"/>
      <c r="O48" s="654"/>
      <c r="P48" s="321"/>
    </row>
    <row r="49" spans="1:16">
      <c r="A49" s="587"/>
      <c r="B49" s="590"/>
      <c r="C49" s="593"/>
      <c r="D49" s="596"/>
      <c r="E49" s="602"/>
      <c r="F49" s="652"/>
      <c r="G49" s="653"/>
      <c r="H49" s="653"/>
      <c r="I49" s="653"/>
      <c r="J49" s="653"/>
      <c r="K49" s="653"/>
      <c r="L49" s="653"/>
      <c r="M49" s="653"/>
      <c r="N49" s="653"/>
      <c r="O49" s="654"/>
      <c r="P49" s="321"/>
    </row>
    <row r="50" spans="1:16">
      <c r="A50" s="588"/>
      <c r="B50" s="591"/>
      <c r="C50" s="594"/>
      <c r="D50" s="597"/>
      <c r="E50" s="603"/>
      <c r="F50" s="655"/>
      <c r="G50" s="656"/>
      <c r="H50" s="656"/>
      <c r="I50" s="656"/>
      <c r="J50" s="656"/>
      <c r="K50" s="656"/>
      <c r="L50" s="656"/>
      <c r="M50" s="656"/>
      <c r="N50" s="656"/>
      <c r="O50" s="657"/>
      <c r="P50" s="322"/>
    </row>
    <row r="51" spans="1:16">
      <c r="A51" s="51"/>
      <c r="C51" s="87" t="s">
        <v>213</v>
      </c>
      <c r="D51" s="598">
        <f>SUM(D40:D50)</f>
        <v>0</v>
      </c>
      <c r="P51" s="131"/>
    </row>
    <row r="52" spans="1:16">
      <c r="A52" s="51"/>
      <c r="C52" s="315" t="s">
        <v>214</v>
      </c>
      <c r="D52" s="600"/>
      <c r="P52" s="131"/>
    </row>
    <row r="53" spans="1:16">
      <c r="A53" s="51"/>
      <c r="C53" s="315" t="s">
        <v>126</v>
      </c>
      <c r="D53" s="599" t="e">
        <f>D51/D52</f>
        <v>#DIV/0!</v>
      </c>
      <c r="P53" s="131"/>
    </row>
    <row r="54" spans="1:16" ht="15.75" thickBot="1">
      <c r="A54" s="118"/>
      <c r="B54" s="316"/>
      <c r="C54" s="317"/>
      <c r="D54" s="318"/>
      <c r="E54" s="318"/>
      <c r="F54" s="316"/>
      <c r="G54" s="141"/>
      <c r="H54" s="133"/>
      <c r="I54" s="133"/>
      <c r="J54" s="133"/>
      <c r="K54" s="133"/>
      <c r="L54" s="133"/>
      <c r="M54" s="133"/>
      <c r="N54" s="133"/>
      <c r="O54" s="133"/>
      <c r="P54" s="134"/>
    </row>
  </sheetData>
  <sheetProtection formatCells="0" formatColumns="0" formatRows="0" insertColumns="0" insertRows="0" insertHyperlinks="0" deleteColumns="0" deleteRows="0" sort="0" autoFilter="0" pivotTables="0"/>
  <mergeCells count="29">
    <mergeCell ref="F29:O29"/>
    <mergeCell ref="O8:P8"/>
    <mergeCell ref="A14:P14"/>
    <mergeCell ref="A9:C9"/>
    <mergeCell ref="D9:E9"/>
    <mergeCell ref="F9:I9"/>
    <mergeCell ref="D1:M2"/>
    <mergeCell ref="A3:P5"/>
    <mergeCell ref="E6:L7"/>
    <mergeCell ref="M6:N6"/>
    <mergeCell ref="O6:P6"/>
    <mergeCell ref="M7:N7"/>
    <mergeCell ref="O7:P7"/>
    <mergeCell ref="F39:O39"/>
    <mergeCell ref="J9:K9"/>
    <mergeCell ref="L9:N9"/>
    <mergeCell ref="O9:P9"/>
    <mergeCell ref="F19:O19"/>
    <mergeCell ref="A11:P11"/>
    <mergeCell ref="A13:P13"/>
    <mergeCell ref="F20:O20"/>
    <mergeCell ref="F21:O21"/>
    <mergeCell ref="F22:O22"/>
    <mergeCell ref="F23:O23"/>
    <mergeCell ref="F24:O24"/>
    <mergeCell ref="F25:O25"/>
    <mergeCell ref="F26:O26"/>
    <mergeCell ref="F27:O27"/>
    <mergeCell ref="F28:O28"/>
  </mergeCells>
  <dataValidations count="2">
    <dataValidation type="list" allowBlank="1" showInputMessage="1" showErrorMessage="1" sqref="O9:P9" xr:uid="{00000000-0002-0000-0D00-000000000000}">
      <formula1>Diligences</formula1>
    </dataValidation>
    <dataValidation type="list" showInputMessage="1" showErrorMessage="1" sqref="D9:E9" xr:uid="{00000000-0002-0000-0D00-000001000000}">
      <formula1>RAS</formula1>
    </dataValidation>
  </dataValidations>
  <hyperlinks>
    <hyperlink ref="O8:P8" location="'V Synthèse'!A1" display="V Synthèse" xr:uid="{00000000-0004-0000-0D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4"/>
  <dimension ref="A1:U46"/>
  <sheetViews>
    <sheetView showGridLines="0" zoomScale="80" zoomScaleNormal="80" workbookViewId="0">
      <selection activeCell="O10" sqref="O10"/>
    </sheetView>
  </sheetViews>
  <sheetFormatPr baseColWidth="10" defaultColWidth="11.42578125" defaultRowHeight="15"/>
  <cols>
    <col min="1" max="1" width="10.140625" style="330" customWidth="1"/>
    <col min="2" max="2" width="26.85546875" style="330" customWidth="1"/>
    <col min="3" max="15" width="12.7109375" style="330" customWidth="1"/>
    <col min="16" max="16" width="55.28515625" style="330" customWidth="1"/>
    <col min="17" max="16384" width="11.42578125" style="330"/>
  </cols>
  <sheetData>
    <row r="1" spans="1:21" s="329" customFormat="1" ht="15" customHeight="1">
      <c r="A1" s="10"/>
      <c r="B1" s="11"/>
      <c r="C1" s="11"/>
      <c r="D1" s="972" t="str">
        <f>'V Synthèse'!D1:M2</f>
        <v>#NomClient</v>
      </c>
      <c r="E1" s="973"/>
      <c r="F1" s="973"/>
      <c r="G1" s="973"/>
      <c r="H1" s="973"/>
      <c r="I1" s="973"/>
      <c r="J1" s="973"/>
      <c r="K1" s="973"/>
      <c r="L1" s="973"/>
      <c r="M1" s="974"/>
      <c r="N1" s="11"/>
      <c r="O1" s="11"/>
      <c r="P1" s="12"/>
    </row>
    <row r="2" spans="1:21" s="329"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31"/>
      <c r="T3" s="332"/>
      <c r="U3" s="332"/>
    </row>
    <row r="4" spans="1:21" ht="15" customHeight="1">
      <c r="A4" s="905"/>
      <c r="B4" s="906"/>
      <c r="C4" s="906"/>
      <c r="D4" s="906"/>
      <c r="E4" s="906"/>
      <c r="F4" s="906"/>
      <c r="G4" s="906"/>
      <c r="H4" s="906"/>
      <c r="I4" s="906"/>
      <c r="J4" s="906"/>
      <c r="K4" s="906"/>
      <c r="L4" s="906"/>
      <c r="M4" s="906"/>
      <c r="N4" s="906"/>
      <c r="O4" s="906"/>
      <c r="P4" s="907"/>
      <c r="R4" s="331"/>
      <c r="T4" s="332"/>
      <c r="U4" s="332"/>
    </row>
    <row r="5" spans="1:21" ht="15" customHeight="1" thickBot="1">
      <c r="A5" s="908"/>
      <c r="B5" s="909"/>
      <c r="C5" s="909"/>
      <c r="D5" s="909"/>
      <c r="E5" s="909"/>
      <c r="F5" s="909"/>
      <c r="G5" s="909"/>
      <c r="H5" s="909"/>
      <c r="I5" s="909"/>
      <c r="J5" s="909"/>
      <c r="K5" s="909"/>
      <c r="L5" s="909"/>
      <c r="M5" s="909"/>
      <c r="N5" s="909"/>
      <c r="O5" s="909"/>
      <c r="P5" s="910"/>
      <c r="Q5" s="331"/>
      <c r="R5" s="333"/>
      <c r="S5" s="334"/>
      <c r="T5" s="334"/>
      <c r="U5" s="334"/>
    </row>
    <row r="6" spans="1:21" ht="15" customHeight="1">
      <c r="A6" s="17" t="s">
        <v>3</v>
      </c>
      <c r="B6" s="415" t="str">
        <f>'V Synthèse'!B6</f>
        <v>BRA</v>
      </c>
      <c r="C6" s="17" t="s">
        <v>294</v>
      </c>
      <c r="D6" s="415">
        <f>'V Synthèse'!D6</f>
        <v>0</v>
      </c>
      <c r="E6" s="1189" t="s">
        <v>42</v>
      </c>
      <c r="F6" s="1190"/>
      <c r="G6" s="1190"/>
      <c r="H6" s="1190"/>
      <c r="I6" s="1190"/>
      <c r="J6" s="1190"/>
      <c r="K6" s="1190"/>
      <c r="L6" s="1191"/>
      <c r="M6" s="1195" t="s">
        <v>7</v>
      </c>
      <c r="N6" s="1196"/>
      <c r="O6" s="1197" t="s">
        <v>6</v>
      </c>
      <c r="P6" s="1198"/>
      <c r="R6" s="329"/>
      <c r="S6" s="329"/>
    </row>
    <row r="7" spans="1:21" ht="15" customHeight="1" thickBot="1">
      <c r="A7" s="18" t="s">
        <v>4</v>
      </c>
      <c r="B7" s="416">
        <f>'V Synthèse'!B7</f>
        <v>0</v>
      </c>
      <c r="C7" s="18" t="s">
        <v>4</v>
      </c>
      <c r="D7" s="416">
        <f>'V Synthèse'!D7</f>
        <v>0</v>
      </c>
      <c r="E7" s="1192"/>
      <c r="F7" s="1193"/>
      <c r="G7" s="1193"/>
      <c r="H7" s="1193"/>
      <c r="I7" s="1193"/>
      <c r="J7" s="1193"/>
      <c r="K7" s="1193"/>
      <c r="L7" s="1194"/>
      <c r="M7" s="980" t="str">
        <f>'V Synthèse'!M7:M7</f>
        <v>#DateClôture</v>
      </c>
      <c r="N7" s="981"/>
      <c r="O7" s="917" t="s">
        <v>31</v>
      </c>
      <c r="P7" s="1199"/>
    </row>
    <row r="8" spans="1:21" ht="21" customHeight="1" thickBot="1">
      <c r="A8" s="335"/>
      <c r="B8" s="336"/>
      <c r="C8" s="337"/>
      <c r="D8" s="337"/>
      <c r="E8" s="338"/>
      <c r="F8" s="338"/>
      <c r="G8" s="338"/>
      <c r="H8" s="338"/>
      <c r="I8" s="338"/>
      <c r="J8" s="338"/>
      <c r="K8" s="338"/>
      <c r="L8" s="338"/>
      <c r="M8" s="339"/>
      <c r="N8" s="337"/>
      <c r="O8" s="961" t="s">
        <v>295</v>
      </c>
      <c r="P8" s="961"/>
    </row>
    <row r="9" spans="1:21" s="337" customFormat="1" ht="31.5" customHeight="1" thickBot="1">
      <c r="A9" s="1181" t="s">
        <v>9</v>
      </c>
      <c r="B9" s="1182"/>
      <c r="C9" s="1182"/>
      <c r="D9" s="1183" t="str">
        <f>'V Synthèse'!D9:E9</f>
        <v>Elevé</v>
      </c>
      <c r="E9" s="1184"/>
      <c r="F9" s="1185" t="s">
        <v>2</v>
      </c>
      <c r="G9" s="1186"/>
      <c r="H9" s="1186"/>
      <c r="I9" s="1186"/>
      <c r="J9" s="1187">
        <f>'V Synthèse'!J9:K9</f>
        <v>0</v>
      </c>
      <c r="K9" s="1188"/>
      <c r="L9" s="1185" t="s">
        <v>10</v>
      </c>
      <c r="M9" s="1186"/>
      <c r="N9" s="1186"/>
      <c r="O9" s="1183" t="str">
        <f>'V Synthèse'!N9</f>
        <v>PE + VP</v>
      </c>
      <c r="P9" s="1184"/>
    </row>
    <row r="10" spans="1:21" s="337" customFormat="1" ht="21" customHeight="1" thickBot="1">
      <c r="A10" s="340"/>
      <c r="B10" s="340"/>
      <c r="C10" s="340"/>
      <c r="D10" s="340"/>
      <c r="E10" s="340"/>
      <c r="F10" s="340"/>
      <c r="G10" s="340"/>
      <c r="H10" s="340"/>
      <c r="I10" s="340"/>
      <c r="J10" s="340"/>
      <c r="K10" s="340"/>
      <c r="L10" s="340"/>
      <c r="M10" s="340"/>
      <c r="N10" s="340"/>
      <c r="O10" s="340"/>
      <c r="P10" s="340"/>
    </row>
    <row r="11" spans="1:21" ht="126.75" customHeight="1" thickBot="1">
      <c r="A11" s="964" t="s">
        <v>356</v>
      </c>
      <c r="B11" s="1173"/>
      <c r="C11" s="1173"/>
      <c r="D11" s="1173"/>
      <c r="E11" s="1173"/>
      <c r="F11" s="1173"/>
      <c r="G11" s="1173"/>
      <c r="H11" s="1173"/>
      <c r="I11" s="1173"/>
      <c r="J11" s="1173"/>
      <c r="K11" s="1173"/>
      <c r="L11" s="1173"/>
      <c r="M11" s="1173"/>
      <c r="N11" s="1173"/>
      <c r="O11" s="1173"/>
      <c r="P11" s="1174"/>
    </row>
    <row r="12" spans="1:21" ht="9" customHeight="1" thickBot="1"/>
    <row r="13" spans="1:21">
      <c r="A13" s="1175" t="s">
        <v>21</v>
      </c>
      <c r="B13" s="1176"/>
      <c r="C13" s="1176"/>
      <c r="D13" s="1176"/>
      <c r="E13" s="1176"/>
      <c r="F13" s="1176"/>
      <c r="G13" s="1176"/>
      <c r="H13" s="1176"/>
      <c r="I13" s="1176"/>
      <c r="J13" s="1176"/>
      <c r="K13" s="1176"/>
      <c r="L13" s="1176"/>
      <c r="M13" s="1176"/>
      <c r="N13" s="1176"/>
      <c r="O13" s="1176"/>
      <c r="P13" s="1177"/>
    </row>
    <row r="14" spans="1:21" ht="42" customHeight="1" thickBot="1">
      <c r="A14" s="1178"/>
      <c r="B14" s="1179"/>
      <c r="C14" s="1179"/>
      <c r="D14" s="1179"/>
      <c r="E14" s="1179"/>
      <c r="F14" s="1179"/>
      <c r="G14" s="1179"/>
      <c r="H14" s="1179"/>
      <c r="I14" s="1179"/>
      <c r="J14" s="1179"/>
      <c r="K14" s="1179"/>
      <c r="L14" s="1179"/>
      <c r="M14" s="1179"/>
      <c r="N14" s="1179"/>
      <c r="O14" s="1179"/>
      <c r="P14" s="1180"/>
    </row>
    <row r="15" spans="1:21" ht="15.75" thickBot="1"/>
    <row r="16" spans="1:21" s="26" customFormat="1">
      <c r="A16" s="127"/>
      <c r="B16" s="128"/>
      <c r="C16" s="128"/>
      <c r="D16" s="128"/>
      <c r="E16" s="128"/>
      <c r="F16" s="128"/>
      <c r="G16" s="128"/>
      <c r="H16" s="128"/>
      <c r="I16" s="128"/>
      <c r="J16" s="128"/>
      <c r="K16" s="128"/>
      <c r="L16" s="128"/>
      <c r="M16" s="128"/>
      <c r="N16" s="128"/>
      <c r="O16" s="128"/>
      <c r="P16" s="129"/>
    </row>
    <row r="17" spans="1:16" s="26" customFormat="1">
      <c r="A17" s="393" t="s">
        <v>292</v>
      </c>
      <c r="P17" s="131"/>
    </row>
    <row r="18" spans="1:16" s="26" customFormat="1">
      <c r="A18" s="658"/>
      <c r="P18" s="131"/>
    </row>
    <row r="19" spans="1:16" s="26" customFormat="1">
      <c r="A19" s="130" t="s">
        <v>215</v>
      </c>
      <c r="P19" s="131"/>
    </row>
    <row r="20" spans="1:16" s="26" customFormat="1" ht="15.75" thickBot="1">
      <c r="A20" s="132"/>
      <c r="B20" s="133"/>
      <c r="C20" s="133"/>
      <c r="D20" s="133"/>
      <c r="E20" s="133"/>
      <c r="F20" s="133"/>
      <c r="G20" s="133"/>
      <c r="H20" s="133"/>
      <c r="I20" s="133"/>
      <c r="J20" s="133"/>
      <c r="K20" s="133"/>
      <c r="L20" s="133"/>
      <c r="M20" s="133"/>
      <c r="N20" s="133"/>
      <c r="O20" s="133"/>
      <c r="P20" s="134"/>
    </row>
    <row r="21" spans="1:16" s="26" customFormat="1" ht="15.75" thickBot="1"/>
    <row r="22" spans="1:16" s="26" customFormat="1">
      <c r="A22" s="127"/>
      <c r="B22" s="128"/>
      <c r="C22" s="128"/>
      <c r="D22" s="128"/>
      <c r="E22" s="128"/>
      <c r="F22" s="128"/>
      <c r="G22" s="128"/>
      <c r="H22" s="128"/>
      <c r="I22" s="128"/>
      <c r="J22" s="128"/>
      <c r="K22" s="128"/>
      <c r="L22" s="128"/>
      <c r="M22" s="128"/>
      <c r="N22" s="128"/>
      <c r="O22" s="128"/>
      <c r="P22" s="129"/>
    </row>
    <row r="23" spans="1:16" s="26" customFormat="1">
      <c r="A23" s="393" t="s">
        <v>293</v>
      </c>
      <c r="B23" s="659"/>
      <c r="C23" s="30"/>
      <c r="D23" s="31"/>
      <c r="E23" s="31"/>
      <c r="F23" s="31"/>
      <c r="G23" s="341"/>
      <c r="H23" s="55"/>
      <c r="I23" s="30"/>
      <c r="J23" s="30"/>
      <c r="K23" s="30"/>
      <c r="L23" s="30"/>
      <c r="M23" s="30"/>
      <c r="N23" s="30"/>
      <c r="P23" s="131"/>
    </row>
    <row r="24" spans="1:16" s="26" customFormat="1">
      <c r="A24" s="393"/>
      <c r="B24" s="659"/>
      <c r="C24" s="30"/>
      <c r="D24" s="31"/>
      <c r="E24" s="31"/>
      <c r="F24" s="31"/>
      <c r="G24" s="341"/>
      <c r="H24" s="55"/>
      <c r="I24" s="30"/>
      <c r="J24" s="30"/>
      <c r="K24" s="30"/>
      <c r="L24" s="30"/>
      <c r="M24" s="30"/>
      <c r="N24" s="30"/>
      <c r="P24" s="131"/>
    </row>
    <row r="25" spans="1:16" s="26" customFormat="1" ht="23.25" customHeight="1">
      <c r="A25" s="51"/>
      <c r="B25" s="30"/>
      <c r="C25" s="30"/>
      <c r="D25" s="30"/>
      <c r="E25" s="30"/>
      <c r="F25" s="660" t="s">
        <v>325</v>
      </c>
      <c r="G25" s="1109" t="s">
        <v>326</v>
      </c>
      <c r="H25" s="1110"/>
      <c r="I25" s="1110"/>
      <c r="J25" s="1172"/>
      <c r="K25" s="1109" t="s">
        <v>337</v>
      </c>
      <c r="L25" s="1110"/>
      <c r="M25" s="1110"/>
      <c r="N25" s="1110"/>
      <c r="O25" s="1172"/>
      <c r="P25" s="131"/>
    </row>
    <row r="26" spans="1:16" s="668" customFormat="1" ht="57" customHeight="1">
      <c r="A26" s="661" t="s">
        <v>324</v>
      </c>
      <c r="B26" s="662" t="s">
        <v>329</v>
      </c>
      <c r="C26" s="662" t="s">
        <v>216</v>
      </c>
      <c r="D26" s="662" t="s">
        <v>217</v>
      </c>
      <c r="E26" s="663" t="s">
        <v>218</v>
      </c>
      <c r="F26" s="664" t="s">
        <v>330</v>
      </c>
      <c r="G26" s="665" t="s">
        <v>219</v>
      </c>
      <c r="H26" s="662" t="s">
        <v>61</v>
      </c>
      <c r="I26" s="662" t="s">
        <v>220</v>
      </c>
      <c r="J26" s="666" t="s">
        <v>221</v>
      </c>
      <c r="K26" s="665" t="s">
        <v>327</v>
      </c>
      <c r="L26" s="662" t="s">
        <v>328</v>
      </c>
      <c r="M26" s="662" t="s">
        <v>61</v>
      </c>
      <c r="N26" s="662" t="s">
        <v>220</v>
      </c>
      <c r="O26" s="666" t="s">
        <v>221</v>
      </c>
      <c r="P26" s="667" t="s">
        <v>68</v>
      </c>
    </row>
    <row r="27" spans="1:16" s="26" customFormat="1">
      <c r="A27" s="669"/>
      <c r="B27" s="670"/>
      <c r="C27" s="671"/>
      <c r="D27" s="671"/>
      <c r="E27" s="672"/>
      <c r="F27" s="673"/>
      <c r="G27" s="674"/>
      <c r="H27" s="675">
        <f>F27-G27</f>
        <v>0</v>
      </c>
      <c r="I27" s="676"/>
      <c r="J27" s="677">
        <f>H27-I27</f>
        <v>0</v>
      </c>
      <c r="K27" s="674"/>
      <c r="L27" s="678"/>
      <c r="M27" s="675">
        <f>K27-L27</f>
        <v>0</v>
      </c>
      <c r="N27" s="679"/>
      <c r="O27" s="677">
        <f>M27-N27</f>
        <v>0</v>
      </c>
      <c r="P27" s="680"/>
    </row>
    <row r="28" spans="1:16" s="26" customFormat="1">
      <c r="A28" s="681"/>
      <c r="B28" s="682"/>
      <c r="C28" s="683"/>
      <c r="D28" s="683"/>
      <c r="E28" s="684"/>
      <c r="F28" s="685"/>
      <c r="G28" s="686"/>
      <c r="H28" s="687">
        <f t="shared" ref="H28:J35" si="0">F28-G28</f>
        <v>0</v>
      </c>
      <c r="I28" s="688"/>
      <c r="J28" s="689">
        <f t="shared" si="0"/>
        <v>0</v>
      </c>
      <c r="K28" s="686"/>
      <c r="L28" s="690"/>
      <c r="M28" s="687">
        <f t="shared" ref="M28:O35" si="1">K28-L28</f>
        <v>0</v>
      </c>
      <c r="N28" s="691"/>
      <c r="O28" s="689">
        <f t="shared" si="1"/>
        <v>0</v>
      </c>
      <c r="P28" s="692"/>
    </row>
    <row r="29" spans="1:16" s="26" customFormat="1">
      <c r="A29" s="693"/>
      <c r="B29" s="682"/>
      <c r="C29" s="683"/>
      <c r="D29" s="683"/>
      <c r="E29" s="684"/>
      <c r="F29" s="685"/>
      <c r="G29" s="686"/>
      <c r="H29" s="687">
        <f t="shared" si="0"/>
        <v>0</v>
      </c>
      <c r="I29" s="688"/>
      <c r="J29" s="689">
        <f t="shared" si="0"/>
        <v>0</v>
      </c>
      <c r="K29" s="686"/>
      <c r="L29" s="690"/>
      <c r="M29" s="687">
        <f t="shared" si="1"/>
        <v>0</v>
      </c>
      <c r="N29" s="691"/>
      <c r="O29" s="689">
        <f t="shared" si="1"/>
        <v>0</v>
      </c>
      <c r="P29" s="692"/>
    </row>
    <row r="30" spans="1:16" s="26" customFormat="1">
      <c r="A30" s="693"/>
      <c r="B30" s="682"/>
      <c r="C30" s="683"/>
      <c r="D30" s="683"/>
      <c r="E30" s="684"/>
      <c r="F30" s="685"/>
      <c r="G30" s="686"/>
      <c r="H30" s="687">
        <f t="shared" si="0"/>
        <v>0</v>
      </c>
      <c r="I30" s="688"/>
      <c r="J30" s="689">
        <f t="shared" si="0"/>
        <v>0</v>
      </c>
      <c r="K30" s="686"/>
      <c r="L30" s="690"/>
      <c r="M30" s="687">
        <f t="shared" si="1"/>
        <v>0</v>
      </c>
      <c r="N30" s="691"/>
      <c r="O30" s="689">
        <f t="shared" si="1"/>
        <v>0</v>
      </c>
      <c r="P30" s="692"/>
    </row>
    <row r="31" spans="1:16" s="26" customFormat="1" ht="15.75">
      <c r="A31" s="694"/>
      <c r="B31" s="682"/>
      <c r="C31" s="683"/>
      <c r="D31" s="683"/>
      <c r="E31" s="684"/>
      <c r="F31" s="685"/>
      <c r="G31" s="686"/>
      <c r="H31" s="687">
        <f t="shared" si="0"/>
        <v>0</v>
      </c>
      <c r="I31" s="688"/>
      <c r="J31" s="689">
        <f t="shared" si="0"/>
        <v>0</v>
      </c>
      <c r="K31" s="686"/>
      <c r="L31" s="690"/>
      <c r="M31" s="687">
        <f t="shared" si="1"/>
        <v>0</v>
      </c>
      <c r="N31" s="691"/>
      <c r="O31" s="689">
        <f t="shared" si="1"/>
        <v>0</v>
      </c>
      <c r="P31" s="692"/>
    </row>
    <row r="32" spans="1:16" s="26" customFormat="1">
      <c r="A32" s="693"/>
      <c r="B32" s="682"/>
      <c r="C32" s="683"/>
      <c r="D32" s="683"/>
      <c r="E32" s="684"/>
      <c r="F32" s="685"/>
      <c r="G32" s="686"/>
      <c r="H32" s="687">
        <f t="shared" si="0"/>
        <v>0</v>
      </c>
      <c r="I32" s="688"/>
      <c r="J32" s="689">
        <f t="shared" si="0"/>
        <v>0</v>
      </c>
      <c r="K32" s="686"/>
      <c r="L32" s="690"/>
      <c r="M32" s="687">
        <f t="shared" si="1"/>
        <v>0</v>
      </c>
      <c r="N32" s="691"/>
      <c r="O32" s="689">
        <f t="shared" si="1"/>
        <v>0</v>
      </c>
      <c r="P32" s="692"/>
    </row>
    <row r="33" spans="1:16" s="26" customFormat="1">
      <c r="A33" s="693"/>
      <c r="B33" s="682"/>
      <c r="C33" s="683"/>
      <c r="D33" s="683"/>
      <c r="E33" s="684"/>
      <c r="F33" s="685"/>
      <c r="G33" s="686"/>
      <c r="H33" s="687">
        <f t="shared" si="0"/>
        <v>0</v>
      </c>
      <c r="I33" s="688"/>
      <c r="J33" s="689">
        <f t="shared" si="0"/>
        <v>0</v>
      </c>
      <c r="K33" s="686"/>
      <c r="L33" s="690"/>
      <c r="M33" s="687">
        <f t="shared" si="1"/>
        <v>0</v>
      </c>
      <c r="N33" s="691"/>
      <c r="O33" s="689">
        <f t="shared" si="1"/>
        <v>0</v>
      </c>
      <c r="P33" s="692"/>
    </row>
    <row r="34" spans="1:16" s="26" customFormat="1">
      <c r="A34" s="693"/>
      <c r="B34" s="682"/>
      <c r="C34" s="683"/>
      <c r="D34" s="683"/>
      <c r="E34" s="684"/>
      <c r="F34" s="685"/>
      <c r="G34" s="686"/>
      <c r="H34" s="687">
        <f t="shared" si="0"/>
        <v>0</v>
      </c>
      <c r="I34" s="688"/>
      <c r="J34" s="689">
        <f t="shared" si="0"/>
        <v>0</v>
      </c>
      <c r="K34" s="686"/>
      <c r="L34" s="690"/>
      <c r="M34" s="687">
        <f t="shared" si="1"/>
        <v>0</v>
      </c>
      <c r="N34" s="691"/>
      <c r="O34" s="689">
        <f t="shared" si="1"/>
        <v>0</v>
      </c>
      <c r="P34" s="692"/>
    </row>
    <row r="35" spans="1:16" s="26" customFormat="1">
      <c r="A35" s="695"/>
      <c r="B35" s="696"/>
      <c r="C35" s="697"/>
      <c r="D35" s="697"/>
      <c r="E35" s="698"/>
      <c r="F35" s="699"/>
      <c r="G35" s="700"/>
      <c r="H35" s="701">
        <f t="shared" si="0"/>
        <v>0</v>
      </c>
      <c r="I35" s="702"/>
      <c r="J35" s="703">
        <f t="shared" si="0"/>
        <v>0</v>
      </c>
      <c r="K35" s="700"/>
      <c r="L35" s="704"/>
      <c r="M35" s="701">
        <f t="shared" si="1"/>
        <v>0</v>
      </c>
      <c r="N35" s="705"/>
      <c r="O35" s="703">
        <f t="shared" si="1"/>
        <v>0</v>
      </c>
      <c r="P35" s="706"/>
    </row>
    <row r="36" spans="1:16" s="26" customFormat="1" ht="15.75" thickBot="1">
      <c r="A36" s="45"/>
      <c r="B36" s="30"/>
      <c r="C36" s="30"/>
      <c r="D36" s="30"/>
      <c r="E36" s="30"/>
      <c r="F36" s="123"/>
      <c r="G36" s="55"/>
      <c r="H36" s="55"/>
      <c r="I36" s="55"/>
      <c r="J36" s="30"/>
      <c r="K36" s="123"/>
      <c r="L36" s="30"/>
      <c r="M36" s="30"/>
      <c r="P36" s="131"/>
    </row>
    <row r="37" spans="1:16" s="26" customFormat="1">
      <c r="A37" s="51"/>
      <c r="B37" s="30"/>
      <c r="C37" s="1204" t="s">
        <v>331</v>
      </c>
      <c r="D37" s="1205"/>
      <c r="E37" s="1205"/>
      <c r="F37" s="707">
        <f>SUM(F27:F35)</f>
        <v>0</v>
      </c>
      <c r="H37" s="1204" t="s">
        <v>334</v>
      </c>
      <c r="I37" s="1205"/>
      <c r="J37" s="1205"/>
      <c r="K37" s="707">
        <f>SUM(K27:K35)</f>
        <v>0</v>
      </c>
      <c r="L37" s="471"/>
      <c r="M37" s="471"/>
      <c r="N37" s="471"/>
      <c r="P37" s="131"/>
    </row>
    <row r="38" spans="1:16" s="26" customFormat="1" ht="5.25" customHeight="1">
      <c r="A38" s="51"/>
      <c r="B38" s="64"/>
      <c r="C38" s="51"/>
      <c r="D38" s="87"/>
      <c r="F38" s="708"/>
      <c r="H38" s="51"/>
      <c r="I38" s="87"/>
      <c r="K38" s="708"/>
      <c r="L38" s="471"/>
      <c r="M38" s="471"/>
      <c r="N38" s="471"/>
      <c r="P38" s="131"/>
    </row>
    <row r="39" spans="1:16" s="26" customFormat="1">
      <c r="A39" s="51"/>
      <c r="B39" s="30"/>
      <c r="C39" s="1200" t="s">
        <v>332</v>
      </c>
      <c r="D39" s="1201"/>
      <c r="E39" s="1201"/>
      <c r="F39" s="708"/>
      <c r="H39" s="1200" t="s">
        <v>335</v>
      </c>
      <c r="I39" s="1201"/>
      <c r="J39" s="1201"/>
      <c r="K39" s="708"/>
      <c r="L39" s="471"/>
      <c r="M39" s="471"/>
      <c r="N39" s="471"/>
      <c r="P39" s="131"/>
    </row>
    <row r="40" spans="1:16" s="26" customFormat="1" ht="5.25" customHeight="1">
      <c r="A40" s="51"/>
      <c r="B40" s="30"/>
      <c r="C40" s="51"/>
      <c r="D40" s="87"/>
      <c r="F40" s="709"/>
      <c r="H40" s="51"/>
      <c r="I40" s="87"/>
      <c r="K40" s="709"/>
      <c r="L40" s="710"/>
      <c r="M40" s="710"/>
      <c r="N40" s="710"/>
      <c r="P40" s="131"/>
    </row>
    <row r="41" spans="1:16" s="26" customFormat="1" ht="15.75" thickBot="1">
      <c r="A41" s="51"/>
      <c r="B41" s="30"/>
      <c r="C41" s="1202" t="s">
        <v>333</v>
      </c>
      <c r="D41" s="1203"/>
      <c r="E41" s="1203"/>
      <c r="F41" s="711" t="e">
        <f>F37/F39</f>
        <v>#DIV/0!</v>
      </c>
      <c r="H41" s="1202" t="s">
        <v>336</v>
      </c>
      <c r="I41" s="1203"/>
      <c r="J41" s="1203"/>
      <c r="K41" s="711" t="e">
        <f>K37/K39</f>
        <v>#DIV/0!</v>
      </c>
      <c r="L41" s="30"/>
      <c r="M41" s="30"/>
      <c r="N41" s="30"/>
      <c r="P41" s="131"/>
    </row>
    <row r="42" spans="1:16" s="26" customFormat="1" ht="15.75" thickBot="1">
      <c r="A42" s="132"/>
      <c r="B42" s="133"/>
      <c r="C42" s="133"/>
      <c r="D42" s="133"/>
      <c r="E42" s="133"/>
      <c r="F42" s="133"/>
      <c r="G42" s="133"/>
      <c r="H42" s="133"/>
      <c r="I42" s="133"/>
      <c r="J42" s="133"/>
      <c r="K42" s="133"/>
      <c r="L42" s="133"/>
      <c r="M42" s="133"/>
      <c r="N42" s="133"/>
      <c r="O42" s="133"/>
      <c r="P42" s="134"/>
    </row>
    <row r="46" spans="1:16">
      <c r="L46" s="342"/>
    </row>
  </sheetData>
  <sheetProtection formatCells="0" formatColumns="0" formatRows="0" insertColumns="0" insertRows="0" insertHyperlinks="0" deleteColumns="0" deleteRows="0" sort="0" autoFilter="0" pivotTables="0"/>
  <mergeCells count="25">
    <mergeCell ref="C39:E39"/>
    <mergeCell ref="H39:J39"/>
    <mergeCell ref="C41:E41"/>
    <mergeCell ref="H41:J41"/>
    <mergeCell ref="G25:J25"/>
    <mergeCell ref="C37:E37"/>
    <mergeCell ref="H37:J37"/>
    <mergeCell ref="D1:M2"/>
    <mergeCell ref="A3:P5"/>
    <mergeCell ref="E6:L7"/>
    <mergeCell ref="M6:N6"/>
    <mergeCell ref="O6:P6"/>
    <mergeCell ref="M7:N7"/>
    <mergeCell ref="O7:P7"/>
    <mergeCell ref="K25:O25"/>
    <mergeCell ref="O8:P8"/>
    <mergeCell ref="A11:P11"/>
    <mergeCell ref="A13:P13"/>
    <mergeCell ref="A14:P14"/>
    <mergeCell ref="A9:C9"/>
    <mergeCell ref="D9:E9"/>
    <mergeCell ref="F9:I9"/>
    <mergeCell ref="J9:K9"/>
    <mergeCell ref="L9:N9"/>
    <mergeCell ref="O9:P9"/>
  </mergeCells>
  <dataValidations count="2">
    <dataValidation type="list" showInputMessage="1" showErrorMessage="1" sqref="D9:E9" xr:uid="{00000000-0002-0000-0E00-000000000000}">
      <formula1>RAS</formula1>
    </dataValidation>
    <dataValidation type="list" allowBlank="1" showInputMessage="1" showErrorMessage="1" sqref="O9:P9" xr:uid="{00000000-0002-0000-0E00-000001000000}">
      <formula1>Diligences</formula1>
    </dataValidation>
  </dataValidations>
  <hyperlinks>
    <hyperlink ref="O8:P8" location="'V Synthèse'!A1" display="V Synthèse" xr:uid="{00000000-0004-0000-0E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5"/>
  <dimension ref="A1:U29"/>
  <sheetViews>
    <sheetView showGridLines="0" topLeftCell="A9" zoomScale="90" zoomScaleNormal="90" workbookViewId="0">
      <selection activeCell="B25" sqref="B25:D25"/>
    </sheetView>
  </sheetViews>
  <sheetFormatPr baseColWidth="10" defaultColWidth="11.42578125" defaultRowHeight="15.75"/>
  <cols>
    <col min="1" max="1" width="10.140625" style="7" customWidth="1"/>
    <col min="2" max="4" width="14.7109375" style="7" customWidth="1"/>
    <col min="5" max="7" width="15.42578125" style="7" customWidth="1"/>
    <col min="8" max="8" width="14.28515625" style="7" customWidth="1"/>
    <col min="9" max="9" width="53.42578125" style="7" customWidth="1"/>
    <col min="10" max="16" width="8.5703125" style="7" customWidth="1"/>
    <col min="17" max="16384" width="11.42578125" style="7"/>
  </cols>
  <sheetData>
    <row r="1" spans="1:21" s="1" customFormat="1" ht="15" customHeight="1">
      <c r="A1" s="10"/>
      <c r="B1" s="11"/>
      <c r="C1" s="11"/>
      <c r="D1" s="972" t="str">
        <f>'V Synthèse'!D1:M2</f>
        <v>#NomClient</v>
      </c>
      <c r="E1" s="973"/>
      <c r="F1" s="973"/>
      <c r="G1" s="973"/>
      <c r="H1" s="973"/>
      <c r="I1" s="973"/>
      <c r="J1" s="973"/>
      <c r="K1" s="973"/>
      <c r="L1" s="973"/>
      <c r="M1" s="974"/>
      <c r="N1" s="11"/>
      <c r="O1" s="11"/>
      <c r="P1" s="12"/>
    </row>
    <row r="2" spans="1:21" s="1"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6"/>
    </row>
    <row r="4" spans="1:21" ht="15" customHeight="1">
      <c r="A4" s="905"/>
      <c r="B4" s="906"/>
      <c r="C4" s="906"/>
      <c r="D4" s="906"/>
      <c r="E4" s="906"/>
      <c r="F4" s="906"/>
      <c r="G4" s="906"/>
      <c r="H4" s="906"/>
      <c r="I4" s="906"/>
      <c r="J4" s="906"/>
      <c r="K4" s="906"/>
      <c r="L4" s="906"/>
      <c r="M4" s="906"/>
      <c r="N4" s="906"/>
      <c r="O4" s="906"/>
      <c r="P4" s="907"/>
      <c r="R4" s="3"/>
      <c r="T4" s="5"/>
      <c r="U4" s="6"/>
    </row>
    <row r="5" spans="1:21" ht="15" customHeight="1" thickBot="1">
      <c r="A5" s="908"/>
      <c r="B5" s="909"/>
      <c r="C5" s="909"/>
      <c r="D5" s="909"/>
      <c r="E5" s="909"/>
      <c r="F5" s="909"/>
      <c r="G5" s="909"/>
      <c r="H5" s="909"/>
      <c r="I5" s="909"/>
      <c r="J5" s="909"/>
      <c r="K5" s="909"/>
      <c r="L5" s="909"/>
      <c r="M5" s="909"/>
      <c r="N5" s="909"/>
      <c r="O5" s="909"/>
      <c r="P5" s="910"/>
      <c r="Q5" s="8"/>
      <c r="R5" s="4"/>
      <c r="S5" s="24"/>
      <c r="T5" s="24"/>
      <c r="U5" s="24"/>
    </row>
    <row r="6" spans="1:21" ht="15" customHeight="1">
      <c r="A6" s="17" t="s">
        <v>3</v>
      </c>
      <c r="B6" s="415" t="str">
        <f>'V Synthèse'!B6</f>
        <v>BRA</v>
      </c>
      <c r="C6" s="17" t="s">
        <v>294</v>
      </c>
      <c r="D6" s="415">
        <f>'V Synthèse'!D6</f>
        <v>0</v>
      </c>
      <c r="E6" s="923" t="s">
        <v>257</v>
      </c>
      <c r="F6" s="924"/>
      <c r="G6" s="924"/>
      <c r="H6" s="924"/>
      <c r="I6" s="924"/>
      <c r="J6" s="924"/>
      <c r="K6" s="924"/>
      <c r="L6" s="925"/>
      <c r="M6" s="978" t="s">
        <v>7</v>
      </c>
      <c r="N6" s="979"/>
      <c r="O6" s="915" t="s">
        <v>6</v>
      </c>
      <c r="P6" s="916"/>
      <c r="R6" s="1"/>
      <c r="S6" s="1"/>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46</v>
      </c>
      <c r="P7" s="918"/>
    </row>
    <row r="8" spans="1:21" ht="21" customHeight="1" thickBot="1">
      <c r="A8" s="19"/>
      <c r="B8" s="16"/>
      <c r="C8" s="20"/>
      <c r="D8" s="20"/>
      <c r="E8" s="21"/>
      <c r="F8" s="21"/>
      <c r="G8" s="21"/>
      <c r="H8" s="21"/>
      <c r="I8" s="21"/>
      <c r="J8" s="21"/>
      <c r="K8" s="21"/>
      <c r="L8" s="21"/>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s="26" customFormat="1" ht="109.15" customHeight="1" thickBot="1">
      <c r="A11" s="964" t="s">
        <v>222</v>
      </c>
      <c r="B11" s="965"/>
      <c r="C11" s="965"/>
      <c r="D11" s="965"/>
      <c r="E11" s="965"/>
      <c r="F11" s="965"/>
      <c r="G11" s="965"/>
      <c r="H11" s="965"/>
      <c r="I11" s="965"/>
      <c r="J11" s="965"/>
      <c r="K11" s="965"/>
      <c r="L11" s="965"/>
      <c r="M11" s="965"/>
      <c r="N11" s="965"/>
      <c r="O11" s="965"/>
      <c r="P11" s="966"/>
    </row>
    <row r="12" spans="1:21" s="26" customFormat="1" ht="9" customHeight="1" thickBot="1"/>
    <row r="13" spans="1:21" s="26" customFormat="1" ht="15">
      <c r="A13" s="952" t="s">
        <v>21</v>
      </c>
      <c r="B13" s="953"/>
      <c r="C13" s="953"/>
      <c r="D13" s="953"/>
      <c r="E13" s="953"/>
      <c r="F13" s="953"/>
      <c r="G13" s="953"/>
      <c r="H13" s="953"/>
      <c r="I13" s="953"/>
      <c r="J13" s="953"/>
      <c r="K13" s="953"/>
      <c r="L13" s="953"/>
      <c r="M13" s="953"/>
      <c r="N13" s="953"/>
      <c r="O13" s="953"/>
      <c r="P13" s="954"/>
    </row>
    <row r="14" spans="1:21" s="26" customFormat="1" ht="60" customHeight="1" thickBot="1">
      <c r="A14" s="967"/>
      <c r="B14" s="968"/>
      <c r="C14" s="968"/>
      <c r="D14" s="968"/>
      <c r="E14" s="968"/>
      <c r="F14" s="968"/>
      <c r="G14" s="968"/>
      <c r="H14" s="968"/>
      <c r="I14" s="968"/>
      <c r="J14" s="968"/>
      <c r="K14" s="968"/>
      <c r="L14" s="968"/>
      <c r="M14" s="968"/>
      <c r="N14" s="968"/>
      <c r="O14" s="968"/>
      <c r="P14" s="969"/>
    </row>
    <row r="15" spans="1:21" ht="16.5" thickBot="1"/>
    <row r="16" spans="1:21" ht="16.5">
      <c r="A16" s="344"/>
      <c r="B16" s="345"/>
      <c r="C16" s="345"/>
      <c r="D16" s="345"/>
      <c r="E16" s="345"/>
      <c r="F16" s="346"/>
      <c r="G16" s="346"/>
      <c r="H16" s="234"/>
      <c r="I16" s="234"/>
      <c r="J16" s="234"/>
      <c r="K16" s="234"/>
      <c r="L16" s="234"/>
      <c r="M16" s="234"/>
      <c r="N16" s="234"/>
      <c r="O16" s="234"/>
      <c r="P16" s="235"/>
    </row>
    <row r="17" spans="1:16" s="1" customFormat="1" ht="28.5" customHeight="1">
      <c r="A17" s="783"/>
      <c r="B17" s="890" t="s">
        <v>355</v>
      </c>
      <c r="C17" s="884"/>
      <c r="D17" s="885"/>
      <c r="E17" s="886" t="s">
        <v>341</v>
      </c>
      <c r="F17" s="887" t="s">
        <v>272</v>
      </c>
      <c r="G17" s="888" t="s">
        <v>362</v>
      </c>
      <c r="H17" s="889" t="s">
        <v>363</v>
      </c>
      <c r="I17" s="888" t="s">
        <v>164</v>
      </c>
      <c r="P17" s="789"/>
    </row>
    <row r="18" spans="1:16" ht="16.5">
      <c r="A18" s="242"/>
      <c r="B18" s="1212"/>
      <c r="C18" s="1213"/>
      <c r="D18" s="1214"/>
      <c r="E18" s="799"/>
      <c r="F18" s="799"/>
      <c r="G18" s="847">
        <f>E18-F18</f>
        <v>0</v>
      </c>
      <c r="H18" s="882" t="str">
        <f>IFERROR(F18/E18,"")</f>
        <v/>
      </c>
      <c r="I18" s="847"/>
      <c r="P18" s="237"/>
    </row>
    <row r="19" spans="1:16" ht="16.5">
      <c r="A19" s="242"/>
      <c r="B19" s="1206"/>
      <c r="C19" s="1207"/>
      <c r="D19" s="1208"/>
      <c r="E19" s="800"/>
      <c r="F19" s="800"/>
      <c r="G19" s="847">
        <f t="shared" ref="G19:G25" si="0">E19-F19</f>
        <v>0</v>
      </c>
      <c r="H19" s="882" t="str">
        <f t="shared" ref="H19:H25" si="1">IFERROR(F19/E19,"")</f>
        <v/>
      </c>
      <c r="I19" s="624"/>
      <c r="P19" s="237"/>
    </row>
    <row r="20" spans="1:16" ht="16.5">
      <c r="A20" s="242"/>
      <c r="B20" s="1206"/>
      <c r="C20" s="1207"/>
      <c r="D20" s="1208"/>
      <c r="E20" s="800"/>
      <c r="F20" s="800"/>
      <c r="G20" s="847">
        <f t="shared" si="0"/>
        <v>0</v>
      </c>
      <c r="H20" s="882" t="str">
        <f t="shared" si="1"/>
        <v/>
      </c>
      <c r="I20" s="624"/>
      <c r="P20" s="237"/>
    </row>
    <row r="21" spans="1:16" ht="16.5">
      <c r="A21" s="242"/>
      <c r="B21" s="1206"/>
      <c r="C21" s="1207"/>
      <c r="D21" s="1208"/>
      <c r="E21" s="800"/>
      <c r="F21" s="800"/>
      <c r="G21" s="847">
        <f t="shared" si="0"/>
        <v>0</v>
      </c>
      <c r="H21" s="882" t="str">
        <f t="shared" si="1"/>
        <v/>
      </c>
      <c r="I21" s="624"/>
      <c r="P21" s="237"/>
    </row>
    <row r="22" spans="1:16" ht="16.5">
      <c r="A22" s="242"/>
      <c r="B22" s="1206"/>
      <c r="C22" s="1207"/>
      <c r="D22" s="1208"/>
      <c r="E22" s="800"/>
      <c r="F22" s="800"/>
      <c r="G22" s="847">
        <f t="shared" si="0"/>
        <v>0</v>
      </c>
      <c r="H22" s="882" t="str">
        <f t="shared" si="1"/>
        <v/>
      </c>
      <c r="I22" s="624"/>
      <c r="P22" s="237"/>
    </row>
    <row r="23" spans="1:16" ht="16.5">
      <c r="A23" s="242"/>
      <c r="B23" s="1206"/>
      <c r="C23" s="1207"/>
      <c r="D23" s="1208"/>
      <c r="E23" s="800"/>
      <c r="F23" s="800"/>
      <c r="G23" s="847">
        <f t="shared" si="0"/>
        <v>0</v>
      </c>
      <c r="H23" s="882" t="str">
        <f t="shared" si="1"/>
        <v/>
      </c>
      <c r="I23" s="624"/>
      <c r="P23" s="237"/>
    </row>
    <row r="24" spans="1:16" ht="16.5">
      <c r="A24" s="242"/>
      <c r="B24" s="1206"/>
      <c r="C24" s="1207"/>
      <c r="D24" s="1208"/>
      <c r="E24" s="800"/>
      <c r="F24" s="800"/>
      <c r="G24" s="847">
        <f t="shared" si="0"/>
        <v>0</v>
      </c>
      <c r="H24" s="882" t="str">
        <f t="shared" si="1"/>
        <v/>
      </c>
      <c r="I24" s="624"/>
      <c r="P24" s="237"/>
    </row>
    <row r="25" spans="1:16" ht="16.5">
      <c r="A25" s="242"/>
      <c r="B25" s="1209"/>
      <c r="C25" s="1210"/>
      <c r="D25" s="1211"/>
      <c r="E25" s="801"/>
      <c r="F25" s="801"/>
      <c r="G25" s="847">
        <f t="shared" si="0"/>
        <v>0</v>
      </c>
      <c r="H25" s="883" t="str">
        <f t="shared" si="1"/>
        <v/>
      </c>
      <c r="I25" s="343"/>
      <c r="P25" s="237"/>
    </row>
    <row r="26" spans="1:16" ht="16.5">
      <c r="A26" s="242"/>
      <c r="B26" s="42"/>
      <c r="E26" s="802">
        <f>SUM(E18:E25)</f>
        <v>0</v>
      </c>
      <c r="F26" s="802">
        <f>SUM(F18:F25)</f>
        <v>0</v>
      </c>
      <c r="G26" s="802">
        <f>SUM(G18:G25)</f>
        <v>0</v>
      </c>
      <c r="N26" s="42"/>
      <c r="P26" s="237"/>
    </row>
    <row r="27" spans="1:16" ht="16.5">
      <c r="A27" s="242"/>
      <c r="B27" s="42"/>
      <c r="C27" s="42"/>
      <c r="D27" s="49"/>
      <c r="E27" s="49"/>
      <c r="F27" s="42"/>
      <c r="P27" s="237"/>
    </row>
    <row r="28" spans="1:16" ht="16.5">
      <c r="A28" s="242"/>
      <c r="B28" s="797"/>
      <c r="C28" s="833" t="s">
        <v>223</v>
      </c>
      <c r="D28" s="833"/>
      <c r="E28" s="798" t="e">
        <f>F26/E26</f>
        <v>#DIV/0!</v>
      </c>
      <c r="F28" s="42"/>
      <c r="P28" s="237"/>
    </row>
    <row r="29" spans="1:16" ht="16.5" thickBot="1">
      <c r="A29" s="249"/>
      <c r="B29" s="250"/>
      <c r="C29" s="250"/>
      <c r="D29" s="250"/>
      <c r="E29" s="250"/>
      <c r="F29" s="250"/>
      <c r="G29" s="250"/>
      <c r="H29" s="250"/>
      <c r="I29" s="250"/>
      <c r="J29" s="250"/>
      <c r="K29" s="250"/>
      <c r="L29" s="250"/>
      <c r="M29" s="250"/>
      <c r="N29" s="250"/>
      <c r="O29" s="250"/>
      <c r="P29" s="251"/>
    </row>
  </sheetData>
  <sheetProtection formatCells="0" formatColumns="0" formatRows="0" insertColumns="0" insertRows="0" insertHyperlinks="0" deleteColumns="0" deleteRows="0" sort="0" autoFilter="0" pivotTables="0"/>
  <mergeCells count="25">
    <mergeCell ref="O8:P8"/>
    <mergeCell ref="D1:M2"/>
    <mergeCell ref="A3:P5"/>
    <mergeCell ref="E6:L7"/>
    <mergeCell ref="M6:N6"/>
    <mergeCell ref="O6:P6"/>
    <mergeCell ref="M7:N7"/>
    <mergeCell ref="O7:P7"/>
    <mergeCell ref="J9:K9"/>
    <mergeCell ref="L9:N9"/>
    <mergeCell ref="A11:P11"/>
    <mergeCell ref="A13:P13"/>
    <mergeCell ref="A14:P14"/>
    <mergeCell ref="O9:P9"/>
    <mergeCell ref="A9:C9"/>
    <mergeCell ref="D9:E9"/>
    <mergeCell ref="F9:I9"/>
    <mergeCell ref="B23:D23"/>
    <mergeCell ref="B24:D24"/>
    <mergeCell ref="B25:D25"/>
    <mergeCell ref="B18:D18"/>
    <mergeCell ref="B19:D19"/>
    <mergeCell ref="B20:D20"/>
    <mergeCell ref="B21:D21"/>
    <mergeCell ref="B22:D22"/>
  </mergeCells>
  <dataValidations count="2">
    <dataValidation type="list" showInputMessage="1" showErrorMessage="1" sqref="D9:E9" xr:uid="{00000000-0002-0000-0F00-000000000000}">
      <formula1>RAS</formula1>
    </dataValidation>
    <dataValidation type="list" allowBlank="1" showInputMessage="1" showErrorMessage="1" sqref="O9:P9" xr:uid="{00000000-0002-0000-0F00-000001000000}">
      <formula1>Diligences</formula1>
    </dataValidation>
  </dataValidations>
  <hyperlinks>
    <hyperlink ref="O8:P8" location="'V Synthèse'!A1" display="V Synthèse" xr:uid="{00000000-0004-0000-0F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6"/>
  <dimension ref="A1:U52"/>
  <sheetViews>
    <sheetView showGridLines="0" zoomScaleNormal="100" workbookViewId="0">
      <selection activeCell="O10" sqref="O10"/>
    </sheetView>
  </sheetViews>
  <sheetFormatPr baseColWidth="10" defaultColWidth="11.42578125" defaultRowHeight="15.75"/>
  <cols>
    <col min="1" max="8" width="12.5703125" style="7" customWidth="1"/>
    <col min="9" max="9" width="16.7109375" style="7" customWidth="1"/>
    <col min="10" max="10" width="15.7109375" style="7" customWidth="1"/>
    <col min="11" max="16" width="11.7109375" style="7" customWidth="1"/>
    <col min="17" max="16384" width="11.42578125" style="7"/>
  </cols>
  <sheetData>
    <row r="1" spans="1:21" s="1" customFormat="1" ht="15" customHeight="1">
      <c r="A1" s="10"/>
      <c r="B1" s="11"/>
      <c r="C1" s="11"/>
      <c r="D1" s="972" t="str">
        <f>'V Synthèse'!D1:M2</f>
        <v>#NomClient</v>
      </c>
      <c r="E1" s="973"/>
      <c r="F1" s="973"/>
      <c r="G1" s="973"/>
      <c r="H1" s="973"/>
      <c r="I1" s="973"/>
      <c r="J1" s="973"/>
      <c r="K1" s="973"/>
      <c r="L1" s="973"/>
      <c r="M1" s="974"/>
      <c r="N1" s="11"/>
      <c r="O1" s="11"/>
      <c r="P1" s="12"/>
    </row>
    <row r="2" spans="1:21" s="1"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6"/>
    </row>
    <row r="4" spans="1:21" ht="15" customHeight="1">
      <c r="A4" s="905"/>
      <c r="B4" s="906"/>
      <c r="C4" s="906"/>
      <c r="D4" s="906"/>
      <c r="E4" s="906"/>
      <c r="F4" s="906"/>
      <c r="G4" s="906"/>
      <c r="H4" s="906"/>
      <c r="I4" s="906"/>
      <c r="J4" s="906"/>
      <c r="K4" s="906"/>
      <c r="L4" s="906"/>
      <c r="M4" s="906"/>
      <c r="N4" s="906"/>
      <c r="O4" s="906"/>
      <c r="P4" s="907"/>
      <c r="R4" s="3"/>
      <c r="T4" s="5"/>
      <c r="U4" s="6"/>
    </row>
    <row r="5" spans="1:21" ht="15" customHeight="1" thickBot="1">
      <c r="A5" s="908"/>
      <c r="B5" s="909"/>
      <c r="C5" s="909"/>
      <c r="D5" s="909"/>
      <c r="E5" s="909"/>
      <c r="F5" s="909"/>
      <c r="G5" s="909"/>
      <c r="H5" s="909"/>
      <c r="I5" s="909"/>
      <c r="J5" s="909"/>
      <c r="K5" s="909"/>
      <c r="L5" s="909"/>
      <c r="M5" s="909"/>
      <c r="N5" s="909"/>
      <c r="O5" s="909"/>
      <c r="P5" s="910"/>
      <c r="Q5" s="8"/>
      <c r="R5" s="4"/>
      <c r="S5" s="24"/>
      <c r="T5" s="24"/>
      <c r="U5" s="24"/>
    </row>
    <row r="6" spans="1:21" ht="15" customHeight="1">
      <c r="A6" s="17" t="s">
        <v>3</v>
      </c>
      <c r="B6" s="415" t="str">
        <f>'V Synthèse'!B6</f>
        <v>BRA</v>
      </c>
      <c r="C6" s="17" t="s">
        <v>294</v>
      </c>
      <c r="D6" s="415">
        <f>'V Synthèse'!D6</f>
        <v>0</v>
      </c>
      <c r="E6" s="923" t="s">
        <v>258</v>
      </c>
      <c r="F6" s="924"/>
      <c r="G6" s="924"/>
      <c r="H6" s="924"/>
      <c r="I6" s="924"/>
      <c r="J6" s="924"/>
      <c r="K6" s="924"/>
      <c r="L6" s="925"/>
      <c r="M6" s="978" t="s">
        <v>7</v>
      </c>
      <c r="N6" s="979"/>
      <c r="O6" s="915" t="s">
        <v>6</v>
      </c>
      <c r="P6" s="916"/>
      <c r="R6" s="1"/>
      <c r="S6" s="1"/>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47</v>
      </c>
      <c r="P7" s="918"/>
    </row>
    <row r="8" spans="1:21" ht="21" customHeight="1" thickBot="1">
      <c r="A8" s="19"/>
      <c r="B8" s="16"/>
      <c r="C8" s="20"/>
      <c r="D8" s="20"/>
      <c r="E8" s="21"/>
      <c r="F8" s="21"/>
      <c r="G8" s="21"/>
      <c r="H8" s="21"/>
      <c r="I8" s="21"/>
      <c r="J8" s="21"/>
      <c r="K8" s="21"/>
      <c r="L8" s="21"/>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s="26" customFormat="1" ht="139.15" customHeight="1" thickBot="1">
      <c r="A11" s="964" t="s">
        <v>225</v>
      </c>
      <c r="B11" s="965"/>
      <c r="C11" s="965"/>
      <c r="D11" s="965"/>
      <c r="E11" s="965"/>
      <c r="F11" s="965"/>
      <c r="G11" s="965"/>
      <c r="H11" s="965"/>
      <c r="I11" s="965"/>
      <c r="J11" s="965"/>
      <c r="K11" s="965"/>
      <c r="L11" s="965"/>
      <c r="M11" s="965"/>
      <c r="N11" s="965"/>
      <c r="O11" s="965"/>
      <c r="P11" s="966"/>
    </row>
    <row r="12" spans="1:21" s="26" customFormat="1" ht="9" customHeight="1" thickBot="1"/>
    <row r="13" spans="1:21" s="26" customFormat="1" ht="15">
      <c r="A13" s="952" t="s">
        <v>21</v>
      </c>
      <c r="B13" s="953"/>
      <c r="C13" s="953"/>
      <c r="D13" s="953"/>
      <c r="E13" s="953"/>
      <c r="F13" s="953"/>
      <c r="G13" s="953"/>
      <c r="H13" s="953"/>
      <c r="I13" s="953"/>
      <c r="J13" s="953"/>
      <c r="K13" s="953"/>
      <c r="L13" s="953"/>
      <c r="M13" s="953"/>
      <c r="N13" s="953"/>
      <c r="O13" s="953"/>
      <c r="P13" s="954"/>
    </row>
    <row r="14" spans="1:21" s="26" customFormat="1" ht="60" customHeight="1" thickBot="1">
      <c r="A14" s="967"/>
      <c r="B14" s="968"/>
      <c r="C14" s="968"/>
      <c r="D14" s="968"/>
      <c r="E14" s="968"/>
      <c r="F14" s="968"/>
      <c r="G14" s="968"/>
      <c r="H14" s="968"/>
      <c r="I14" s="968"/>
      <c r="J14" s="968"/>
      <c r="K14" s="968"/>
      <c r="L14" s="968"/>
      <c r="M14" s="968"/>
      <c r="N14" s="968"/>
      <c r="O14" s="968"/>
      <c r="P14" s="969"/>
    </row>
    <row r="15" spans="1:21" ht="16.5" thickBot="1"/>
    <row r="16" spans="1:21">
      <c r="A16" s="233"/>
      <c r="B16" s="234"/>
      <c r="C16" s="234"/>
      <c r="D16" s="234"/>
      <c r="E16" s="234"/>
      <c r="F16" s="234"/>
      <c r="G16" s="234"/>
      <c r="H16" s="234"/>
      <c r="I16" s="234"/>
      <c r="J16" s="234"/>
      <c r="K16" s="234"/>
      <c r="L16" s="234"/>
      <c r="M16" s="234"/>
      <c r="N16" s="234"/>
      <c r="O16" s="234"/>
      <c r="P16" s="235"/>
    </row>
    <row r="17" spans="1:16">
      <c r="A17" s="393" t="s">
        <v>226</v>
      </c>
      <c r="D17" s="55"/>
      <c r="E17" s="55"/>
      <c r="F17" s="55"/>
      <c r="G17" s="447"/>
      <c r="H17" s="55"/>
      <c r="P17" s="237"/>
    </row>
    <row r="18" spans="1:16">
      <c r="A18" s="242"/>
      <c r="C18" s="448"/>
      <c r="D18" s="55"/>
      <c r="E18" s="55"/>
      <c r="F18" s="55"/>
      <c r="G18" s="447"/>
      <c r="H18" s="55"/>
      <c r="P18" s="237"/>
    </row>
    <row r="19" spans="1:16" ht="16.5" customHeight="1">
      <c r="A19" s="643" t="s">
        <v>227</v>
      </c>
      <c r="B19" s="608"/>
      <c r="C19" s="608"/>
      <c r="D19" s="608"/>
      <c r="E19" s="608"/>
      <c r="F19" s="608"/>
      <c r="G19" s="608"/>
      <c r="H19" s="608"/>
      <c r="I19" s="608"/>
      <c r="J19" s="608"/>
      <c r="K19" s="608"/>
      <c r="L19" s="608"/>
      <c r="M19" s="608"/>
      <c r="N19" s="608"/>
      <c r="O19" s="608"/>
      <c r="P19" s="609"/>
    </row>
    <row r="20" spans="1:16">
      <c r="A20" s="242"/>
      <c r="C20" s="449"/>
      <c r="D20" s="55"/>
      <c r="E20" s="55"/>
      <c r="F20" s="55"/>
      <c r="G20" s="447"/>
      <c r="H20" s="55"/>
      <c r="P20" s="237"/>
    </row>
    <row r="21" spans="1:16">
      <c r="A21" s="242"/>
      <c r="C21" s="449"/>
      <c r="D21" s="55"/>
      <c r="E21" s="55"/>
      <c r="F21" s="55"/>
      <c r="G21" s="447"/>
      <c r="H21" s="55"/>
      <c r="P21" s="237"/>
    </row>
    <row r="22" spans="1:16">
      <c r="A22" s="393" t="s">
        <v>228</v>
      </c>
      <c r="D22" s="55"/>
      <c r="E22" s="55"/>
      <c r="F22" s="55"/>
      <c r="G22" s="447"/>
      <c r="H22" s="55"/>
      <c r="P22" s="237"/>
    </row>
    <row r="23" spans="1:16">
      <c r="A23" s="242"/>
      <c r="C23" s="55"/>
      <c r="D23" s="55"/>
      <c r="E23" s="55"/>
      <c r="F23" s="46"/>
      <c r="G23" s="55"/>
      <c r="H23" s="55"/>
      <c r="P23" s="237"/>
    </row>
    <row r="24" spans="1:16">
      <c r="A24" s="242"/>
      <c r="C24" s="837" t="s">
        <v>229</v>
      </c>
      <c r="D24" s="480"/>
      <c r="E24" s="480"/>
      <c r="F24" s="480"/>
      <c r="G24" s="848"/>
      <c r="I24" s="803"/>
      <c r="J24" s="450" t="s">
        <v>57</v>
      </c>
      <c r="P24" s="237"/>
    </row>
    <row r="25" spans="1:16">
      <c r="A25" s="242"/>
      <c r="C25" s="55"/>
      <c r="D25" s="55"/>
      <c r="E25" s="55"/>
      <c r="F25" s="46"/>
      <c r="G25" s="55"/>
      <c r="I25" s="55"/>
      <c r="P25" s="237"/>
    </row>
    <row r="26" spans="1:16">
      <c r="A26" s="242"/>
      <c r="C26" s="55"/>
      <c r="D26" s="55"/>
      <c r="E26" s="55"/>
      <c r="F26" s="46"/>
      <c r="G26" s="451"/>
      <c r="I26" s="55"/>
      <c r="P26" s="237"/>
    </row>
    <row r="27" spans="1:16">
      <c r="A27" s="242"/>
      <c r="C27" s="837" t="s">
        <v>230</v>
      </c>
      <c r="D27" s="480"/>
      <c r="E27" s="480"/>
      <c r="F27" s="480"/>
      <c r="G27" s="848"/>
      <c r="I27" s="604"/>
      <c r="J27" s="452" t="s">
        <v>348</v>
      </c>
      <c r="P27" s="237"/>
    </row>
    <row r="28" spans="1:16">
      <c r="A28" s="242"/>
      <c r="C28" s="454"/>
      <c r="D28" s="454"/>
      <c r="E28" s="454"/>
      <c r="G28" s="55"/>
      <c r="I28" s="455"/>
      <c r="P28" s="237"/>
    </row>
    <row r="29" spans="1:16">
      <c r="A29" s="242"/>
      <c r="C29" s="55"/>
      <c r="D29" s="55"/>
      <c r="E29" s="55"/>
      <c r="G29" s="55"/>
      <c r="I29" s="46"/>
      <c r="P29" s="237"/>
    </row>
    <row r="30" spans="1:16" ht="16.5" thickBot="1">
      <c r="A30" s="242"/>
      <c r="C30" s="891" t="s">
        <v>231</v>
      </c>
      <c r="D30" s="804"/>
      <c r="E30" s="804"/>
      <c r="F30" s="804"/>
      <c r="G30" s="892"/>
      <c r="I30" s="893">
        <f>I27-I24</f>
        <v>0</v>
      </c>
      <c r="P30" s="237"/>
    </row>
    <row r="31" spans="1:16">
      <c r="A31" s="242"/>
      <c r="C31" s="55"/>
      <c r="D31" s="55"/>
      <c r="E31" s="55"/>
      <c r="F31" s="46"/>
      <c r="G31" s="55"/>
      <c r="H31" s="55"/>
      <c r="P31" s="237"/>
    </row>
    <row r="32" spans="1:16">
      <c r="A32" s="242"/>
      <c r="C32" s="55"/>
      <c r="F32" s="55"/>
      <c r="G32" s="456"/>
      <c r="I32" s="55"/>
      <c r="P32" s="237"/>
    </row>
    <row r="33" spans="1:16">
      <c r="A33" s="242"/>
      <c r="C33" s="457" t="s">
        <v>232</v>
      </c>
      <c r="D33" s="347"/>
      <c r="E33" s="347"/>
      <c r="F33" s="458"/>
      <c r="G33" s="459"/>
      <c r="H33" s="347"/>
      <c r="I33" s="460"/>
      <c r="P33" s="237"/>
    </row>
    <row r="34" spans="1:16">
      <c r="A34" s="242"/>
      <c r="C34" s="461" t="s">
        <v>342</v>
      </c>
      <c r="F34" s="55"/>
      <c r="G34" s="55"/>
      <c r="I34" s="605"/>
      <c r="J34" s="462" t="s">
        <v>348</v>
      </c>
      <c r="P34" s="237"/>
    </row>
    <row r="35" spans="1:16">
      <c r="A35" s="242"/>
      <c r="C35" s="463" t="s">
        <v>343</v>
      </c>
      <c r="F35" s="55"/>
      <c r="G35" s="55"/>
      <c r="I35" s="605"/>
      <c r="J35" s="462" t="s">
        <v>273</v>
      </c>
      <c r="P35" s="237"/>
    </row>
    <row r="36" spans="1:16">
      <c r="A36" s="242"/>
      <c r="C36" s="461" t="s">
        <v>344</v>
      </c>
      <c r="F36" s="55"/>
      <c r="G36" s="456"/>
      <c r="I36" s="605"/>
      <c r="J36" s="462" t="s">
        <v>348</v>
      </c>
      <c r="P36" s="237"/>
    </row>
    <row r="37" spans="1:16">
      <c r="A37" s="242"/>
      <c r="C37" s="463" t="s">
        <v>345</v>
      </c>
      <c r="F37" s="55"/>
      <c r="G37" s="456"/>
      <c r="I37" s="605"/>
      <c r="J37" s="462" t="s">
        <v>273</v>
      </c>
      <c r="P37" s="237"/>
    </row>
    <row r="38" spans="1:16">
      <c r="A38" s="242"/>
      <c r="C38" s="464" t="s">
        <v>346</v>
      </c>
      <c r="F38" s="55"/>
      <c r="G38" s="456"/>
      <c r="I38" s="605"/>
      <c r="J38" s="462" t="s">
        <v>273</v>
      </c>
      <c r="P38" s="237"/>
    </row>
    <row r="39" spans="1:16">
      <c r="A39" s="242"/>
      <c r="C39" s="464" t="s">
        <v>347</v>
      </c>
      <c r="F39" s="465"/>
      <c r="G39" s="55"/>
      <c r="I39" s="605"/>
      <c r="J39" s="462" t="s">
        <v>348</v>
      </c>
      <c r="P39" s="237"/>
    </row>
    <row r="40" spans="1:16">
      <c r="A40" s="242"/>
      <c r="C40" s="466" t="s">
        <v>233</v>
      </c>
      <c r="D40" s="348"/>
      <c r="E40" s="348"/>
      <c r="F40" s="467"/>
      <c r="G40" s="468"/>
      <c r="H40" s="348"/>
      <c r="I40" s="606">
        <f>SUM(I34:I39)</f>
        <v>0</v>
      </c>
      <c r="J40" s="454"/>
      <c r="P40" s="237"/>
    </row>
    <row r="41" spans="1:16">
      <c r="A41" s="242"/>
      <c r="C41" s="453"/>
      <c r="F41" s="469"/>
      <c r="G41" s="55"/>
      <c r="I41" s="470"/>
      <c r="J41" s="469"/>
      <c r="P41" s="237"/>
    </row>
    <row r="42" spans="1:16">
      <c r="A42" s="242"/>
      <c r="C42" s="453"/>
      <c r="F42" s="469"/>
      <c r="G42" s="55"/>
      <c r="I42" s="470"/>
      <c r="J42" s="471"/>
      <c r="P42" s="237"/>
    </row>
    <row r="43" spans="1:16">
      <c r="A43" s="242"/>
      <c r="C43" s="457" t="s">
        <v>234</v>
      </c>
      <c r="D43" s="347"/>
      <c r="E43" s="347"/>
      <c r="F43" s="472"/>
      <c r="G43" s="458"/>
      <c r="H43" s="347"/>
      <c r="I43" s="473"/>
      <c r="J43" s="471"/>
      <c r="P43" s="237"/>
    </row>
    <row r="44" spans="1:16">
      <c r="A44" s="242"/>
      <c r="C44" s="461"/>
      <c r="F44" s="469"/>
      <c r="G44" s="55"/>
      <c r="I44" s="605"/>
      <c r="J44" s="462" t="s">
        <v>57</v>
      </c>
      <c r="P44" s="237"/>
    </row>
    <row r="45" spans="1:16">
      <c r="A45" s="242"/>
      <c r="C45" s="461"/>
      <c r="F45" s="469"/>
      <c r="G45" s="55"/>
      <c r="I45" s="605"/>
      <c r="J45" s="462" t="s">
        <v>57</v>
      </c>
      <c r="P45" s="237"/>
    </row>
    <row r="46" spans="1:16">
      <c r="A46" s="242"/>
      <c r="C46" s="461"/>
      <c r="F46" s="469"/>
      <c r="G46" s="55"/>
      <c r="I46" s="605"/>
      <c r="J46" s="462" t="s">
        <v>57</v>
      </c>
      <c r="P46" s="237"/>
    </row>
    <row r="47" spans="1:16">
      <c r="A47" s="242"/>
      <c r="C47" s="461"/>
      <c r="F47" s="469"/>
      <c r="G47" s="55"/>
      <c r="I47" s="605"/>
      <c r="J47" s="462" t="s">
        <v>57</v>
      </c>
      <c r="P47" s="237"/>
    </row>
    <row r="48" spans="1:16">
      <c r="A48" s="242"/>
      <c r="C48" s="466" t="s">
        <v>235</v>
      </c>
      <c r="D48" s="348"/>
      <c r="E48" s="348"/>
      <c r="F48" s="474"/>
      <c r="G48" s="468"/>
      <c r="H48" s="348"/>
      <c r="I48" s="606">
        <f>SUM(I44:I47)</f>
        <v>0</v>
      </c>
      <c r="J48" s="475"/>
      <c r="P48" s="237"/>
    </row>
    <row r="49" spans="1:16">
      <c r="A49" s="242"/>
      <c r="C49" s="476"/>
      <c r="F49" s="469"/>
      <c r="G49" s="55"/>
      <c r="I49" s="470"/>
      <c r="P49" s="237"/>
    </row>
    <row r="50" spans="1:16">
      <c r="A50" s="242"/>
      <c r="C50" s="477"/>
      <c r="F50" s="469"/>
      <c r="G50" s="55"/>
      <c r="I50" s="470"/>
      <c r="J50" s="475"/>
      <c r="P50" s="237"/>
    </row>
    <row r="51" spans="1:16">
      <c r="A51" s="242"/>
      <c r="C51" s="478" t="s">
        <v>236</v>
      </c>
      <c r="D51" s="349"/>
      <c r="E51" s="349"/>
      <c r="F51" s="479"/>
      <c r="G51" s="480"/>
      <c r="H51" s="349"/>
      <c r="I51" s="607">
        <f>I30+I40+I48</f>
        <v>0</v>
      </c>
      <c r="J51" s="894" t="e">
        <f>I51/I27</f>
        <v>#DIV/0!</v>
      </c>
      <c r="P51" s="237"/>
    </row>
    <row r="52" spans="1:16" ht="16.5" thickBot="1">
      <c r="A52" s="249"/>
      <c r="B52" s="250"/>
      <c r="C52" s="250"/>
      <c r="D52" s="250"/>
      <c r="E52" s="250"/>
      <c r="F52" s="250"/>
      <c r="G52" s="250"/>
      <c r="H52" s="250"/>
      <c r="I52" s="250"/>
      <c r="J52" s="250"/>
      <c r="K52" s="250"/>
      <c r="L52" s="250"/>
      <c r="M52" s="250"/>
      <c r="N52" s="250"/>
      <c r="O52" s="250"/>
      <c r="P52" s="251"/>
    </row>
  </sheetData>
  <sheetProtection formatCells="0" formatColumns="0" formatRows="0" insertColumns="0" insertRows="0" insertHyperlinks="0" deleteColumns="0" deleteRows="0" sort="0" autoFilter="0" pivotTables="0"/>
  <mergeCells count="17">
    <mergeCell ref="D1:M2"/>
    <mergeCell ref="A3:P5"/>
    <mergeCell ref="E6:L7"/>
    <mergeCell ref="M6:N6"/>
    <mergeCell ref="O6:P6"/>
    <mergeCell ref="M7:N7"/>
    <mergeCell ref="O7:P7"/>
    <mergeCell ref="O8:P8"/>
    <mergeCell ref="A11:P11"/>
    <mergeCell ref="A13:P13"/>
    <mergeCell ref="A14:P14"/>
    <mergeCell ref="A9:C9"/>
    <mergeCell ref="D9:E9"/>
    <mergeCell ref="F9:I9"/>
    <mergeCell ref="J9:K9"/>
    <mergeCell ref="L9:N9"/>
    <mergeCell ref="O9:P9"/>
  </mergeCells>
  <dataValidations count="2">
    <dataValidation type="list" allowBlank="1" showInputMessage="1" showErrorMessage="1" sqref="O9:P9" xr:uid="{00000000-0002-0000-1000-000000000000}">
      <formula1>Diligences</formula1>
    </dataValidation>
    <dataValidation type="list" showInputMessage="1" showErrorMessage="1" sqref="D9:E9" xr:uid="{00000000-0002-0000-1000-000001000000}">
      <formula1>RAS</formula1>
    </dataValidation>
  </dataValidations>
  <hyperlinks>
    <hyperlink ref="O8:P8" location="'V Synthèse'!A1" display="V Synthèse" xr:uid="{00000000-0004-0000-10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7"/>
  <dimension ref="A1:U28"/>
  <sheetViews>
    <sheetView showGridLines="0" zoomScaleNormal="100" workbookViewId="0"/>
  </sheetViews>
  <sheetFormatPr baseColWidth="10" defaultColWidth="11.42578125" defaultRowHeight="15"/>
  <cols>
    <col min="1" max="1" width="14.7109375" style="26" customWidth="1"/>
    <col min="2" max="2" width="17.85546875" style="26" customWidth="1"/>
    <col min="3" max="3" width="16.85546875" style="26" customWidth="1"/>
    <col min="4" max="8" width="17.42578125" style="26" customWidth="1"/>
    <col min="9" max="16" width="8.28515625" style="26" customWidth="1"/>
    <col min="17" max="16384" width="11.42578125" style="26"/>
  </cols>
  <sheetData>
    <row r="1" spans="1:21" s="36" customFormat="1" ht="15" customHeight="1">
      <c r="A1" s="10"/>
      <c r="B1" s="11"/>
      <c r="C1" s="11"/>
      <c r="D1" s="972" t="str">
        <f>'V Synthèse'!D1:M2</f>
        <v>#NomClient</v>
      </c>
      <c r="E1" s="973"/>
      <c r="F1" s="973"/>
      <c r="G1" s="973"/>
      <c r="H1" s="973"/>
      <c r="I1" s="973"/>
      <c r="J1" s="973"/>
      <c r="K1" s="973"/>
      <c r="L1" s="973"/>
      <c r="M1" s="974"/>
      <c r="N1" s="11"/>
      <c r="O1" s="11"/>
      <c r="P1" s="12"/>
    </row>
    <row r="2" spans="1:21" s="36"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5"/>
    </row>
    <row r="4" spans="1:21" ht="15" customHeight="1">
      <c r="A4" s="905"/>
      <c r="B4" s="906"/>
      <c r="C4" s="906"/>
      <c r="D4" s="906"/>
      <c r="E4" s="906"/>
      <c r="F4" s="906"/>
      <c r="G4" s="906"/>
      <c r="H4" s="906"/>
      <c r="I4" s="906"/>
      <c r="J4" s="906"/>
      <c r="K4" s="906"/>
      <c r="L4" s="906"/>
      <c r="M4" s="906"/>
      <c r="N4" s="906"/>
      <c r="O4" s="906"/>
      <c r="P4" s="907"/>
      <c r="R4" s="3"/>
      <c r="T4" s="5"/>
      <c r="U4" s="5"/>
    </row>
    <row r="5" spans="1:21" ht="15" customHeight="1" thickBot="1">
      <c r="A5" s="908"/>
      <c r="B5" s="909"/>
      <c r="C5" s="909"/>
      <c r="D5" s="909"/>
      <c r="E5" s="909"/>
      <c r="F5" s="909"/>
      <c r="G5" s="909"/>
      <c r="H5" s="909"/>
      <c r="I5" s="909"/>
      <c r="J5" s="909"/>
      <c r="K5" s="909"/>
      <c r="L5" s="909"/>
      <c r="M5" s="909"/>
      <c r="N5" s="909"/>
      <c r="O5" s="909"/>
      <c r="P5" s="910"/>
      <c r="Q5" s="3"/>
      <c r="R5" s="37"/>
      <c r="S5" s="38"/>
      <c r="T5" s="38"/>
      <c r="U5" s="38"/>
    </row>
    <row r="6" spans="1:21" ht="15" customHeight="1">
      <c r="A6" s="17" t="s">
        <v>3</v>
      </c>
      <c r="B6" s="415" t="str">
        <f>'V Synthèse'!B6</f>
        <v>BRA</v>
      </c>
      <c r="C6" s="17" t="s">
        <v>294</v>
      </c>
      <c r="D6" s="415">
        <f>'V Synthèse'!D6</f>
        <v>0</v>
      </c>
      <c r="E6" s="923" t="s">
        <v>364</v>
      </c>
      <c r="F6" s="924"/>
      <c r="G6" s="924"/>
      <c r="H6" s="924"/>
      <c r="I6" s="924"/>
      <c r="J6" s="924"/>
      <c r="K6" s="924"/>
      <c r="L6" s="925"/>
      <c r="M6" s="978" t="s">
        <v>7</v>
      </c>
      <c r="N6" s="979"/>
      <c r="O6" s="915" t="s">
        <v>6</v>
      </c>
      <c r="P6" s="916"/>
      <c r="R6" s="36"/>
      <c r="S6" s="36"/>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49</v>
      </c>
      <c r="P7" s="918"/>
    </row>
    <row r="8" spans="1:21" ht="21" customHeight="1" thickBot="1">
      <c r="A8" s="19"/>
      <c r="B8" s="39"/>
      <c r="C8" s="20"/>
      <c r="D8" s="20"/>
      <c r="E8" s="40"/>
      <c r="F8" s="40"/>
      <c r="G8" s="40"/>
      <c r="H8" s="40"/>
      <c r="I8" s="40"/>
      <c r="J8" s="40"/>
      <c r="K8" s="40"/>
      <c r="L8" s="40"/>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ht="114" customHeight="1" thickBot="1">
      <c r="A11" s="964" t="s">
        <v>245</v>
      </c>
      <c r="B11" s="965"/>
      <c r="C11" s="965"/>
      <c r="D11" s="965"/>
      <c r="E11" s="965"/>
      <c r="F11" s="965"/>
      <c r="G11" s="965"/>
      <c r="H11" s="965"/>
      <c r="I11" s="965"/>
      <c r="J11" s="965"/>
      <c r="K11" s="965"/>
      <c r="L11" s="965"/>
      <c r="M11" s="965"/>
      <c r="N11" s="965"/>
      <c r="O11" s="965"/>
      <c r="P11" s="966"/>
    </row>
    <row r="12" spans="1:21" ht="9" customHeight="1" thickBot="1"/>
    <row r="13" spans="1:21">
      <c r="A13" s="952" t="s">
        <v>21</v>
      </c>
      <c r="B13" s="953"/>
      <c r="C13" s="953"/>
      <c r="D13" s="953"/>
      <c r="E13" s="953"/>
      <c r="F13" s="953"/>
      <c r="G13" s="953"/>
      <c r="H13" s="953"/>
      <c r="I13" s="953"/>
      <c r="J13" s="953"/>
      <c r="K13" s="953"/>
      <c r="L13" s="953"/>
      <c r="M13" s="953"/>
      <c r="N13" s="953"/>
      <c r="O13" s="953"/>
      <c r="P13" s="954"/>
    </row>
    <row r="14" spans="1:21" ht="60" customHeight="1" thickBot="1">
      <c r="A14" s="967"/>
      <c r="B14" s="968"/>
      <c r="C14" s="968"/>
      <c r="D14" s="968"/>
      <c r="E14" s="968"/>
      <c r="F14" s="968"/>
      <c r="G14" s="968"/>
      <c r="H14" s="968"/>
      <c r="I14" s="968"/>
      <c r="J14" s="968"/>
      <c r="K14" s="968"/>
      <c r="L14" s="968"/>
      <c r="M14" s="968"/>
      <c r="N14" s="968"/>
      <c r="O14" s="968"/>
      <c r="P14" s="969"/>
    </row>
    <row r="15" spans="1:21" ht="15.75" thickBot="1">
      <c r="A15" s="119"/>
      <c r="B15" s="120"/>
      <c r="C15" s="120"/>
      <c r="D15" s="120"/>
      <c r="E15" s="120"/>
      <c r="F15" s="120"/>
      <c r="G15" s="120"/>
    </row>
    <row r="16" spans="1:21">
      <c r="A16" s="357"/>
      <c r="B16" s="358"/>
      <c r="C16" s="358"/>
      <c r="D16" s="358"/>
      <c r="E16" s="358"/>
      <c r="F16" s="358"/>
      <c r="G16" s="358"/>
      <c r="H16" s="128"/>
      <c r="I16" s="128"/>
      <c r="J16" s="128"/>
      <c r="K16" s="128"/>
      <c r="L16" s="128"/>
      <c r="M16" s="128"/>
      <c r="N16" s="128"/>
      <c r="O16" s="128"/>
      <c r="P16" s="129"/>
    </row>
    <row r="17" spans="1:16">
      <c r="A17" s="45" t="s">
        <v>364</v>
      </c>
      <c r="B17" s="87"/>
      <c r="C17" s="87"/>
      <c r="D17" s="121"/>
      <c r="E17" s="121"/>
      <c r="F17" s="30"/>
      <c r="G17" s="30"/>
      <c r="P17" s="131"/>
    </row>
    <row r="18" spans="1:16">
      <c r="A18" s="122"/>
      <c r="B18" s="87"/>
      <c r="C18" s="87"/>
      <c r="D18" s="121"/>
      <c r="E18" s="121"/>
      <c r="F18" s="30"/>
      <c r="G18" s="30"/>
      <c r="P18" s="131"/>
    </row>
    <row r="19" spans="1:16" s="36" customFormat="1">
      <c r="A19" s="1215" t="s">
        <v>149</v>
      </c>
      <c r="B19" s="1216"/>
      <c r="C19" s="487" t="s">
        <v>237</v>
      </c>
      <c r="D19" s="352" t="s">
        <v>238</v>
      </c>
      <c r="E19" s="486" t="s">
        <v>239</v>
      </c>
      <c r="F19" s="351" t="s">
        <v>240</v>
      </c>
      <c r="G19" s="486" t="s">
        <v>241</v>
      </c>
      <c r="H19" s="819" t="s">
        <v>242</v>
      </c>
      <c r="P19" s="226"/>
    </row>
    <row r="20" spans="1:16">
      <c r="A20" s="807"/>
      <c r="B20" s="810"/>
      <c r="C20" s="811"/>
      <c r="D20" s="353" t="e">
        <f t="shared" ref="D20:D25" si="0">C20/$C$26</f>
        <v>#DIV/0!</v>
      </c>
      <c r="E20" s="811"/>
      <c r="F20" s="353" t="e">
        <f t="shared" ref="F20:F25" si="1">+E20/$E$26</f>
        <v>#DIV/0!</v>
      </c>
      <c r="G20" s="812">
        <f t="shared" ref="G20:G25" si="2">C20-E20</f>
        <v>0</v>
      </c>
      <c r="H20" s="820" t="e">
        <f t="shared" ref="H20:H25" si="3">+G20/E20</f>
        <v>#DIV/0!</v>
      </c>
      <c r="P20" s="131"/>
    </row>
    <row r="21" spans="1:16">
      <c r="A21" s="808"/>
      <c r="B21" s="813"/>
      <c r="C21" s="563"/>
      <c r="D21" s="354" t="e">
        <f t="shared" si="0"/>
        <v>#DIV/0!</v>
      </c>
      <c r="E21" s="563"/>
      <c r="F21" s="354" t="e">
        <f t="shared" si="1"/>
        <v>#DIV/0!</v>
      </c>
      <c r="G21" s="814">
        <f t="shared" si="2"/>
        <v>0</v>
      </c>
      <c r="H21" s="821" t="e">
        <f t="shared" si="3"/>
        <v>#DIV/0!</v>
      </c>
      <c r="P21" s="131"/>
    </row>
    <row r="22" spans="1:16">
      <c r="A22" s="808"/>
      <c r="B22" s="813"/>
      <c r="C22" s="563"/>
      <c r="D22" s="354" t="e">
        <f t="shared" si="0"/>
        <v>#DIV/0!</v>
      </c>
      <c r="E22" s="563"/>
      <c r="F22" s="354" t="e">
        <f t="shared" si="1"/>
        <v>#DIV/0!</v>
      </c>
      <c r="G22" s="814">
        <f t="shared" si="2"/>
        <v>0</v>
      </c>
      <c r="H22" s="821" t="e">
        <f t="shared" si="3"/>
        <v>#DIV/0!</v>
      </c>
      <c r="P22" s="131"/>
    </row>
    <row r="23" spans="1:16">
      <c r="A23" s="808"/>
      <c r="B23" s="813"/>
      <c r="C23" s="563"/>
      <c r="D23" s="354" t="e">
        <f t="shared" si="0"/>
        <v>#DIV/0!</v>
      </c>
      <c r="E23" s="563"/>
      <c r="F23" s="354" t="e">
        <f t="shared" si="1"/>
        <v>#DIV/0!</v>
      </c>
      <c r="G23" s="814">
        <f t="shared" si="2"/>
        <v>0</v>
      </c>
      <c r="H23" s="821" t="e">
        <f t="shared" si="3"/>
        <v>#DIV/0!</v>
      </c>
      <c r="P23" s="131"/>
    </row>
    <row r="24" spans="1:16">
      <c r="A24" s="809"/>
      <c r="B24" s="815"/>
      <c r="C24" s="816"/>
      <c r="D24" s="355" t="e">
        <f t="shared" si="0"/>
        <v>#DIV/0!</v>
      </c>
      <c r="E24" s="816"/>
      <c r="F24" s="355" t="e">
        <f t="shared" si="1"/>
        <v>#DIV/0!</v>
      </c>
      <c r="G24" s="817">
        <f t="shared" si="2"/>
        <v>0</v>
      </c>
      <c r="H24" s="822" t="e">
        <f t="shared" si="3"/>
        <v>#DIV/0!</v>
      </c>
      <c r="P24" s="131"/>
    </row>
    <row r="25" spans="1:16">
      <c r="A25" s="806"/>
      <c r="B25" s="818" t="s">
        <v>243</v>
      </c>
      <c r="C25" s="610">
        <f>SUM(C20:C24)</f>
        <v>0</v>
      </c>
      <c r="D25" s="356" t="e">
        <f t="shared" si="0"/>
        <v>#DIV/0!</v>
      </c>
      <c r="E25" s="610">
        <f>SUM(E20:E24)</f>
        <v>0</v>
      </c>
      <c r="F25" s="356" t="e">
        <f t="shared" si="1"/>
        <v>#DIV/0!</v>
      </c>
      <c r="G25" s="610">
        <f t="shared" si="2"/>
        <v>0</v>
      </c>
      <c r="H25" s="823" t="e">
        <f t="shared" si="3"/>
        <v>#DIV/0!</v>
      </c>
      <c r="P25" s="131"/>
    </row>
    <row r="26" spans="1:16" s="805" customFormat="1" ht="37.5" customHeight="1">
      <c r="A26" s="1219" t="s">
        <v>244</v>
      </c>
      <c r="B26" s="1220"/>
      <c r="C26" s="1217">
        <f>'V700 Rappro CA gesco-CA compta'!I24</f>
        <v>0</v>
      </c>
      <c r="D26" s="1218"/>
      <c r="E26" s="824"/>
      <c r="F26" s="825"/>
      <c r="G26" s="826"/>
      <c r="H26" s="827"/>
      <c r="P26" s="828"/>
    </row>
    <row r="27" spans="1:16" s="508" customFormat="1" ht="15.75" thickBot="1">
      <c r="A27" s="500"/>
      <c r="B27" s="501"/>
      <c r="C27" s="501"/>
      <c r="D27" s="502"/>
      <c r="E27" s="503"/>
      <c r="F27" s="504"/>
      <c r="G27" s="505"/>
      <c r="H27" s="506"/>
      <c r="I27" s="506"/>
      <c r="J27" s="506"/>
      <c r="K27" s="506"/>
      <c r="L27" s="506"/>
      <c r="M27" s="506"/>
      <c r="N27" s="506"/>
      <c r="O27" s="506"/>
      <c r="P27" s="507"/>
    </row>
    <row r="28" spans="1:16">
      <c r="A28" s="51"/>
      <c r="B28" s="30"/>
      <c r="C28" s="30"/>
      <c r="D28" s="123"/>
      <c r="E28" s="115"/>
      <c r="F28" s="124"/>
      <c r="G28" s="125"/>
    </row>
  </sheetData>
  <sheetProtection formatCells="0" formatColumns="0" formatRows="0" insertColumns="0" insertRows="0" insertHyperlinks="0" deleteColumns="0" deleteRows="0" sort="0" autoFilter="0" pivotTables="0"/>
  <mergeCells count="20">
    <mergeCell ref="A19:B19"/>
    <mergeCell ref="C26:D26"/>
    <mergeCell ref="A26:B26"/>
    <mergeCell ref="A13:P13"/>
    <mergeCell ref="A14:P14"/>
    <mergeCell ref="A11:P11"/>
    <mergeCell ref="D1:M2"/>
    <mergeCell ref="A3:P5"/>
    <mergeCell ref="E6:L7"/>
    <mergeCell ref="M6:N6"/>
    <mergeCell ref="O6:P6"/>
    <mergeCell ref="M7:N7"/>
    <mergeCell ref="O7:P7"/>
    <mergeCell ref="O8:P8"/>
    <mergeCell ref="O9:P9"/>
    <mergeCell ref="A9:C9"/>
    <mergeCell ref="D9:E9"/>
    <mergeCell ref="F9:I9"/>
    <mergeCell ref="J9:K9"/>
    <mergeCell ref="L9:N9"/>
  </mergeCells>
  <dataValidations count="2">
    <dataValidation type="list" showInputMessage="1" showErrorMessage="1" sqref="D9:E9" xr:uid="{00000000-0002-0000-1100-000000000000}">
      <formula1>RAS</formula1>
    </dataValidation>
    <dataValidation type="list" allowBlank="1" showInputMessage="1" showErrorMessage="1" sqref="O9:P9" xr:uid="{00000000-0002-0000-1100-000001000000}">
      <formula1>Diligences</formula1>
    </dataValidation>
  </dataValidations>
  <hyperlinks>
    <hyperlink ref="O8:P8" location="'V Synthèse'!A1" display="V Synthèse" xr:uid="{00000000-0004-0000-11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G21:G25 I26 G20 H21:I25 H20:I20 D20:D25" evalError="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8"/>
  <dimension ref="A1:U55"/>
  <sheetViews>
    <sheetView showGridLines="0" zoomScale="90" zoomScaleNormal="90" workbookViewId="0"/>
  </sheetViews>
  <sheetFormatPr baseColWidth="10" defaultColWidth="11.42578125" defaultRowHeight="15"/>
  <cols>
    <col min="1" max="2" width="14.7109375" style="26" customWidth="1"/>
    <col min="3" max="3" width="17" style="26" customWidth="1"/>
    <col min="4" max="6" width="14.7109375" style="26" customWidth="1"/>
    <col min="7" max="7" width="19" style="26" customWidth="1"/>
    <col min="8" max="10" width="14.7109375" style="26" customWidth="1"/>
    <col min="11" max="14" width="13.28515625" style="26" customWidth="1"/>
    <col min="15" max="16" width="8.85546875" style="26" customWidth="1"/>
    <col min="17" max="16384" width="11.42578125" style="26"/>
  </cols>
  <sheetData>
    <row r="1" spans="1:21" s="36" customFormat="1" ht="15" customHeight="1">
      <c r="A1" s="10"/>
      <c r="B1" s="11"/>
      <c r="C1" s="11"/>
      <c r="D1" s="972" t="str">
        <f>'V Synthèse'!D1:M2</f>
        <v>#NomClient</v>
      </c>
      <c r="E1" s="973"/>
      <c r="F1" s="973"/>
      <c r="G1" s="973"/>
      <c r="H1" s="973"/>
      <c r="I1" s="973"/>
      <c r="J1" s="973"/>
      <c r="K1" s="973"/>
      <c r="L1" s="973"/>
      <c r="M1" s="974"/>
      <c r="N1" s="11"/>
      <c r="O1" s="11"/>
      <c r="P1" s="12"/>
    </row>
    <row r="2" spans="1:21" s="36" customFormat="1" ht="15" customHeight="1" thickBot="1">
      <c r="A2" s="13"/>
      <c r="B2" s="14"/>
      <c r="C2" s="14"/>
      <c r="D2" s="975"/>
      <c r="E2" s="976"/>
      <c r="F2" s="976"/>
      <c r="G2" s="976"/>
      <c r="H2" s="976"/>
      <c r="I2" s="976"/>
      <c r="J2" s="976"/>
      <c r="K2" s="976"/>
      <c r="L2" s="976"/>
      <c r="M2" s="977"/>
      <c r="N2" s="14"/>
      <c r="O2" s="14"/>
      <c r="P2" s="15"/>
    </row>
    <row r="3" spans="1:21" ht="15" customHeight="1">
      <c r="A3" s="905" t="s">
        <v>22</v>
      </c>
      <c r="B3" s="906"/>
      <c r="C3" s="906"/>
      <c r="D3" s="906"/>
      <c r="E3" s="906"/>
      <c r="F3" s="906"/>
      <c r="G3" s="906"/>
      <c r="H3" s="906"/>
      <c r="I3" s="906"/>
      <c r="J3" s="906"/>
      <c r="K3" s="906"/>
      <c r="L3" s="906"/>
      <c r="M3" s="906"/>
      <c r="N3" s="906"/>
      <c r="O3" s="906"/>
      <c r="P3" s="907"/>
      <c r="R3" s="3"/>
      <c r="T3" s="5"/>
      <c r="U3" s="5"/>
    </row>
    <row r="4" spans="1:21" ht="15" customHeight="1">
      <c r="A4" s="905"/>
      <c r="B4" s="906"/>
      <c r="C4" s="906"/>
      <c r="D4" s="906"/>
      <c r="E4" s="906"/>
      <c r="F4" s="906"/>
      <c r="G4" s="906"/>
      <c r="H4" s="906"/>
      <c r="I4" s="906"/>
      <c r="J4" s="906"/>
      <c r="K4" s="906"/>
      <c r="L4" s="906"/>
      <c r="M4" s="906"/>
      <c r="N4" s="906"/>
      <c r="O4" s="906"/>
      <c r="P4" s="907"/>
      <c r="R4" s="3"/>
      <c r="T4" s="5"/>
      <c r="U4" s="5"/>
    </row>
    <row r="5" spans="1:21" ht="15" customHeight="1" thickBot="1">
      <c r="A5" s="908"/>
      <c r="B5" s="909"/>
      <c r="C5" s="909"/>
      <c r="D5" s="909"/>
      <c r="E5" s="909"/>
      <c r="F5" s="909"/>
      <c r="G5" s="909"/>
      <c r="H5" s="909"/>
      <c r="I5" s="909"/>
      <c r="J5" s="909"/>
      <c r="K5" s="909"/>
      <c r="L5" s="909"/>
      <c r="M5" s="909"/>
      <c r="N5" s="909"/>
      <c r="O5" s="909"/>
      <c r="P5" s="910"/>
      <c r="Q5" s="3"/>
      <c r="R5" s="37"/>
      <c r="S5" s="38"/>
      <c r="T5" s="38"/>
      <c r="U5" s="38"/>
    </row>
    <row r="6" spans="1:21" ht="15" customHeight="1">
      <c r="A6" s="17" t="s">
        <v>3</v>
      </c>
      <c r="B6" s="415" t="str">
        <f>'V Synthèse'!B6</f>
        <v>BRA</v>
      </c>
      <c r="C6" s="17" t="s">
        <v>294</v>
      </c>
      <c r="D6" s="415">
        <f>'V Synthèse'!D6</f>
        <v>0</v>
      </c>
      <c r="E6" s="923" t="s">
        <v>37</v>
      </c>
      <c r="F6" s="924"/>
      <c r="G6" s="924"/>
      <c r="H6" s="924"/>
      <c r="I6" s="924"/>
      <c r="J6" s="924"/>
      <c r="K6" s="924"/>
      <c r="L6" s="925"/>
      <c r="M6" s="978" t="s">
        <v>7</v>
      </c>
      <c r="N6" s="979"/>
      <c r="O6" s="915" t="s">
        <v>6</v>
      </c>
      <c r="P6" s="916"/>
      <c r="R6" s="36"/>
      <c r="S6" s="36"/>
    </row>
    <row r="7" spans="1:21" ht="15" customHeight="1" thickBot="1">
      <c r="A7" s="18" t="s">
        <v>4</v>
      </c>
      <c r="B7" s="416">
        <f>'V Synthèse'!B7</f>
        <v>0</v>
      </c>
      <c r="C7" s="18" t="s">
        <v>4</v>
      </c>
      <c r="D7" s="416">
        <f>'V Synthèse'!D7</f>
        <v>0</v>
      </c>
      <c r="E7" s="926"/>
      <c r="F7" s="927"/>
      <c r="G7" s="927"/>
      <c r="H7" s="927"/>
      <c r="I7" s="927"/>
      <c r="J7" s="927"/>
      <c r="K7" s="927"/>
      <c r="L7" s="928"/>
      <c r="M7" s="980" t="str">
        <f>'V Synthèse'!M7:M7</f>
        <v>#DateClôture</v>
      </c>
      <c r="N7" s="981"/>
      <c r="O7" s="917" t="s">
        <v>48</v>
      </c>
      <c r="P7" s="918"/>
    </row>
    <row r="8" spans="1:21" ht="21" customHeight="1" thickBot="1">
      <c r="A8" s="19"/>
      <c r="B8" s="39"/>
      <c r="C8" s="20"/>
      <c r="D8" s="20"/>
      <c r="E8" s="40"/>
      <c r="F8" s="40"/>
      <c r="G8" s="40"/>
      <c r="H8" s="40"/>
      <c r="I8" s="40"/>
      <c r="J8" s="40"/>
      <c r="K8" s="40"/>
      <c r="L8" s="40"/>
      <c r="M8" s="22"/>
      <c r="N8" s="20"/>
      <c r="O8" s="961" t="s">
        <v>295</v>
      </c>
      <c r="P8" s="961"/>
    </row>
    <row r="9" spans="1:21" s="20" customFormat="1" ht="31.5" customHeight="1" thickBot="1">
      <c r="A9" s="919" t="s">
        <v>9</v>
      </c>
      <c r="B9" s="920"/>
      <c r="C9" s="920"/>
      <c r="D9" s="970" t="str">
        <f>'V Synthèse'!D9:E9</f>
        <v>Elevé</v>
      </c>
      <c r="E9" s="971"/>
      <c r="F9" s="911" t="s">
        <v>2</v>
      </c>
      <c r="G9" s="912"/>
      <c r="H9" s="912"/>
      <c r="I9" s="912"/>
      <c r="J9" s="962">
        <f>'V Synthèse'!J9:K9</f>
        <v>0</v>
      </c>
      <c r="K9" s="963"/>
      <c r="L9" s="911" t="s">
        <v>10</v>
      </c>
      <c r="M9" s="912"/>
      <c r="N9" s="912"/>
      <c r="O9" s="970" t="str">
        <f>'V Synthèse'!N9</f>
        <v>PE + VP</v>
      </c>
      <c r="P9" s="971"/>
    </row>
    <row r="10" spans="1:21" s="20" customFormat="1" ht="21" customHeight="1" thickBot="1">
      <c r="A10" s="25"/>
      <c r="B10" s="25"/>
      <c r="C10" s="25"/>
      <c r="D10" s="25"/>
      <c r="E10" s="25"/>
      <c r="F10" s="25"/>
      <c r="G10" s="25"/>
      <c r="H10" s="25"/>
      <c r="I10" s="25"/>
      <c r="J10" s="25"/>
      <c r="K10" s="25"/>
      <c r="L10" s="25"/>
      <c r="M10" s="25"/>
      <c r="N10" s="25"/>
      <c r="O10" s="25"/>
      <c r="P10" s="25"/>
    </row>
    <row r="11" spans="1:21" ht="140.44999999999999" customHeight="1" thickBot="1">
      <c r="A11" s="964" t="s">
        <v>154</v>
      </c>
      <c r="B11" s="965"/>
      <c r="C11" s="965"/>
      <c r="D11" s="965"/>
      <c r="E11" s="965"/>
      <c r="F11" s="965"/>
      <c r="G11" s="965"/>
      <c r="H11" s="965"/>
      <c r="I11" s="965"/>
      <c r="J11" s="965"/>
      <c r="K11" s="965"/>
      <c r="L11" s="965"/>
      <c r="M11" s="965"/>
      <c r="N11" s="965"/>
      <c r="O11" s="965"/>
      <c r="P11" s="966"/>
    </row>
    <row r="12" spans="1:21" ht="9" customHeight="1" thickBot="1"/>
    <row r="13" spans="1:21">
      <c r="A13" s="952" t="s">
        <v>21</v>
      </c>
      <c r="B13" s="953"/>
      <c r="C13" s="953"/>
      <c r="D13" s="953"/>
      <c r="E13" s="953"/>
      <c r="F13" s="953"/>
      <c r="G13" s="953"/>
      <c r="H13" s="953"/>
      <c r="I13" s="953"/>
      <c r="J13" s="953"/>
      <c r="K13" s="953"/>
      <c r="L13" s="953"/>
      <c r="M13" s="953"/>
      <c r="N13" s="953"/>
      <c r="O13" s="953"/>
      <c r="P13" s="954"/>
    </row>
    <row r="14" spans="1:21" ht="60" customHeight="1" thickBot="1">
      <c r="A14" s="967"/>
      <c r="B14" s="968"/>
      <c r="C14" s="968"/>
      <c r="D14" s="968"/>
      <c r="E14" s="968"/>
      <c r="F14" s="968"/>
      <c r="G14" s="968"/>
      <c r="H14" s="968"/>
      <c r="I14" s="968"/>
      <c r="J14" s="968"/>
      <c r="K14" s="968"/>
      <c r="L14" s="968"/>
      <c r="M14" s="968"/>
      <c r="N14" s="968"/>
      <c r="O14" s="968"/>
      <c r="P14" s="969"/>
    </row>
    <row r="15" spans="1:21" ht="15.75" thickBot="1"/>
    <row r="16" spans="1:21">
      <c r="A16" s="127"/>
      <c r="B16" s="128"/>
      <c r="C16" s="128"/>
      <c r="D16" s="128"/>
      <c r="E16" s="128"/>
      <c r="F16" s="128"/>
      <c r="G16" s="128"/>
      <c r="H16" s="128"/>
      <c r="I16" s="128"/>
      <c r="J16" s="128"/>
      <c r="K16" s="128"/>
      <c r="L16" s="128"/>
      <c r="M16" s="128"/>
      <c r="N16" s="128"/>
      <c r="O16" s="128"/>
      <c r="P16" s="129"/>
    </row>
    <row r="17" spans="1:16">
      <c r="A17" s="274" t="s">
        <v>155</v>
      </c>
      <c r="P17" s="131"/>
    </row>
    <row r="18" spans="1:16">
      <c r="A18" s="274" t="s">
        <v>156</v>
      </c>
      <c r="P18" s="131"/>
    </row>
    <row r="19" spans="1:16">
      <c r="A19" s="130"/>
      <c r="P19" s="131"/>
    </row>
    <row r="20" spans="1:16">
      <c r="A20" s="1221" t="s">
        <v>157</v>
      </c>
      <c r="B20" s="1223" t="s">
        <v>158</v>
      </c>
      <c r="C20" s="1222" t="s">
        <v>159</v>
      </c>
      <c r="D20" s="1222" t="s">
        <v>160</v>
      </c>
      <c r="E20" s="1231" t="s">
        <v>57</v>
      </c>
      <c r="F20" s="1222" t="s">
        <v>161</v>
      </c>
      <c r="G20" s="1222" t="s">
        <v>162</v>
      </c>
      <c r="H20" s="1229" t="s">
        <v>57</v>
      </c>
      <c r="I20" s="1222" t="s">
        <v>61</v>
      </c>
      <c r="J20" s="1222" t="s">
        <v>163</v>
      </c>
      <c r="K20" s="1223" t="s">
        <v>164</v>
      </c>
      <c r="L20" s="1223"/>
      <c r="M20" s="1223"/>
      <c r="N20" s="1223"/>
      <c r="O20" s="1223"/>
      <c r="P20" s="1225"/>
    </row>
    <row r="21" spans="1:16">
      <c r="A21" s="1221"/>
      <c r="B21" s="1223"/>
      <c r="C21" s="1223"/>
      <c r="D21" s="1222"/>
      <c r="E21" s="1232"/>
      <c r="F21" s="1223"/>
      <c r="G21" s="1223"/>
      <c r="H21" s="1230"/>
      <c r="I21" s="1223"/>
      <c r="J21" s="1223"/>
      <c r="K21" s="1223"/>
      <c r="L21" s="1223"/>
      <c r="M21" s="1223"/>
      <c r="N21" s="1223"/>
      <c r="O21" s="1223"/>
      <c r="P21" s="1225"/>
    </row>
    <row r="22" spans="1:16">
      <c r="A22" s="1221"/>
      <c r="B22" s="1223"/>
      <c r="C22" s="1223"/>
      <c r="D22" s="1222"/>
      <c r="E22" s="1232"/>
      <c r="F22" s="1223"/>
      <c r="G22" s="1223"/>
      <c r="H22" s="1230"/>
      <c r="I22" s="1223"/>
      <c r="J22" s="1223"/>
      <c r="K22" s="1223"/>
      <c r="L22" s="1223"/>
      <c r="M22" s="1223"/>
      <c r="N22" s="1223"/>
      <c r="O22" s="1223"/>
      <c r="P22" s="1225"/>
    </row>
    <row r="23" spans="1:16">
      <c r="A23" s="281"/>
      <c r="B23" s="254"/>
      <c r="C23" s="254"/>
      <c r="D23" s="261"/>
      <c r="E23" s="262"/>
      <c r="F23" s="263"/>
      <c r="G23" s="263"/>
      <c r="H23" s="323"/>
      <c r="I23" s="264">
        <f>F23-G23</f>
        <v>0</v>
      </c>
      <c r="J23" s="265">
        <f>D23*I23</f>
        <v>0</v>
      </c>
      <c r="K23" s="1226"/>
      <c r="L23" s="1227"/>
      <c r="M23" s="1227"/>
      <c r="N23" s="1227"/>
      <c r="O23" s="1227"/>
      <c r="P23" s="1228"/>
    </row>
    <row r="24" spans="1:16">
      <c r="A24" s="282"/>
      <c r="B24" s="256"/>
      <c r="C24" s="256"/>
      <c r="D24" s="258"/>
      <c r="E24" s="266"/>
      <c r="F24" s="267"/>
      <c r="G24" s="267"/>
      <c r="H24" s="324"/>
      <c r="I24" s="268">
        <f t="shared" ref="I24:I32" si="0">F24-G24</f>
        <v>0</v>
      </c>
      <c r="J24" s="269">
        <f t="shared" ref="J24:J32" si="1">D24*I24</f>
        <v>0</v>
      </c>
      <c r="K24" s="1233"/>
      <c r="L24" s="1234"/>
      <c r="M24" s="1234"/>
      <c r="N24" s="1234"/>
      <c r="O24" s="1234"/>
      <c r="P24" s="1235"/>
    </row>
    <row r="25" spans="1:16">
      <c r="A25" s="282"/>
      <c r="B25" s="256"/>
      <c r="C25" s="256"/>
      <c r="D25" s="258"/>
      <c r="E25" s="266"/>
      <c r="F25" s="267"/>
      <c r="G25" s="267"/>
      <c r="H25" s="324"/>
      <c r="I25" s="268">
        <f t="shared" si="0"/>
        <v>0</v>
      </c>
      <c r="J25" s="269">
        <f t="shared" si="1"/>
        <v>0</v>
      </c>
      <c r="K25" s="1233"/>
      <c r="L25" s="1234"/>
      <c r="M25" s="1234"/>
      <c r="N25" s="1234"/>
      <c r="O25" s="1234"/>
      <c r="P25" s="1235"/>
    </row>
    <row r="26" spans="1:16">
      <c r="A26" s="282"/>
      <c r="B26" s="256"/>
      <c r="C26" s="256"/>
      <c r="D26" s="258"/>
      <c r="E26" s="266"/>
      <c r="F26" s="267"/>
      <c r="G26" s="267"/>
      <c r="H26" s="324"/>
      <c r="I26" s="268">
        <f t="shared" si="0"/>
        <v>0</v>
      </c>
      <c r="J26" s="269">
        <f t="shared" si="1"/>
        <v>0</v>
      </c>
      <c r="K26" s="1233"/>
      <c r="L26" s="1234"/>
      <c r="M26" s="1234"/>
      <c r="N26" s="1234"/>
      <c r="O26" s="1234"/>
      <c r="P26" s="1235"/>
    </row>
    <row r="27" spans="1:16">
      <c r="A27" s="282"/>
      <c r="B27" s="256"/>
      <c r="C27" s="256"/>
      <c r="D27" s="258"/>
      <c r="E27" s="266"/>
      <c r="F27" s="267"/>
      <c r="G27" s="267"/>
      <c r="H27" s="324"/>
      <c r="I27" s="268">
        <f t="shared" si="0"/>
        <v>0</v>
      </c>
      <c r="J27" s="269">
        <f t="shared" si="1"/>
        <v>0</v>
      </c>
      <c r="K27" s="1233"/>
      <c r="L27" s="1234"/>
      <c r="M27" s="1234"/>
      <c r="N27" s="1234"/>
      <c r="O27" s="1234"/>
      <c r="P27" s="1235"/>
    </row>
    <row r="28" spans="1:16">
      <c r="A28" s="282"/>
      <c r="B28" s="256"/>
      <c r="C28" s="256"/>
      <c r="D28" s="258"/>
      <c r="E28" s="266"/>
      <c r="F28" s="267"/>
      <c r="G28" s="267"/>
      <c r="H28" s="324"/>
      <c r="I28" s="268">
        <f t="shared" si="0"/>
        <v>0</v>
      </c>
      <c r="J28" s="269">
        <f t="shared" si="1"/>
        <v>0</v>
      </c>
      <c r="K28" s="1233"/>
      <c r="L28" s="1234"/>
      <c r="M28" s="1234"/>
      <c r="N28" s="1234"/>
      <c r="O28" s="1234"/>
      <c r="P28" s="1235"/>
    </row>
    <row r="29" spans="1:16">
      <c r="A29" s="282"/>
      <c r="B29" s="256"/>
      <c r="C29" s="256"/>
      <c r="D29" s="258"/>
      <c r="E29" s="266"/>
      <c r="F29" s="267"/>
      <c r="G29" s="267"/>
      <c r="H29" s="324"/>
      <c r="I29" s="268">
        <f t="shared" si="0"/>
        <v>0</v>
      </c>
      <c r="J29" s="269">
        <f t="shared" si="1"/>
        <v>0</v>
      </c>
      <c r="K29" s="1233"/>
      <c r="L29" s="1234"/>
      <c r="M29" s="1234"/>
      <c r="N29" s="1234"/>
      <c r="O29" s="1234"/>
      <c r="P29" s="1235"/>
    </row>
    <row r="30" spans="1:16">
      <c r="A30" s="282"/>
      <c r="B30" s="256"/>
      <c r="C30" s="256"/>
      <c r="D30" s="258"/>
      <c r="E30" s="266"/>
      <c r="F30" s="267"/>
      <c r="G30" s="267"/>
      <c r="H30" s="324"/>
      <c r="I30" s="268">
        <f t="shared" si="0"/>
        <v>0</v>
      </c>
      <c r="J30" s="269">
        <f t="shared" si="1"/>
        <v>0</v>
      </c>
      <c r="K30" s="1233"/>
      <c r="L30" s="1234"/>
      <c r="M30" s="1234"/>
      <c r="N30" s="1234"/>
      <c r="O30" s="1234"/>
      <c r="P30" s="1235"/>
    </row>
    <row r="31" spans="1:16">
      <c r="A31" s="282"/>
      <c r="B31" s="256"/>
      <c r="C31" s="256"/>
      <c r="D31" s="258"/>
      <c r="E31" s="266"/>
      <c r="F31" s="267"/>
      <c r="G31" s="267"/>
      <c r="H31" s="324"/>
      <c r="I31" s="268">
        <f t="shared" si="0"/>
        <v>0</v>
      </c>
      <c r="J31" s="269">
        <f t="shared" si="1"/>
        <v>0</v>
      </c>
      <c r="K31" s="1233"/>
      <c r="L31" s="1234"/>
      <c r="M31" s="1234"/>
      <c r="N31" s="1234"/>
      <c r="O31" s="1234"/>
      <c r="P31" s="1235"/>
    </row>
    <row r="32" spans="1:16">
      <c r="A32" s="283"/>
      <c r="B32" s="259"/>
      <c r="C32" s="259"/>
      <c r="D32" s="260"/>
      <c r="E32" s="270"/>
      <c r="F32" s="271"/>
      <c r="G32" s="271"/>
      <c r="H32" s="325"/>
      <c r="I32" s="272">
        <f t="shared" si="0"/>
        <v>0</v>
      </c>
      <c r="J32" s="273">
        <f t="shared" si="1"/>
        <v>0</v>
      </c>
      <c r="K32" s="1237"/>
      <c r="L32" s="1238"/>
      <c r="M32" s="1238"/>
      <c r="N32" s="1238"/>
      <c r="O32" s="1238"/>
      <c r="P32" s="1239"/>
    </row>
    <row r="33" spans="1:16">
      <c r="A33" s="130"/>
      <c r="P33" s="131"/>
    </row>
    <row r="34" spans="1:16">
      <c r="A34" s="274" t="s">
        <v>165</v>
      </c>
      <c r="B34" s="30"/>
      <c r="C34" s="30"/>
      <c r="D34" s="30"/>
      <c r="E34" s="30"/>
      <c r="F34" s="30"/>
      <c r="G34" s="30"/>
      <c r="H34" s="30"/>
      <c r="I34" s="30"/>
      <c r="J34" s="30"/>
      <c r="K34" s="30"/>
      <c r="L34" s="30"/>
      <c r="P34" s="131"/>
    </row>
    <row r="35" spans="1:16">
      <c r="A35" s="108"/>
      <c r="B35" s="109"/>
      <c r="C35" s="110"/>
      <c r="D35" s="110"/>
      <c r="E35" s="110"/>
      <c r="F35" s="111"/>
      <c r="G35" s="111"/>
      <c r="H35" s="111"/>
      <c r="I35" s="109"/>
      <c r="J35" s="109"/>
      <c r="K35" s="109"/>
      <c r="L35" s="109"/>
      <c r="P35" s="131"/>
    </row>
    <row r="36" spans="1:16">
      <c r="A36" s="1222" t="s">
        <v>157</v>
      </c>
      <c r="B36" s="1223" t="s">
        <v>158</v>
      </c>
      <c r="C36" s="1222" t="s">
        <v>160</v>
      </c>
      <c r="D36" s="252" t="s">
        <v>166</v>
      </c>
      <c r="E36" s="253"/>
      <c r="F36" s="253"/>
      <c r="G36" s="1224" t="s">
        <v>167</v>
      </c>
      <c r="H36" s="1223" t="s">
        <v>168</v>
      </c>
      <c r="I36" s="1223" t="s">
        <v>164</v>
      </c>
      <c r="J36" s="1223"/>
      <c r="K36" s="1223"/>
      <c r="L36" s="1223"/>
      <c r="M36" s="1223"/>
      <c r="N36" s="1223"/>
      <c r="P36" s="131"/>
    </row>
    <row r="37" spans="1:16" ht="15" customHeight="1">
      <c r="A37" s="1222"/>
      <c r="B37" s="1223"/>
      <c r="C37" s="1222"/>
      <c r="D37" s="1222" t="s">
        <v>169</v>
      </c>
      <c r="E37" s="1242" t="s">
        <v>170</v>
      </c>
      <c r="F37" s="1240" t="s">
        <v>171</v>
      </c>
      <c r="G37" s="1224"/>
      <c r="H37" s="1223"/>
      <c r="I37" s="1223"/>
      <c r="J37" s="1223"/>
      <c r="K37" s="1223"/>
      <c r="L37" s="1223"/>
      <c r="M37" s="1223"/>
      <c r="N37" s="1223"/>
      <c r="P37" s="131"/>
    </row>
    <row r="38" spans="1:16">
      <c r="A38" s="1222"/>
      <c r="B38" s="1223"/>
      <c r="C38" s="1222"/>
      <c r="D38" s="1222"/>
      <c r="E38" s="1243"/>
      <c r="F38" s="1241"/>
      <c r="G38" s="1224"/>
      <c r="H38" s="1223"/>
      <c r="I38" s="1223"/>
      <c r="J38" s="1223"/>
      <c r="K38" s="1223"/>
      <c r="L38" s="1223"/>
      <c r="M38" s="1223"/>
      <c r="N38" s="1223"/>
      <c r="P38" s="131"/>
    </row>
    <row r="39" spans="1:16">
      <c r="A39" s="895"/>
      <c r="B39" s="254"/>
      <c r="C39" s="255"/>
      <c r="D39" s="255"/>
      <c r="E39" s="613"/>
      <c r="F39" s="615">
        <f t="shared" ref="F39:F54" si="2">D39*E39</f>
        <v>0</v>
      </c>
      <c r="G39" s="275" t="str">
        <f>IF(F39&gt;C39,F39 - C39,"N/A")</f>
        <v>N/A</v>
      </c>
      <c r="H39" s="276" t="str">
        <f>IF(F39&lt;C39,F39 - C39,"N/A")</f>
        <v>N/A</v>
      </c>
      <c r="I39" s="1245"/>
      <c r="J39" s="1227"/>
      <c r="K39" s="1227"/>
      <c r="L39" s="1227"/>
      <c r="M39" s="1227"/>
      <c r="N39" s="1246"/>
      <c r="P39" s="131"/>
    </row>
    <row r="40" spans="1:16">
      <c r="A40" s="896"/>
      <c r="B40" s="256"/>
      <c r="C40" s="257"/>
      <c r="D40" s="257"/>
      <c r="E40" s="611"/>
      <c r="F40" s="614">
        <f t="shared" si="2"/>
        <v>0</v>
      </c>
      <c r="G40" s="277" t="str">
        <f>IF(F40&gt;C40,F40 - C40,"N/A")</f>
        <v>N/A</v>
      </c>
      <c r="H40" s="278" t="str">
        <f>IF(F40&lt;C40,F40 - C40,"N/A")</f>
        <v>N/A</v>
      </c>
      <c r="I40" s="1233"/>
      <c r="J40" s="1234"/>
      <c r="K40" s="1234"/>
      <c r="L40" s="1234"/>
      <c r="M40" s="1234"/>
      <c r="N40" s="1236"/>
      <c r="P40" s="131"/>
    </row>
    <row r="41" spans="1:16">
      <c r="A41" s="896"/>
      <c r="B41" s="256"/>
      <c r="C41" s="258"/>
      <c r="D41" s="258"/>
      <c r="E41" s="611"/>
      <c r="F41" s="614">
        <f t="shared" si="2"/>
        <v>0</v>
      </c>
      <c r="G41" s="277" t="str">
        <f>IF(F41&gt;C41,F41 - C41,"N/A")</f>
        <v>N/A</v>
      </c>
      <c r="H41" s="278" t="str">
        <f>IF(F41&lt;C41,F41 - C41,"N/A")</f>
        <v>N/A</v>
      </c>
      <c r="I41" s="1233"/>
      <c r="J41" s="1234"/>
      <c r="K41" s="1234"/>
      <c r="L41" s="1234"/>
      <c r="M41" s="1234"/>
      <c r="N41" s="1236"/>
      <c r="P41" s="131"/>
    </row>
    <row r="42" spans="1:16">
      <c r="A42" s="896"/>
      <c r="B42" s="256"/>
      <c r="C42" s="258"/>
      <c r="D42" s="258"/>
      <c r="E42" s="611"/>
      <c r="F42" s="614">
        <f t="shared" si="2"/>
        <v>0</v>
      </c>
      <c r="G42" s="277" t="str">
        <f>IF(F42&gt;C42,F42 - C42,"N/A")</f>
        <v>N/A</v>
      </c>
      <c r="H42" s="278" t="str">
        <f>IF(F42&lt;C42,F42 - C42,"N/A")</f>
        <v>N/A</v>
      </c>
      <c r="I42" s="1233"/>
      <c r="J42" s="1234"/>
      <c r="K42" s="1234"/>
      <c r="L42" s="1234"/>
      <c r="M42" s="1234"/>
      <c r="N42" s="1236"/>
      <c r="P42" s="131"/>
    </row>
    <row r="43" spans="1:16">
      <c r="A43" s="896"/>
      <c r="B43" s="256"/>
      <c r="D43" s="258"/>
      <c r="E43" s="611"/>
      <c r="F43" s="614">
        <f t="shared" si="2"/>
        <v>0</v>
      </c>
      <c r="G43" s="277" t="str">
        <f>IF(F43&gt;D43,F43 - D43,"N/A")</f>
        <v>N/A</v>
      </c>
      <c r="H43" s="278" t="str">
        <f>IF(F43&lt;D43,F43 - D43,"N/A")</f>
        <v>N/A</v>
      </c>
      <c r="I43" s="1233"/>
      <c r="J43" s="1234"/>
      <c r="K43" s="1234"/>
      <c r="L43" s="1234"/>
      <c r="M43" s="1234"/>
      <c r="N43" s="1236"/>
      <c r="P43" s="131"/>
    </row>
    <row r="44" spans="1:16">
      <c r="A44" s="896"/>
      <c r="B44" s="256"/>
      <c r="C44" s="258"/>
      <c r="D44" s="258"/>
      <c r="E44" s="611"/>
      <c r="F44" s="614">
        <f t="shared" si="2"/>
        <v>0</v>
      </c>
      <c r="G44" s="277" t="str">
        <f t="shared" ref="G44:G54" si="3">IF(F44&gt;C44,F44 - C44,"N/A")</f>
        <v>N/A</v>
      </c>
      <c r="H44" s="278" t="str">
        <f t="shared" ref="H44:H54" si="4">IF(F44&lt;C44,F44 - C44,"N/A")</f>
        <v>N/A</v>
      </c>
      <c r="I44" s="1233"/>
      <c r="J44" s="1234"/>
      <c r="K44" s="1234"/>
      <c r="L44" s="1234"/>
      <c r="M44" s="1234"/>
      <c r="N44" s="1236"/>
      <c r="P44" s="131"/>
    </row>
    <row r="45" spans="1:16">
      <c r="A45" s="896"/>
      <c r="B45" s="256"/>
      <c r="C45" s="258"/>
      <c r="D45" s="258"/>
      <c r="E45" s="611"/>
      <c r="F45" s="614">
        <f t="shared" si="2"/>
        <v>0</v>
      </c>
      <c r="G45" s="277" t="str">
        <f t="shared" si="3"/>
        <v>N/A</v>
      </c>
      <c r="H45" s="278" t="str">
        <f t="shared" si="4"/>
        <v>N/A</v>
      </c>
      <c r="I45" s="1233"/>
      <c r="J45" s="1234"/>
      <c r="K45" s="1234"/>
      <c r="L45" s="1234"/>
      <c r="M45" s="1234"/>
      <c r="N45" s="1236"/>
      <c r="P45" s="131"/>
    </row>
    <row r="46" spans="1:16">
      <c r="A46" s="897"/>
      <c r="B46" s="256"/>
      <c r="C46" s="258"/>
      <c r="D46" s="258"/>
      <c r="E46" s="611"/>
      <c r="F46" s="614">
        <f t="shared" si="2"/>
        <v>0</v>
      </c>
      <c r="G46" s="277" t="str">
        <f t="shared" si="3"/>
        <v>N/A</v>
      </c>
      <c r="H46" s="278" t="str">
        <f t="shared" si="4"/>
        <v>N/A</v>
      </c>
      <c r="I46" s="1233"/>
      <c r="J46" s="1234"/>
      <c r="K46" s="1234"/>
      <c r="L46" s="1234"/>
      <c r="M46" s="1234"/>
      <c r="N46" s="1236"/>
      <c r="P46" s="131"/>
    </row>
    <row r="47" spans="1:16">
      <c r="A47" s="897"/>
      <c r="B47" s="256"/>
      <c r="C47" s="258"/>
      <c r="D47" s="258"/>
      <c r="E47" s="611"/>
      <c r="F47" s="614">
        <f t="shared" si="2"/>
        <v>0</v>
      </c>
      <c r="G47" s="277" t="str">
        <f t="shared" si="3"/>
        <v>N/A</v>
      </c>
      <c r="H47" s="278" t="str">
        <f t="shared" si="4"/>
        <v>N/A</v>
      </c>
      <c r="I47" s="1233"/>
      <c r="J47" s="1234"/>
      <c r="K47" s="1234"/>
      <c r="L47" s="1234"/>
      <c r="M47" s="1234"/>
      <c r="N47" s="1236"/>
      <c r="P47" s="131"/>
    </row>
    <row r="48" spans="1:16">
      <c r="A48" s="897"/>
      <c r="B48" s="256"/>
      <c r="C48" s="258"/>
      <c r="D48" s="258"/>
      <c r="E48" s="611"/>
      <c r="F48" s="614">
        <f t="shared" si="2"/>
        <v>0</v>
      </c>
      <c r="G48" s="277" t="str">
        <f t="shared" si="3"/>
        <v>N/A</v>
      </c>
      <c r="H48" s="278" t="str">
        <f t="shared" si="4"/>
        <v>N/A</v>
      </c>
      <c r="I48" s="1233"/>
      <c r="J48" s="1234"/>
      <c r="K48" s="1234"/>
      <c r="L48" s="1234"/>
      <c r="M48" s="1234"/>
      <c r="N48" s="1236"/>
      <c r="P48" s="131"/>
    </row>
    <row r="49" spans="1:16">
      <c r="A49" s="897"/>
      <c r="B49" s="256"/>
      <c r="C49" s="258"/>
      <c r="D49" s="258"/>
      <c r="E49" s="611"/>
      <c r="F49" s="614">
        <f t="shared" si="2"/>
        <v>0</v>
      </c>
      <c r="G49" s="277" t="str">
        <f t="shared" si="3"/>
        <v>N/A</v>
      </c>
      <c r="H49" s="278" t="str">
        <f t="shared" si="4"/>
        <v>N/A</v>
      </c>
      <c r="I49" s="1233"/>
      <c r="J49" s="1234"/>
      <c r="K49" s="1234"/>
      <c r="L49" s="1234"/>
      <c r="M49" s="1234"/>
      <c r="N49" s="1236"/>
      <c r="P49" s="131"/>
    </row>
    <row r="50" spans="1:16">
      <c r="A50" s="897"/>
      <c r="B50" s="256"/>
      <c r="C50" s="258"/>
      <c r="D50" s="258"/>
      <c r="E50" s="611"/>
      <c r="F50" s="614">
        <f t="shared" si="2"/>
        <v>0</v>
      </c>
      <c r="G50" s="277" t="str">
        <f t="shared" si="3"/>
        <v>N/A</v>
      </c>
      <c r="H50" s="278" t="str">
        <f t="shared" si="4"/>
        <v>N/A</v>
      </c>
      <c r="I50" s="1233"/>
      <c r="J50" s="1234"/>
      <c r="K50" s="1234"/>
      <c r="L50" s="1234"/>
      <c r="M50" s="1234"/>
      <c r="N50" s="1236"/>
      <c r="P50" s="131"/>
    </row>
    <row r="51" spans="1:16">
      <c r="A51" s="897"/>
      <c r="B51" s="256"/>
      <c r="C51" s="258"/>
      <c r="D51" s="258"/>
      <c r="E51" s="611"/>
      <c r="F51" s="614">
        <f t="shared" si="2"/>
        <v>0</v>
      </c>
      <c r="G51" s="277" t="str">
        <f t="shared" si="3"/>
        <v>N/A</v>
      </c>
      <c r="H51" s="278" t="str">
        <f t="shared" si="4"/>
        <v>N/A</v>
      </c>
      <c r="I51" s="1233"/>
      <c r="J51" s="1234"/>
      <c r="K51" s="1234"/>
      <c r="L51" s="1234"/>
      <c r="M51" s="1234"/>
      <c r="N51" s="1236"/>
      <c r="P51" s="131"/>
    </row>
    <row r="52" spans="1:16">
      <c r="A52" s="897"/>
      <c r="B52" s="256"/>
      <c r="C52" s="258"/>
      <c r="D52" s="258"/>
      <c r="E52" s="611"/>
      <c r="F52" s="614">
        <f t="shared" si="2"/>
        <v>0</v>
      </c>
      <c r="G52" s="277" t="str">
        <f t="shared" si="3"/>
        <v>N/A</v>
      </c>
      <c r="H52" s="278" t="str">
        <f t="shared" si="4"/>
        <v>N/A</v>
      </c>
      <c r="I52" s="1233"/>
      <c r="J52" s="1234"/>
      <c r="K52" s="1234"/>
      <c r="L52" s="1234"/>
      <c r="M52" s="1234"/>
      <c r="N52" s="1236"/>
      <c r="P52" s="131"/>
    </row>
    <row r="53" spans="1:16">
      <c r="A53" s="897"/>
      <c r="B53" s="256"/>
      <c r="C53" s="258"/>
      <c r="D53" s="258"/>
      <c r="E53" s="611"/>
      <c r="F53" s="614">
        <f t="shared" si="2"/>
        <v>0</v>
      </c>
      <c r="G53" s="277" t="str">
        <f t="shared" si="3"/>
        <v>N/A</v>
      </c>
      <c r="H53" s="278" t="str">
        <f t="shared" si="4"/>
        <v>N/A</v>
      </c>
      <c r="I53" s="1233"/>
      <c r="J53" s="1234"/>
      <c r="K53" s="1234"/>
      <c r="L53" s="1234"/>
      <c r="M53" s="1234"/>
      <c r="N53" s="1236"/>
      <c r="P53" s="131"/>
    </row>
    <row r="54" spans="1:16">
      <c r="A54" s="898"/>
      <c r="B54" s="259"/>
      <c r="C54" s="260"/>
      <c r="D54" s="260"/>
      <c r="E54" s="612"/>
      <c r="F54" s="616">
        <f t="shared" si="2"/>
        <v>0</v>
      </c>
      <c r="G54" s="279" t="str">
        <f t="shared" si="3"/>
        <v>N/A</v>
      </c>
      <c r="H54" s="280" t="str">
        <f t="shared" si="4"/>
        <v>N/A</v>
      </c>
      <c r="I54" s="1237"/>
      <c r="J54" s="1238"/>
      <c r="K54" s="1238"/>
      <c r="L54" s="1238"/>
      <c r="M54" s="1238"/>
      <c r="N54" s="1244"/>
      <c r="P54" s="131"/>
    </row>
    <row r="55" spans="1:16" ht="15.75" thickBot="1">
      <c r="A55" s="132"/>
      <c r="B55" s="133"/>
      <c r="C55" s="133"/>
      <c r="D55" s="133"/>
      <c r="E55" s="133"/>
      <c r="F55" s="133"/>
      <c r="G55" s="133"/>
      <c r="H55" s="133"/>
      <c r="I55" s="133"/>
      <c r="J55" s="133"/>
      <c r="K55" s="133"/>
      <c r="L55" s="133"/>
      <c r="M55" s="133"/>
      <c r="N55" s="133"/>
      <c r="O55" s="133"/>
      <c r="P55" s="134"/>
    </row>
  </sheetData>
  <sheetProtection formatCells="0" formatColumns="0" formatRows="0" insertColumns="0" insertRows="0" insertHyperlinks="0" deleteColumns="0" deleteRows="0" sort="0" autoFilter="0" pivotTables="0"/>
  <mergeCells count="63">
    <mergeCell ref="F37:F38"/>
    <mergeCell ref="E37:E38"/>
    <mergeCell ref="I54:N54"/>
    <mergeCell ref="I49:N49"/>
    <mergeCell ref="I50:N50"/>
    <mergeCell ref="I51:N51"/>
    <mergeCell ref="I52:N52"/>
    <mergeCell ref="I53:N53"/>
    <mergeCell ref="I44:N44"/>
    <mergeCell ref="I45:N45"/>
    <mergeCell ref="I46:N46"/>
    <mergeCell ref="I47:N47"/>
    <mergeCell ref="I48:N48"/>
    <mergeCell ref="I39:N39"/>
    <mergeCell ref="I40:N40"/>
    <mergeCell ref="I41:N41"/>
    <mergeCell ref="I42:N42"/>
    <mergeCell ref="I43:N43"/>
    <mergeCell ref="K29:P29"/>
    <mergeCell ref="K30:P30"/>
    <mergeCell ref="K31:P31"/>
    <mergeCell ref="K32:P32"/>
    <mergeCell ref="I36:N38"/>
    <mergeCell ref="K24:P24"/>
    <mergeCell ref="K25:P25"/>
    <mergeCell ref="K26:P26"/>
    <mergeCell ref="K27:P27"/>
    <mergeCell ref="K28:P28"/>
    <mergeCell ref="A9:C9"/>
    <mergeCell ref="D9:E9"/>
    <mergeCell ref="I20:I22"/>
    <mergeCell ref="J20:J22"/>
    <mergeCell ref="B20:B22"/>
    <mergeCell ref="C20:C22"/>
    <mergeCell ref="H20:H22"/>
    <mergeCell ref="A11:P11"/>
    <mergeCell ref="A13:P13"/>
    <mergeCell ref="A14:P14"/>
    <mergeCell ref="D20:D22"/>
    <mergeCell ref="E20:E22"/>
    <mergeCell ref="D1:M2"/>
    <mergeCell ref="A3:P5"/>
    <mergeCell ref="E6:L7"/>
    <mergeCell ref="M6:N6"/>
    <mergeCell ref="O6:P6"/>
    <mergeCell ref="M7:N7"/>
    <mergeCell ref="O7:P7"/>
    <mergeCell ref="O8:P8"/>
    <mergeCell ref="A20:A22"/>
    <mergeCell ref="F20:F22"/>
    <mergeCell ref="G20:G22"/>
    <mergeCell ref="A36:A38"/>
    <mergeCell ref="B36:B38"/>
    <mergeCell ref="C36:C38"/>
    <mergeCell ref="G36:G38"/>
    <mergeCell ref="H36:H38"/>
    <mergeCell ref="D37:D38"/>
    <mergeCell ref="F9:I9"/>
    <mergeCell ref="J9:K9"/>
    <mergeCell ref="L9:N9"/>
    <mergeCell ref="K20:P22"/>
    <mergeCell ref="K23:P23"/>
    <mergeCell ref="O9:P9"/>
  </mergeCells>
  <dataValidations count="2">
    <dataValidation type="list" showInputMessage="1" showErrorMessage="1" sqref="D9:E9" xr:uid="{00000000-0002-0000-1200-000000000000}">
      <formula1>RAS</formula1>
    </dataValidation>
    <dataValidation type="list" allowBlank="1" showInputMessage="1" showErrorMessage="1" sqref="O9:P9" xr:uid="{00000000-0002-0000-1200-000001000000}">
      <formula1>Diligences</formula1>
    </dataValidation>
  </dataValidations>
  <hyperlinks>
    <hyperlink ref="O8:P8" location="'V Synthèse'!A1" display="V Synthèse" xr:uid="{00000000-0004-0000-12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3FFDFD4C05D14DADD40B72BFB892F2" ma:contentTypeVersion="12" ma:contentTypeDescription="Crée un document." ma:contentTypeScope="" ma:versionID="a1e612abde7994f04a20992d1f580c2e">
  <xsd:schema xmlns:xsd="http://www.w3.org/2001/XMLSchema" xmlns:xs="http://www.w3.org/2001/XMLSchema" xmlns:p="http://schemas.microsoft.com/office/2006/metadata/properties" xmlns:ns2="27d32b71-31f9-4ffd-a7f0-416f695e1477" xmlns:ns3="d905335e-07f7-449f-8325-7d00af0e6b96" targetNamespace="http://schemas.microsoft.com/office/2006/metadata/properties" ma:root="true" ma:fieldsID="ec4aa46a3384ff861a570c8849968e95" ns2:_="" ns3:_="">
    <xsd:import namespace="27d32b71-31f9-4ffd-a7f0-416f695e1477"/>
    <xsd:import namespace="d905335e-07f7-449f-8325-7d00af0e6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32b71-31f9-4ffd-a7f0-416f695e14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e55a836-def3-43e3-8f00-2a26c919754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05335e-07f7-449f-8325-7d00af0e6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981c32-6aaa-40cd-9bf7-e0202a3392a7}" ma:internalName="TaxCatchAll" ma:showField="CatchAllData" ma:web="d905335e-07f7-449f-8325-7d00af0e6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7d32b71-31f9-4ffd-a7f0-416f695e1477">
      <Terms xmlns="http://schemas.microsoft.com/office/infopath/2007/PartnerControls"/>
    </lcf76f155ced4ddcb4097134ff3c332f>
    <TaxCatchAll xmlns="d905335e-07f7-449f-8325-7d00af0e6b96" xsi:nil="true"/>
  </documentManagement>
</p:properties>
</file>

<file path=customXml/itemProps1.xml><?xml version="1.0" encoding="utf-8"?>
<ds:datastoreItem xmlns:ds="http://schemas.openxmlformats.org/officeDocument/2006/customXml" ds:itemID="{913E1130-0220-4785-B207-F736F4C30F84}"/>
</file>

<file path=customXml/itemProps2.xml><?xml version="1.0" encoding="utf-8"?>
<ds:datastoreItem xmlns:ds="http://schemas.openxmlformats.org/officeDocument/2006/customXml" ds:itemID="{16F18D46-D8E4-4397-B943-4FBCEDFDC5D4}">
  <ds:schemaRefs>
    <ds:schemaRef ds:uri="http://schemas.microsoft.com/sharepoint/v3/contenttype/forms"/>
  </ds:schemaRefs>
</ds:datastoreItem>
</file>

<file path=customXml/itemProps3.xml><?xml version="1.0" encoding="utf-8"?>
<ds:datastoreItem xmlns:ds="http://schemas.openxmlformats.org/officeDocument/2006/customXml" ds:itemID="{C66FB224-73D5-4171-BB72-1D56D4FF1810}">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9d7aee5f-c6d7-4567-bea9-00a4b0c47d6f"/>
    <ds:schemaRef ds:uri="aed0d0bd-a659-4dbf-bbaa-a56f4efa3b0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18</vt:i4>
      </vt:variant>
      <vt:variant>
        <vt:lpstr>Plages nommées</vt:lpstr>
      </vt:variant>
      <vt:variant>
        <vt:i4>21</vt:i4>
      </vt:variant>
    </vt:vector>
  </HeadingPairs>
  <TitlesOfParts>
    <vt:vector size="39" baseType="lpstr">
      <vt:lpstr>V Synthèse</vt:lpstr>
      <vt:lpstr>V100 Rappro BA-BG</vt:lpstr>
      <vt:lpstr>V110 Revue clients créditeurs</vt:lpstr>
      <vt:lpstr>V120 Revue EAR</vt:lpstr>
      <vt:lpstr>V200 DSO clients</vt:lpstr>
      <vt:lpstr>V300 Réciprocité intragroupe</vt:lpstr>
      <vt:lpstr>V400 Réalité clients douteux</vt:lpstr>
      <vt:lpstr>V410 Exhaustivité dépréciation</vt:lpstr>
      <vt:lpstr>V510 Revue FAE</vt:lpstr>
      <vt:lpstr>V520 Revue AAE</vt:lpstr>
      <vt:lpstr>V525 Revue RFA</vt:lpstr>
      <vt:lpstr>V530 Revue PCA</vt:lpstr>
      <vt:lpstr>V540 Test cut off ventes</vt:lpstr>
      <vt:lpstr>V600 Circularisations</vt:lpstr>
      <vt:lpstr>V610 Procédures alternatives</vt:lpstr>
      <vt:lpstr>V700 Rappro CA gesco-CA compta</vt:lpstr>
      <vt:lpstr>V710 Palmarès clients</vt:lpstr>
      <vt:lpstr>V800 Clients en devise</vt:lpstr>
      <vt:lpstr>Diligences</vt:lpstr>
      <vt:lpstr>Etat</vt:lpstr>
      <vt:lpstr>RAS</vt:lpstr>
      <vt:lpstr>'V Synthèse'!Zone_d_impression</vt:lpstr>
      <vt:lpstr>'V100 Rappro BA-BG'!Zone_d_impression</vt:lpstr>
      <vt:lpstr>'V110 Revue clients créditeurs'!Zone_d_impression</vt:lpstr>
      <vt:lpstr>'V120 Revue EAR'!Zone_d_impression</vt:lpstr>
      <vt:lpstr>'V200 DSO clients'!Zone_d_impression</vt:lpstr>
      <vt:lpstr>'V300 Réciprocité intragroupe'!Zone_d_impression</vt:lpstr>
      <vt:lpstr>'V400 Réalité clients douteux'!Zone_d_impression</vt:lpstr>
      <vt:lpstr>'V410 Exhaustivité dépréciation'!Zone_d_impression</vt:lpstr>
      <vt:lpstr>'V510 Revue FAE'!Zone_d_impression</vt:lpstr>
      <vt:lpstr>'V520 Revue AAE'!Zone_d_impression</vt:lpstr>
      <vt:lpstr>'V525 Revue RFA'!Zone_d_impression</vt:lpstr>
      <vt:lpstr>'V530 Revue PCA'!Zone_d_impression</vt:lpstr>
      <vt:lpstr>'V540 Test cut off ventes'!Zone_d_impression</vt:lpstr>
      <vt:lpstr>'V600 Circularisations'!Zone_d_impression</vt:lpstr>
      <vt:lpstr>'V610 Procédures alternatives'!Zone_d_impression</vt:lpstr>
      <vt:lpstr>'V700 Rappro CA gesco-CA compta'!Zone_d_impression</vt:lpstr>
      <vt:lpstr>'V710 Palmarès clients'!Zone_d_impression</vt:lpstr>
      <vt:lpstr>'V800 Clients en devise'!Zone_d_impression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CHA. ARNAUD</dc:creator>
  <cp:lastModifiedBy>BRIAN BRY. RAULY</cp:lastModifiedBy>
  <cp:lastPrinted>2017-10-16T17:54:58Z</cp:lastPrinted>
  <dcterms:created xsi:type="dcterms:W3CDTF">2017-01-24T11:12:27Z</dcterms:created>
  <dcterms:modified xsi:type="dcterms:W3CDTF">2024-07-08T07:40:29Z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0x010100BD3FFDFD4C05D14DADD40B72BFB892F2</vt:lpwstr>
  </property>
</Properties>
</file>