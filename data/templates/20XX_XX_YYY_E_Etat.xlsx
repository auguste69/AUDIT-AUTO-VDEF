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codeName="ThisWorkbook" defaultThemeVersion="166925"/>
  <mc:AlternateContent xmlns:mc="http://schemas.openxmlformats.org/markup-compatibility/2006">
    <mc:Choice Requires="x15">
      <x15ac:absPath xmlns:x15ac="http://schemas.microsoft.com/office/spreadsheetml/2010/11/ac" url="\\Srvdcvil\collaborateurs\2-COLLABORATEURS\Brian\Modèles\Dossier annuel\E- Etat\"/>
    </mc:Choice>
  </mc:AlternateContent>
  <xr:revisionPtr revIDLastSave="33" documentId="13_ncr:1_{CB81D65E-53F9-45C5-ACD0-6382B6318863}" xr6:coauthVersionLast="47" xr6:coauthVersionMax="47" xr10:uidLastSave="{CAFC34AC-30AD-4868-AF39-0D809309F26D}"/>
  <bookViews>
    <workbookView xWindow="-28920" yWindow="-120" windowWidth="29040" windowHeight="15720" tabRatio="728" activeTab="7" xr2:uid="{00000000-000D-0000-FFFF-FFFF00000000}"/>
  </bookViews>
  <sheets>
    <sheet name="E Synthèse" sheetId="1" r:id="rId1"/>
    <sheet name="E100 Revue des I&amp;T" sheetId="11" state="hidden" r:id="rId2"/>
    <sheet name="E200 Evaluation CET" sheetId="14" state="hidden" r:id="rId3"/>
    <sheet name="E300 Contrôle des soldes TVA" sheetId="17" r:id="rId4"/>
    <sheet name="E400 Rappro CA-CA3" sheetId="18" r:id="rId5"/>
    <sheet name="E500 Résultat Fiscal" sheetId="16" r:id="rId6"/>
    <sheet name="E600 CIR" sheetId="34" state="hidden" r:id="rId7"/>
    <sheet name="E700 Taxe sur les salaires" sheetId="15" r:id="rId8"/>
  </sheets>
  <externalReferences>
    <externalReference r:id="rId9"/>
  </externalReferences>
  <definedNames>
    <definedName name="ça">"$#REF !.$B$508:$R$508"</definedName>
    <definedName name="CA_N">[1]SIG!$B$8</definedName>
    <definedName name="CA_N_1">[1]SIG!$D$8</definedName>
    <definedName name="çb">"$#REF !.$A$48:$K$48"</definedName>
    <definedName name="çi">"$#REF !.$R$11:$R$508"</definedName>
    <definedName name="cloture">"$#REF !.$G$9"</definedName>
    <definedName name="çp">"$#REF !.$B$44:$F$44"</definedName>
    <definedName name="çr">"$#REF !.$B$62:$H$62"</definedName>
    <definedName name="çs">"$#REF !.$B$161:$L$161"</definedName>
    <definedName name="dateCloture" localSheetId="1">#REF!</definedName>
    <definedName name="dateCloture" localSheetId="2">#REF!</definedName>
    <definedName name="dateCloture" localSheetId="3">#REF!</definedName>
    <definedName name="dateCloture" localSheetId="4">#REF!</definedName>
    <definedName name="dateCloture" localSheetId="5">#REF!</definedName>
    <definedName name="dateCloture" localSheetId="6">#REF!</definedName>
    <definedName name="dateCloture" localSheetId="7">#REF!</definedName>
    <definedName name="dateCloture">#REF!</definedName>
    <definedName name="DatesCloture">"$#REF !.$F$9:$#REF !.$M$9"</definedName>
    <definedName name="Diligences" localSheetId="1">'E100 Revue des I&amp;T'!#REF!</definedName>
    <definedName name="Diligences" localSheetId="2">'E200 Evaluation CET'!#REF!</definedName>
    <definedName name="Diligences" localSheetId="3">'E300 Contrôle des soldes TVA'!#REF!</definedName>
    <definedName name="Diligences" localSheetId="4">'E400 Rappro CA-CA3'!#REF!</definedName>
    <definedName name="Diligences" localSheetId="5">'E500 Résultat Fiscal'!#REF!</definedName>
    <definedName name="Diligences" localSheetId="6">'E600 CIR'!#REF!</definedName>
    <definedName name="Diligences" localSheetId="7">'E700 Taxe sur les salaires'!#REF!</definedName>
    <definedName name="Diligences">'E Synthèse'!$Q$7:$Q$9</definedName>
    <definedName name="Etat" localSheetId="1">'E100 Revue des I&amp;T'!#REF!</definedName>
    <definedName name="Etat" localSheetId="2">'E200 Evaluation CET'!#REF!</definedName>
    <definedName name="Etat" localSheetId="3">'E300 Contrôle des soldes TVA'!#REF!</definedName>
    <definedName name="Etat" localSheetId="4">'E400 Rappro CA-CA3'!#REF!</definedName>
    <definedName name="Etat" localSheetId="5">'E500 Résultat Fiscal'!#REF!</definedName>
    <definedName name="Etat" localSheetId="6">'E600 CIR'!#REF!</definedName>
    <definedName name="Etat" localSheetId="7">'E700 Taxe sur les salaires'!#REF!</definedName>
    <definedName name="Etat">'E Synthèse'!$Q$1:$Q$3</definedName>
    <definedName name="NomDossier">"$#REF !.$E$1"</definedName>
    <definedName name="RAS" localSheetId="1">'E100 Revue des I&amp;T'!#REF!</definedName>
    <definedName name="RAS" localSheetId="2">'E200 Evaluation CET'!#REF!</definedName>
    <definedName name="RAS" localSheetId="3">'E300 Contrôle des soldes TVA'!#REF!</definedName>
    <definedName name="RAS" localSheetId="4">'E400 Rappro CA-CA3'!#REF!</definedName>
    <definedName name="RAS" localSheetId="5">'E500 Résultat Fiscal'!#REF!</definedName>
    <definedName name="RAS" localSheetId="6">'E600 CIR'!#REF!</definedName>
    <definedName name="RAS" localSheetId="7">'E700 Taxe sur les salaires'!#REF!</definedName>
    <definedName name="RAS">'E Synthèse'!$Q$4:$Q$6</definedName>
    <definedName name="referenceDossier" localSheetId="1">#REF!</definedName>
    <definedName name="referenceDossier" localSheetId="2">#REF!</definedName>
    <definedName name="referenceDossier" localSheetId="3">#REF!</definedName>
    <definedName name="referenceDossier" localSheetId="4">#REF!</definedName>
    <definedName name="referenceDossier" localSheetId="5">#REF!</definedName>
    <definedName name="referenceDossier" localSheetId="6">#REF!</definedName>
    <definedName name="referenceDossier" localSheetId="7">#REF!</definedName>
    <definedName name="referenceDossier">#REF!</definedName>
    <definedName name="sold6037">"$#REF !.$A$85:$I$85"</definedName>
    <definedName name="sold607">"$#REF !.$A$84:$I$84"</definedName>
    <definedName name="sold701">"$#REF !.$A$73:$I$73"</definedName>
    <definedName name="sold706">"$#REF !.$A$74:$I$74"</definedName>
    <definedName name="sold707">"$#REF !.$A$72:$I$72"</definedName>
    <definedName name="sold71">"$#REF !.$A$75:$I$75"</definedName>
    <definedName name="sold781">"$#REF !.$A$151:$I$151"</definedName>
    <definedName name="sold791">"$#REF !.$A$82:$I$82"</definedName>
    <definedName name="soldesCapitaux">"$#REF !.$A$55:$J$66"</definedName>
    <definedName name="start_toc" localSheetId="1">#REF!</definedName>
    <definedName name="start_toc" localSheetId="2">#REF!</definedName>
    <definedName name="start_toc" localSheetId="3">#REF!</definedName>
    <definedName name="start_toc" localSheetId="4">#REF!</definedName>
    <definedName name="start_toc" localSheetId="5">#REF!</definedName>
    <definedName name="start_toc" localSheetId="6">#REF!</definedName>
    <definedName name="start_toc" localSheetId="7">#REF!</definedName>
    <definedName name="start_toc">#REF!</definedName>
    <definedName name="TOTAL1_N">'[1]BILAN PASSIF'!$F$24</definedName>
    <definedName name="TOTAL1_N_1">'[1]BILAN PASSIF'!$H$24</definedName>
    <definedName name="TOTAL2_N">'[1]BILAN PASSIF'!$F$29</definedName>
    <definedName name="TOTAL2_N_1">'[1]BILAN PASSIF'!$H$29</definedName>
    <definedName name="TOTAL3_N">'[1]BILAN PASSIF'!$F$34</definedName>
    <definedName name="TOTAL3_N_1">'[1]BILAN PASSIF'!$H$34</definedName>
    <definedName name="TOTAL4_N">'[1]BILAN PASSIF'!$F$54</definedName>
    <definedName name="TOTAL4_N_1">'[1]BILAN PASSIF'!$H$54</definedName>
    <definedName name="TOTAL5_N">'[1]BILAN PASSIF'!$F$56</definedName>
    <definedName name="TOTAL5_N_1">'[1]BILAN PASSIF'!$H$56</definedName>
    <definedName name="TOTALGEN_N">'[1]BILAN PASSIF'!$F$58</definedName>
    <definedName name="TOTALGEN_N_1">'[1]BILAN PASSIF'!$H$58</definedName>
    <definedName name="uniteMonetaire" localSheetId="1">#REF!</definedName>
    <definedName name="uniteMonetaire" localSheetId="2">#REF!</definedName>
    <definedName name="uniteMonetaire" localSheetId="3">#REF!</definedName>
    <definedName name="uniteMonetaire" localSheetId="4">#REF!</definedName>
    <definedName name="uniteMonetaire" localSheetId="5">#REF!</definedName>
    <definedName name="uniteMonetaire" localSheetId="6">#REF!</definedName>
    <definedName name="uniteMonetaire" localSheetId="7">#REF!</definedName>
    <definedName name="uniteMonetaire">#REF!</definedName>
    <definedName name="ValeurAjoutee">'E200 Evaluation CET'!$F$34</definedName>
    <definedName name="Z_11CE3843_8765_4D4C_AA39_79A83C002DF6_.wvu.PrintArea" localSheetId="0" hidden="1">'E Synthèse'!$A$1:$O$16</definedName>
    <definedName name="Z_11CE3843_8765_4D4C_AA39_79A83C002DF6_.wvu.PrintArea" localSheetId="1" hidden="1">'E100 Revue des I&amp;T'!$A$1:$P$10</definedName>
    <definedName name="Z_11CE3843_8765_4D4C_AA39_79A83C002DF6_.wvu.PrintArea" localSheetId="2" hidden="1">'E200 Evaluation CET'!$A$1:$P$10</definedName>
    <definedName name="Z_11CE3843_8765_4D4C_AA39_79A83C002DF6_.wvu.PrintArea" localSheetId="3" hidden="1">'E300 Contrôle des soldes TVA'!$A$1:$P$10</definedName>
    <definedName name="Z_11CE3843_8765_4D4C_AA39_79A83C002DF6_.wvu.PrintArea" localSheetId="4" hidden="1">'E400 Rappro CA-CA3'!$A$1:$P$10</definedName>
    <definedName name="Z_11CE3843_8765_4D4C_AA39_79A83C002DF6_.wvu.PrintArea" localSheetId="5" hidden="1">'E500 Résultat Fiscal'!$A$1:$P$10</definedName>
    <definedName name="Z_11CE3843_8765_4D4C_AA39_79A83C002DF6_.wvu.PrintArea" localSheetId="6" hidden="1">'E600 CIR'!$A$1:$P$10</definedName>
    <definedName name="Z_11CE3843_8765_4D4C_AA39_79A83C002DF6_.wvu.PrintArea" localSheetId="7" hidden="1">'E700 Taxe sur les salaires'!$A$1:$P$10</definedName>
    <definedName name="Z_3BBE5D10_E029_4BF5_BC04_29D3FAA5A0EB_.wvu.PrintArea" localSheetId="0" hidden="1">'E Synthèse'!$A$1:$O$16</definedName>
    <definedName name="Z_3BBE5D10_E029_4BF5_BC04_29D3FAA5A0EB_.wvu.PrintArea" localSheetId="1" hidden="1">'E100 Revue des I&amp;T'!$A$1:$P$10</definedName>
    <definedName name="Z_3BBE5D10_E029_4BF5_BC04_29D3FAA5A0EB_.wvu.PrintArea" localSheetId="2" hidden="1">'E200 Evaluation CET'!$A$1:$P$10</definedName>
    <definedName name="Z_3BBE5D10_E029_4BF5_BC04_29D3FAA5A0EB_.wvu.PrintArea" localSheetId="3" hidden="1">'E300 Contrôle des soldes TVA'!$A$1:$P$10</definedName>
    <definedName name="Z_3BBE5D10_E029_4BF5_BC04_29D3FAA5A0EB_.wvu.PrintArea" localSheetId="4" hidden="1">'E400 Rappro CA-CA3'!$A$1:$P$10</definedName>
    <definedName name="Z_3BBE5D10_E029_4BF5_BC04_29D3FAA5A0EB_.wvu.PrintArea" localSheetId="5" hidden="1">'E500 Résultat Fiscal'!$A$1:$P$10</definedName>
    <definedName name="Z_3BBE5D10_E029_4BF5_BC04_29D3FAA5A0EB_.wvu.PrintArea" localSheetId="6" hidden="1">'E600 CIR'!$A$1:$P$10</definedName>
    <definedName name="Z_3BBE5D10_E029_4BF5_BC04_29D3FAA5A0EB_.wvu.PrintArea" localSheetId="7" hidden="1">'E700 Taxe sur les salaires'!$A$1:$P$10</definedName>
    <definedName name="_xlnm.Print_Area" localSheetId="0">'E Synthèse'!$A$1:$O$27</definedName>
    <definedName name="_xlnm.Print_Area" localSheetId="1">'E100 Revue des I&amp;T'!$A$1:$P$14</definedName>
    <definedName name="_xlnm.Print_Area" localSheetId="2">'E200 Evaluation CET'!$A$1:$P$14</definedName>
    <definedName name="_xlnm.Print_Area" localSheetId="3">'E300 Contrôle des soldes TVA'!$A$1:$P$16</definedName>
    <definedName name="_xlnm.Print_Area" localSheetId="4">'E400 Rappro CA-CA3'!$A$1:$P$14</definedName>
    <definedName name="_xlnm.Print_Area" localSheetId="5">'E500 Résultat Fiscal'!$A$1:$P$14</definedName>
    <definedName name="_xlnm.Print_Area" localSheetId="6">'E600 CIR'!$A$1:$P$14</definedName>
    <definedName name="_xlnm.Print_Area" localSheetId="7">'E700 Taxe sur les salaires'!$A$1:$P$14</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2" i="15" l="1"/>
  <c r="H92" i="15"/>
  <c r="G92" i="15"/>
  <c r="F92" i="15"/>
  <c r="E92" i="15"/>
  <c r="E90" i="15"/>
  <c r="E89" i="15"/>
  <c r="F90" i="15"/>
  <c r="F89" i="15"/>
  <c r="G90" i="15"/>
  <c r="G89" i="15"/>
  <c r="H90" i="15"/>
  <c r="H89" i="15"/>
  <c r="I90" i="15"/>
  <c r="I89" i="15"/>
  <c r="I88" i="15"/>
  <c r="H88" i="15"/>
  <c r="G88" i="15"/>
  <c r="F88" i="15"/>
  <c r="E88" i="15"/>
  <c r="E59" i="14"/>
  <c r="D48" i="14"/>
  <c r="E61" i="14" s="1"/>
  <c r="E62" i="14"/>
  <c r="E60" i="14"/>
  <c r="C108" i="16"/>
  <c r="C107" i="16" s="1"/>
  <c r="O9" i="15"/>
  <c r="O9" i="34"/>
  <c r="O9" i="16"/>
  <c r="O9" i="18"/>
  <c r="O9" i="17"/>
  <c r="O9" i="14"/>
  <c r="O9" i="11"/>
  <c r="E97" i="16" l="1"/>
  <c r="E99" i="16" s="1"/>
  <c r="D25" i="17"/>
  <c r="D27" i="17" s="1"/>
  <c r="C65" i="11" l="1"/>
  <c r="G34" i="18" l="1"/>
  <c r="M7" i="18"/>
  <c r="L58" i="18" l="1"/>
  <c r="L57" i="18"/>
  <c r="L56" i="18"/>
  <c r="L55" i="18"/>
  <c r="L54" i="18"/>
  <c r="L53" i="18"/>
  <c r="L52" i="18"/>
  <c r="L51" i="18"/>
  <c r="L49" i="18"/>
  <c r="L48" i="18"/>
  <c r="L45" i="18"/>
  <c r="C64" i="11" l="1"/>
  <c r="C63" i="11"/>
  <c r="J23" i="18" l="1"/>
  <c r="J24" i="18"/>
  <c r="J25" i="18"/>
  <c r="J26" i="18"/>
  <c r="J27" i="18"/>
  <c r="J28" i="18"/>
  <c r="J29" i="18"/>
  <c r="J30" i="18"/>
  <c r="J31" i="18"/>
  <c r="J32" i="18"/>
  <c r="J33" i="18"/>
  <c r="J22" i="18"/>
  <c r="I22" i="18" l="1"/>
  <c r="I23" i="18"/>
  <c r="I24" i="18"/>
  <c r="I25" i="18"/>
  <c r="I26" i="18"/>
  <c r="I27" i="18"/>
  <c r="I28" i="18"/>
  <c r="I29" i="18"/>
  <c r="I30" i="18"/>
  <c r="I31" i="18"/>
  <c r="I32" i="18"/>
  <c r="I33" i="18"/>
  <c r="L46" i="18"/>
  <c r="L44" i="18"/>
  <c r="L43" i="18"/>
  <c r="L42" i="18"/>
  <c r="L41" i="18"/>
  <c r="L40" i="18"/>
  <c r="L39" i="18"/>
  <c r="D1" i="18" l="1"/>
  <c r="D1" i="17"/>
  <c r="D1" i="16"/>
  <c r="D1" i="15"/>
  <c r="D1" i="34"/>
  <c r="D1" i="14"/>
  <c r="D1" i="11"/>
  <c r="A22" i="18" l="1"/>
  <c r="A23" i="18" s="1"/>
  <c r="A24" i="18" s="1"/>
  <c r="A25" i="18" s="1"/>
  <c r="A26" i="18" s="1"/>
  <c r="A27" i="18" s="1"/>
  <c r="A28" i="18" s="1"/>
  <c r="A29" i="18" s="1"/>
  <c r="A30" i="18" s="1"/>
  <c r="A31" i="18" s="1"/>
  <c r="A32" i="18" s="1"/>
  <c r="A33" i="18" s="1"/>
  <c r="K34" i="18"/>
  <c r="J34" i="18"/>
  <c r="L60" i="18"/>
  <c r="L59" i="18"/>
  <c r="D7" i="14"/>
  <c r="B7" i="14"/>
  <c r="D6" i="14"/>
  <c r="B6" i="14"/>
  <c r="D7" i="34"/>
  <c r="B7" i="34"/>
  <c r="D6" i="34"/>
  <c r="B6" i="34"/>
  <c r="D7" i="15"/>
  <c r="B7" i="15"/>
  <c r="D6" i="15"/>
  <c r="B6" i="15"/>
  <c r="D7" i="16"/>
  <c r="B7" i="16"/>
  <c r="D6" i="16"/>
  <c r="B6" i="16"/>
  <c r="D7" i="17"/>
  <c r="B7" i="17"/>
  <c r="D6" i="17"/>
  <c r="B6" i="17"/>
  <c r="D7" i="18"/>
  <c r="B7" i="18"/>
  <c r="D6" i="18"/>
  <c r="B6" i="18"/>
  <c r="D7" i="11"/>
  <c r="B7" i="11"/>
  <c r="D6" i="11"/>
  <c r="B6" i="11"/>
  <c r="L33" i="18" l="1"/>
  <c r="L32" i="18"/>
  <c r="L31" i="18"/>
  <c r="L30" i="18"/>
  <c r="L29" i="18"/>
  <c r="L28" i="18"/>
  <c r="L27" i="18"/>
  <c r="L26" i="18"/>
  <c r="L25" i="18"/>
  <c r="L24" i="18"/>
  <c r="L23" i="18"/>
  <c r="L22" i="18"/>
  <c r="I34" i="18" l="1"/>
  <c r="L62" i="18"/>
  <c r="L66" i="18" s="1"/>
  <c r="E108" i="16" l="1"/>
  <c r="E107" i="16" l="1"/>
  <c r="E109" i="16" s="1"/>
  <c r="E110" i="16" s="1"/>
  <c r="C114" i="16" l="1"/>
  <c r="C121" i="16" s="1"/>
  <c r="C123" i="16" s="1"/>
  <c r="M7" i="14"/>
  <c r="M7" i="34"/>
  <c r="M7" i="15"/>
  <c r="M7" i="16"/>
  <c r="M7" i="17"/>
  <c r="M7" i="11"/>
  <c r="D56" i="15"/>
  <c r="I98" i="15"/>
  <c r="H98" i="15"/>
  <c r="G98" i="15"/>
  <c r="F98" i="15"/>
  <c r="E98" i="15"/>
  <c r="D67" i="15"/>
  <c r="D71" i="15" s="1"/>
  <c r="D76" i="15" s="1"/>
  <c r="H30" i="14"/>
  <c r="D32" i="14" s="1"/>
  <c r="D30" i="14"/>
  <c r="F38" i="14" l="1"/>
  <c r="E71" i="14"/>
  <c r="E29" i="11"/>
  <c r="F29" i="11" s="1"/>
  <c r="D30" i="11"/>
  <c r="C30" i="11"/>
  <c r="E28" i="11"/>
  <c r="F28" i="11" s="1"/>
  <c r="E27" i="11"/>
  <c r="F27" i="11" s="1"/>
  <c r="E26" i="11"/>
  <c r="F26" i="11" s="1"/>
  <c r="E25" i="11"/>
  <c r="F25" i="11" s="1"/>
  <c r="E24" i="11"/>
  <c r="F24" i="11" s="1"/>
  <c r="E23" i="11"/>
  <c r="F23" i="11" s="1"/>
  <c r="E22" i="11"/>
  <c r="F22" i="11" s="1"/>
  <c r="E21" i="11"/>
  <c r="D39" i="11"/>
  <c r="C39" i="11" s="1"/>
  <c r="E64" i="11" l="1"/>
  <c r="E30" i="11"/>
  <c r="F30" i="11" s="1"/>
  <c r="E63" i="11"/>
  <c r="E65" i="11"/>
  <c r="F21" i="11"/>
  <c r="J9" i="14" l="1"/>
  <c r="D9" i="14"/>
  <c r="J9" i="34"/>
  <c r="D9" i="34"/>
  <c r="J9" i="15"/>
  <c r="D9" i="15"/>
  <c r="J9" i="16"/>
  <c r="D9" i="16"/>
  <c r="J9" i="17"/>
  <c r="D9" i="17"/>
  <c r="J9" i="18"/>
  <c r="D9" i="18"/>
  <c r="J9" i="11"/>
  <c r="D9" i="11"/>
  <c r="E70" i="14" l="1"/>
  <c r="E72" i="14" s="1"/>
  <c r="E74" i="14" l="1"/>
  <c r="E76" i="14" s="1"/>
  <c r="E79" i="14" s="1"/>
  <c r="E73" i="14"/>
  <c r="E101" i="15" l="1"/>
  <c r="G101" i="15"/>
  <c r="F101" i="15"/>
  <c r="H101" i="15"/>
  <c r="I10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author>
  </authors>
  <commentList>
    <comment ref="D48" authorId="0" shapeId="0" xr:uid="{00000000-0006-0000-0300-000001000000}">
      <text>
        <r>
          <rPr>
            <sz val="9"/>
            <color indexed="81"/>
            <rFont val="Tahoma"/>
            <family val="2"/>
          </rPr>
          <t>C/0/70;751;791;//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KPMG</author>
  </authors>
  <commentList>
    <comment ref="A57" authorId="0" shapeId="0" xr:uid="{9B57D881-D592-41E0-803C-242955CD2C18}">
      <text>
        <r>
          <rPr>
            <sz val="8"/>
            <color indexed="81"/>
            <rFont val="Tahoma"/>
            <family val="2"/>
          </rPr>
          <t>Ne pas prendre les avances et acomptes (ce ne sont qu'une opération de trésorerie)</t>
        </r>
      </text>
    </comment>
    <comment ref="A58" authorId="0" shapeId="0" xr:uid="{351951E0-BCA2-48DD-9BA8-F34B4AE6D4F0}">
      <text>
        <r>
          <rPr>
            <sz val="8"/>
            <color indexed="81"/>
            <rFont val="Tahoma"/>
            <family val="2"/>
          </rPr>
          <t>Ne pas prendre les avances et acomptes (ce ne sont qu'une opération de trésorerie)</t>
        </r>
      </text>
    </comment>
  </commentList>
</comments>
</file>

<file path=xl/sharedStrings.xml><?xml version="1.0" encoding="utf-8"?>
<sst xmlns="http://schemas.openxmlformats.org/spreadsheetml/2006/main" count="537" uniqueCount="362">
  <si>
    <t>#NomClient</t>
  </si>
  <si>
    <t>OUI</t>
  </si>
  <si>
    <t>NON</t>
  </si>
  <si>
    <t>ETAT</t>
  </si>
  <si>
    <t>Faible</t>
  </si>
  <si>
    <t>Modéré</t>
  </si>
  <si>
    <t>Fait par :</t>
  </si>
  <si>
    <t>BRA</t>
  </si>
  <si>
    <t>Revu par :</t>
  </si>
  <si>
    <t>Synthèse du cycle</t>
  </si>
  <si>
    <t>Date Clôture</t>
  </si>
  <si>
    <t>XRef</t>
  </si>
  <si>
    <t>Elevé</t>
  </si>
  <si>
    <t>Le :</t>
  </si>
  <si>
    <t>#DateClôture</t>
  </si>
  <si>
    <t>E</t>
  </si>
  <si>
    <t>PB</t>
  </si>
  <si>
    <t>PE</t>
  </si>
  <si>
    <t>Risque d'anomalies significatives</t>
  </si>
  <si>
    <t>Seuil d'investigation</t>
  </si>
  <si>
    <t>Niveau de diligences</t>
  </si>
  <si>
    <t>PE + VP</t>
  </si>
  <si>
    <t>Xref</t>
  </si>
  <si>
    <t>Contrôles</t>
  </si>
  <si>
    <t>Diligences à tester</t>
  </si>
  <si>
    <t>Liens</t>
  </si>
  <si>
    <t>E0</t>
  </si>
  <si>
    <t>Revue des impôts et taxes</t>
  </si>
  <si>
    <t>P</t>
  </si>
  <si>
    <t>Ok BG N</t>
  </si>
  <si>
    <t>Evaluation CET</t>
  </si>
  <si>
    <t>E200 Evaluation CET</t>
  </si>
  <si>
    <t>f</t>
  </si>
  <si>
    <t>Ok RG / BG N-1</t>
  </si>
  <si>
    <t>E300</t>
  </si>
  <si>
    <t>Contrôle des soldes de TVA au bilan</t>
  </si>
  <si>
    <t>E300 Contrôle des soldes TVA</t>
  </si>
  <si>
    <t>G</t>
  </si>
  <si>
    <t>Ok Rapppro doc…</t>
  </si>
  <si>
    <t>E400</t>
  </si>
  <si>
    <t>Rapprochement CA-CA3</t>
  </si>
  <si>
    <t>E400 Rappro CA-CA3</t>
  </si>
  <si>
    <t>d</t>
  </si>
  <si>
    <t>autres</t>
  </si>
  <si>
    <t>E500</t>
  </si>
  <si>
    <t>Résultat Fiscal</t>
  </si>
  <si>
    <t>E500 Résultat Fiscal</t>
  </si>
  <si>
    <t>Crédit Impôt Recherche</t>
  </si>
  <si>
    <t>E600 CIR</t>
  </si>
  <si>
    <t xml:space="preserve"> Ʇ</t>
  </si>
  <si>
    <t>Contrôle arithmétique</t>
  </si>
  <si>
    <t>Taxe sur les salaires</t>
  </si>
  <si>
    <t>E700 Taxe sur les salaires</t>
  </si>
  <si>
    <t>a</t>
  </si>
  <si>
    <t xml:space="preserve">Revue analytique </t>
  </si>
  <si>
    <t>Cf. E0</t>
  </si>
  <si>
    <t>CONCLUSION</t>
  </si>
  <si>
    <t>E100</t>
  </si>
  <si>
    <t>E Synthèse</t>
  </si>
  <si>
    <r>
      <t>Objectif :</t>
    </r>
    <r>
      <rPr>
        <b/>
        <sz val="11"/>
        <rFont val="Calibri"/>
        <family val="2"/>
        <scheme val="minor"/>
      </rPr>
      <t xml:space="preserve"> </t>
    </r>
    <r>
      <rPr>
        <sz val="11"/>
        <rFont val="Calibri"/>
        <family val="2"/>
        <scheme val="minor"/>
      </rPr>
      <t xml:space="preserve">
Exhaustivité des charges d'impôts et taxes
</t>
    </r>
    <r>
      <rPr>
        <b/>
        <u/>
        <sz val="11"/>
        <rFont val="Calibri"/>
        <family val="2"/>
        <scheme val="minor"/>
      </rPr>
      <t>Travail effectué</t>
    </r>
    <r>
      <rPr>
        <sz val="11"/>
        <rFont val="Calibri"/>
        <family val="2"/>
        <scheme val="minor"/>
      </rPr>
      <t xml:space="preserve">
Réaliser une revue analytique entre N / N-1
Contrôle de cohérence des taxes assises sur les salaires
Contrôle de cohérence des taxes assises sur le chiffre d'affaires</t>
    </r>
  </si>
  <si>
    <t>Conclusion sur le contrôle</t>
  </si>
  <si>
    <t>1° Revue analytique des charges d'impots et taxes</t>
  </si>
  <si>
    <t>Compte</t>
  </si>
  <si>
    <t>Libellé</t>
  </si>
  <si>
    <t>N</t>
  </si>
  <si>
    <t>N-1</t>
  </si>
  <si>
    <t>Var N/N-1</t>
  </si>
  <si>
    <t>Var %</t>
  </si>
  <si>
    <t>Analyse</t>
  </si>
  <si>
    <t>TOTAL</t>
  </si>
  <si>
    <t>2° Calcul de cohérence des taxes assises sur les salaires</t>
  </si>
  <si>
    <t>Rappel des règles en la matière :</t>
  </si>
  <si>
    <t>Effectif</t>
  </si>
  <si>
    <t>&lt; 10</t>
  </si>
  <si>
    <t>&lt; 20</t>
  </si>
  <si>
    <t>&gt; 20</t>
  </si>
  <si>
    <t>Taxe apprentissage</t>
  </si>
  <si>
    <t>Effort construction</t>
  </si>
  <si>
    <t>sauf entreprises agricoles (&gt; 50 salariés)</t>
  </si>
  <si>
    <t>Formation continue</t>
  </si>
  <si>
    <t>Attention ces taux ne s'appliquent plus pour une société du batîment.</t>
  </si>
  <si>
    <t>Pour les sociétés de plus de 250 salariés qui emploient moins de 5 % d'alternants par rapport à leur effectif annuel moyen, s'ajoute la CSA à la taxe d'apprentissage.</t>
  </si>
  <si>
    <t>Taux de la contribution supplémentaire à l'apprentissage (CSA) en fonction du nombre d'alternants par rapport à l'effectif moyen annuel</t>
  </si>
  <si>
    <t>Effectif salarié total</t>
  </si>
  <si>
    <t>Nombre d'alternants en rapport à l'effectif moyen annuel</t>
  </si>
  <si>
    <t>Rémunérations versées en 2015 (taxe payable en 2016)</t>
  </si>
  <si>
    <t>Rémunérations versées en 2016 (taxe payable en 2017)</t>
  </si>
  <si>
    <t>Plus de 2 000</t>
  </si>
  <si>
    <t>Moins de 1 %</t>
  </si>
  <si>
    <t>0,6 %</t>
  </si>
  <si>
    <t>Moins de 2 000</t>
  </si>
  <si>
    <t>0,4 %</t>
  </si>
  <si>
    <t>sans incidence</t>
  </si>
  <si>
    <t>Entre 1 % et 2 %</t>
  </si>
  <si>
    <t>0,2 %</t>
  </si>
  <si>
    <t>Entre 2 % et 3 %</t>
  </si>
  <si>
    <t>0,1 %</t>
  </si>
  <si>
    <t>Entre 3 % et 4 %</t>
  </si>
  <si>
    <t>0,05 %</t>
  </si>
  <si>
    <t>Entre 4 % et 5 %</t>
  </si>
  <si>
    <t xml:space="preserve">Effectif moyen de la société </t>
  </si>
  <si>
    <t>X-Ref</t>
  </si>
  <si>
    <t xml:space="preserve">Montant  SALAIRES DADS </t>
  </si>
  <si>
    <t>Calcul FA/EA</t>
  </si>
  <si>
    <t>Compta</t>
  </si>
  <si>
    <t>Ecart</t>
  </si>
  <si>
    <t>Effort Construction</t>
  </si>
  <si>
    <t xml:space="preserve">FormationContinue </t>
  </si>
  <si>
    <t>E200</t>
  </si>
  <si>
    <r>
      <t>Objectif</t>
    </r>
    <r>
      <rPr>
        <sz val="11"/>
        <rFont val="Calibri"/>
        <family val="2"/>
        <scheme val="minor"/>
      </rPr>
      <t xml:space="preserve">
Exhaustivité et évaluation de la charge relative à la CVAE et la CFE
</t>
    </r>
    <r>
      <rPr>
        <b/>
        <u/>
        <sz val="11"/>
        <rFont val="Calibri"/>
        <family val="2"/>
        <scheme val="minor"/>
      </rPr>
      <t>Travail effectué</t>
    </r>
    <r>
      <rPr>
        <sz val="11"/>
        <rFont val="Calibri"/>
        <family val="2"/>
        <scheme val="minor"/>
      </rPr>
      <t xml:space="preserve">
Calculer le montant de la valeur ajoutée de l'exercice
Sélectionner le chiffre d'affaires de référence
calculer le montant de la CVAE correspondante
Comparer le montant calculé avec le montant en comptabilité</t>
    </r>
  </si>
  <si>
    <t>1° Calcul de la valeur ajoutée de l'exercice</t>
  </si>
  <si>
    <t>Valeur ajoutée issue des SIG (K€)</t>
  </si>
  <si>
    <t>MONTANT EN K€ OBLIGATOIRE</t>
  </si>
  <si>
    <t>Retraitement Produits</t>
  </si>
  <si>
    <t>Retraitements Charges</t>
  </si>
  <si>
    <t>Subventions d'exploitation</t>
  </si>
  <si>
    <t>Dont crédit bail (+ 6 mois)</t>
  </si>
  <si>
    <t>Montant à indiquer en négatif</t>
  </si>
  <si>
    <t>Transfert de charges</t>
  </si>
  <si>
    <t xml:space="preserve">Dont loyers (+ 6 mois) </t>
  </si>
  <si>
    <t>Autres produits</t>
  </si>
  <si>
    <t>Autres charges</t>
  </si>
  <si>
    <t>Valeur ajoutée calculée (K€)</t>
  </si>
  <si>
    <t>Rappel des règles en la matière</t>
  </si>
  <si>
    <t>Montant du chiffre d'affaires (K€)</t>
  </si>
  <si>
    <t>Limitation de la valeur ajoutée (% du chiffre d'affaires)</t>
  </si>
  <si>
    <t>&lt; 7 600</t>
  </si>
  <si>
    <t>&gt; 7 600</t>
  </si>
  <si>
    <t>Valeur ajoutée retenue (K€)</t>
  </si>
  <si>
    <t>2° Chiffre d'affaires de référence</t>
  </si>
  <si>
    <t>Comptes 70</t>
  </si>
  <si>
    <t>Comptes 751</t>
  </si>
  <si>
    <t>Comptes 791 (si refact de frais)</t>
  </si>
  <si>
    <t xml:space="preserve">CA de référence (K€) : </t>
  </si>
  <si>
    <t>En cas d'intégration fiscale le chiffre d'affaires de référence doit être celui des sociétés comprises dans le périmètre de l'intégration fiscale.</t>
  </si>
  <si>
    <t>3° Calcul de la CVAE</t>
  </si>
  <si>
    <t>Montant du chiffre d'affaires</t>
  </si>
  <si>
    <t>Taux de cotisation</t>
  </si>
  <si>
    <t>Entre 0 et 500K€</t>
  </si>
  <si>
    <t>Entre 500 et 3 000K€</t>
  </si>
  <si>
    <t>Entre 3 000 et 10 000K€</t>
  </si>
  <si>
    <t>Entre 10 000 et 50 000K€</t>
  </si>
  <si>
    <t>Plus de 50 000K€</t>
  </si>
  <si>
    <t xml:space="preserve">Taux retenu : </t>
  </si>
  <si>
    <t>3° Comparaison avec la comptabilité</t>
  </si>
  <si>
    <t xml:space="preserve">Montant CVAE : </t>
  </si>
  <si>
    <t xml:space="preserve">Minoration : </t>
  </si>
  <si>
    <t>Taxe additionnelle</t>
  </si>
  <si>
    <t>Frais assiette 1%</t>
  </si>
  <si>
    <t xml:space="preserve">Montant total CVAE : </t>
  </si>
  <si>
    <t xml:space="preserve">Montant total CFE : </t>
  </si>
  <si>
    <t xml:space="preserve">Montant total CET : </t>
  </si>
  <si>
    <t xml:space="preserve">En compte de charges : </t>
  </si>
  <si>
    <t xml:space="preserve">Ecart : </t>
  </si>
  <si>
    <t>Commentaire</t>
  </si>
  <si>
    <r>
      <t>Objectif</t>
    </r>
    <r>
      <rPr>
        <sz val="11"/>
        <rFont val="Calibri"/>
        <family val="2"/>
        <scheme val="minor"/>
      </rPr>
      <t xml:space="preserve">
Exhaustivité des dettes
Réalité des créances fiscales
</t>
    </r>
    <r>
      <rPr>
        <b/>
        <u/>
        <sz val="11"/>
        <rFont val="Calibri"/>
        <family val="2"/>
        <scheme val="minor"/>
      </rPr>
      <t>Travail effectué</t>
    </r>
    <r>
      <rPr>
        <sz val="11"/>
        <rFont val="Calibri"/>
        <family val="2"/>
        <scheme val="minor"/>
      </rPr>
      <t xml:space="preserve">
Contrôler la réalité de la TVA à payer ou du crédit de TVA en se rapprochant de la CA3 du mois de clôture.
Obtenir le détail des charges à payer et produits à recevoir d'impôts et s'assurer de la cohérence avec les diligences réalisées au compte de résultat.</t>
    </r>
  </si>
  <si>
    <t>1° TVA</t>
  </si>
  <si>
    <t>CA3</t>
  </si>
  <si>
    <t>Solde de crédit de TVA ou TVA à décaisser</t>
  </si>
  <si>
    <t>2° Contröle TVA sur les bases clients</t>
  </si>
  <si>
    <t>Solde #411 soumis à TVA</t>
  </si>
  <si>
    <t>V0</t>
  </si>
  <si>
    <t>Solde #416 si facturation de PS</t>
  </si>
  <si>
    <t>Encours clients HT</t>
  </si>
  <si>
    <t>Solde compte 4457X</t>
  </si>
  <si>
    <r>
      <t xml:space="preserve">Objectif 
</t>
    </r>
    <r>
      <rPr>
        <sz val="11"/>
        <rFont val="Calibri"/>
        <family val="2"/>
        <scheme val="minor"/>
      </rPr>
      <t xml:space="preserve">Exhaustivité CA déclaré
</t>
    </r>
    <r>
      <rPr>
        <b/>
        <u/>
        <sz val="11"/>
        <rFont val="Calibri"/>
        <family val="2"/>
        <scheme val="minor"/>
      </rPr>
      <t>Travail effectué</t>
    </r>
    <r>
      <rPr>
        <sz val="11"/>
        <rFont val="Calibri"/>
        <family val="2"/>
        <scheme val="minor"/>
      </rPr>
      <t xml:space="preserve">
Revue rappro CA-CA3 fait par le client/l'EC
Si doc scanné (fait par client ou EC), formaliser directement sur le scan
Les TVA sur FNP/FAE/AAR/AAE sont contrôlées sur les feuilles de travail des cycles concernés</t>
    </r>
  </si>
  <si>
    <t>Date d'ouverture de l'exercice :</t>
  </si>
  <si>
    <t>CA déclaré :</t>
  </si>
  <si>
    <t>CA déclaré</t>
  </si>
  <si>
    <t>TVA</t>
  </si>
  <si>
    <t>AIC (20%)</t>
  </si>
  <si>
    <t>exonéré</t>
  </si>
  <si>
    <t>Total CA</t>
  </si>
  <si>
    <t>TVA collectée</t>
  </si>
  <si>
    <t>déductible</t>
  </si>
  <si>
    <t>à payer</t>
  </si>
  <si>
    <t>(a)</t>
  </si>
  <si>
    <t>CA comptabilisé au titre de N :</t>
  </si>
  <si>
    <t>HT</t>
  </si>
  <si>
    <t>Exonéré</t>
  </si>
  <si>
    <t>Total</t>
  </si>
  <si>
    <t>Sens</t>
  </si>
  <si>
    <t>TVA 20%</t>
  </si>
  <si>
    <t>TVA 10%</t>
  </si>
  <si>
    <t>TVA 7%</t>
  </si>
  <si>
    <t>TVA 5,5%</t>
  </si>
  <si>
    <t>Chiffre d'affaires :</t>
  </si>
  <si>
    <t>#70</t>
  </si>
  <si>
    <t>70X XXX</t>
  </si>
  <si>
    <t>…</t>
  </si>
  <si>
    <t>#74</t>
  </si>
  <si>
    <t>Produits divers de gestion courante</t>
  </si>
  <si>
    <t>#75</t>
  </si>
  <si>
    <t>Transferts de charges</t>
  </si>
  <si>
    <t>#79</t>
  </si>
  <si>
    <t>Créances clients 31/12/N-1</t>
  </si>
  <si>
    <t>TTC</t>
  </si>
  <si>
    <t>#411</t>
  </si>
  <si>
    <t>+</t>
  </si>
  <si>
    <t>Créances clients 31/12/N</t>
  </si>
  <si>
    <t>-</t>
  </si>
  <si>
    <t>Effets à recevoir 31/12/N-1</t>
  </si>
  <si>
    <t>#413</t>
  </si>
  <si>
    <t>Effets à recevoir 31/12/N</t>
  </si>
  <si>
    <t>Factures à établir 31/12/N-1</t>
  </si>
  <si>
    <t>#418</t>
  </si>
  <si>
    <t>Factures à établir 31/12/N</t>
  </si>
  <si>
    <t>Avoirs à établir 31/12/N-1</t>
  </si>
  <si>
    <t>#419</t>
  </si>
  <si>
    <t>Avoirs à établir 31/12/N</t>
  </si>
  <si>
    <t>PCA 31/12/N-1</t>
  </si>
  <si>
    <t>#487</t>
  </si>
  <si>
    <t>PCA 31/12/N</t>
  </si>
  <si>
    <t>(b)</t>
  </si>
  <si>
    <t>Ecart TVA déclaré vs TVA comptabilisée =</t>
  </si>
  <si>
    <t>=(a) - (b)</t>
  </si>
  <si>
    <r>
      <t>Objectif</t>
    </r>
    <r>
      <rPr>
        <sz val="11"/>
        <rFont val="Calibri"/>
        <family val="2"/>
        <scheme val="minor"/>
      </rPr>
      <t xml:space="preserve">
Evaluation résultat fiscal
</t>
    </r>
    <r>
      <rPr>
        <b/>
        <u/>
        <sz val="11"/>
        <rFont val="Calibri"/>
        <family val="2"/>
        <scheme val="minor"/>
      </rPr>
      <t>Travail effectué</t>
    </r>
    <r>
      <rPr>
        <sz val="11"/>
        <rFont val="Calibri"/>
        <family val="2"/>
        <scheme val="minor"/>
      </rPr>
      <t xml:space="preserve">
Analyse calcul résultat fiscal réalisé par le client/l'EC
Analyse du solde du compte 444</t>
    </r>
  </si>
  <si>
    <t xml:space="preserve">Rappel IS : </t>
  </si>
  <si>
    <t>IS taux droit commun  1</t>
  </si>
  <si>
    <t xml:space="preserve">IS taux réduit </t>
  </si>
  <si>
    <t>Conditions :</t>
  </si>
  <si>
    <t>- Le chiffre d'affaires est inférieur à 10 M€</t>
  </si>
  <si>
    <t>- Le capital est entièrement libéré</t>
  </si>
  <si>
    <t>- Le capital est détenu à 75 % par des personnes physiques</t>
  </si>
  <si>
    <t>Dividendes</t>
  </si>
  <si>
    <t>Quote part frais et charges de 5% (en cas d'intégration fiscale cf. règle ci-dessous)</t>
  </si>
  <si>
    <t>IS sur plus value cessions</t>
  </si>
  <si>
    <t>Exonération</t>
  </si>
  <si>
    <t>Titres de participation mais quote part frais et charges non déductible de 12%</t>
  </si>
  <si>
    <t xml:space="preserve">Rappel règles carry back et report en avant : </t>
  </si>
  <si>
    <t>Report en avant</t>
  </si>
  <si>
    <t>Sans limitation de durée</t>
  </si>
  <si>
    <t>Le report en avant est plafonné à 1 million d'€, majoré de 50 % de la fraction du bénéfice supérieure à ce plafond.</t>
  </si>
  <si>
    <t>Carry Back</t>
  </si>
  <si>
    <r>
      <t xml:space="preserve">Le report en arrière est autorisé </t>
    </r>
    <r>
      <rPr>
        <sz val="11"/>
        <color rgb="FF000000"/>
        <rFont val="Calibri"/>
        <family val="2"/>
        <scheme val="minor"/>
      </rPr>
      <t>uniquement sur un seul bénéfice, celui de l'exercice précédent, et dans la limite d'1 million d'€.</t>
    </r>
  </si>
  <si>
    <t>L'option porte sur tout ou partie du déficit, dans la limite du bénéfice de l'exercice précédent et du plafond.</t>
  </si>
  <si>
    <t>Principe de traitement des gains et pertes de change latents :</t>
  </si>
  <si>
    <t xml:space="preserve">Dotation de l’exercice N aux provisions pour </t>
  </si>
  <si>
    <t>pertes de change : + WI 2058-B cadre III lignes 8X, 8Z,</t>
  </si>
  <si>
    <t xml:space="preserve">Reprise de l’exercice N de provisions pour </t>
  </si>
  <si>
    <t>pertes de change d’exercices antérieurs : – WU 2058-B cadre III lignes 8Y, 9A,</t>
  </si>
  <si>
    <t>Écart de conversion de l’exercice :</t>
  </si>
  <si>
    <t xml:space="preserve"> - actif – XG 2050 ligne CN</t>
  </si>
  <si>
    <t xml:space="preserve"> - passif + WQ 2051 ligne ED</t>
  </si>
  <si>
    <t>Écart de conversion de l’exercice précédent :</t>
  </si>
  <si>
    <t xml:space="preserve"> - actif + WQ 2050 ligne CN (N – 1)</t>
  </si>
  <si>
    <t xml:space="preserve"> - passif – XG 2051 ligne ED (N – 1)</t>
  </si>
  <si>
    <t>1° Détermination du résultat fiscal</t>
  </si>
  <si>
    <t>Résultat comptable avant impôt</t>
  </si>
  <si>
    <t>Réintègrations</t>
  </si>
  <si>
    <t>Amortissements VTS non déductibles</t>
  </si>
  <si>
    <t>Loyers VTS non déductibles</t>
  </si>
  <si>
    <t>Taxe VTS</t>
  </si>
  <si>
    <t>C3S N</t>
  </si>
  <si>
    <t xml:space="preserve">Participation  </t>
  </si>
  <si>
    <t>Intéressement</t>
  </si>
  <si>
    <t>+Value OPCVM N</t>
  </si>
  <si>
    <t>Congés payés</t>
  </si>
  <si>
    <t>Ecart conversion Passif N</t>
  </si>
  <si>
    <t>Ecart conversion Actif  N-1</t>
  </si>
  <si>
    <t>Provision perte de change N</t>
  </si>
  <si>
    <t>Mécénat / dons</t>
  </si>
  <si>
    <t>Pénalités amendes</t>
  </si>
  <si>
    <t>Dépenses somptuaires</t>
  </si>
  <si>
    <t>Intérêts compte courant associés</t>
  </si>
  <si>
    <t>Quote part frais et charges</t>
  </si>
  <si>
    <t>Déductions</t>
  </si>
  <si>
    <t>C3S N-1</t>
  </si>
  <si>
    <t>Participation N-1</t>
  </si>
  <si>
    <t>Participation forfait social N-1</t>
  </si>
  <si>
    <t>Intéressement N-1</t>
  </si>
  <si>
    <t>Intéressement forfait social N-1</t>
  </si>
  <si>
    <t>Value OPCVM N-1</t>
  </si>
  <si>
    <t>Crédit impôt recherche</t>
  </si>
  <si>
    <t>Crédit impôt intéressement</t>
  </si>
  <si>
    <t>Crédit impôt apprentissage</t>
  </si>
  <si>
    <t>Réduction impôt mécénat</t>
  </si>
  <si>
    <t>Ecart conversion Passif N-1</t>
  </si>
  <si>
    <t>Ecart conversion Actif  N</t>
  </si>
  <si>
    <t>Provision perte de change N-1</t>
  </si>
  <si>
    <t>Provision IDR</t>
  </si>
  <si>
    <t>Cession titres de participation</t>
  </si>
  <si>
    <t>Régime fiscal : Cession TP</t>
  </si>
  <si>
    <t>CICE</t>
  </si>
  <si>
    <t>Déficit fiscal antérieur au 31/12/N</t>
  </si>
  <si>
    <t>Résultat Fiscal après imputation des déficits</t>
  </si>
  <si>
    <t>Déficit fiscal restant à reporter</t>
  </si>
  <si>
    <t>La société remplit-elle les conditions pour bénéficier de l'IS à taux réduit ?</t>
  </si>
  <si>
    <t>(oui/non)</t>
  </si>
  <si>
    <t>CALCUL IS TAUX NORMAL</t>
  </si>
  <si>
    <t>IS taux droit commun</t>
  </si>
  <si>
    <t xml:space="preserve">IS Taux réduit </t>
  </si>
  <si>
    <t>Impôt sur les sociétés global</t>
  </si>
  <si>
    <t>Résultat comptable après impôt</t>
  </si>
  <si>
    <t>Solde du compte 444</t>
  </si>
  <si>
    <t>IS dû</t>
  </si>
  <si>
    <t xml:space="preserve"> - 1er acompte - 15 mars</t>
  </si>
  <si>
    <t xml:space="preserve"> - 2e acompte - 15 juin</t>
  </si>
  <si>
    <t xml:space="preserve"> - 3e acompte - 15 septembre</t>
  </si>
  <si>
    <t xml:space="preserve"> - 4e acompte - 15 décembre</t>
  </si>
  <si>
    <t xml:space="preserve"> - CICE</t>
  </si>
  <si>
    <t>Dette à payer</t>
  </si>
  <si>
    <t>X Ref</t>
  </si>
  <si>
    <t>Solde 444</t>
  </si>
  <si>
    <t>Intégration fiscale :</t>
  </si>
  <si>
    <t>préciser le cas échéant :</t>
  </si>
  <si>
    <t>La société est intégrée fiscalement dans XXX.</t>
  </si>
  <si>
    <t>Convention d'intégration fiscale signée le xxxx pour une durée de xxx et renouvelable par tacite reconduction.</t>
  </si>
  <si>
    <t>Selon cette convention d'intégration fiscale, l'économie d'impôt est comptabilisée chez…</t>
  </si>
  <si>
    <t>Les éléments à retraiter dans le cadre de l'IF sont principalement la déduction de la quote part de frais et charges perçus sur les dividendes provenant d'entreprises intégrées ou non. En effet, la règlementation à évoluer à compter du 01.01.2016 :</t>
  </si>
  <si>
    <t xml:space="preserve">La CJUE a ainsi jugé dans le cadre de l'arrêt Stéria que la # de traitement en matière de déduction de quote part de frais et charges sur les dividendes versés à leur mère </t>
  </si>
  <si>
    <t xml:space="preserve">entre les sociétés étrangères non incluses dans le champ des sociétés intégrées fiscalement  et celles françaises comprises dans ce même champ,  </t>
  </si>
  <si>
    <t>était contraire au principe de la liberté d'établissement  prévu à l'article 49 du Traité sur le fonctionnement de l'Union européenne (arrêt Stéria n° 386/14 du 2 septembre 2015).</t>
  </si>
  <si>
    <t xml:space="preserve">L'article 40 de cette loi abaisse de 5 à 1 % le taux de la quote-part pour frais et charges relative aux dividendes perçus de filiales éligibles au régime des sociétés mères et incluses dans le périmètre de l'intégration fiscale. </t>
  </si>
  <si>
    <t>En outre, la neutralisation de cette quote-part dans le cadre de l'intégration fiscale est supprimée. En revanche, les groupes non intégrés fiscalement continuent d'être soumis à la réintégration d'une quote-part de 5%.</t>
  </si>
  <si>
    <t xml:space="preserve">De manière à appliquer un régime équivalent aux filiales des entreprises étrangères, le taux de 1% s'applique également aux dividendes perçus de sociétés établies dans un autre État de l’Union européenne ou de l’Espace économique européen </t>
  </si>
  <si>
    <t>qui remplissent les conditions pour être membres du groupe et qui sont soumises dans leur pays à un impôt analogue à l'impôt sur les sociétés (article 216 du CGI).</t>
  </si>
  <si>
    <t>E600</t>
  </si>
  <si>
    <r>
      <t>Objectif</t>
    </r>
    <r>
      <rPr>
        <sz val="11"/>
        <rFont val="Calibri"/>
        <family val="2"/>
        <scheme val="minor"/>
      </rPr>
      <t xml:space="preserve">
Evaluation du crédit impôt recherche
</t>
    </r>
    <r>
      <rPr>
        <b/>
        <u/>
        <sz val="11"/>
        <rFont val="Calibri"/>
        <family val="2"/>
        <scheme val="minor"/>
      </rPr>
      <t>Travail effectué</t>
    </r>
    <r>
      <rPr>
        <sz val="11"/>
        <rFont val="Calibri"/>
        <family val="2"/>
        <scheme val="minor"/>
      </rPr>
      <t xml:space="preserve">
Analyse du calcul réalisé par le client / l'EC / cabinet spécialisé</t>
    </r>
  </si>
  <si>
    <t>Rappel de certaines conditions de base :</t>
  </si>
  <si>
    <t>Le taux du crédit d'impôt recherche est de : 7% (pour 2017)
Base : 30 % pour les dépenses de recherche jusqu'à 100 millions d'euros, 5 % au-delà.
Le CIR est déterminé par année civile, quelle que soit la date de clôture de l'exercice.
Les subventions publiques reçues pour les projets de recherche ouvrant droit au CIR doivent être déduites des bases de calcul du crédit. Les subventions remboursables sont ajoutées aux bases de calcul pour l'année de leur remboursement.
Pour le crédit d'impôt qui s'applique aux dépenses d'innovation des PME, le taux est de 20 %, sur des dépenses plafonnées à 400 000 € par an.</t>
  </si>
  <si>
    <t>Etat de calcul réalisé par la société :</t>
  </si>
  <si>
    <t>Description de la méthode de la société en matière de Crédit Impôt Recherche</t>
  </si>
  <si>
    <t>- Depuis combien de temps ?
- le dossier est-il monté en interne, par l'expert-comptable ou par un organisme externe ?
- si c'est un organisme spécialisé qui le réalise, récupérer le contrat et préciser  la documentation, s'il y a assistance en cas de contrôle fiscal et la limite des remboursements en cas de redressement.</t>
  </si>
  <si>
    <t>Projets concernés :</t>
  </si>
  <si>
    <t>Taux appliqués :</t>
  </si>
  <si>
    <t xml:space="preserve">Commentaires </t>
  </si>
  <si>
    <t>E700</t>
  </si>
  <si>
    <r>
      <t>Objectif</t>
    </r>
    <r>
      <rPr>
        <sz val="11"/>
        <rFont val="Calibri"/>
        <family val="2"/>
        <scheme val="minor"/>
      </rPr>
      <t xml:space="preserve">
Exhaustivité de la taxe sur les salaires
</t>
    </r>
    <r>
      <rPr>
        <b/>
        <u/>
        <sz val="11"/>
        <rFont val="Calibri"/>
        <family val="2"/>
        <scheme val="minor"/>
      </rPr>
      <t>Travail effectué</t>
    </r>
    <r>
      <rPr>
        <sz val="11"/>
        <rFont val="Calibri"/>
        <family val="2"/>
        <scheme val="minor"/>
      </rPr>
      <t xml:space="preserve">
Contrôle de la correcte application de la règle fiscale en la matière et du taux d'assujetissement si applicable
Calcul du taux d'assujettissement puis rapprochement au taux calculé par la société.
Contrôle de l'évaluation sur 5 salariés sélectionnés de manière aléatoire.
</t>
    </r>
  </si>
  <si>
    <t>Attention : Pour les holdings il convient de calculer un taux d'assujetissement afin de s'assurer qu'elles en sont exonérées car les dividendes rentrent dans le calcul du taux d'assujetissement.</t>
  </si>
  <si>
    <t xml:space="preserve">Rappel de la règle : </t>
  </si>
  <si>
    <t>La taxe sur les salaires est due par l'employeur qui : n'est pas assujetti à la TVA l'année du versement des rémunérations (ou l'est sur au moins 10 % du chiffre d'affaires réalisé l'année avant le versement des rémunérations).</t>
  </si>
  <si>
    <t>Calcul de la taxe sur les salaires</t>
  </si>
  <si>
    <r>
      <t xml:space="preserve">La taxe sur les salaires est basée sur le </t>
    </r>
    <r>
      <rPr>
        <b/>
        <sz val="11"/>
        <color indexed="8"/>
        <rFont val="Calibri"/>
        <family val="2"/>
        <scheme val="minor"/>
      </rPr>
      <t>montant brut annuel de l'ensemble des rémunérations et avantages en nature</t>
    </r>
    <r>
      <rPr>
        <sz val="11"/>
        <color indexed="8"/>
        <rFont val="Calibri"/>
        <family val="2"/>
        <scheme val="minor"/>
      </rPr>
      <t xml:space="preserve"> versés par l'employeur : salaires, indemnités (y compris de congés payés, de licenciement, de mise à la retraite...), primes, gratifications, cotisations salariales, intéressement, participation et plan d'épargne, contributions patronales de prévoyance complémentaire ou de retraite supplémentaire…</t>
    </r>
  </si>
  <si>
    <t>La taxe est calculée à partir d'un barème progressif qui s'applique aux rémunérations individuelles annuelles versées (base imposable).</t>
  </si>
  <si>
    <t>Les entreprises soumises à TVA sur moins de 10 % du chiffre d'affaires réalisé l'année avant le versement doivent payer la taxe en calculant leur rapport d'assujettissement à la taxe : il faut diviser le chiffre d'affaires non soumis à TVA (recettes n'ouvrant pas droit à déduction de la TVA) par le chiffre d'affaires total, puis multiplier le résultat par 100.</t>
  </si>
  <si>
    <t>1° Rapprochement bordereau-compta</t>
  </si>
  <si>
    <t>Montant bordereau</t>
  </si>
  <si>
    <t>Montant en comptabilité</t>
  </si>
  <si>
    <t>2° Calcul du taux d'assujetissement</t>
  </si>
  <si>
    <t>- Chiffre d'affaires non soumis à la TVA</t>
  </si>
  <si>
    <t>- dividendes</t>
  </si>
  <si>
    <t xml:space="preserve">- taxes et impôts perçus pour financer tout ou partie de l'activité de leurs bénéficiaires </t>
  </si>
  <si>
    <t>- sommes finançant les activités des personnes morales de droit public placées hors du champ d'application de la TVA.</t>
  </si>
  <si>
    <t>Chiffre d'affaires non soumis à la TVA (N-1)</t>
  </si>
  <si>
    <t>Chiffre d'affaires total (N-1)</t>
  </si>
  <si>
    <t>(comprend le chiffre d'affaires total + dividendes et autres compris dans le CA non soumis)</t>
  </si>
  <si>
    <t>Taux d'assujetissement</t>
  </si>
  <si>
    <t>Taux d'assujetissement calculé par la société</t>
  </si>
  <si>
    <t>3° Test de cohérence</t>
  </si>
  <si>
    <t>Nom du salarié</t>
  </si>
  <si>
    <t>XXXX</t>
  </si>
  <si>
    <t>XXXXX</t>
  </si>
  <si>
    <t>X-ref</t>
  </si>
  <si>
    <t>BASE BRUTE FISCALE</t>
  </si>
  <si>
    <t>Taux normal</t>
  </si>
  <si>
    <t>1e taux majoré</t>
  </si>
  <si>
    <t>2e taux majoré</t>
  </si>
  <si>
    <t>total taxe sur les salaires calculée</t>
  </si>
  <si>
    <t>4° Rapprochement du calcul FA/EA avec le calcul du client</t>
  </si>
  <si>
    <t>taxe sur les salaires du client</t>
  </si>
  <si>
    <t>écart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</si>
</sst>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_ ;\-#,##0\ "/>
    <numFmt numFmtId="167" formatCode="_-* #,##0\ _F_-;\-* #,##0\ _F_-;_-* &quot;-&quot;??\ _F_-;_-@_-"/>
    <numFmt numFmtId="168" formatCode="#,##0.0"/>
  </numFmts>
  <fonts count="52">
    <font>
      <sz val="10"/>
      <name val="Arial"/>
      <family val="2"/>
    </font>
    <font>
      <sz val="11"/>
      <color theme="1"/>
      <name val="Calibri"/>
      <family val="2"/>
      <scheme val="minor"/>
    </font>
    <font>
      <sz val="11"/>
      <color theme="1"/>
      <name val="Calibri"/>
      <family val="2"/>
      <scheme val="minor"/>
    </font>
    <font>
      <sz val="10"/>
      <name val="Arial"/>
      <family val="2"/>
    </font>
    <font>
      <sz val="12"/>
      <name val="Calibri"/>
      <family val="2"/>
      <scheme val="minor"/>
    </font>
    <font>
      <b/>
      <sz val="12"/>
      <name val="Calibri"/>
      <family val="2"/>
      <scheme val="minor"/>
    </font>
    <font>
      <u/>
      <sz val="12"/>
      <name val="Calibri"/>
      <family val="2"/>
      <scheme val="minor"/>
    </font>
    <font>
      <b/>
      <sz val="11"/>
      <name val="Calibri"/>
      <family val="2"/>
      <scheme val="minor"/>
    </font>
    <font>
      <sz val="8"/>
      <name val="Calibri"/>
      <family val="2"/>
      <scheme val="minor"/>
    </font>
    <font>
      <b/>
      <sz val="14"/>
      <name val="Calibri"/>
      <family val="2"/>
      <scheme val="minor"/>
    </font>
    <font>
      <sz val="14"/>
      <name val="Calibri"/>
      <family val="2"/>
      <scheme val="minor"/>
    </font>
    <font>
      <sz val="11"/>
      <name val="Calibri"/>
      <family val="2"/>
      <scheme val="minor"/>
    </font>
    <font>
      <sz val="9"/>
      <name val="Calibri"/>
      <family val="2"/>
      <scheme val="minor"/>
    </font>
    <font>
      <b/>
      <sz val="12"/>
      <color rgb="FFFF0000"/>
      <name val="Calibri"/>
      <family val="2"/>
      <scheme val="minor"/>
    </font>
    <font>
      <b/>
      <i/>
      <sz val="13"/>
      <name val="Calibri"/>
      <family val="2"/>
      <scheme val="minor"/>
    </font>
    <font>
      <b/>
      <sz val="17"/>
      <name val="Calibri"/>
      <family val="2"/>
      <scheme val="minor"/>
    </font>
    <font>
      <b/>
      <sz val="11"/>
      <color rgb="FFFF0000"/>
      <name val="Calibri"/>
      <family val="2"/>
      <scheme val="minor"/>
    </font>
    <font>
      <sz val="13"/>
      <name val="Calibri"/>
      <family val="2"/>
      <scheme val="minor"/>
    </font>
    <font>
      <i/>
      <sz val="11"/>
      <name val="Calibri"/>
      <family val="2"/>
      <scheme val="minor"/>
    </font>
    <font>
      <b/>
      <u/>
      <sz val="11"/>
      <name val="Calibri"/>
      <family val="2"/>
      <scheme val="minor"/>
    </font>
    <font>
      <sz val="11"/>
      <name val="Arial Narrow"/>
      <family val="2"/>
    </font>
    <font>
      <b/>
      <sz val="11"/>
      <color rgb="FFFF0000"/>
      <name val="Arial Narrow"/>
      <family val="2"/>
    </font>
    <font>
      <b/>
      <i/>
      <sz val="11"/>
      <name val="Calibri"/>
      <family val="2"/>
      <scheme val="minor"/>
    </font>
    <font>
      <u/>
      <sz val="8"/>
      <color theme="10"/>
      <name val="Trebuchet MS"/>
      <family val="2"/>
    </font>
    <font>
      <u/>
      <sz val="11"/>
      <color theme="10"/>
      <name val="Arial Narrow"/>
      <family val="2"/>
    </font>
    <font>
      <b/>
      <sz val="11"/>
      <color indexed="8"/>
      <name val="Calibri"/>
      <family val="2"/>
      <scheme val="minor"/>
    </font>
    <font>
      <sz val="11"/>
      <color indexed="8"/>
      <name val="Calibri"/>
      <family val="2"/>
      <scheme val="minor"/>
    </font>
    <font>
      <b/>
      <i/>
      <u/>
      <sz val="11"/>
      <name val="Calibri"/>
      <family val="2"/>
      <scheme val="minor"/>
    </font>
    <font>
      <b/>
      <sz val="11"/>
      <color indexed="10"/>
      <name val="Calibri"/>
      <family val="2"/>
      <scheme val="minor"/>
    </font>
    <font>
      <u/>
      <sz val="11"/>
      <name val="Calibri"/>
      <family val="2"/>
      <scheme val="minor"/>
    </font>
    <font>
      <sz val="11"/>
      <name val="Calibri"/>
      <family val="2"/>
      <scheme val="minor"/>
    </font>
    <font>
      <sz val="10"/>
      <name val="Trebuchet MS"/>
      <family val="2"/>
    </font>
    <font>
      <sz val="11"/>
      <color theme="1"/>
      <name val="Arial Narrow"/>
      <family val="2"/>
    </font>
    <font>
      <b/>
      <sz val="11"/>
      <color theme="1"/>
      <name val="Arial Narrow"/>
      <family val="2"/>
    </font>
    <font>
      <b/>
      <sz val="11"/>
      <color rgb="FF0070C0"/>
      <name val="Calibri"/>
      <family val="2"/>
      <scheme val="minor"/>
    </font>
    <font>
      <u val="singleAccounting"/>
      <sz val="11"/>
      <name val="Calibri"/>
      <family val="2"/>
      <scheme val="minor"/>
    </font>
    <font>
      <sz val="10"/>
      <name val="Times New Roman"/>
      <family val="1"/>
    </font>
    <font>
      <u/>
      <sz val="11"/>
      <name val="Arial Narrow"/>
      <family val="2"/>
    </font>
    <font>
      <sz val="9"/>
      <color indexed="81"/>
      <name val="Tahoma"/>
      <family val="2"/>
    </font>
    <font>
      <sz val="11"/>
      <color rgb="FF000000"/>
      <name val="Calibri"/>
      <family val="2"/>
      <scheme val="minor"/>
    </font>
    <font>
      <i/>
      <sz val="11"/>
      <color indexed="10"/>
      <name val="Calibri"/>
      <family val="2"/>
      <scheme val="minor"/>
    </font>
    <font>
      <sz val="8"/>
      <color indexed="81"/>
      <name val="Tahoma"/>
      <family val="2"/>
    </font>
    <font>
      <i/>
      <sz val="11"/>
      <color theme="1"/>
      <name val="Arial Narrow"/>
      <family val="2"/>
    </font>
    <font>
      <i/>
      <u/>
      <sz val="11"/>
      <name val="Calibri"/>
      <family val="2"/>
      <scheme val="minor"/>
    </font>
    <font>
      <i/>
      <sz val="11"/>
      <name val="Arial Narrow"/>
      <family val="2"/>
    </font>
    <font>
      <b/>
      <sz val="11"/>
      <color rgb="FFFF0000"/>
      <name val="Wingdings 2"/>
      <family val="1"/>
      <charset val="2"/>
    </font>
    <font>
      <b/>
      <sz val="11"/>
      <color rgb="FFFF0000"/>
      <name val="Wingdings"/>
      <charset val="2"/>
    </font>
    <font>
      <b/>
      <sz val="11"/>
      <color rgb="FFFF0000"/>
      <name val="Calibri"/>
      <family val="2"/>
    </font>
    <font>
      <b/>
      <sz val="11"/>
      <color rgb="FFFF0000"/>
      <name val="Wingdings 3"/>
      <family val="1"/>
      <charset val="2"/>
    </font>
    <font>
      <u/>
      <sz val="11"/>
      <color theme="10"/>
      <name val="Calibri"/>
      <family val="2"/>
      <scheme val="minor"/>
    </font>
    <font>
      <u/>
      <sz val="10"/>
      <color theme="10"/>
      <name val="Calibri"/>
      <family val="2"/>
      <scheme val="minor"/>
    </font>
    <font>
      <b/>
      <i/>
      <sz val="11"/>
      <color rgb="FFFF0000"/>
      <name val="Calibri"/>
      <family val="2"/>
      <scheme val="minor"/>
    </font>
  </fonts>
  <fills count="9">
    <fill>
      <patternFill patternType="none"/>
    </fill>
    <fill>
      <patternFill patternType="gray125"/>
    </fill>
    <fill>
      <patternFill patternType="solid">
        <fgColor indexed="27"/>
        <bgColor indexed="41"/>
      </patternFill>
    </fill>
    <fill>
      <patternFill patternType="solid">
        <fgColor indexed="9"/>
        <bgColor indexed="64"/>
      </patternFill>
    </fill>
    <fill>
      <patternFill patternType="solid">
        <fgColor theme="0" tint="-0.14999847407452621"/>
        <bgColor indexed="64"/>
      </patternFill>
    </fill>
    <fill>
      <patternFill patternType="lightDown"/>
    </fill>
    <fill>
      <patternFill patternType="solid">
        <fgColor indexed="65"/>
        <bgColor auto="1"/>
      </patternFill>
    </fill>
    <fill>
      <patternFill patternType="solid">
        <fgColor theme="0"/>
        <bgColor indexed="64"/>
      </patternFill>
    </fill>
    <fill>
      <patternFill patternType="solid">
        <fgColor rgb="FF002060"/>
        <bgColor indexed="64"/>
      </patternFill>
    </fill>
  </fills>
  <borders count="72">
    <border>
      <left/>
      <right/>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dotted">
        <color indexed="64"/>
      </left>
      <right/>
      <top style="medium">
        <color indexed="64"/>
      </top>
      <bottom style="medium">
        <color indexed="64"/>
      </bottom>
      <diagonal/>
    </border>
    <border>
      <left style="thin">
        <color indexed="64"/>
      </left>
      <right style="thin">
        <color indexed="64"/>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style="medium">
        <color auto="1"/>
      </left>
      <right/>
      <top style="thin">
        <color auto="1"/>
      </top>
      <bottom style="thin">
        <color auto="1"/>
      </bottom>
      <diagonal/>
    </border>
    <border>
      <left/>
      <right style="medium">
        <color indexed="64"/>
      </right>
      <top style="thin">
        <color auto="1"/>
      </top>
      <bottom style="thin">
        <color auto="1"/>
      </bottom>
      <diagonal/>
    </border>
    <border>
      <left style="medium">
        <color auto="1"/>
      </left>
      <right/>
      <top style="thin">
        <color auto="1"/>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auto="1"/>
      </right>
      <top style="thin">
        <color indexed="64"/>
      </top>
      <bottom/>
      <diagonal/>
    </border>
    <border>
      <left style="thin">
        <color indexed="64"/>
      </left>
      <right style="thin">
        <color auto="1"/>
      </right>
      <top/>
      <bottom style="thin">
        <color auto="1"/>
      </bottom>
      <diagonal/>
    </border>
    <border>
      <left/>
      <right style="medium">
        <color auto="1"/>
      </right>
      <top style="thin">
        <color indexed="64"/>
      </top>
      <bottom/>
      <diagonal/>
    </border>
    <border>
      <left/>
      <right style="medium">
        <color auto="1"/>
      </right>
      <top/>
      <bottom style="thin">
        <color auto="1"/>
      </bottom>
      <diagonal/>
    </border>
    <border>
      <left style="medium">
        <color indexed="64"/>
      </left>
      <right/>
      <top/>
      <bottom style="thin">
        <color indexed="64"/>
      </bottom>
      <diagonal/>
    </border>
    <border>
      <left style="dashed">
        <color auto="1"/>
      </left>
      <right style="medium">
        <color auto="1"/>
      </right>
      <top style="medium">
        <color auto="1"/>
      </top>
      <bottom/>
      <diagonal/>
    </border>
    <border>
      <left style="dashed">
        <color auto="1"/>
      </left>
      <right style="medium">
        <color auto="1"/>
      </right>
      <top/>
      <bottom style="medium">
        <color auto="1"/>
      </bottom>
      <diagonal/>
    </border>
    <border>
      <left style="thin">
        <color indexed="64"/>
      </left>
      <right/>
      <top style="hair">
        <color indexed="64"/>
      </top>
      <bottom style="hair">
        <color indexed="64"/>
      </bottom>
      <diagonal/>
    </border>
    <border>
      <left style="thin">
        <color auto="1"/>
      </left>
      <right style="medium">
        <color indexed="64"/>
      </right>
      <top style="thin">
        <color auto="1"/>
      </top>
      <bottom style="thin">
        <color auto="1"/>
      </bottom>
      <diagonal/>
    </border>
    <border>
      <left style="medium">
        <color auto="1"/>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style="thin">
        <color indexed="64"/>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auto="1"/>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medium">
        <color indexed="64"/>
      </left>
      <right/>
      <top/>
      <bottom style="hair">
        <color indexed="64"/>
      </bottom>
      <diagonal/>
    </border>
    <border>
      <left/>
      <right style="thin">
        <color auto="1"/>
      </right>
      <top style="thin">
        <color auto="1"/>
      </top>
      <bottom style="medium">
        <color indexed="64"/>
      </bottom>
      <diagonal/>
    </border>
    <border>
      <left style="thin">
        <color auto="1"/>
      </left>
      <right/>
      <top style="thin">
        <color auto="1"/>
      </top>
      <bottom style="medium">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17">
    <xf numFmtId="0" fontId="0" fillId="0" borderId="0"/>
    <xf numFmtId="0" fontId="36" fillId="0" borderId="0"/>
    <xf numFmtId="164" fontId="2" fillId="0" borderId="0" applyFont="0" applyFill="0" applyBorder="0" applyAlignment="0" applyProtection="0"/>
    <xf numFmtId="9" fontId="3" fillId="0" borderId="0" applyFont="0" applyFill="0" applyBorder="0" applyAlignment="0" applyProtection="0"/>
    <xf numFmtId="0" fontId="3" fillId="0" borderId="0"/>
    <xf numFmtId="49" fontId="3" fillId="2" borderId="0" applyFont="0" applyBorder="0" applyProtection="0">
      <alignment vertical="center" readingOrder="1"/>
    </xf>
    <xf numFmtId="0" fontId="23" fillId="0" borderId="0" applyNumberFormat="0" applyFill="0" applyBorder="0" applyAlignment="0" applyProtection="0">
      <alignment vertical="top"/>
      <protection locked="0"/>
    </xf>
    <xf numFmtId="0" fontId="3" fillId="0" borderId="0"/>
    <xf numFmtId="9" fontId="3" fillId="0" borderId="0" applyFont="0" applyFill="0" applyBorder="0" applyAlignment="0" applyProtection="0"/>
    <xf numFmtId="0" fontId="31" fillId="0" borderId="0"/>
    <xf numFmtId="164" fontId="1" fillId="0" borderId="0" applyFont="0" applyFill="0" applyBorder="0" applyAlignment="0" applyProtection="0"/>
    <xf numFmtId="0" fontId="31" fillId="0" borderId="0"/>
    <xf numFmtId="9" fontId="3" fillId="0" borderId="0" applyFont="0" applyFill="0" applyBorder="0" applyAlignment="0" applyProtection="0"/>
    <xf numFmtId="0" fontId="3" fillId="0" borderId="0"/>
    <xf numFmtId="0" fontId="36" fillId="0" borderId="0"/>
    <xf numFmtId="0" fontId="3" fillId="0" borderId="0"/>
    <xf numFmtId="0" fontId="3" fillId="0" borderId="0"/>
  </cellStyleXfs>
  <cellXfs count="621">
    <xf numFmtId="0" fontId="0" fillId="0" borderId="0" xfId="0"/>
    <xf numFmtId="0" fontId="7" fillId="0" borderId="14" xfId="0" applyFont="1" applyBorder="1" applyAlignment="1" applyProtection="1">
      <alignment horizontal="center" wrapText="1"/>
      <protection locked="0"/>
    </xf>
    <xf numFmtId="0" fontId="4" fillId="0" borderId="0" xfId="0" applyFont="1" applyAlignment="1" applyProtection="1">
      <alignment vertical="center"/>
      <protection locked="0"/>
    </xf>
    <xf numFmtId="0" fontId="6" fillId="0" borderId="0" xfId="0" applyFont="1" applyProtection="1">
      <protection locked="0"/>
    </xf>
    <xf numFmtId="49" fontId="7" fillId="0" borderId="0" xfId="0" applyNumberFormat="1" applyFont="1" applyAlignment="1" applyProtection="1">
      <alignment horizontal="right"/>
      <protection locked="0"/>
    </xf>
    <xf numFmtId="49" fontId="4" fillId="0" borderId="0" xfId="0" applyNumberFormat="1" applyFont="1" applyAlignment="1" applyProtection="1">
      <alignment horizontal="right"/>
      <protection locked="0"/>
    </xf>
    <xf numFmtId="0" fontId="7" fillId="0" borderId="0" xfId="0" applyFont="1" applyAlignment="1" applyProtection="1">
      <alignment horizontal="left"/>
      <protection locked="0"/>
    </xf>
    <xf numFmtId="0" fontId="5" fillId="0" borderId="0" xfId="0" applyFont="1" applyAlignment="1" applyProtection="1">
      <alignment horizontal="left"/>
      <protection locked="0"/>
    </xf>
    <xf numFmtId="0" fontId="4" fillId="0" borderId="0" xfId="0" applyFont="1" applyProtection="1">
      <protection locked="0"/>
    </xf>
    <xf numFmtId="49" fontId="5" fillId="0" borderId="0" xfId="0" applyNumberFormat="1" applyFont="1" applyAlignment="1" applyProtection="1">
      <alignment horizontal="right"/>
      <protection locked="0"/>
    </xf>
    <xf numFmtId="0" fontId="6" fillId="0" borderId="0" xfId="0" applyFont="1" applyAlignment="1" applyProtection="1">
      <alignment vertical="center"/>
      <protection locked="0"/>
    </xf>
    <xf numFmtId="14" fontId="9" fillId="0" borderId="14" xfId="0" applyNumberFormat="1" applyFont="1" applyBorder="1" applyAlignment="1" applyProtection="1">
      <alignment vertical="center"/>
      <protection locked="0"/>
    </xf>
    <xf numFmtId="14" fontId="9" fillId="0" borderId="15" xfId="0" applyNumberFormat="1" applyFont="1" applyBorder="1" applyAlignment="1" applyProtection="1">
      <alignment vertical="center"/>
      <protection locked="0"/>
    </xf>
    <xf numFmtId="14" fontId="9" fillId="0" borderId="16" xfId="0" applyNumberFormat="1" applyFont="1" applyBorder="1" applyAlignment="1" applyProtection="1">
      <alignment vertical="center"/>
      <protection locked="0"/>
    </xf>
    <xf numFmtId="14" fontId="9" fillId="0" borderId="17" xfId="0" applyNumberFormat="1" applyFont="1" applyBorder="1" applyAlignment="1" applyProtection="1">
      <alignment vertical="center"/>
      <protection locked="0"/>
    </xf>
    <xf numFmtId="14" fontId="9" fillId="0" borderId="0" xfId="0" applyNumberFormat="1" applyFont="1" applyAlignment="1" applyProtection="1">
      <alignment vertical="center"/>
      <protection locked="0"/>
    </xf>
    <xf numFmtId="14" fontId="9" fillId="0" borderId="18" xfId="0" applyNumberFormat="1" applyFont="1" applyBorder="1" applyAlignment="1" applyProtection="1">
      <alignment vertical="center"/>
      <protection locked="0"/>
    </xf>
    <xf numFmtId="14" fontId="12" fillId="0" borderId="0" xfId="0" applyNumberFormat="1" applyFont="1" applyAlignment="1" applyProtection="1">
      <alignment vertical="center"/>
      <protection locked="0"/>
    </xf>
    <xf numFmtId="0" fontId="7" fillId="0" borderId="14" xfId="0" applyFont="1" applyBorder="1" applyAlignment="1" applyProtection="1">
      <alignment vertical="center"/>
      <protection locked="0"/>
    </xf>
    <xf numFmtId="0" fontId="7" fillId="0" borderId="19" xfId="0" applyFont="1" applyBorder="1" applyAlignment="1" applyProtection="1">
      <alignment vertical="center"/>
      <protection locked="0"/>
    </xf>
    <xf numFmtId="0" fontId="7" fillId="0" borderId="0" xfId="0" applyFont="1" applyAlignment="1" applyProtection="1">
      <alignment vertical="center"/>
      <protection locked="0"/>
    </xf>
    <xf numFmtId="0" fontId="11" fillId="0" borderId="0" xfId="0" applyFont="1" applyAlignment="1" applyProtection="1">
      <alignment horizontal="center" vertical="center"/>
      <protection locked="0"/>
    </xf>
    <xf numFmtId="49" fontId="10" fillId="0" borderId="0" xfId="0" applyNumberFormat="1" applyFont="1" applyAlignment="1" applyProtection="1">
      <alignment horizontal="center" vertical="center"/>
      <protection locked="0"/>
    </xf>
    <xf numFmtId="14" fontId="11" fillId="0" borderId="0" xfId="0" applyNumberFormat="1"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4" fillId="0" borderId="0" xfId="0" applyFont="1" applyAlignment="1" applyProtection="1">
      <alignment horizontal="left"/>
      <protection locked="0"/>
    </xf>
    <xf numFmtId="0" fontId="7" fillId="0" borderId="15" xfId="0" applyFont="1" applyBorder="1" applyAlignment="1" applyProtection="1">
      <alignment vertical="center" wrapText="1"/>
      <protection locked="0"/>
    </xf>
    <xf numFmtId="0" fontId="11" fillId="0" borderId="0" xfId="0" applyFont="1" applyProtection="1">
      <protection locked="0"/>
    </xf>
    <xf numFmtId="0" fontId="8" fillId="0" borderId="0" xfId="0" applyFont="1" applyAlignment="1" applyProtection="1">
      <alignment horizontal="center" vertical="center"/>
      <protection locked="0"/>
    </xf>
    <xf numFmtId="0" fontId="4" fillId="0" borderId="0" xfId="0" applyFont="1" applyAlignment="1">
      <alignment vertical="center"/>
    </xf>
    <xf numFmtId="0" fontId="4" fillId="0" borderId="0" xfId="0" applyFont="1"/>
    <xf numFmtId="0" fontId="11" fillId="0" borderId="0" xfId="0" applyFont="1"/>
    <xf numFmtId="0" fontId="11" fillId="0" borderId="0" xfId="0" applyFont="1" applyAlignment="1" applyProtection="1">
      <alignment vertical="center"/>
      <protection locked="0"/>
    </xf>
    <xf numFmtId="49" fontId="11" fillId="0" borderId="0" xfId="0" applyNumberFormat="1" applyFont="1" applyAlignment="1" applyProtection="1">
      <alignment horizontal="right"/>
      <protection locked="0"/>
    </xf>
    <xf numFmtId="0" fontId="11" fillId="0" borderId="0" xfId="0" applyFont="1" applyAlignment="1" applyProtection="1">
      <alignment horizontal="left"/>
      <protection locked="0"/>
    </xf>
    <xf numFmtId="14" fontId="11" fillId="0" borderId="0" xfId="0" applyNumberFormat="1" applyFont="1" applyAlignment="1" applyProtection="1">
      <alignment vertical="center"/>
      <protection locked="0"/>
    </xf>
    <xf numFmtId="49" fontId="11" fillId="0" borderId="0" xfId="0" applyNumberFormat="1" applyFont="1" applyAlignment="1" applyProtection="1">
      <alignment horizontal="center" vertical="center"/>
      <protection locked="0"/>
    </xf>
    <xf numFmtId="0" fontId="11" fillId="0" borderId="0" xfId="0" applyFont="1" applyAlignment="1">
      <alignment vertical="top" wrapText="1"/>
    </xf>
    <xf numFmtId="0" fontId="11" fillId="0" borderId="17" xfId="0" applyFont="1" applyBorder="1"/>
    <xf numFmtId="0" fontId="7" fillId="0" borderId="17" xfId="0" applyFont="1" applyBorder="1"/>
    <xf numFmtId="0" fontId="11" fillId="0" borderId="14" xfId="0" applyFont="1" applyBorder="1"/>
    <xf numFmtId="165" fontId="11" fillId="0" borderId="0" xfId="2" applyNumberFormat="1" applyFont="1" applyBorder="1"/>
    <xf numFmtId="0" fontId="11" fillId="0" borderId="14" xfId="0" applyFont="1" applyBorder="1" applyProtection="1">
      <protection locked="0"/>
    </xf>
    <xf numFmtId="0" fontId="11" fillId="0" borderId="15" xfId="0" applyFont="1" applyBorder="1" applyProtection="1">
      <protection locked="0"/>
    </xf>
    <xf numFmtId="0" fontId="11" fillId="0" borderId="16" xfId="0" applyFont="1" applyBorder="1" applyProtection="1">
      <protection locked="0"/>
    </xf>
    <xf numFmtId="4" fontId="11" fillId="0" borderId="15" xfId="0" applyNumberFormat="1" applyFont="1" applyBorder="1"/>
    <xf numFmtId="0" fontId="11" fillId="3" borderId="0" xfId="0" applyFont="1" applyFill="1"/>
    <xf numFmtId="0" fontId="11" fillId="0" borderId="15" xfId="0" applyFont="1" applyBorder="1"/>
    <xf numFmtId="0" fontId="4" fillId="0" borderId="14" xfId="0" applyFont="1" applyBorder="1" applyProtection="1">
      <protection locked="0"/>
    </xf>
    <xf numFmtId="0" fontId="4" fillId="0" borderId="15" xfId="0" applyFont="1" applyBorder="1" applyProtection="1">
      <protection locked="0"/>
    </xf>
    <xf numFmtId="0" fontId="4" fillId="0" borderId="16" xfId="0" applyFont="1" applyBorder="1" applyProtection="1">
      <protection locked="0"/>
    </xf>
    <xf numFmtId="0" fontId="7" fillId="0" borderId="0" xfId="0" applyFont="1" applyAlignment="1">
      <alignment horizontal="right" vertical="center"/>
    </xf>
    <xf numFmtId="0" fontId="30" fillId="0" borderId="0" xfId="0" applyFont="1" applyProtection="1">
      <protection locked="0"/>
    </xf>
    <xf numFmtId="0" fontId="7" fillId="0" borderId="17" xfId="0" applyFont="1" applyBorder="1" applyAlignment="1">
      <alignment horizontal="left"/>
    </xf>
    <xf numFmtId="0" fontId="34" fillId="0" borderId="17" xfId="0" applyFont="1" applyBorder="1" applyAlignment="1">
      <alignment horizontal="left"/>
    </xf>
    <xf numFmtId="167" fontId="7" fillId="0" borderId="0" xfId="10" applyNumberFormat="1" applyFont="1" applyFill="1" applyBorder="1" applyAlignment="1">
      <alignment horizontal="center" vertical="center"/>
    </xf>
    <xf numFmtId="167" fontId="7" fillId="0" borderId="0" xfId="10" applyNumberFormat="1" applyFont="1" applyFill="1" applyBorder="1"/>
    <xf numFmtId="14" fontId="7" fillId="0" borderId="0" xfId="11" applyNumberFormat="1" applyFont="1" applyAlignment="1">
      <alignment horizontal="center"/>
    </xf>
    <xf numFmtId="0" fontId="7" fillId="0" borderId="0" xfId="11" applyFont="1" applyAlignment="1">
      <alignment horizontal="center"/>
    </xf>
    <xf numFmtId="0" fontId="11" fillId="0" borderId="17" xfId="4" applyFont="1" applyBorder="1"/>
    <xf numFmtId="0" fontId="11" fillId="0" borderId="0" xfId="4" applyFont="1" applyAlignment="1">
      <alignment horizontal="left"/>
    </xf>
    <xf numFmtId="0" fontId="11" fillId="0" borderId="0" xfId="4" applyFont="1"/>
    <xf numFmtId="0" fontId="7" fillId="0" borderId="0" xfId="4" applyFont="1" applyAlignment="1">
      <alignment horizontal="center"/>
    </xf>
    <xf numFmtId="167" fontId="7" fillId="0" borderId="17" xfId="10" applyNumberFormat="1" applyFont="1" applyFill="1" applyBorder="1"/>
    <xf numFmtId="167" fontId="11" fillId="0" borderId="17" xfId="10" applyNumberFormat="1" applyFont="1" applyFill="1" applyBorder="1"/>
    <xf numFmtId="167" fontId="11" fillId="0" borderId="0" xfId="10" applyNumberFormat="1" applyFont="1" applyFill="1" applyBorder="1"/>
    <xf numFmtId="167" fontId="35" fillId="0" borderId="17" xfId="10" applyNumberFormat="1" applyFont="1" applyFill="1" applyBorder="1"/>
    <xf numFmtId="10" fontId="11" fillId="0" borderId="37" xfId="3" applyNumberFormat="1" applyFont="1" applyFill="1" applyBorder="1" applyAlignment="1">
      <alignment horizontal="center" vertical="center" wrapText="1"/>
    </xf>
    <xf numFmtId="10" fontId="11" fillId="0" borderId="9" xfId="3" applyNumberFormat="1" applyFont="1" applyFill="1" applyBorder="1" applyAlignment="1">
      <alignment horizontal="center" vertical="center" wrapText="1"/>
    </xf>
    <xf numFmtId="167" fontId="22" fillId="0" borderId="17" xfId="10" applyNumberFormat="1" applyFont="1" applyFill="1" applyBorder="1"/>
    <xf numFmtId="167" fontId="22" fillId="0" borderId="0" xfId="10" applyNumberFormat="1" applyFont="1" applyFill="1" applyBorder="1"/>
    <xf numFmtId="10" fontId="11" fillId="0" borderId="0" xfId="3" applyNumberFormat="1" applyFont="1" applyFill="1" applyBorder="1" applyAlignment="1">
      <alignment horizontal="center" vertical="center" wrapText="1"/>
    </xf>
    <xf numFmtId="3" fontId="11" fillId="0" borderId="9" xfId="10" applyNumberFormat="1" applyFont="1" applyFill="1" applyBorder="1" applyAlignment="1">
      <alignment horizontal="right" vertical="center" indent="2"/>
    </xf>
    <xf numFmtId="167" fontId="16" fillId="0" borderId="0" xfId="10" applyNumberFormat="1" applyFont="1" applyFill="1" applyBorder="1"/>
    <xf numFmtId="3" fontId="11" fillId="0" borderId="0" xfId="10" applyNumberFormat="1" applyFont="1" applyFill="1" applyBorder="1"/>
    <xf numFmtId="3" fontId="11" fillId="0" borderId="0" xfId="10" applyNumberFormat="1" applyFont="1" applyFill="1" applyBorder="1" applyAlignment="1">
      <alignment horizontal="center" vertical="center"/>
    </xf>
    <xf numFmtId="3" fontId="11" fillId="0" borderId="0" xfId="10" applyNumberFormat="1" applyFont="1" applyFill="1" applyBorder="1" applyAlignment="1">
      <alignment horizontal="right"/>
    </xf>
    <xf numFmtId="0" fontId="11" fillId="0" borderId="9" xfId="7" applyFont="1" applyBorder="1" applyAlignment="1">
      <alignment horizontal="center" vertical="center"/>
    </xf>
    <xf numFmtId="0" fontId="7" fillId="0" borderId="0" xfId="7" applyFont="1" applyAlignment="1">
      <alignment horizontal="center" vertical="center" wrapText="1"/>
    </xf>
    <xf numFmtId="0" fontId="11" fillId="0" borderId="0" xfId="7" applyFont="1" applyAlignment="1">
      <alignment horizontal="center" vertical="center"/>
    </xf>
    <xf numFmtId="3" fontId="7" fillId="4" borderId="9" xfId="10" applyNumberFormat="1" applyFont="1" applyFill="1" applyBorder="1" applyAlignment="1">
      <alignment horizontal="center" vertical="center"/>
    </xf>
    <xf numFmtId="167" fontId="7" fillId="4" borderId="9" xfId="10" applyNumberFormat="1" applyFont="1" applyFill="1" applyBorder="1" applyAlignment="1">
      <alignment horizontal="center" vertical="center"/>
    </xf>
    <xf numFmtId="0" fontId="7" fillId="4" borderId="9" xfId="7" applyFont="1" applyFill="1" applyBorder="1" applyAlignment="1">
      <alignment horizontal="center" vertical="center" wrapText="1"/>
    </xf>
    <xf numFmtId="167" fontId="7" fillId="4" borderId="32" xfId="10" applyNumberFormat="1" applyFont="1" applyFill="1" applyBorder="1" applyAlignment="1">
      <alignment horizontal="center" vertical="center"/>
    </xf>
    <xf numFmtId="167" fontId="7" fillId="4" borderId="37" xfId="10" applyNumberFormat="1" applyFont="1" applyFill="1" applyBorder="1" applyAlignment="1">
      <alignment horizontal="center" vertical="center"/>
    </xf>
    <xf numFmtId="167" fontId="7" fillId="4" borderId="12" xfId="10" applyNumberFormat="1" applyFont="1" applyFill="1" applyBorder="1" applyAlignment="1">
      <alignment horizontal="center" vertical="center"/>
    </xf>
    <xf numFmtId="167" fontId="7" fillId="4" borderId="33" xfId="10" applyNumberFormat="1" applyFont="1" applyFill="1" applyBorder="1" applyAlignment="1">
      <alignment horizontal="center" vertical="center"/>
    </xf>
    <xf numFmtId="165" fontId="11" fillId="0" borderId="9" xfId="2" applyNumberFormat="1" applyFont="1" applyFill="1" applyBorder="1" applyAlignment="1">
      <alignment horizontal="right" vertical="center" indent="2"/>
    </xf>
    <xf numFmtId="0" fontId="11" fillId="0" borderId="9" xfId="0" applyFont="1" applyBorder="1"/>
    <xf numFmtId="0" fontId="11" fillId="0" borderId="0" xfId="0" applyFont="1" applyAlignment="1">
      <alignment horizontal="left"/>
    </xf>
    <xf numFmtId="0" fontId="11" fillId="0" borderId="18" xfId="0" applyFont="1" applyBorder="1" applyProtection="1">
      <protection locked="0"/>
    </xf>
    <xf numFmtId="0" fontId="11" fillId="0" borderId="20" xfId="0" applyFont="1" applyBorder="1" applyProtection="1">
      <protection locked="0"/>
    </xf>
    <xf numFmtId="0" fontId="11" fillId="0" borderId="21" xfId="0" applyFont="1" applyBorder="1" applyProtection="1">
      <protection locked="0"/>
    </xf>
    <xf numFmtId="0" fontId="22" fillId="0" borderId="17" xfId="0" applyFont="1" applyBorder="1" applyAlignment="1">
      <alignment horizontal="left"/>
    </xf>
    <xf numFmtId="0" fontId="18" fillId="0" borderId="0" xfId="1" applyFont="1" applyAlignment="1">
      <alignment horizontal="centerContinuous"/>
    </xf>
    <xf numFmtId="0" fontId="18" fillId="0" borderId="0" xfId="1" applyFont="1"/>
    <xf numFmtId="0" fontId="18" fillId="0" borderId="17" xfId="1" applyFont="1" applyBorder="1"/>
    <xf numFmtId="0" fontId="18" fillId="0" borderId="1" xfId="1" applyFont="1" applyBorder="1"/>
    <xf numFmtId="3" fontId="18" fillId="0" borderId="35" xfId="1" applyNumberFormat="1" applyFont="1" applyBorder="1" applyAlignment="1">
      <alignment horizontal="right" vertical="center" indent="3"/>
    </xf>
    <xf numFmtId="0" fontId="18" fillId="0" borderId="35" xfId="1" applyFont="1" applyBorder="1"/>
    <xf numFmtId="3" fontId="18" fillId="0" borderId="4" xfId="1" applyNumberFormat="1" applyFont="1" applyBorder="1" applyAlignment="1">
      <alignment horizontal="right" vertical="center" indent="3"/>
    </xf>
    <xf numFmtId="3" fontId="18" fillId="4" borderId="4" xfId="1" applyNumberFormat="1" applyFont="1" applyFill="1" applyBorder="1" applyAlignment="1">
      <alignment horizontal="right" vertical="center" indent="3"/>
    </xf>
    <xf numFmtId="0" fontId="18" fillId="0" borderId="4" xfId="1" applyFont="1" applyBorder="1"/>
    <xf numFmtId="3" fontId="18" fillId="0" borderId="0" xfId="1" applyNumberFormat="1" applyFont="1" applyAlignment="1">
      <alignment horizontal="right" vertical="center" indent="3"/>
    </xf>
    <xf numFmtId="3" fontId="18" fillId="0" borderId="0" xfId="1" applyNumberFormat="1" applyFont="1"/>
    <xf numFmtId="3" fontId="18" fillId="4" borderId="9" xfId="1" applyNumberFormat="1" applyFont="1" applyFill="1" applyBorder="1" applyAlignment="1">
      <alignment horizontal="right" vertical="center" indent="3"/>
    </xf>
    <xf numFmtId="0" fontId="22" fillId="0" borderId="0" xfId="1" applyFont="1"/>
    <xf numFmtId="0" fontId="22" fillId="0" borderId="17" xfId="1" applyFont="1" applyBorder="1"/>
    <xf numFmtId="2" fontId="18" fillId="0" borderId="0" xfId="12" applyNumberFormat="1" applyFont="1" applyFill="1" applyBorder="1"/>
    <xf numFmtId="0" fontId="18" fillId="0" borderId="0" xfId="1" applyFont="1" applyAlignment="1">
      <alignment horizontal="right"/>
    </xf>
    <xf numFmtId="10" fontId="18" fillId="0" borderId="0" xfId="12" applyNumberFormat="1" applyFont="1" applyFill="1" applyBorder="1"/>
    <xf numFmtId="0" fontId="11" fillId="0" borderId="0" xfId="14" applyFont="1"/>
    <xf numFmtId="0" fontId="18" fillId="0" borderId="0" xfId="1" applyFont="1" applyAlignment="1">
      <alignment horizontal="right" vertical="center" indent="3"/>
    </xf>
    <xf numFmtId="0" fontId="32" fillId="0" borderId="0" xfId="0" applyFont="1"/>
    <xf numFmtId="0" fontId="32" fillId="0" borderId="17" xfId="0" applyFont="1" applyBorder="1"/>
    <xf numFmtId="0" fontId="32" fillId="0" borderId="0" xfId="0" applyFont="1" applyAlignment="1">
      <alignment horizontal="right" vertical="center"/>
    </xf>
    <xf numFmtId="0" fontId="24" fillId="0" borderId="9" xfId="6" applyFont="1" applyBorder="1" applyAlignment="1" applyProtection="1"/>
    <xf numFmtId="0" fontId="21" fillId="0" borderId="0" xfId="0" applyFont="1"/>
    <xf numFmtId="0" fontId="24" fillId="0" borderId="0" xfId="6" applyFont="1" applyBorder="1" applyAlignment="1" applyProtection="1"/>
    <xf numFmtId="0" fontId="29" fillId="0" borderId="17" xfId="0" applyFont="1" applyBorder="1" applyAlignment="1">
      <alignment horizontal="left"/>
    </xf>
    <xf numFmtId="165" fontId="11" fillId="0" borderId="0" xfId="0" applyNumberFormat="1" applyFont="1"/>
    <xf numFmtId="165" fontId="11" fillId="0" borderId="0" xfId="2" applyNumberFormat="1" applyFont="1" applyBorder="1" applyAlignment="1">
      <alignment horizontal="center" vertical="center"/>
    </xf>
    <xf numFmtId="3" fontId="11" fillId="0" borderId="0" xfId="0" applyNumberFormat="1" applyFont="1" applyAlignment="1">
      <alignment horizontal="center"/>
    </xf>
    <xf numFmtId="165" fontId="11" fillId="0" borderId="9" xfId="0" applyNumberFormat="1" applyFont="1" applyBorder="1"/>
    <xf numFmtId="165" fontId="16" fillId="0" borderId="0" xfId="2" applyNumberFormat="1" applyFont="1" applyBorder="1" applyAlignment="1">
      <alignment horizontal="center" vertical="center"/>
    </xf>
    <xf numFmtId="9" fontId="18" fillId="0" borderId="0" xfId="0" applyNumberFormat="1" applyFont="1" applyAlignment="1">
      <alignment horizontal="center"/>
    </xf>
    <xf numFmtId="165" fontId="11" fillId="4" borderId="2" xfId="0" applyNumberFormat="1" applyFont="1" applyFill="1" applyBorder="1"/>
    <xf numFmtId="0" fontId="11" fillId="0" borderId="17" xfId="0" quotePrefix="1" applyFont="1" applyBorder="1"/>
    <xf numFmtId="167" fontId="11" fillId="0" borderId="9" xfId="2" applyNumberFormat="1" applyFont="1" applyFill="1" applyBorder="1" applyAlignment="1">
      <alignment horizontal="right" vertical="center" indent="2"/>
    </xf>
    <xf numFmtId="9" fontId="11" fillId="4" borderId="9" xfId="3" applyFont="1" applyFill="1" applyBorder="1" applyAlignment="1">
      <alignment horizontal="center" vertical="center"/>
    </xf>
    <xf numFmtId="9" fontId="11" fillId="4" borderId="2" xfId="3" applyFont="1" applyFill="1" applyBorder="1" applyAlignment="1">
      <alignment horizontal="center" vertical="center"/>
    </xf>
    <xf numFmtId="0" fontId="19" fillId="0" borderId="17" xfId="0" applyFont="1" applyBorder="1" applyAlignment="1">
      <alignment horizontal="center" vertical="center"/>
    </xf>
    <xf numFmtId="165" fontId="11" fillId="0" borderId="9" xfId="0" applyNumberFormat="1" applyFont="1" applyBorder="1" applyAlignment="1">
      <alignment horizontal="center" vertical="center"/>
    </xf>
    <xf numFmtId="0" fontId="11" fillId="0" borderId="9" xfId="0" applyFont="1" applyBorder="1" applyAlignment="1">
      <alignment horizontal="center" vertical="center"/>
    </xf>
    <xf numFmtId="0" fontId="11" fillId="0" borderId="17" xfId="0" applyFont="1" applyBorder="1" applyAlignment="1">
      <alignment horizontal="right"/>
    </xf>
    <xf numFmtId="9" fontId="16" fillId="0" borderId="9" xfId="3" applyFont="1" applyBorder="1" applyAlignment="1">
      <alignment horizontal="center" vertical="center"/>
    </xf>
    <xf numFmtId="165" fontId="11" fillId="0" borderId="9" xfId="0" applyNumberFormat="1" applyFont="1" applyBorder="1" applyAlignment="1">
      <alignment horizontal="right" vertical="center" indent="2"/>
    </xf>
    <xf numFmtId="9" fontId="11" fillId="0" borderId="17" xfId="3" applyFont="1" applyBorder="1" applyAlignment="1">
      <alignment horizontal="center" vertical="center"/>
    </xf>
    <xf numFmtId="9" fontId="11" fillId="0" borderId="0" xfId="3" applyFont="1" applyBorder="1" applyAlignment="1">
      <alignment horizontal="right" vertical="center" indent="2"/>
    </xf>
    <xf numFmtId="3" fontId="11" fillId="0" borderId="0" xfId="2" applyNumberFormat="1" applyFont="1" applyBorder="1" applyAlignment="1">
      <alignment horizontal="right" vertical="center" indent="2"/>
    </xf>
    <xf numFmtId="9" fontId="11" fillId="0" borderId="0" xfId="3" applyFont="1" applyBorder="1" applyAlignment="1">
      <alignment horizontal="center" vertical="center"/>
    </xf>
    <xf numFmtId="167" fontId="11" fillId="4" borderId="9" xfId="2" applyNumberFormat="1" applyFont="1" applyFill="1" applyBorder="1" applyAlignment="1">
      <alignment horizontal="right" vertical="center" indent="2"/>
    </xf>
    <xf numFmtId="9" fontId="11" fillId="0" borderId="0" xfId="0" applyNumberFormat="1" applyFont="1" applyAlignment="1">
      <alignment horizontal="center" vertical="center"/>
    </xf>
    <xf numFmtId="9" fontId="11" fillId="0" borderId="17" xfId="0" applyNumberFormat="1" applyFont="1" applyBorder="1" applyAlignment="1">
      <alignment horizontal="center" vertical="center"/>
    </xf>
    <xf numFmtId="9" fontId="11" fillId="0" borderId="0" xfId="0" applyNumberFormat="1" applyFont="1" applyAlignment="1">
      <alignment horizontal="right" vertical="center" indent="2"/>
    </xf>
    <xf numFmtId="10" fontId="11" fillId="0" borderId="0" xfId="0" applyNumberFormat="1" applyFont="1" applyAlignment="1">
      <alignment horizontal="center" vertical="center"/>
    </xf>
    <xf numFmtId="9" fontId="11" fillId="0" borderId="9" xfId="3" applyFont="1" applyBorder="1" applyAlignment="1">
      <alignment horizontal="center" vertical="center"/>
    </xf>
    <xf numFmtId="9" fontId="11" fillId="0" borderId="9" xfId="3" applyFont="1" applyBorder="1" applyAlignment="1">
      <alignment horizontal="right" vertical="center" indent="2"/>
    </xf>
    <xf numFmtId="0" fontId="7" fillId="0" borderId="9" xfId="0" applyFont="1" applyBorder="1" applyAlignment="1">
      <alignment horizontal="right" vertical="center" indent="2"/>
    </xf>
    <xf numFmtId="3" fontId="11" fillId="0" borderId="9" xfId="0" applyNumberFormat="1" applyFont="1" applyBorder="1" applyAlignment="1">
      <alignment horizontal="right" vertical="center" indent="2"/>
    </xf>
    <xf numFmtId="167" fontId="11" fillId="0" borderId="9" xfId="3" applyNumberFormat="1" applyFont="1" applyBorder="1" applyAlignment="1">
      <alignment horizontal="right" vertical="center" indent="2"/>
    </xf>
    <xf numFmtId="4" fontId="7" fillId="0" borderId="0" xfId="0" applyNumberFormat="1" applyFont="1" applyAlignment="1">
      <alignment horizontal="center"/>
    </xf>
    <xf numFmtId="166" fontId="11" fillId="0" borderId="0" xfId="2" applyNumberFormat="1" applyFont="1" applyFill="1" applyBorder="1" applyAlignment="1">
      <alignment horizontal="right" vertical="center" indent="2"/>
    </xf>
    <xf numFmtId="166" fontId="11" fillId="0" borderId="0" xfId="2" applyNumberFormat="1" applyFont="1" applyFill="1" applyBorder="1" applyAlignment="1">
      <alignment horizontal="right" vertical="center" wrapText="1" indent="2"/>
    </xf>
    <xf numFmtId="0" fontId="7" fillId="0" borderId="0" xfId="15" applyFont="1" applyAlignment="1">
      <alignment horizontal="left"/>
    </xf>
    <xf numFmtId="0" fontId="11" fillId="0" borderId="0" xfId="15" applyFont="1" applyAlignment="1">
      <alignment horizontal="center"/>
    </xf>
    <xf numFmtId="0" fontId="16" fillId="0" borderId="0" xfId="15" applyFont="1" applyAlignment="1">
      <alignment horizontal="right"/>
    </xf>
    <xf numFmtId="0" fontId="11" fillId="0" borderId="0" xfId="15" applyFont="1"/>
    <xf numFmtId="0" fontId="7" fillId="0" borderId="17" xfId="15" applyFont="1" applyBorder="1" applyAlignment="1">
      <alignment horizontal="center"/>
    </xf>
    <xf numFmtId="9" fontId="11" fillId="0" borderId="0" xfId="15" applyNumberFormat="1" applyFont="1" applyAlignment="1">
      <alignment horizontal="center"/>
    </xf>
    <xf numFmtId="0" fontId="29" fillId="0" borderId="0" xfId="15" applyFont="1"/>
    <xf numFmtId="0" fontId="11" fillId="0" borderId="0" xfId="15" quotePrefix="1" applyFont="1" applyAlignment="1">
      <alignment horizontal="left"/>
    </xf>
    <xf numFmtId="0" fontId="11" fillId="0" borderId="17" xfId="15" applyFont="1" applyBorder="1"/>
    <xf numFmtId="0" fontId="11" fillId="0" borderId="0" xfId="15" applyFont="1" applyAlignment="1">
      <alignment horizontal="left"/>
    </xf>
    <xf numFmtId="0" fontId="27" fillId="0" borderId="17" xfId="15" applyFont="1" applyBorder="1" applyAlignment="1">
      <alignment horizontal="left"/>
    </xf>
    <xf numFmtId="0" fontId="27" fillId="0" borderId="17" xfId="15" applyFont="1" applyBorder="1"/>
    <xf numFmtId="0" fontId="11" fillId="0" borderId="0" xfId="15" applyFont="1" applyAlignment="1">
      <alignment vertical="center"/>
    </xf>
    <xf numFmtId="165" fontId="11" fillId="0" borderId="0" xfId="2" applyNumberFormat="1" applyFont="1" applyBorder="1" applyAlignment="1">
      <alignment horizontal="right" vertical="center" indent="3"/>
    </xf>
    <xf numFmtId="0" fontId="7" fillId="0" borderId="0" xfId="15" applyFont="1" applyAlignment="1">
      <alignment horizontal="center" vertical="center"/>
    </xf>
    <xf numFmtId="0" fontId="11" fillId="0" borderId="0" xfId="15" applyFont="1" applyAlignment="1">
      <alignment horizontal="center" vertical="center"/>
    </xf>
    <xf numFmtId="0" fontId="16" fillId="0" borderId="0" xfId="15" applyFont="1" applyAlignment="1">
      <alignment horizontal="center"/>
    </xf>
    <xf numFmtId="49" fontId="11" fillId="0" borderId="0" xfId="15" applyNumberFormat="1" applyFont="1" applyAlignment="1" applyProtection="1">
      <alignment vertical="center"/>
      <protection locked="0"/>
    </xf>
    <xf numFmtId="165" fontId="11" fillId="0" borderId="0" xfId="2" applyNumberFormat="1" applyFont="1" applyFill="1" applyBorder="1" applyAlignment="1">
      <alignment horizontal="right" vertical="center" indent="3"/>
    </xf>
    <xf numFmtId="0" fontId="7" fillId="0" borderId="17" xfId="15" applyFont="1" applyBorder="1"/>
    <xf numFmtId="0" fontId="7" fillId="0" borderId="0" xfId="15" applyFont="1" applyAlignment="1">
      <alignment vertical="center"/>
    </xf>
    <xf numFmtId="165" fontId="7" fillId="0" borderId="0" xfId="2" applyNumberFormat="1" applyFont="1" applyBorder="1" applyAlignment="1">
      <alignment horizontal="right" vertical="center" indent="3"/>
    </xf>
    <xf numFmtId="0" fontId="7" fillId="0" borderId="0" xfId="15" applyFont="1"/>
    <xf numFmtId="3" fontId="7" fillId="0" borderId="0" xfId="0" applyNumberFormat="1" applyFont="1"/>
    <xf numFmtId="165" fontId="11" fillId="0" borderId="0" xfId="2" applyNumberFormat="1" applyFont="1" applyBorder="1" applyAlignment="1">
      <alignment horizontal="right"/>
    </xf>
    <xf numFmtId="165" fontId="11" fillId="0" borderId="0" xfId="2" quotePrefix="1" applyNumberFormat="1" applyFont="1" applyBorder="1" applyAlignment="1">
      <alignment horizontal="right"/>
    </xf>
    <xf numFmtId="165" fontId="16" fillId="0" borderId="0" xfId="2" applyNumberFormat="1" applyFont="1" applyBorder="1"/>
    <xf numFmtId="165" fontId="11" fillId="0" borderId="2" xfId="2" applyNumberFormat="1" applyFont="1" applyBorder="1"/>
    <xf numFmtId="3" fontId="11" fillId="3" borderId="0" xfId="0" applyNumberFormat="1" applyFont="1" applyFill="1"/>
    <xf numFmtId="165" fontId="11" fillId="4" borderId="0" xfId="2" applyNumberFormat="1" applyFont="1" applyFill="1" applyBorder="1" applyAlignment="1">
      <alignment horizontal="right" vertical="center" indent="3"/>
    </xf>
    <xf numFmtId="0" fontId="29" fillId="0" borderId="17" xfId="15" applyFont="1" applyBorder="1"/>
    <xf numFmtId="0" fontId="19" fillId="0" borderId="17" xfId="0" applyFont="1" applyBorder="1" applyAlignment="1">
      <alignment horizontal="left"/>
    </xf>
    <xf numFmtId="165" fontId="7" fillId="0" borderId="0" xfId="2" applyNumberFormat="1" applyFont="1" applyBorder="1" applyAlignment="1">
      <alignment horizontal="right" vertical="center"/>
    </xf>
    <xf numFmtId="0" fontId="11" fillId="0" borderId="1" xfId="0" applyFont="1" applyBorder="1"/>
    <xf numFmtId="0" fontId="11" fillId="0" borderId="35" xfId="0" applyFont="1" applyBorder="1"/>
    <xf numFmtId="0" fontId="11" fillId="3" borderId="4" xfId="0" applyFont="1" applyFill="1" applyBorder="1"/>
    <xf numFmtId="0" fontId="11" fillId="3" borderId="7" xfId="0" applyFont="1" applyFill="1" applyBorder="1"/>
    <xf numFmtId="0" fontId="11" fillId="0" borderId="7" xfId="0" applyFont="1" applyBorder="1"/>
    <xf numFmtId="165" fontId="11" fillId="4" borderId="9" xfId="0" quotePrefix="1" applyNumberFormat="1" applyFont="1" applyFill="1" applyBorder="1"/>
    <xf numFmtId="0" fontId="11" fillId="0" borderId="3" xfId="0" applyFont="1" applyBorder="1"/>
    <xf numFmtId="0" fontId="11" fillId="0" borderId="4" xfId="0" applyFont="1" applyBorder="1"/>
    <xf numFmtId="0" fontId="11" fillId="0" borderId="34" xfId="0" applyFont="1" applyBorder="1"/>
    <xf numFmtId="0" fontId="11" fillId="0" borderId="8" xfId="0" applyFont="1" applyBorder="1"/>
    <xf numFmtId="0" fontId="11" fillId="0" borderId="6" xfId="0" quotePrefix="1" applyFont="1" applyBorder="1"/>
    <xf numFmtId="0" fontId="28" fillId="0" borderId="8" xfId="0" quotePrefix="1" applyFont="1" applyBorder="1" applyAlignment="1">
      <alignment horizontal="center"/>
    </xf>
    <xf numFmtId="165" fontId="11" fillId="4" borderId="6" xfId="0" quotePrefix="1" applyNumberFormat="1" applyFont="1" applyFill="1" applyBorder="1"/>
    <xf numFmtId="0" fontId="11" fillId="0" borderId="7" xfId="0" quotePrefix="1" applyFont="1" applyBorder="1"/>
    <xf numFmtId="0" fontId="12" fillId="0" borderId="41" xfId="0" applyFont="1" applyBorder="1" applyAlignment="1" applyProtection="1">
      <alignment vertical="center"/>
      <protection locked="0"/>
    </xf>
    <xf numFmtId="0" fontId="12" fillId="0" borderId="41" xfId="0" applyFont="1" applyBorder="1" applyAlignment="1" applyProtection="1">
      <alignment horizontal="left" vertical="center"/>
      <protection locked="0"/>
    </xf>
    <xf numFmtId="14" fontId="12" fillId="0" borderId="42" xfId="0" applyNumberFormat="1" applyFont="1" applyBorder="1" applyAlignment="1" applyProtection="1">
      <alignment horizontal="left" vertical="center"/>
      <protection locked="0"/>
    </xf>
    <xf numFmtId="0" fontId="11" fillId="0" borderId="0" xfId="11" applyFont="1"/>
    <xf numFmtId="165" fontId="7" fillId="4" borderId="7" xfId="2" applyNumberFormat="1" applyFont="1" applyFill="1" applyBorder="1" applyAlignment="1">
      <alignment horizontal="center" vertical="center"/>
    </xf>
    <xf numFmtId="0" fontId="11" fillId="0" borderId="17" xfId="0" applyFont="1" applyBorder="1" applyProtection="1">
      <protection locked="0"/>
    </xf>
    <xf numFmtId="167" fontId="11" fillId="0" borderId="19" xfId="10" applyNumberFormat="1" applyFont="1" applyFill="1" applyBorder="1"/>
    <xf numFmtId="167" fontId="11" fillId="0" borderId="20" xfId="10" applyNumberFormat="1" applyFont="1" applyFill="1" applyBorder="1"/>
    <xf numFmtId="167" fontId="11" fillId="0" borderId="14" xfId="10" applyNumberFormat="1" applyFont="1" applyFill="1" applyBorder="1"/>
    <xf numFmtId="167" fontId="11" fillId="0" borderId="15" xfId="10" applyNumberFormat="1" applyFont="1" applyFill="1" applyBorder="1"/>
    <xf numFmtId="165" fontId="11" fillId="0" borderId="48" xfId="2" applyNumberFormat="1" applyFont="1" applyFill="1" applyBorder="1" applyAlignment="1" applyProtection="1">
      <alignment horizontal="center" vertical="center"/>
    </xf>
    <xf numFmtId="165" fontId="11" fillId="0" borderId="50" xfId="2" applyNumberFormat="1" applyFont="1" applyFill="1" applyBorder="1" applyAlignment="1" applyProtection="1">
      <alignment horizontal="center" vertical="center"/>
    </xf>
    <xf numFmtId="165" fontId="11" fillId="0" borderId="51" xfId="2" applyNumberFormat="1" applyFont="1" applyFill="1" applyBorder="1" applyAlignment="1" applyProtection="1">
      <alignment horizontal="center" vertical="center"/>
    </xf>
    <xf numFmtId="167" fontId="7" fillId="4" borderId="6" xfId="10" applyNumberFormat="1" applyFont="1" applyFill="1" applyBorder="1" applyAlignment="1">
      <alignment horizontal="left"/>
    </xf>
    <xf numFmtId="167" fontId="7" fillId="4" borderId="6" xfId="10" applyNumberFormat="1" applyFont="1" applyFill="1" applyBorder="1" applyAlignment="1">
      <alignment horizontal="left" vertical="top"/>
    </xf>
    <xf numFmtId="167" fontId="11" fillId="0" borderId="0" xfId="10" applyNumberFormat="1" applyFont="1" applyFill="1" applyBorder="1" applyAlignment="1">
      <alignment horizontal="left"/>
    </xf>
    <xf numFmtId="165" fontId="11" fillId="0" borderId="6" xfId="2" applyNumberFormat="1" applyFont="1" applyFill="1" applyBorder="1" applyAlignment="1">
      <alignment horizontal="right" vertical="center" indent="2"/>
    </xf>
    <xf numFmtId="0" fontId="18" fillId="0" borderId="34" xfId="1" applyFont="1" applyBorder="1"/>
    <xf numFmtId="0" fontId="18" fillId="0" borderId="3" xfId="1" applyFont="1" applyBorder="1"/>
    <xf numFmtId="0" fontId="11" fillId="0" borderId="0" xfId="0" applyFont="1" applyAlignment="1" applyProtection="1">
      <alignment wrapText="1"/>
      <protection locked="0"/>
    </xf>
    <xf numFmtId="0" fontId="11" fillId="0" borderId="0" xfId="0" applyFont="1" applyAlignment="1">
      <alignment wrapText="1"/>
    </xf>
    <xf numFmtId="167" fontId="35" fillId="0" borderId="17" xfId="10" applyNumberFormat="1" applyFont="1" applyFill="1" applyBorder="1" applyAlignment="1">
      <alignment vertical="center"/>
    </xf>
    <xf numFmtId="165" fontId="18" fillId="4" borderId="9" xfId="2" applyNumberFormat="1" applyFont="1" applyFill="1" applyBorder="1" applyAlignment="1">
      <alignment horizontal="right" vertical="center" indent="3"/>
    </xf>
    <xf numFmtId="165" fontId="11" fillId="0" borderId="36" xfId="2" applyNumberFormat="1" applyFont="1" applyFill="1" applyBorder="1"/>
    <xf numFmtId="165" fontId="11" fillId="0" borderId="23" xfId="2" applyNumberFormat="1" applyFont="1" applyFill="1" applyBorder="1"/>
    <xf numFmtId="165" fontId="11" fillId="0" borderId="37" xfId="2" applyNumberFormat="1" applyFont="1" applyFill="1" applyBorder="1"/>
    <xf numFmtId="165" fontId="18" fillId="0" borderId="0" xfId="1" applyNumberFormat="1" applyFont="1"/>
    <xf numFmtId="3" fontId="18" fillId="0" borderId="36" xfId="1" applyNumberFormat="1" applyFont="1" applyBorder="1" applyAlignment="1">
      <alignment horizontal="right" vertical="center" indent="3"/>
    </xf>
    <xf numFmtId="1" fontId="18" fillId="0" borderId="23" xfId="1" applyNumberFormat="1" applyFont="1" applyBorder="1" applyAlignment="1">
      <alignment horizontal="right" vertical="center" indent="3"/>
    </xf>
    <xf numFmtId="3" fontId="18" fillId="0" borderId="9" xfId="1" applyNumberFormat="1" applyFont="1" applyBorder="1" applyAlignment="1">
      <alignment horizontal="right" vertical="center" indent="3"/>
    </xf>
    <xf numFmtId="3" fontId="18" fillId="0" borderId="23" xfId="1" applyNumberFormat="1" applyFont="1" applyBorder="1" applyAlignment="1">
      <alignment horizontal="right" vertical="center" indent="3"/>
    </xf>
    <xf numFmtId="3" fontId="22" fillId="4" borderId="36" xfId="1" applyNumberFormat="1" applyFont="1" applyFill="1" applyBorder="1" applyAlignment="1">
      <alignment horizontal="right" vertical="center" indent="3"/>
    </xf>
    <xf numFmtId="3" fontId="7" fillId="4" borderId="37" xfId="1" applyNumberFormat="1" applyFont="1" applyFill="1" applyBorder="1" applyAlignment="1">
      <alignment horizontal="right" vertical="center" indent="3"/>
    </xf>
    <xf numFmtId="0" fontId="18" fillId="0" borderId="14" xfId="1" applyFont="1" applyBorder="1"/>
    <xf numFmtId="2" fontId="18" fillId="0" borderId="15" xfId="12" applyNumberFormat="1" applyFont="1" applyFill="1" applyBorder="1"/>
    <xf numFmtId="0" fontId="18" fillId="0" borderId="15" xfId="1" applyFont="1" applyBorder="1"/>
    <xf numFmtId="3" fontId="18" fillId="0" borderId="15" xfId="1" applyNumberFormat="1" applyFont="1" applyBorder="1"/>
    <xf numFmtId="0" fontId="11" fillId="0" borderId="19" xfId="0" applyFont="1" applyBorder="1" applyProtection="1">
      <protection locked="0"/>
    </xf>
    <xf numFmtId="0" fontId="11" fillId="0" borderId="18" xfId="0" applyFont="1" applyBorder="1"/>
    <xf numFmtId="0" fontId="11" fillId="0" borderId="18" xfId="0" applyFont="1" applyBorder="1" applyAlignment="1" applyProtection="1">
      <alignment wrapText="1"/>
      <protection locked="0"/>
    </xf>
    <xf numFmtId="0" fontId="18" fillId="0" borderId="19" xfId="1" applyFont="1" applyBorder="1"/>
    <xf numFmtId="0" fontId="22" fillId="0" borderId="20" xfId="1" applyFont="1" applyBorder="1"/>
    <xf numFmtId="3" fontId="18" fillId="0" borderId="20" xfId="1" applyNumberFormat="1" applyFont="1" applyBorder="1"/>
    <xf numFmtId="0" fontId="18" fillId="0" borderId="20" xfId="1" applyFont="1" applyBorder="1"/>
    <xf numFmtId="0" fontId="22" fillId="0" borderId="15" xfId="1" applyFont="1" applyBorder="1"/>
    <xf numFmtId="0" fontId="22" fillId="0" borderId="19" xfId="1" applyFont="1" applyBorder="1"/>
    <xf numFmtId="0" fontId="32" fillId="0" borderId="0" xfId="0" applyFont="1" applyAlignment="1">
      <alignment horizontal="left" vertical="center" wrapText="1"/>
    </xf>
    <xf numFmtId="0" fontId="43" fillId="0" borderId="17" xfId="0" applyFont="1" applyBorder="1" applyProtection="1">
      <protection locked="0"/>
    </xf>
    <xf numFmtId="0" fontId="32" fillId="0" borderId="17" xfId="0" applyFont="1" applyBorder="1" applyAlignment="1">
      <alignment horizontal="left" vertical="center" wrapText="1"/>
    </xf>
    <xf numFmtId="0" fontId="32" fillId="0" borderId="18" xfId="0" applyFont="1" applyBorder="1" applyAlignment="1">
      <alignment horizontal="left" vertical="center" wrapText="1"/>
    </xf>
    <xf numFmtId="0" fontId="33" fillId="0" borderId="17" xfId="0" applyFont="1" applyBorder="1"/>
    <xf numFmtId="0" fontId="39" fillId="0" borderId="0" xfId="0" applyFont="1" applyAlignment="1">
      <alignment vertical="center" wrapText="1"/>
    </xf>
    <xf numFmtId="0" fontId="39" fillId="0" borderId="14" xfId="0" applyFont="1" applyBorder="1" applyAlignment="1">
      <alignment vertical="center" wrapText="1"/>
    </xf>
    <xf numFmtId="0" fontId="39" fillId="0" borderId="15" xfId="0" applyFont="1" applyBorder="1" applyAlignment="1">
      <alignment vertical="center" wrapText="1"/>
    </xf>
    <xf numFmtId="0" fontId="11" fillId="0" borderId="19" xfId="0" applyFont="1" applyBorder="1"/>
    <xf numFmtId="165" fontId="11" fillId="0" borderId="20" xfId="0" applyNumberFormat="1" applyFont="1" applyBorder="1"/>
    <xf numFmtId="0" fontId="11" fillId="0" borderId="20" xfId="0" applyFont="1" applyBorder="1"/>
    <xf numFmtId="9" fontId="18" fillId="0" borderId="20" xfId="0" applyNumberFormat="1" applyFont="1" applyBorder="1" applyAlignment="1">
      <alignment horizontal="center"/>
    </xf>
    <xf numFmtId="165" fontId="11" fillId="0" borderId="15" xfId="0" applyNumberFormat="1" applyFont="1" applyBorder="1"/>
    <xf numFmtId="9" fontId="18" fillId="0" borderId="15" xfId="0" applyNumberFormat="1" applyFont="1" applyBorder="1" applyAlignment="1">
      <alignment horizontal="center"/>
    </xf>
    <xf numFmtId="0" fontId="18" fillId="0" borderId="0" xfId="0" applyFont="1"/>
    <xf numFmtId="0" fontId="4" fillId="0" borderId="19" xfId="0" applyFont="1" applyBorder="1" applyProtection="1">
      <protection locked="0"/>
    </xf>
    <xf numFmtId="0" fontId="4" fillId="0" borderId="20" xfId="0" applyFont="1" applyBorder="1" applyProtection="1">
      <protection locked="0"/>
    </xf>
    <xf numFmtId="0" fontId="4" fillId="0" borderId="21" xfId="0" applyFont="1" applyBorder="1" applyProtection="1">
      <protection locked="0"/>
    </xf>
    <xf numFmtId="9" fontId="11" fillId="0" borderId="19" xfId="0" applyNumberFormat="1" applyFont="1" applyBorder="1" applyAlignment="1">
      <alignment horizontal="center" vertical="center"/>
    </xf>
    <xf numFmtId="9" fontId="11" fillId="0" borderId="20" xfId="0" applyNumberFormat="1" applyFont="1" applyBorder="1" applyAlignment="1">
      <alignment horizontal="center" vertical="center"/>
    </xf>
    <xf numFmtId="9" fontId="11" fillId="0" borderId="14" xfId="3" applyFont="1" applyBorder="1" applyAlignment="1">
      <alignment horizontal="center" vertical="center"/>
    </xf>
    <xf numFmtId="9" fontId="11" fillId="0" borderId="15" xfId="3" applyFont="1" applyBorder="1" applyAlignment="1">
      <alignment horizontal="center" vertical="center"/>
    </xf>
    <xf numFmtId="0" fontId="7" fillId="0" borderId="15" xfId="0" applyFont="1" applyBorder="1" applyAlignment="1">
      <alignment horizontal="right" vertical="center"/>
    </xf>
    <xf numFmtId="3" fontId="11" fillId="0" borderId="15" xfId="0" applyNumberFormat="1" applyFont="1" applyBorder="1" applyAlignment="1">
      <alignment horizontal="center"/>
    </xf>
    <xf numFmtId="0" fontId="29" fillId="0" borderId="17" xfId="0" applyFont="1" applyBorder="1"/>
    <xf numFmtId="0" fontId="39" fillId="0" borderId="17" xfId="0" applyFont="1" applyBorder="1" applyAlignment="1">
      <alignment vertical="center" wrapText="1"/>
    </xf>
    <xf numFmtId="0" fontId="39" fillId="0" borderId="18" xfId="0" applyFont="1" applyBorder="1" applyAlignment="1">
      <alignment vertical="center" wrapText="1"/>
    </xf>
    <xf numFmtId="0" fontId="39" fillId="0" borderId="19" xfId="0" applyFont="1" applyBorder="1" applyAlignment="1">
      <alignment vertical="center" wrapText="1"/>
    </xf>
    <xf numFmtId="0" fontId="39" fillId="0" borderId="20" xfId="0" applyFont="1" applyBorder="1" applyAlignment="1">
      <alignment vertical="center" wrapText="1"/>
    </xf>
    <xf numFmtId="0" fontId="39" fillId="0" borderId="21" xfId="0" applyFont="1" applyBorder="1" applyAlignment="1">
      <alignment vertical="center" wrapText="1"/>
    </xf>
    <xf numFmtId="0" fontId="16" fillId="0" borderId="17" xfId="0" applyFont="1" applyBorder="1" applyProtection="1">
      <protection locked="0"/>
    </xf>
    <xf numFmtId="0" fontId="11" fillId="0" borderId="19" xfId="15" applyFont="1" applyBorder="1"/>
    <xf numFmtId="165" fontId="11" fillId="0" borderId="20" xfId="2" applyNumberFormat="1" applyFont="1" applyBorder="1"/>
    <xf numFmtId="0" fontId="11" fillId="0" borderId="20" xfId="15" applyFont="1" applyBorder="1"/>
    <xf numFmtId="165" fontId="7" fillId="4" borderId="9" xfId="2" applyNumberFormat="1" applyFont="1" applyFill="1" applyBorder="1" applyAlignment="1">
      <alignment horizontal="right" vertical="center" indent="3"/>
    </xf>
    <xf numFmtId="165" fontId="7" fillId="0" borderId="9" xfId="2" applyNumberFormat="1" applyFont="1" applyBorder="1" applyAlignment="1">
      <alignment horizontal="right" vertical="center" indent="3"/>
    </xf>
    <xf numFmtId="0" fontId="7" fillId="0" borderId="9" xfId="15" applyFont="1" applyBorder="1" applyAlignment="1">
      <alignment vertical="center"/>
    </xf>
    <xf numFmtId="0" fontId="7" fillId="0" borderId="9" xfId="15" applyFont="1" applyBorder="1" applyAlignment="1">
      <alignment horizontal="right" vertical="center" indent="3"/>
    </xf>
    <xf numFmtId="0" fontId="11" fillId="0" borderId="9" xfId="15" applyFont="1" applyBorder="1" applyAlignment="1">
      <alignment vertical="center"/>
    </xf>
    <xf numFmtId="165" fontId="11" fillId="0" borderId="9" xfId="2" applyNumberFormat="1" applyFont="1" applyBorder="1" applyAlignment="1">
      <alignment horizontal="right" vertical="center" indent="3"/>
    </xf>
    <xf numFmtId="165" fontId="11" fillId="0" borderId="9" xfId="2" applyNumberFormat="1" applyFont="1" applyBorder="1" applyAlignment="1">
      <alignment vertical="center"/>
    </xf>
    <xf numFmtId="165" fontId="11" fillId="4" borderId="9" xfId="2" applyNumberFormat="1" applyFont="1" applyFill="1" applyBorder="1" applyAlignment="1">
      <alignment horizontal="right" vertical="center" indent="3"/>
    </xf>
    <xf numFmtId="9" fontId="11" fillId="0" borderId="9" xfId="3" applyFont="1" applyBorder="1" applyAlignment="1">
      <alignment vertical="center"/>
    </xf>
    <xf numFmtId="165" fontId="11" fillId="0" borderId="52" xfId="2" applyNumberFormat="1" applyFont="1" applyFill="1" applyBorder="1" applyAlignment="1">
      <alignment horizontal="right" vertical="center" indent="3"/>
    </xf>
    <xf numFmtId="165" fontId="11" fillId="0" borderId="53" xfId="2" applyNumberFormat="1" applyFont="1" applyFill="1" applyBorder="1" applyAlignment="1">
      <alignment horizontal="right" vertical="center" indent="3"/>
    </xf>
    <xf numFmtId="165" fontId="11" fillId="0" borderId="54" xfId="2" applyNumberFormat="1" applyFont="1" applyFill="1" applyBorder="1" applyAlignment="1">
      <alignment horizontal="right" vertical="center" indent="3"/>
    </xf>
    <xf numFmtId="0" fontId="7" fillId="0" borderId="0" xfId="15" applyFont="1" applyAlignment="1">
      <alignment horizontal="left" vertical="center"/>
    </xf>
    <xf numFmtId="0" fontId="11" fillId="0" borderId="14" xfId="15" applyFont="1" applyBorder="1"/>
    <xf numFmtId="165" fontId="11" fillId="0" borderId="15" xfId="2" applyNumberFormat="1" applyFont="1" applyBorder="1"/>
    <xf numFmtId="0" fontId="11" fillId="0" borderId="15" xfId="15" applyFont="1" applyBorder="1"/>
    <xf numFmtId="0" fontId="29" fillId="0" borderId="17" xfId="16" applyFont="1" applyBorder="1"/>
    <xf numFmtId="0" fontId="40" fillId="0" borderId="0" xfId="16" applyFont="1"/>
    <xf numFmtId="0" fontId="11" fillId="0" borderId="17" xfId="16" applyFont="1" applyBorder="1"/>
    <xf numFmtId="0" fontId="11" fillId="0" borderId="0" xfId="16" applyFont="1"/>
    <xf numFmtId="3" fontId="11" fillId="3" borderId="17" xfId="0" applyNumberFormat="1" applyFont="1" applyFill="1" applyBorder="1"/>
    <xf numFmtId="0" fontId="4" fillId="0" borderId="17" xfId="0" applyFont="1" applyBorder="1" applyProtection="1">
      <protection locked="0"/>
    </xf>
    <xf numFmtId="0" fontId="4" fillId="0" borderId="18" xfId="0" applyFont="1" applyBorder="1" applyProtection="1">
      <protection locked="0"/>
    </xf>
    <xf numFmtId="3" fontId="11" fillId="3" borderId="18" xfId="0" applyNumberFormat="1" applyFont="1" applyFill="1" applyBorder="1"/>
    <xf numFmtId="0" fontId="11" fillId="0" borderId="15" xfId="0" applyFont="1" applyBorder="1" applyAlignment="1" applyProtection="1">
      <alignment horizontal="left"/>
      <protection locked="0"/>
    </xf>
    <xf numFmtId="0" fontId="16" fillId="0" borderId="0" xfId="0" applyFont="1" applyAlignment="1">
      <alignment horizontal="left" vertical="center"/>
    </xf>
    <xf numFmtId="0" fontId="11" fillId="6" borderId="23" xfId="0" quotePrefix="1" applyFont="1" applyFill="1" applyBorder="1"/>
    <xf numFmtId="0" fontId="11" fillId="0" borderId="23" xfId="0" quotePrefix="1" applyFont="1" applyBorder="1"/>
    <xf numFmtId="0" fontId="11" fillId="0" borderId="23" xfId="0" applyFont="1" applyBorder="1"/>
    <xf numFmtId="165" fontId="11" fillId="6" borderId="0" xfId="2" quotePrefix="1" applyNumberFormat="1" applyFont="1" applyFill="1" applyBorder="1"/>
    <xf numFmtId="165" fontId="11" fillId="0" borderId="34" xfId="2" applyNumberFormat="1" applyFont="1" applyFill="1" applyBorder="1"/>
    <xf numFmtId="165" fontId="11" fillId="0" borderId="0" xfId="2" applyNumberFormat="1" applyFont="1" applyFill="1" applyBorder="1"/>
    <xf numFmtId="165" fontId="11" fillId="0" borderId="0" xfId="2" quotePrefix="1" applyNumberFormat="1" applyFont="1" applyFill="1" applyBorder="1"/>
    <xf numFmtId="165" fontId="11" fillId="0" borderId="34" xfId="2" quotePrefix="1" applyNumberFormat="1" applyFont="1" applyFill="1" applyBorder="1"/>
    <xf numFmtId="0" fontId="11" fillId="0" borderId="50" xfId="0" applyFont="1" applyBorder="1"/>
    <xf numFmtId="0" fontId="11" fillId="0" borderId="55" xfId="0" applyFont="1" applyBorder="1"/>
    <xf numFmtId="0" fontId="11" fillId="6" borderId="53" xfId="0" quotePrefix="1" applyFont="1" applyFill="1" applyBorder="1"/>
    <xf numFmtId="165" fontId="11" fillId="4" borderId="43" xfId="0" quotePrefix="1" applyNumberFormat="1" applyFont="1" applyFill="1" applyBorder="1"/>
    <xf numFmtId="165" fontId="11" fillId="6" borderId="43" xfId="2" quotePrefix="1" applyNumberFormat="1" applyFont="1" applyFill="1" applyBorder="1"/>
    <xf numFmtId="165" fontId="11" fillId="6" borderId="50" xfId="2" quotePrefix="1" applyNumberFormat="1" applyFont="1" applyFill="1" applyBorder="1"/>
    <xf numFmtId="165" fontId="11" fillId="5" borderId="43" xfId="2" quotePrefix="1" applyNumberFormat="1" applyFont="1" applyFill="1" applyBorder="1"/>
    <xf numFmtId="165" fontId="11" fillId="5" borderId="50" xfId="2" quotePrefix="1" applyNumberFormat="1" applyFont="1" applyFill="1" applyBorder="1"/>
    <xf numFmtId="0" fontId="11" fillId="5" borderId="53" xfId="0" quotePrefix="1" applyFont="1" applyFill="1" applyBorder="1"/>
    <xf numFmtId="165" fontId="11" fillId="0" borderId="43" xfId="2" applyNumberFormat="1" applyFont="1" applyFill="1" applyBorder="1"/>
    <xf numFmtId="165" fontId="11" fillId="0" borderId="50" xfId="2" applyNumberFormat="1" applyFont="1" applyFill="1" applyBorder="1"/>
    <xf numFmtId="165" fontId="11" fillId="0" borderId="50" xfId="2" quotePrefix="1" applyNumberFormat="1" applyFont="1" applyFill="1" applyBorder="1"/>
    <xf numFmtId="0" fontId="11" fillId="0" borderId="53" xfId="0" quotePrefix="1" applyFont="1" applyBorder="1"/>
    <xf numFmtId="0" fontId="11" fillId="0" borderId="55" xfId="0" applyFont="1" applyBorder="1" applyAlignment="1">
      <alignment horizontal="center"/>
    </xf>
    <xf numFmtId="0" fontId="11" fillId="0" borderId="57" xfId="0" applyFont="1" applyBorder="1"/>
    <xf numFmtId="0" fontId="11" fillId="0" borderId="58" xfId="0" applyFont="1" applyBorder="1"/>
    <xf numFmtId="0" fontId="11" fillId="6" borderId="56" xfId="0" quotePrefix="1" applyFont="1" applyFill="1" applyBorder="1"/>
    <xf numFmtId="0" fontId="11" fillId="6" borderId="57" xfId="0" quotePrefix="1" applyFont="1" applyFill="1" applyBorder="1"/>
    <xf numFmtId="0" fontId="11" fillId="6" borderId="59" xfId="0" quotePrefix="1" applyFont="1" applyFill="1" applyBorder="1"/>
    <xf numFmtId="9" fontId="7" fillId="4" borderId="9" xfId="0" applyNumberFormat="1" applyFont="1" applyFill="1" applyBorder="1" applyAlignment="1">
      <alignment horizontal="center" vertical="center"/>
    </xf>
    <xf numFmtId="0" fontId="45" fillId="0" borderId="0" xfId="0" applyFont="1" applyAlignment="1" applyProtection="1">
      <alignment horizontal="center"/>
      <protection locked="0"/>
    </xf>
    <xf numFmtId="0" fontId="46" fillId="0" borderId="0" xfId="0" applyFont="1" applyAlignment="1" applyProtection="1">
      <alignment horizontal="center"/>
      <protection locked="0"/>
    </xf>
    <xf numFmtId="0" fontId="47" fillId="0" borderId="0" xfId="0" applyFont="1" applyAlignment="1" applyProtection="1">
      <alignment horizontal="center"/>
      <protection locked="0"/>
    </xf>
    <xf numFmtId="0" fontId="48" fillId="0" borderId="0" xfId="0" applyFont="1" applyAlignment="1" applyProtection="1">
      <alignment horizontal="center"/>
      <protection locked="0"/>
    </xf>
    <xf numFmtId="0" fontId="7" fillId="4" borderId="9" xfId="0" applyFont="1" applyFill="1" applyBorder="1" applyAlignment="1">
      <alignment horizontal="center" vertical="center"/>
    </xf>
    <xf numFmtId="0" fontId="7" fillId="0" borderId="0" xfId="0" applyFont="1"/>
    <xf numFmtId="0" fontId="11" fillId="0" borderId="0" xfId="0" applyFont="1" applyAlignment="1">
      <alignment horizontal="center"/>
    </xf>
    <xf numFmtId="17" fontId="11" fillId="0" borderId="29" xfId="0" applyNumberFormat="1" applyFont="1" applyBorder="1"/>
    <xf numFmtId="165" fontId="11" fillId="4" borderId="0" xfId="0" quotePrefix="1" applyNumberFormat="1" applyFont="1" applyFill="1"/>
    <xf numFmtId="17" fontId="11" fillId="0" borderId="17" xfId="0" applyNumberFormat="1" applyFont="1" applyBorder="1"/>
    <xf numFmtId="0" fontId="28" fillId="0" borderId="0" xfId="0" quotePrefix="1" applyFont="1" applyAlignment="1">
      <alignment horizontal="center"/>
    </xf>
    <xf numFmtId="0" fontId="11" fillId="0" borderId="0" xfId="0" quotePrefix="1" applyFont="1"/>
    <xf numFmtId="0" fontId="11" fillId="0" borderId="60" xfId="0" applyFont="1" applyBorder="1" applyAlignment="1">
      <alignment horizontal="left"/>
    </xf>
    <xf numFmtId="0" fontId="11" fillId="0" borderId="49" xfId="0" applyFont="1" applyBorder="1" applyAlignment="1">
      <alignment horizontal="right"/>
    </xf>
    <xf numFmtId="0" fontId="11" fillId="0" borderId="17" xfId="0" applyFont="1" applyBorder="1" applyAlignment="1">
      <alignment horizontal="left"/>
    </xf>
    <xf numFmtId="0" fontId="11" fillId="0" borderId="49" xfId="0" applyFont="1" applyBorder="1" applyAlignment="1">
      <alignment horizontal="left"/>
    </xf>
    <xf numFmtId="0" fontId="11" fillId="0" borderId="27" xfId="0" applyFont="1" applyBorder="1" applyAlignment="1">
      <alignment horizontal="left"/>
    </xf>
    <xf numFmtId="0" fontId="16" fillId="0" borderId="0" xfId="0" quotePrefix="1" applyFont="1" applyAlignment="1">
      <alignment horizontal="center"/>
    </xf>
    <xf numFmtId="0" fontId="11" fillId="0" borderId="0" xfId="0" applyFont="1" applyAlignment="1">
      <alignment horizontal="right"/>
    </xf>
    <xf numFmtId="0" fontId="28" fillId="0" borderId="0" xfId="0" quotePrefix="1" applyFont="1" applyAlignment="1">
      <alignment horizontal="left"/>
    </xf>
    <xf numFmtId="165" fontId="11" fillId="0" borderId="23" xfId="2" applyNumberFormat="1" applyFont="1" applyBorder="1"/>
    <xf numFmtId="165" fontId="11" fillId="4" borderId="23" xfId="2" quotePrefix="1" applyNumberFormat="1" applyFont="1" applyFill="1" applyBorder="1"/>
    <xf numFmtId="165" fontId="11" fillId="4" borderId="0" xfId="2" quotePrefix="1" applyNumberFormat="1" applyFont="1" applyFill="1"/>
    <xf numFmtId="165" fontId="11" fillId="0" borderId="34" xfId="2" applyNumberFormat="1" applyFont="1" applyBorder="1"/>
    <xf numFmtId="165" fontId="11" fillId="4" borderId="36" xfId="2" quotePrefix="1" applyNumberFormat="1" applyFont="1" applyFill="1" applyBorder="1"/>
    <xf numFmtId="165" fontId="11" fillId="3" borderId="37" xfId="2" applyNumberFormat="1" applyFont="1" applyFill="1" applyBorder="1"/>
    <xf numFmtId="165" fontId="11" fillId="0" borderId="37" xfId="2" applyNumberFormat="1" applyFont="1" applyBorder="1"/>
    <xf numFmtId="165" fontId="11" fillId="4" borderId="37" xfId="2" quotePrefix="1" applyNumberFormat="1" applyFont="1" applyFill="1" applyBorder="1"/>
    <xf numFmtId="165" fontId="11" fillId="0" borderId="3" xfId="2" applyNumberFormat="1" applyFont="1" applyBorder="1"/>
    <xf numFmtId="0" fontId="11" fillId="0" borderId="22" xfId="0" applyFont="1" applyBorder="1" applyAlignment="1" applyProtection="1">
      <alignment vertical="center" wrapText="1"/>
      <protection locked="0"/>
    </xf>
    <xf numFmtId="0" fontId="11" fillId="0" borderId="13" xfId="0" applyFont="1" applyBorder="1" applyAlignment="1" applyProtection="1">
      <alignment vertical="center" wrapText="1"/>
      <protection locked="0"/>
    </xf>
    <xf numFmtId="165" fontId="11" fillId="0" borderId="22" xfId="2" applyNumberFormat="1" applyFont="1" applyFill="1" applyBorder="1" applyAlignment="1" applyProtection="1">
      <alignment vertical="center" wrapText="1"/>
      <protection locked="0"/>
    </xf>
    <xf numFmtId="165" fontId="11" fillId="0" borderId="13" xfId="2" applyNumberFormat="1" applyFont="1" applyFill="1" applyBorder="1" applyAlignment="1" applyProtection="1">
      <alignment vertical="center" wrapText="1"/>
      <protection locked="0"/>
    </xf>
    <xf numFmtId="0" fontId="11" fillId="0" borderId="7" xfId="0" applyFont="1" applyBorder="1" applyAlignment="1" applyProtection="1">
      <alignment vertical="center" wrapText="1"/>
      <protection locked="0"/>
    </xf>
    <xf numFmtId="0" fontId="11" fillId="0" borderId="7" xfId="0" applyFont="1" applyBorder="1" applyAlignment="1" applyProtection="1">
      <alignment vertical="center"/>
      <protection locked="0"/>
    </xf>
    <xf numFmtId="14" fontId="4" fillId="0" borderId="9" xfId="0" applyNumberFormat="1" applyFont="1" applyBorder="1" applyProtection="1">
      <protection locked="0"/>
    </xf>
    <xf numFmtId="165" fontId="11" fillId="0" borderId="9" xfId="2" applyNumberFormat="1" applyFont="1" applyFill="1" applyBorder="1"/>
    <xf numFmtId="168" fontId="11" fillId="0" borderId="51" xfId="13" applyNumberFormat="1" applyFont="1" applyBorder="1" applyAlignment="1">
      <alignment vertical="center"/>
    </xf>
    <xf numFmtId="168" fontId="11" fillId="0" borderId="50" xfId="13" applyNumberFormat="1" applyFont="1" applyBorder="1" applyAlignment="1">
      <alignment vertical="center"/>
    </xf>
    <xf numFmtId="168" fontId="11" fillId="0" borderId="48" xfId="13" applyNumberFormat="1" applyFont="1" applyBorder="1" applyAlignment="1">
      <alignment vertical="center"/>
    </xf>
    <xf numFmtId="0" fontId="11" fillId="0" borderId="49" xfId="0" applyFont="1" applyBorder="1"/>
    <xf numFmtId="0" fontId="7" fillId="0" borderId="6" xfId="15" applyFont="1" applyBorder="1" applyAlignment="1">
      <alignment vertical="center"/>
    </xf>
    <xf numFmtId="0" fontId="7" fillId="0" borderId="31" xfId="0" applyFont="1" applyBorder="1" applyAlignment="1">
      <alignment vertical="center"/>
    </xf>
    <xf numFmtId="0" fontId="7" fillId="0" borderId="0" xfId="0" applyFont="1" applyAlignment="1">
      <alignment vertical="center"/>
    </xf>
    <xf numFmtId="0" fontId="7" fillId="0" borderId="18" xfId="0" applyFont="1" applyBorder="1" applyAlignment="1">
      <alignment vertical="center"/>
    </xf>
    <xf numFmtId="0" fontId="7" fillId="0" borderId="31" xfId="0" applyFont="1" applyBorder="1"/>
    <xf numFmtId="0" fontId="7" fillId="0" borderId="18" xfId="0" applyFont="1" applyBorder="1"/>
    <xf numFmtId="9" fontId="11" fillId="0" borderId="31" xfId="3" applyFont="1" applyBorder="1" applyAlignment="1">
      <alignment vertical="center"/>
    </xf>
    <xf numFmtId="9" fontId="11" fillId="0" borderId="0" xfId="3" applyFont="1" applyBorder="1" applyAlignment="1">
      <alignment vertical="center"/>
    </xf>
    <xf numFmtId="9" fontId="11" fillId="0" borderId="18" xfId="3" applyFont="1" applyBorder="1" applyAlignment="1">
      <alignment vertical="center"/>
    </xf>
    <xf numFmtId="10" fontId="7" fillId="0" borderId="31" xfId="0" applyNumberFormat="1" applyFont="1" applyBorder="1" applyAlignment="1">
      <alignment vertical="center"/>
    </xf>
    <xf numFmtId="10" fontId="7" fillId="0" borderId="0" xfId="0" applyNumberFormat="1" applyFont="1" applyAlignment="1">
      <alignment vertical="center"/>
    </xf>
    <xf numFmtId="10" fontId="7" fillId="0" borderId="18" xfId="0" applyNumberFormat="1" applyFont="1" applyBorder="1" applyAlignment="1">
      <alignment vertical="center"/>
    </xf>
    <xf numFmtId="10" fontId="7" fillId="0" borderId="31" xfId="0" applyNumberFormat="1" applyFont="1" applyBorder="1" applyAlignment="1">
      <alignment horizontal="center" vertical="center" wrapText="1"/>
    </xf>
    <xf numFmtId="0" fontId="11" fillId="0" borderId="48" xfId="0" applyFont="1" applyBorder="1" applyProtection="1">
      <protection locked="0"/>
    </xf>
    <xf numFmtId="0" fontId="11" fillId="0" borderId="63" xfId="0" applyFont="1" applyBorder="1" applyProtection="1">
      <protection locked="0"/>
    </xf>
    <xf numFmtId="0" fontId="11" fillId="0" borderId="50" xfId="0" applyFont="1" applyBorder="1" applyProtection="1">
      <protection locked="0"/>
    </xf>
    <xf numFmtId="0" fontId="11" fillId="0" borderId="55" xfId="0" applyFont="1" applyBorder="1" applyProtection="1">
      <protection locked="0"/>
    </xf>
    <xf numFmtId="0" fontId="23" fillId="0" borderId="0" xfId="6" applyBorder="1" applyAlignment="1" applyProtection="1"/>
    <xf numFmtId="0" fontId="11" fillId="0" borderId="7" xfId="0" applyFont="1" applyBorder="1" applyProtection="1">
      <protection locked="0"/>
    </xf>
    <xf numFmtId="0" fontId="7" fillId="0" borderId="8" xfId="15" applyFont="1" applyBorder="1"/>
    <xf numFmtId="165" fontId="11" fillId="0" borderId="9" xfId="2" applyNumberFormat="1" applyFont="1" applyBorder="1"/>
    <xf numFmtId="165" fontId="11" fillId="0" borderId="67" xfId="2" applyNumberFormat="1" applyFont="1" applyFill="1" applyBorder="1" applyAlignment="1">
      <alignment horizontal="right" vertical="center" indent="3"/>
    </xf>
    <xf numFmtId="165" fontId="11" fillId="0" borderId="0" xfId="2" applyNumberFormat="1" applyFont="1" applyBorder="1" applyProtection="1">
      <protection locked="0"/>
    </xf>
    <xf numFmtId="165" fontId="7" fillId="0" borderId="9" xfId="2" applyNumberFormat="1" applyFont="1" applyBorder="1" applyAlignment="1">
      <alignment vertical="center"/>
    </xf>
    <xf numFmtId="0" fontId="7" fillId="4" borderId="9" xfId="4" applyFont="1" applyFill="1" applyBorder="1" applyAlignment="1">
      <alignment vertical="center"/>
    </xf>
    <xf numFmtId="165" fontId="7" fillId="4" borderId="9" xfId="2" applyNumberFormat="1" applyFont="1" applyFill="1" applyBorder="1" applyAlignment="1">
      <alignment horizontal="center" vertical="center"/>
    </xf>
    <xf numFmtId="165" fontId="7" fillId="4" borderId="9" xfId="2" applyNumberFormat="1" applyFont="1" applyFill="1" applyBorder="1" applyAlignment="1">
      <alignment horizontal="center" vertical="center" wrapText="1"/>
    </xf>
    <xf numFmtId="0" fontId="7" fillId="4" borderId="9" xfId="4" applyFont="1" applyFill="1" applyBorder="1" applyAlignment="1">
      <alignment horizontal="center" vertical="center" wrapText="1"/>
    </xf>
    <xf numFmtId="9" fontId="11" fillId="0" borderId="48" xfId="3" applyFont="1" applyFill="1" applyBorder="1" applyAlignment="1">
      <alignment horizontal="right" vertical="center"/>
    </xf>
    <xf numFmtId="0" fontId="11" fillId="0" borderId="48" xfId="4" applyFont="1" applyBorder="1" applyAlignment="1">
      <alignment horizontal="left" vertical="center"/>
    </xf>
    <xf numFmtId="9" fontId="11" fillId="0" borderId="50" xfId="3" applyFont="1" applyFill="1" applyBorder="1" applyAlignment="1">
      <alignment horizontal="right" vertical="center"/>
    </xf>
    <xf numFmtId="0" fontId="11" fillId="0" borderId="50" xfId="4" applyFont="1" applyBorder="1" applyAlignment="1">
      <alignment horizontal="left" vertical="center"/>
    </xf>
    <xf numFmtId="9" fontId="11" fillId="0" borderId="51" xfId="3" applyFont="1" applyFill="1" applyBorder="1" applyAlignment="1">
      <alignment horizontal="right" vertical="center"/>
    </xf>
    <xf numFmtId="0" fontId="11" fillId="0" borderId="51" xfId="4" applyFont="1" applyBorder="1" applyAlignment="1">
      <alignment horizontal="left" vertical="center"/>
    </xf>
    <xf numFmtId="167" fontId="7" fillId="4" borderId="7" xfId="10" applyNumberFormat="1" applyFont="1" applyFill="1" applyBorder="1" applyAlignment="1">
      <alignment vertical="center"/>
    </xf>
    <xf numFmtId="9" fontId="7" fillId="4" borderId="7" xfId="3" applyFont="1" applyFill="1" applyBorder="1" applyAlignment="1">
      <alignment horizontal="right" vertical="center"/>
    </xf>
    <xf numFmtId="0" fontId="7" fillId="4" borderId="7" xfId="4" applyFont="1" applyFill="1" applyBorder="1" applyAlignment="1">
      <alignment horizontal="center" vertical="center"/>
    </xf>
    <xf numFmtId="0" fontId="7" fillId="4" borderId="9" xfId="4" applyFont="1" applyFill="1" applyBorder="1" applyAlignment="1">
      <alignment horizontal="left" vertical="center"/>
    </xf>
    <xf numFmtId="1" fontId="11" fillId="0" borderId="64" xfId="13" applyNumberFormat="1" applyFont="1" applyBorder="1" applyAlignment="1">
      <alignment horizontal="left" vertical="center"/>
    </xf>
    <xf numFmtId="0" fontId="11" fillId="0" borderId="63" xfId="4" applyFont="1" applyBorder="1" applyAlignment="1">
      <alignment horizontal="left" vertical="center"/>
    </xf>
    <xf numFmtId="1" fontId="11" fillId="0" borderId="43" xfId="13" applyNumberFormat="1" applyFont="1" applyBorder="1" applyAlignment="1">
      <alignment horizontal="left" vertical="center"/>
    </xf>
    <xf numFmtId="0" fontId="11" fillId="0" borderId="55" xfId="4" applyFont="1" applyBorder="1" applyAlignment="1">
      <alignment horizontal="left" vertical="center"/>
    </xf>
    <xf numFmtId="168" fontId="11" fillId="0" borderId="65" xfId="13" applyNumberFormat="1" applyFont="1" applyBorder="1" applyAlignment="1">
      <alignment horizontal="left" vertical="center"/>
    </xf>
    <xf numFmtId="0" fontId="11" fillId="0" borderId="66" xfId="4" applyFont="1" applyBorder="1" applyAlignment="1">
      <alignment horizontal="left" vertical="center"/>
    </xf>
    <xf numFmtId="167" fontId="7" fillId="4" borderId="6" xfId="10" applyNumberFormat="1" applyFont="1" applyFill="1" applyBorder="1" applyAlignment="1">
      <alignment vertical="center"/>
    </xf>
    <xf numFmtId="0" fontId="7" fillId="4" borderId="8" xfId="4" applyFont="1" applyFill="1" applyBorder="1" applyAlignment="1">
      <alignment horizontal="center" vertical="center"/>
    </xf>
    <xf numFmtId="10" fontId="18" fillId="4" borderId="9" xfId="3" applyNumberFormat="1" applyFont="1" applyFill="1" applyBorder="1" applyAlignment="1">
      <alignment horizontal="right" vertical="center" indent="3"/>
    </xf>
    <xf numFmtId="0" fontId="51" fillId="0" borderId="0" xfId="1" applyFont="1"/>
    <xf numFmtId="0" fontId="18" fillId="0" borderId="0" xfId="0" applyFont="1" applyProtection="1">
      <protection locked="0"/>
    </xf>
    <xf numFmtId="165" fontId="11" fillId="4" borderId="9" xfId="2" applyNumberFormat="1" applyFont="1" applyFill="1" applyBorder="1"/>
    <xf numFmtId="0" fontId="11" fillId="0" borderId="6" xfId="15" applyFont="1" applyBorder="1" applyAlignment="1">
      <alignment vertical="center"/>
    </xf>
    <xf numFmtId="0" fontId="11" fillId="0" borderId="8" xfId="15" applyFont="1" applyBorder="1"/>
    <xf numFmtId="165" fontId="11" fillId="7" borderId="9" xfId="2" applyNumberFormat="1" applyFont="1" applyFill="1" applyBorder="1" applyAlignment="1">
      <alignment horizontal="right" vertical="center" indent="3"/>
    </xf>
    <xf numFmtId="0" fontId="7" fillId="0" borderId="0" xfId="0" applyFont="1" applyAlignment="1" applyProtection="1">
      <alignment horizontal="right"/>
      <protection locked="0"/>
    </xf>
    <xf numFmtId="0" fontId="11" fillId="0" borderId="0" xfId="0" applyFont="1" applyAlignment="1" applyProtection="1">
      <alignment horizontal="right"/>
      <protection locked="0"/>
    </xf>
    <xf numFmtId="165" fontId="7" fillId="0" borderId="0" xfId="0" applyNumberFormat="1" applyFont="1" applyProtection="1">
      <protection locked="0"/>
    </xf>
    <xf numFmtId="0" fontId="7" fillId="0" borderId="68" xfId="0" applyFont="1" applyBorder="1" applyAlignment="1" applyProtection="1">
      <alignment horizontal="center"/>
      <protection locked="0"/>
    </xf>
    <xf numFmtId="0" fontId="11" fillId="0" borderId="70" xfId="0" applyFont="1" applyBorder="1" applyAlignment="1" applyProtection="1">
      <alignment horizontal="center" vertical="center"/>
      <protection locked="0"/>
    </xf>
    <xf numFmtId="0" fontId="11" fillId="0" borderId="71" xfId="0" applyFont="1" applyBorder="1" applyAlignment="1" applyProtection="1">
      <alignment horizontal="center" vertical="center"/>
      <protection locked="0"/>
    </xf>
    <xf numFmtId="0" fontId="11" fillId="0" borderId="68" xfId="0" applyFont="1" applyBorder="1" applyAlignment="1" applyProtection="1">
      <alignment horizontal="center"/>
      <protection locked="0"/>
    </xf>
    <xf numFmtId="0" fontId="11" fillId="0" borderId="27" xfId="0" applyFont="1" applyBorder="1" applyAlignment="1" applyProtection="1">
      <alignment horizontal="center" vertical="center"/>
      <protection locked="0"/>
    </xf>
    <xf numFmtId="0" fontId="11" fillId="0" borderId="0" xfId="15" applyFont="1" applyAlignment="1">
      <alignment horizontal="left" vertical="center"/>
    </xf>
    <xf numFmtId="0" fontId="7" fillId="0" borderId="16" xfId="0" applyFont="1" applyBorder="1" applyAlignment="1" applyProtection="1">
      <alignment horizontal="center" wrapText="1"/>
      <protection locked="0"/>
    </xf>
    <xf numFmtId="0" fontId="16" fillId="0" borderId="27" xfId="0" applyFont="1" applyBorder="1" applyAlignment="1" applyProtection="1">
      <alignment horizontal="center" vertical="center"/>
      <protection locked="0"/>
    </xf>
    <xf numFmtId="0" fontId="16" fillId="0" borderId="28" xfId="0" applyFont="1" applyBorder="1" applyAlignment="1" applyProtection="1">
      <alignment horizontal="center" vertical="center"/>
      <protection locked="0"/>
    </xf>
    <xf numFmtId="0" fontId="13" fillId="0" borderId="14" xfId="0" applyFont="1" applyBorder="1" applyAlignment="1" applyProtection="1">
      <alignment horizontal="left" vertical="top"/>
      <protection locked="0"/>
    </xf>
    <xf numFmtId="0" fontId="13" fillId="0" borderId="15" xfId="0" applyFont="1" applyBorder="1" applyAlignment="1" applyProtection="1">
      <alignment horizontal="left" vertical="top"/>
      <protection locked="0"/>
    </xf>
    <xf numFmtId="0" fontId="13" fillId="0" borderId="16" xfId="0" applyFont="1" applyBorder="1" applyAlignment="1" applyProtection="1">
      <alignment horizontal="left" vertical="top"/>
      <protection locked="0"/>
    </xf>
    <xf numFmtId="0" fontId="13" fillId="0" borderId="17" xfId="0" applyFont="1" applyBorder="1" applyAlignment="1" applyProtection="1">
      <alignment horizontal="left" vertical="top"/>
      <protection locked="0"/>
    </xf>
    <xf numFmtId="0" fontId="13" fillId="0" borderId="0" xfId="0" applyFont="1" applyAlignment="1" applyProtection="1">
      <alignment horizontal="left" vertical="top"/>
      <protection locked="0"/>
    </xf>
    <xf numFmtId="0" fontId="13" fillId="0" borderId="18" xfId="0" applyFont="1" applyBorder="1" applyAlignment="1" applyProtection="1">
      <alignment horizontal="left" vertical="top"/>
      <protection locked="0"/>
    </xf>
    <xf numFmtId="0" fontId="13" fillId="0" borderId="19" xfId="0" applyFont="1" applyBorder="1" applyAlignment="1" applyProtection="1">
      <alignment horizontal="left" vertical="top"/>
      <protection locked="0"/>
    </xf>
    <xf numFmtId="0" fontId="13" fillId="0" borderId="20" xfId="0" applyFont="1" applyBorder="1" applyAlignment="1" applyProtection="1">
      <alignment horizontal="left" vertical="top"/>
      <protection locked="0"/>
    </xf>
    <xf numFmtId="0" fontId="13" fillId="0" borderId="21" xfId="0" applyFont="1" applyBorder="1" applyAlignment="1" applyProtection="1">
      <alignment horizontal="left" vertical="top"/>
      <protection locked="0"/>
    </xf>
    <xf numFmtId="0" fontId="50" fillId="8" borderId="27" xfId="6" quotePrefix="1" applyFont="1" applyFill="1" applyBorder="1" applyAlignment="1" applyProtection="1">
      <alignment horizontal="left" vertical="center"/>
      <protection locked="0"/>
    </xf>
    <xf numFmtId="0" fontId="50" fillId="8" borderId="28" xfId="6" applyFont="1" applyFill="1" applyBorder="1" applyAlignment="1" applyProtection="1">
      <alignment horizontal="left" vertical="center"/>
      <protection locked="0"/>
    </xf>
    <xf numFmtId="0" fontId="7" fillId="0" borderId="24" xfId="0" applyFont="1" applyBorder="1" applyAlignment="1" applyProtection="1">
      <alignment horizontal="center"/>
      <protection locked="0"/>
    </xf>
    <xf numFmtId="0" fontId="7" fillId="0" borderId="25" xfId="0" applyFont="1" applyBorder="1" applyAlignment="1" applyProtection="1">
      <alignment horizontal="center"/>
      <protection locked="0"/>
    </xf>
    <xf numFmtId="0" fontId="7" fillId="0" borderId="26" xfId="0" applyFont="1" applyBorder="1" applyAlignment="1" applyProtection="1">
      <alignment horizontal="center"/>
      <protection locked="0"/>
    </xf>
    <xf numFmtId="0" fontId="7" fillId="0" borderId="14" xfId="0" applyFont="1" applyBorder="1" applyAlignment="1" applyProtection="1">
      <alignment horizontal="left"/>
      <protection locked="0"/>
    </xf>
    <xf numFmtId="0" fontId="16" fillId="0" borderId="45" xfId="0" applyFont="1" applyBorder="1" applyAlignment="1" applyProtection="1">
      <alignment horizontal="center" vertical="center"/>
      <protection locked="0"/>
    </xf>
    <xf numFmtId="0" fontId="16" fillId="0" borderId="47" xfId="0" applyFont="1" applyBorder="1" applyAlignment="1" applyProtection="1">
      <alignment horizontal="center" vertical="center"/>
      <protection locked="0"/>
    </xf>
    <xf numFmtId="0" fontId="11" fillId="0" borderId="61" xfId="0" applyFont="1" applyBorder="1" applyAlignment="1" applyProtection="1">
      <alignment horizontal="left" vertical="center"/>
      <protection locked="0"/>
    </xf>
    <xf numFmtId="0" fontId="11" fillId="0" borderId="46" xfId="0" applyFont="1" applyBorder="1" applyAlignment="1" applyProtection="1">
      <alignment horizontal="left" vertical="center"/>
      <protection locked="0"/>
    </xf>
    <xf numFmtId="0" fontId="11" fillId="0" borderId="62" xfId="0" applyFont="1" applyBorder="1" applyAlignment="1" applyProtection="1">
      <alignment horizontal="left" vertical="center"/>
      <protection locked="0"/>
    </xf>
    <xf numFmtId="0" fontId="50" fillId="0" borderId="45" xfId="6" quotePrefix="1" applyFont="1" applyFill="1" applyBorder="1" applyAlignment="1" applyProtection="1">
      <alignment horizontal="left" vertical="center"/>
      <protection locked="0"/>
    </xf>
    <xf numFmtId="0" fontId="50" fillId="0" borderId="47" xfId="6" applyFont="1" applyFill="1" applyBorder="1" applyAlignment="1" applyProtection="1">
      <alignment horizontal="left" vertical="center"/>
      <protection locked="0"/>
    </xf>
    <xf numFmtId="14" fontId="14" fillId="0" borderId="17" xfId="0" applyNumberFormat="1" applyFont="1" applyBorder="1" applyAlignment="1" applyProtection="1">
      <alignment horizontal="center" vertical="center"/>
      <protection locked="0"/>
    </xf>
    <xf numFmtId="0" fontId="0" fillId="0" borderId="0" xfId="0"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50" fillId="0" borderId="27" xfId="6" quotePrefix="1" applyFont="1" applyFill="1" applyBorder="1" applyAlignment="1" applyProtection="1">
      <alignment horizontal="left" vertical="center"/>
      <protection locked="0"/>
    </xf>
    <xf numFmtId="0" fontId="50" fillId="0" borderId="28" xfId="6" applyFont="1" applyFill="1" applyBorder="1" applyAlignment="1" applyProtection="1">
      <alignment horizontal="left" vertical="center"/>
      <protection locked="0"/>
    </xf>
    <xf numFmtId="14" fontId="15" fillId="0" borderId="17" xfId="0" applyNumberFormat="1" applyFont="1" applyBorder="1" applyAlignment="1" applyProtection="1">
      <alignment horizontal="center" vertical="center"/>
      <protection locked="0"/>
    </xf>
    <xf numFmtId="14" fontId="15" fillId="0" borderId="0" xfId="0" applyNumberFormat="1" applyFont="1" applyAlignment="1" applyProtection="1">
      <alignment horizontal="center" vertical="center"/>
      <protection locked="0"/>
    </xf>
    <xf numFmtId="14" fontId="15" fillId="0" borderId="18" xfId="0" applyNumberFormat="1" applyFont="1" applyBorder="1" applyAlignment="1" applyProtection="1">
      <alignment horizontal="center" vertical="center"/>
      <protection locked="0"/>
    </xf>
    <xf numFmtId="14" fontId="15" fillId="0" borderId="19" xfId="0" applyNumberFormat="1" applyFont="1" applyBorder="1" applyAlignment="1" applyProtection="1">
      <alignment horizontal="center" vertical="center"/>
      <protection locked="0"/>
    </xf>
    <xf numFmtId="14" fontId="15" fillId="0" borderId="20" xfId="0" applyNumberFormat="1" applyFont="1" applyBorder="1" applyAlignment="1" applyProtection="1">
      <alignment horizontal="center" vertical="center"/>
      <protection locked="0"/>
    </xf>
    <xf numFmtId="14" fontId="15" fillId="0" borderId="21" xfId="0" applyNumberFormat="1" applyFont="1" applyBorder="1" applyAlignment="1" applyProtection="1">
      <alignment horizontal="center" vertical="center"/>
      <protection locked="0"/>
    </xf>
    <xf numFmtId="0" fontId="7" fillId="0" borderId="10" xfId="0" applyFont="1" applyBorder="1" applyAlignment="1" applyProtection="1">
      <alignment horizontal="center" vertical="center" wrapText="1"/>
      <protection locked="0"/>
    </xf>
    <xf numFmtId="0" fontId="7" fillId="0" borderId="11" xfId="0" applyFont="1" applyBorder="1" applyAlignment="1" applyProtection="1">
      <alignment horizontal="center" vertical="center" wrapText="1"/>
      <protection locked="0"/>
    </xf>
    <xf numFmtId="0" fontId="5" fillId="0" borderId="15"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13" fillId="0" borderId="20" xfId="0" applyFont="1" applyBorder="1" applyAlignment="1" applyProtection="1">
      <alignment horizontal="center" vertical="center"/>
      <protection locked="0"/>
    </xf>
    <xf numFmtId="0" fontId="13" fillId="0" borderId="21" xfId="0" applyFont="1" applyBorder="1" applyAlignment="1" applyProtection="1">
      <alignment horizontal="center" vertical="center"/>
      <protection locked="0"/>
    </xf>
    <xf numFmtId="0" fontId="7" fillId="0" borderId="10" xfId="0" applyFont="1" applyBorder="1" applyAlignment="1" applyProtection="1">
      <alignment horizontal="left" vertical="center" wrapText="1" indent="2"/>
      <protection locked="0"/>
    </xf>
    <xf numFmtId="0" fontId="7" fillId="0" borderId="11" xfId="0" applyFont="1" applyBorder="1" applyAlignment="1" applyProtection="1">
      <alignment horizontal="left" vertical="center" wrapText="1" indent="2"/>
      <protection locked="0"/>
    </xf>
    <xf numFmtId="0" fontId="7" fillId="0" borderId="14" xfId="0" applyFont="1" applyBorder="1" applyAlignment="1" applyProtection="1">
      <alignment horizontal="center" vertical="center"/>
      <protection locked="0"/>
    </xf>
    <xf numFmtId="0" fontId="7" fillId="0" borderId="16" xfId="0" applyFont="1" applyBorder="1" applyAlignment="1" applyProtection="1">
      <alignment horizontal="center" vertical="center"/>
      <protection locked="0"/>
    </xf>
    <xf numFmtId="49" fontId="17" fillId="0" borderId="14" xfId="0" applyNumberFormat="1" applyFont="1" applyBorder="1" applyAlignment="1" applyProtection="1">
      <alignment horizontal="center" vertical="center"/>
      <protection locked="0"/>
    </xf>
    <xf numFmtId="49" fontId="17" fillId="0" borderId="15" xfId="0" applyNumberFormat="1" applyFont="1" applyBorder="1" applyAlignment="1" applyProtection="1">
      <alignment horizontal="center" vertical="center"/>
      <protection locked="0"/>
    </xf>
    <xf numFmtId="49" fontId="17" fillId="0" borderId="16" xfId="0" applyNumberFormat="1" applyFont="1" applyBorder="1" applyAlignment="1" applyProtection="1">
      <alignment horizontal="center" vertical="center"/>
      <protection locked="0"/>
    </xf>
    <xf numFmtId="49" fontId="17" fillId="0" borderId="19" xfId="0" applyNumberFormat="1" applyFont="1" applyBorder="1" applyAlignment="1" applyProtection="1">
      <alignment horizontal="center" vertical="center"/>
      <protection locked="0"/>
    </xf>
    <xf numFmtId="49" fontId="17" fillId="0" borderId="20" xfId="0" applyNumberFormat="1" applyFont="1" applyBorder="1" applyAlignment="1" applyProtection="1">
      <alignment horizontal="center" vertical="center"/>
      <protection locked="0"/>
    </xf>
    <xf numFmtId="49" fontId="17" fillId="0" borderId="21" xfId="0" applyNumberFormat="1" applyFont="1" applyBorder="1" applyAlignment="1" applyProtection="1">
      <alignment horizontal="center" vertical="center"/>
      <protection locked="0"/>
    </xf>
    <xf numFmtId="167" fontId="7" fillId="0" borderId="9" xfId="10" applyNumberFormat="1" applyFont="1" applyFill="1" applyBorder="1" applyAlignment="1">
      <alignment horizontal="left" vertical="center"/>
    </xf>
    <xf numFmtId="0" fontId="11" fillId="0" borderId="22" xfId="0" applyFont="1" applyBorder="1" applyAlignment="1" applyProtection="1">
      <alignment horizontal="center" vertical="center" wrapText="1"/>
      <protection locked="0"/>
    </xf>
    <xf numFmtId="0" fontId="11" fillId="0" borderId="13" xfId="0" applyFont="1" applyBorder="1" applyAlignment="1" applyProtection="1">
      <alignment horizontal="center" vertical="center" wrapText="1"/>
      <protection locked="0"/>
    </xf>
    <xf numFmtId="0" fontId="11" fillId="0" borderId="17" xfId="7" applyFont="1" applyBorder="1" applyAlignment="1">
      <alignment horizontal="center"/>
    </xf>
    <xf numFmtId="0" fontId="11" fillId="0" borderId="0" xfId="7" applyFont="1" applyAlignment="1">
      <alignment horizontal="center"/>
    </xf>
    <xf numFmtId="0" fontId="7" fillId="4" borderId="6" xfId="4" applyFont="1" applyFill="1" applyBorder="1" applyAlignment="1">
      <alignment horizontal="center" vertical="center" wrapText="1"/>
    </xf>
    <xf numFmtId="0" fontId="7" fillId="4" borderId="7" xfId="4" applyFont="1" applyFill="1" applyBorder="1" applyAlignment="1">
      <alignment horizontal="center" vertical="center" wrapText="1"/>
    </xf>
    <xf numFmtId="0" fontId="7" fillId="4" borderId="8" xfId="4" applyFont="1" applyFill="1" applyBorder="1" applyAlignment="1">
      <alignment horizontal="center" vertical="center" wrapText="1"/>
    </xf>
    <xf numFmtId="14" fontId="14" fillId="0" borderId="14" xfId="0" applyNumberFormat="1" applyFont="1" applyBorder="1" applyAlignment="1" applyProtection="1">
      <alignment horizontal="center" vertical="center"/>
      <protection locked="0"/>
    </xf>
    <xf numFmtId="14" fontId="14" fillId="0" borderId="15" xfId="0" applyNumberFormat="1" applyFont="1" applyBorder="1" applyAlignment="1" applyProtection="1">
      <alignment horizontal="center" vertical="center"/>
      <protection locked="0"/>
    </xf>
    <xf numFmtId="14" fontId="14" fillId="0" borderId="16" xfId="0" applyNumberFormat="1" applyFont="1" applyBorder="1" applyAlignment="1" applyProtection="1">
      <alignment horizontal="center" vertical="center"/>
      <protection locked="0"/>
    </xf>
    <xf numFmtId="14" fontId="14" fillId="0" borderId="19" xfId="0" applyNumberFormat="1" applyFont="1" applyBorder="1" applyAlignment="1" applyProtection="1">
      <alignment horizontal="center" vertical="center"/>
      <protection locked="0"/>
    </xf>
    <xf numFmtId="14" fontId="14" fillId="0" borderId="20" xfId="0" applyNumberFormat="1" applyFont="1" applyBorder="1" applyAlignment="1" applyProtection="1">
      <alignment horizontal="center" vertical="center"/>
      <protection locked="0"/>
    </xf>
    <xf numFmtId="14" fontId="14" fillId="0" borderId="21" xfId="0" applyNumberFormat="1" applyFont="1" applyBorder="1" applyAlignment="1" applyProtection="1">
      <alignment horizontal="center" vertical="center"/>
      <protection locked="0"/>
    </xf>
    <xf numFmtId="0" fontId="11" fillId="0" borderId="14" xfId="0" applyFont="1" applyBorder="1" applyAlignment="1" applyProtection="1">
      <alignment horizontal="center" vertical="center"/>
      <protection locked="0"/>
    </xf>
    <xf numFmtId="0" fontId="11" fillId="0" borderId="16" xfId="0" applyFont="1" applyBorder="1" applyAlignment="1" applyProtection="1">
      <alignment horizontal="center" vertical="center"/>
      <protection locked="0"/>
    </xf>
    <xf numFmtId="14" fontId="18" fillId="0" borderId="19" xfId="0" applyNumberFormat="1" applyFont="1" applyBorder="1" applyAlignment="1" applyProtection="1">
      <alignment horizontal="center" vertical="center"/>
      <protection locked="0"/>
    </xf>
    <xf numFmtId="0" fontId="18" fillId="0" borderId="21" xfId="0" applyFont="1" applyBorder="1" applyAlignment="1" applyProtection="1">
      <alignment horizontal="center" vertical="center"/>
      <protection locked="0"/>
    </xf>
    <xf numFmtId="0" fontId="49" fillId="0" borderId="11" xfId="6" quotePrefix="1" applyFont="1" applyBorder="1" applyAlignment="1" applyProtection="1">
      <alignment horizontal="center" vertical="center"/>
      <protection locked="0"/>
    </xf>
    <xf numFmtId="0" fontId="49" fillId="0" borderId="11" xfId="6" applyFont="1" applyBorder="1" applyAlignment="1" applyProtection="1">
      <alignment horizontal="center" vertical="center"/>
      <protection locked="0"/>
    </xf>
    <xf numFmtId="167" fontId="7" fillId="4" borderId="9" xfId="10" applyNumberFormat="1" applyFont="1" applyFill="1" applyBorder="1" applyAlignment="1">
      <alignment horizontal="center" vertical="center"/>
    </xf>
    <xf numFmtId="165" fontId="11" fillId="0" borderId="22" xfId="2" applyNumberFormat="1" applyFont="1" applyFill="1" applyBorder="1" applyAlignment="1" applyProtection="1">
      <alignment horizontal="center" vertical="center" wrapText="1"/>
      <protection locked="0"/>
    </xf>
    <xf numFmtId="165" fontId="11" fillId="0" borderId="13" xfId="2" applyNumberFormat="1" applyFont="1" applyFill="1" applyBorder="1" applyAlignment="1" applyProtection="1">
      <alignment horizontal="center" vertical="center" wrapText="1"/>
      <protection locked="0"/>
    </xf>
    <xf numFmtId="0" fontId="19" fillId="0" borderId="10" xfId="0" applyFont="1" applyBorder="1" applyAlignment="1" applyProtection="1">
      <alignment horizontal="left" vertical="top" wrapText="1"/>
      <protection locked="0"/>
    </xf>
    <xf numFmtId="0" fontId="11" fillId="0" borderId="11" xfId="0" applyFont="1" applyBorder="1" applyAlignment="1" applyProtection="1">
      <alignment horizontal="left" vertical="top"/>
      <protection locked="0"/>
    </xf>
    <xf numFmtId="0" fontId="11" fillId="0" borderId="13" xfId="0" applyFont="1" applyBorder="1" applyAlignment="1" applyProtection="1">
      <alignment horizontal="left" vertical="top"/>
      <protection locked="0"/>
    </xf>
    <xf numFmtId="0" fontId="7" fillId="0" borderId="24" xfId="0" applyFont="1" applyBorder="1" applyAlignment="1" applyProtection="1">
      <alignment horizontal="left"/>
      <protection locked="0"/>
    </xf>
    <xf numFmtId="0" fontId="7" fillId="0" borderId="25" xfId="0" applyFont="1" applyBorder="1" applyAlignment="1" applyProtection="1">
      <alignment horizontal="left"/>
      <protection locked="0"/>
    </xf>
    <xf numFmtId="0" fontId="7" fillId="0" borderId="26" xfId="0" applyFont="1" applyBorder="1" applyAlignment="1" applyProtection="1">
      <alignment horizontal="left"/>
      <protection locked="0"/>
    </xf>
    <xf numFmtId="0" fontId="11" fillId="0" borderId="19" xfId="0" applyFont="1" applyBorder="1" applyAlignment="1" applyProtection="1">
      <alignment horizontal="left" vertical="top" wrapText="1"/>
      <protection locked="0"/>
    </xf>
    <xf numFmtId="0" fontId="11" fillId="0" borderId="20" xfId="0" applyFont="1" applyBorder="1" applyAlignment="1" applyProtection="1">
      <alignment horizontal="left" vertical="top"/>
      <protection locked="0"/>
    </xf>
    <xf numFmtId="0" fontId="11" fillId="0" borderId="21" xfId="0" applyFont="1" applyBorder="1" applyAlignment="1" applyProtection="1">
      <alignment horizontal="left" vertical="top"/>
      <protection locked="0"/>
    </xf>
    <xf numFmtId="165" fontId="11" fillId="0" borderId="0" xfId="2" applyNumberFormat="1" applyFont="1" applyFill="1" applyBorder="1" applyAlignment="1">
      <alignment horizontal="center"/>
    </xf>
    <xf numFmtId="0" fontId="11" fillId="0" borderId="0" xfId="0" applyFont="1" applyAlignment="1">
      <alignment horizontal="left"/>
    </xf>
    <xf numFmtId="0" fontId="7" fillId="4" borderId="9" xfId="4" applyFont="1" applyFill="1" applyBorder="1" applyAlignment="1">
      <alignment horizontal="center"/>
    </xf>
    <xf numFmtId="0" fontId="18" fillId="0" borderId="0" xfId="0" applyFont="1" applyAlignment="1" applyProtection="1">
      <alignment vertical="center" wrapText="1"/>
      <protection locked="0"/>
    </xf>
    <xf numFmtId="0" fontId="22" fillId="0" borderId="0" xfId="1" applyFont="1" applyAlignment="1">
      <alignment horizontal="right"/>
    </xf>
    <xf numFmtId="0" fontId="22" fillId="0" borderId="35" xfId="1" applyFont="1" applyBorder="1" applyAlignment="1">
      <alignment horizontal="right"/>
    </xf>
    <xf numFmtId="0" fontId="11" fillId="0" borderId="0" xfId="0" applyFont="1" applyAlignment="1">
      <alignment horizontal="left" wrapText="1"/>
    </xf>
    <xf numFmtId="165" fontId="11" fillId="0" borderId="0" xfId="2" applyNumberFormat="1" applyFont="1" applyFill="1" applyBorder="1" applyAlignment="1">
      <alignment horizontal="center" wrapText="1"/>
    </xf>
    <xf numFmtId="0" fontId="11" fillId="0" borderId="0" xfId="0" applyFont="1" applyAlignment="1">
      <alignment horizontal="center"/>
    </xf>
    <xf numFmtId="167" fontId="7" fillId="4" borderId="9" xfId="10" applyNumberFormat="1" applyFont="1" applyFill="1" applyBorder="1" applyAlignment="1">
      <alignment horizontal="center" vertical="center" wrapText="1"/>
    </xf>
    <xf numFmtId="9" fontId="11" fillId="0" borderId="9" xfId="0" applyNumberFormat="1" applyFont="1" applyBorder="1" applyAlignment="1">
      <alignment horizontal="center" vertical="center"/>
    </xf>
    <xf numFmtId="167" fontId="11" fillId="0" borderId="9" xfId="10" applyNumberFormat="1" applyFont="1" applyFill="1" applyBorder="1" applyAlignment="1">
      <alignment horizontal="center" vertical="center"/>
    </xf>
    <xf numFmtId="0" fontId="18" fillId="0" borderId="27" xfId="0" applyFont="1" applyBorder="1" applyAlignment="1" applyProtection="1">
      <alignment horizontal="left" vertical="top"/>
      <protection locked="0"/>
    </xf>
    <xf numFmtId="0" fontId="18" fillId="0" borderId="7" xfId="0" applyFont="1" applyBorder="1" applyAlignment="1" applyProtection="1">
      <alignment horizontal="left" vertical="top"/>
      <protection locked="0"/>
    </xf>
    <xf numFmtId="0" fontId="18" fillId="0" borderId="28" xfId="0" applyFont="1" applyBorder="1" applyAlignment="1" applyProtection="1">
      <alignment horizontal="left" vertical="top"/>
      <protection locked="0"/>
    </xf>
    <xf numFmtId="0" fontId="18" fillId="0" borderId="34" xfId="1" applyFont="1" applyBorder="1" applyAlignment="1">
      <alignment horizontal="left"/>
    </xf>
    <xf numFmtId="0" fontId="18" fillId="0" borderId="0" xfId="1" applyFont="1" applyAlignment="1">
      <alignment horizontal="left"/>
    </xf>
    <xf numFmtId="0" fontId="18" fillId="0" borderId="6" xfId="1" applyFont="1" applyBorder="1" applyAlignment="1">
      <alignment horizontal="left"/>
    </xf>
    <xf numFmtId="0" fontId="18" fillId="0" borderId="7" xfId="1" applyFont="1" applyBorder="1" applyAlignment="1">
      <alignment horizontal="left"/>
    </xf>
    <xf numFmtId="0" fontId="22" fillId="4" borderId="3" xfId="1" applyFont="1" applyFill="1" applyBorder="1" applyAlignment="1">
      <alignment horizontal="right"/>
    </xf>
    <xf numFmtId="0" fontId="22" fillId="4" borderId="5" xfId="1" applyFont="1" applyFill="1" applyBorder="1" applyAlignment="1">
      <alignment horizontal="right"/>
    </xf>
    <xf numFmtId="0" fontId="22" fillId="4" borderId="30" xfId="1" applyFont="1" applyFill="1" applyBorder="1" applyAlignment="1">
      <alignment horizontal="right"/>
    </xf>
    <xf numFmtId="0" fontId="22" fillId="4" borderId="2" xfId="1" applyFont="1" applyFill="1" applyBorder="1" applyAlignment="1">
      <alignment horizontal="right"/>
    </xf>
    <xf numFmtId="167" fontId="11" fillId="0" borderId="9" xfId="10" applyNumberFormat="1" applyFont="1" applyFill="1" applyBorder="1" applyAlignment="1">
      <alignment horizontal="left" vertical="center"/>
    </xf>
    <xf numFmtId="0" fontId="18" fillId="0" borderId="0" xfId="1" applyFont="1" applyAlignment="1">
      <alignment horizontal="right"/>
    </xf>
    <xf numFmtId="0" fontId="51" fillId="0" borderId="34" xfId="1" applyFont="1" applyBorder="1" applyAlignment="1">
      <alignment horizontal="left" vertical="center"/>
    </xf>
    <xf numFmtId="0" fontId="51" fillId="0" borderId="0" xfId="1" applyFont="1" applyAlignment="1">
      <alignment horizontal="left" vertical="center"/>
    </xf>
    <xf numFmtId="0" fontId="18" fillId="0" borderId="30" xfId="1" applyFont="1" applyBorder="1" applyAlignment="1">
      <alignment horizontal="left"/>
    </xf>
    <xf numFmtId="0" fontId="18" fillId="0" borderId="2" xfId="1" applyFont="1" applyBorder="1" applyAlignment="1">
      <alignment horizontal="left"/>
    </xf>
    <xf numFmtId="0" fontId="7" fillId="4" borderId="9" xfId="0" applyFont="1" applyFill="1" applyBorder="1" applyAlignment="1">
      <alignment horizontal="center" vertical="center"/>
    </xf>
    <xf numFmtId="0" fontId="5" fillId="0" borderId="17" xfId="0" applyFont="1" applyBorder="1" applyAlignment="1" applyProtection="1">
      <alignment horizontal="right"/>
      <protection locked="0"/>
    </xf>
    <xf numFmtId="0" fontId="5" fillId="0" borderId="0" xfId="0" applyFont="1" applyAlignment="1" applyProtection="1">
      <alignment horizontal="right"/>
      <protection locked="0"/>
    </xf>
    <xf numFmtId="0" fontId="7" fillId="4" borderId="29"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1" fillId="4" borderId="35" xfId="0" applyFont="1" applyFill="1" applyBorder="1" applyAlignment="1">
      <alignment horizontal="center" vertical="center" wrapText="1"/>
    </xf>
    <xf numFmtId="0" fontId="11" fillId="4" borderId="40"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27" xfId="0" applyFont="1" applyFill="1" applyBorder="1" applyAlignment="1">
      <alignment horizontal="center"/>
    </xf>
    <xf numFmtId="0" fontId="11" fillId="4" borderId="8" xfId="0" applyFont="1" applyFill="1" applyBorder="1" applyAlignment="1">
      <alignment horizontal="center"/>
    </xf>
    <xf numFmtId="0" fontId="7" fillId="4" borderId="31"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6" xfId="0" applyFont="1" applyFill="1" applyBorder="1" applyAlignment="1">
      <alignment horizontal="center"/>
    </xf>
    <xf numFmtId="0" fontId="7" fillId="4" borderId="7" xfId="0" applyFont="1" applyFill="1" applyBorder="1" applyAlignment="1">
      <alignment horizontal="center"/>
    </xf>
    <xf numFmtId="0" fontId="7" fillId="4" borderId="8" xfId="0" applyFont="1" applyFill="1" applyBorder="1" applyAlignment="1">
      <alignment horizontal="center"/>
    </xf>
    <xf numFmtId="10" fontId="11" fillId="4" borderId="36" xfId="0" applyNumberFormat="1" applyFont="1" applyFill="1" applyBorder="1" applyAlignment="1">
      <alignment horizontal="center" vertical="center"/>
    </xf>
    <xf numFmtId="10" fontId="11" fillId="4" borderId="37" xfId="0" applyNumberFormat="1" applyFont="1" applyFill="1" applyBorder="1" applyAlignment="1">
      <alignment horizontal="center" vertical="center"/>
    </xf>
    <xf numFmtId="9" fontId="11" fillId="4" borderId="36" xfId="0" applyNumberFormat="1" applyFont="1" applyFill="1" applyBorder="1" applyAlignment="1">
      <alignment horizontal="center" vertical="center"/>
    </xf>
    <xf numFmtId="9" fontId="11" fillId="4" borderId="37" xfId="0" applyNumberFormat="1" applyFont="1" applyFill="1" applyBorder="1" applyAlignment="1">
      <alignment horizontal="center" vertical="center"/>
    </xf>
    <xf numFmtId="0" fontId="11" fillId="4" borderId="36" xfId="0" applyFont="1" applyFill="1" applyBorder="1" applyAlignment="1">
      <alignment horizontal="center" vertical="center"/>
    </xf>
    <xf numFmtId="0" fontId="11" fillId="4" borderId="37" xfId="0" applyFont="1" applyFill="1" applyBorder="1" applyAlignment="1">
      <alignment horizontal="center" vertical="center"/>
    </xf>
    <xf numFmtId="0" fontId="7" fillId="0" borderId="6" xfId="15" applyFont="1" applyBorder="1" applyAlignment="1">
      <alignment horizontal="left" vertical="center"/>
    </xf>
    <xf numFmtId="0" fontId="7" fillId="0" borderId="8" xfId="15" applyFont="1" applyBorder="1" applyAlignment="1">
      <alignment horizontal="left" vertical="center"/>
    </xf>
    <xf numFmtId="0" fontId="7" fillId="0" borderId="9" xfId="15" applyFont="1" applyBorder="1" applyAlignment="1">
      <alignment vertical="center"/>
    </xf>
    <xf numFmtId="0" fontId="7" fillId="0" borderId="0" xfId="0" applyFont="1" applyAlignment="1">
      <alignment horizontal="center"/>
    </xf>
    <xf numFmtId="49" fontId="11" fillId="0" borderId="64" xfId="15" applyNumberFormat="1" applyFont="1" applyBorder="1" applyAlignment="1" applyProtection="1">
      <alignment horizontal="left" vertical="center"/>
      <protection locked="0"/>
    </xf>
    <xf numFmtId="49" fontId="11" fillId="0" borderId="48" xfId="15" applyNumberFormat="1" applyFont="1" applyBorder="1" applyAlignment="1" applyProtection="1">
      <alignment horizontal="left" vertical="center"/>
      <protection locked="0"/>
    </xf>
    <xf numFmtId="49" fontId="11" fillId="0" borderId="63" xfId="15" applyNumberFormat="1" applyFont="1" applyBorder="1" applyAlignment="1" applyProtection="1">
      <alignment horizontal="left" vertical="center"/>
      <protection locked="0"/>
    </xf>
    <xf numFmtId="49" fontId="11" fillId="0" borderId="43" xfId="15" applyNumberFormat="1" applyFont="1" applyBorder="1" applyAlignment="1" applyProtection="1">
      <alignment horizontal="left" vertical="center"/>
      <protection locked="0"/>
    </xf>
    <xf numFmtId="49" fontId="11" fillId="0" borderId="50" xfId="15" applyNumberFormat="1" applyFont="1" applyBorder="1" applyAlignment="1" applyProtection="1">
      <alignment horizontal="left" vertical="center"/>
      <protection locked="0"/>
    </xf>
    <xf numFmtId="49" fontId="11" fillId="0" borderId="55" xfId="15" applyNumberFormat="1" applyFont="1" applyBorder="1" applyAlignment="1" applyProtection="1">
      <alignment horizontal="left" vertical="center"/>
      <protection locked="0"/>
    </xf>
    <xf numFmtId="49" fontId="11" fillId="0" borderId="65" xfId="15" applyNumberFormat="1" applyFont="1" applyBorder="1" applyAlignment="1" applyProtection="1">
      <alignment horizontal="left" vertical="center"/>
      <protection locked="0"/>
    </xf>
    <xf numFmtId="49" fontId="11" fillId="0" borderId="51" xfId="15" applyNumberFormat="1" applyFont="1" applyBorder="1" applyAlignment="1" applyProtection="1">
      <alignment horizontal="left" vertical="center"/>
      <protection locked="0"/>
    </xf>
    <xf numFmtId="49" fontId="11" fillId="0" borderId="66" xfId="15" applyNumberFormat="1" applyFont="1" applyBorder="1" applyAlignment="1" applyProtection="1">
      <alignment horizontal="left" vertical="center"/>
      <protection locked="0"/>
    </xf>
    <xf numFmtId="4" fontId="37" fillId="4" borderId="31" xfId="0" applyNumberFormat="1" applyFont="1" applyFill="1" applyBorder="1" applyAlignment="1">
      <alignment horizontal="left"/>
    </xf>
    <xf numFmtId="4" fontId="37" fillId="4" borderId="9" xfId="0" applyNumberFormat="1" applyFont="1" applyFill="1" applyBorder="1" applyAlignment="1">
      <alignment horizontal="left"/>
    </xf>
    <xf numFmtId="4" fontId="37" fillId="4" borderId="44" xfId="0" applyNumberFormat="1" applyFont="1" applyFill="1" applyBorder="1" applyAlignment="1">
      <alignment horizontal="left"/>
    </xf>
    <xf numFmtId="0" fontId="20" fillId="4" borderId="17" xfId="0" applyFont="1" applyFill="1" applyBorder="1" applyAlignment="1">
      <alignment horizontal="center"/>
    </xf>
    <xf numFmtId="0" fontId="20" fillId="4" borderId="0" xfId="0" applyFont="1" applyFill="1" applyAlignment="1">
      <alignment horizontal="center"/>
    </xf>
    <xf numFmtId="0" fontId="20" fillId="4" borderId="18" xfId="0" applyFont="1" applyFill="1" applyBorder="1" applyAlignment="1">
      <alignment horizontal="center"/>
    </xf>
    <xf numFmtId="0" fontId="20" fillId="4" borderId="40" xfId="0" applyFont="1" applyFill="1" applyBorder="1" applyAlignment="1">
      <alignment horizontal="center"/>
    </xf>
    <xf numFmtId="0" fontId="20" fillId="4" borderId="5" xfId="0" applyFont="1" applyFill="1" applyBorder="1" applyAlignment="1">
      <alignment horizontal="center"/>
    </xf>
    <xf numFmtId="0" fontId="20" fillId="4" borderId="39" xfId="0" applyFont="1" applyFill="1" applyBorder="1" applyAlignment="1">
      <alignment horizontal="center"/>
    </xf>
    <xf numFmtId="4" fontId="37" fillId="4" borderId="29" xfId="0" applyNumberFormat="1" applyFont="1" applyFill="1" applyBorder="1" applyAlignment="1">
      <alignment horizontal="left"/>
    </xf>
    <xf numFmtId="4" fontId="37" fillId="4" borderId="2" xfId="0" applyNumberFormat="1" applyFont="1" applyFill="1" applyBorder="1" applyAlignment="1">
      <alignment horizontal="left"/>
    </xf>
    <xf numFmtId="4" fontId="37" fillId="4" borderId="38" xfId="0" applyNumberFormat="1" applyFont="1" applyFill="1" applyBorder="1" applyAlignment="1">
      <alignment horizontal="left"/>
    </xf>
    <xf numFmtId="0" fontId="42" fillId="0" borderId="17" xfId="0" applyFont="1" applyBorder="1" applyAlignment="1">
      <alignment horizontal="left" vertical="center" wrapText="1"/>
    </xf>
    <xf numFmtId="0" fontId="42" fillId="0" borderId="0" xfId="0" applyFont="1" applyAlignment="1">
      <alignment horizontal="left" vertical="center" wrapText="1"/>
    </xf>
    <xf numFmtId="0" fontId="42" fillId="0" borderId="18" xfId="0" applyFont="1" applyBorder="1" applyAlignment="1">
      <alignment horizontal="left" vertical="center" wrapText="1"/>
    </xf>
    <xf numFmtId="4" fontId="44" fillId="4" borderId="31" xfId="0" quotePrefix="1" applyNumberFormat="1" applyFont="1" applyFill="1" applyBorder="1" applyAlignment="1">
      <alignment horizontal="left" vertical="center" wrapText="1"/>
    </xf>
    <xf numFmtId="4" fontId="44" fillId="4" borderId="9" xfId="0" quotePrefix="1" applyNumberFormat="1" applyFont="1" applyFill="1" applyBorder="1" applyAlignment="1">
      <alignment horizontal="left" vertical="center" wrapText="1"/>
    </xf>
    <xf numFmtId="4" fontId="44" fillId="4" borderId="44" xfId="0" quotePrefix="1" applyNumberFormat="1" applyFont="1" applyFill="1" applyBorder="1" applyAlignment="1">
      <alignment horizontal="left" vertical="center" wrapText="1"/>
    </xf>
    <xf numFmtId="0" fontId="39" fillId="0" borderId="17" xfId="0" applyFont="1" applyBorder="1" applyAlignment="1">
      <alignment vertical="center" wrapText="1"/>
    </xf>
    <xf numFmtId="0" fontId="39" fillId="0" borderId="0" xfId="0" applyFont="1" applyAlignment="1">
      <alignment vertical="center" wrapText="1"/>
    </xf>
    <xf numFmtId="0" fontId="39" fillId="0" borderId="18" xfId="0" applyFont="1" applyBorder="1" applyAlignment="1">
      <alignment vertical="center" wrapText="1"/>
    </xf>
    <xf numFmtId="0" fontId="39" fillId="0" borderId="17" xfId="0" applyFont="1" applyBorder="1" applyAlignment="1">
      <alignment horizontal="left" wrapText="1"/>
    </xf>
    <xf numFmtId="0" fontId="39" fillId="0" borderId="0" xfId="0" applyFont="1" applyAlignment="1">
      <alignment horizontal="left" wrapText="1"/>
    </xf>
    <xf numFmtId="0" fontId="39" fillId="0" borderId="18" xfId="0" applyFont="1" applyBorder="1" applyAlignment="1">
      <alignment horizontal="left" wrapText="1"/>
    </xf>
    <xf numFmtId="0" fontId="39" fillId="0" borderId="17" xfId="0" applyFont="1" applyBorder="1" applyAlignment="1">
      <alignment horizontal="left" vertical="center" wrapText="1"/>
    </xf>
    <xf numFmtId="0" fontId="39" fillId="0" borderId="0" xfId="0" applyFont="1" applyAlignment="1">
      <alignment horizontal="left" vertical="center" wrapText="1"/>
    </xf>
    <xf numFmtId="0" fontId="39" fillId="0" borderId="18" xfId="0" applyFont="1" applyBorder="1" applyAlignment="1">
      <alignment horizontal="left" vertical="center" wrapText="1"/>
    </xf>
    <xf numFmtId="14" fontId="18" fillId="0" borderId="69" xfId="0" applyNumberFormat="1" applyFont="1" applyBorder="1" applyAlignment="1" applyProtection="1">
      <alignment horizontal="center"/>
      <protection locked="0"/>
    </xf>
    <xf numFmtId="0" fontId="0" fillId="0" borderId="9" xfId="0" quotePrefix="1" applyBorder="1" applyAlignment="1"/>
    <xf numFmtId="0" fontId="7" fillId="0" borderId="15" xfId="0" applyFont="1" applyBorder="1" applyAlignment="1" applyProtection="1">
      <alignment horizontal="left"/>
      <protection locked="0"/>
    </xf>
    <xf numFmtId="0" fontId="7" fillId="0" borderId="16" xfId="0" applyFont="1" applyBorder="1" applyAlignment="1" applyProtection="1">
      <alignment horizontal="left"/>
      <protection locked="0"/>
    </xf>
    <xf numFmtId="0" fontId="22" fillId="0" borderId="0" xfId="1" applyFont="1" applyAlignment="1"/>
  </cellXfs>
  <cellStyles count="17">
    <cellStyle name="Lien hypertexte" xfId="6" builtinId="8"/>
    <cellStyle name="Milliers" xfId="2" builtinId="3"/>
    <cellStyle name="Milliers 2" xfId="10" xr:uid="{00000000-0005-0000-0000-000002000000}"/>
    <cellStyle name="NiveauLigne_1" xfId="1" builtinId="1" iLevel="0"/>
    <cellStyle name="NiveauLigne_4 2" xfId="13" xr:uid="{00000000-0005-0000-0000-000004000000}"/>
    <cellStyle name="Normal" xfId="0" builtinId="0"/>
    <cellStyle name="Normal 2" xfId="4" xr:uid="{00000000-0005-0000-0000-000006000000}"/>
    <cellStyle name="Normal 3" xfId="14" xr:uid="{00000000-0005-0000-0000-000007000000}"/>
    <cellStyle name="Normal 4" xfId="7" xr:uid="{00000000-0005-0000-0000-000008000000}"/>
    <cellStyle name="Normal 5" xfId="11" xr:uid="{00000000-0005-0000-0000-000009000000}"/>
    <cellStyle name="Normal 8" xfId="9" xr:uid="{00000000-0005-0000-0000-00000A000000}"/>
    <cellStyle name="Normal_Intelsat 311205 - Personnel" xfId="16" xr:uid="{00000000-0005-0000-0000-00000B000000}"/>
    <cellStyle name="Normal_IS-04-A2E" xfId="15" xr:uid="{00000000-0005-0000-0000-00000C000000}"/>
    <cellStyle name="Pourcentage" xfId="3" builtinId="5"/>
    <cellStyle name="Pourcentage 2" xfId="12" xr:uid="{00000000-0005-0000-0000-00000E000000}"/>
    <cellStyle name="Pourcentage 3" xfId="8" xr:uid="{00000000-0005-0000-0000-00000F000000}"/>
    <cellStyle name="Texte de fond" xfId="5" xr:uid="{00000000-0005-0000-0000-000010000000}"/>
  </cellStyles>
  <dxfs count="0"/>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95967</xdr:colOff>
      <xdr:row>22</xdr:row>
      <xdr:rowOff>63874</xdr:rowOff>
    </xdr:from>
    <xdr:to>
      <xdr:col>8</xdr:col>
      <xdr:colOff>874059</xdr:colOff>
      <xdr:row>23</xdr:row>
      <xdr:rowOff>168089</xdr:rowOff>
    </xdr:to>
    <xdr:sp macro="" textlink="">
      <xdr:nvSpPr>
        <xdr:cNvPr id="2" name="Accolade ouvrante 1">
          <a:extLst>
            <a:ext uri="{FF2B5EF4-FFF2-40B4-BE49-F238E27FC236}">
              <a16:creationId xmlns:a16="http://schemas.microsoft.com/office/drawing/2014/main" id="{00000000-0008-0000-0200-000002000000}"/>
            </a:ext>
          </a:extLst>
        </xdr:cNvPr>
        <xdr:cNvSpPr/>
      </xdr:nvSpPr>
      <xdr:spPr>
        <a:xfrm rot="10800000">
          <a:off x="8590026" y="6507256"/>
          <a:ext cx="778092" cy="29471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17</xdr:row>
      <xdr:rowOff>47626</xdr:rowOff>
    </xdr:from>
    <xdr:to>
      <xdr:col>2</xdr:col>
      <xdr:colOff>942975</xdr:colOff>
      <xdr:row>21</xdr:row>
      <xdr:rowOff>85725</xdr:rowOff>
    </xdr:to>
    <xdr:cxnSp macro="">
      <xdr:nvCxnSpPr>
        <xdr:cNvPr id="5" name="Connecteur droit avec flèche 4">
          <a:extLst>
            <a:ext uri="{FF2B5EF4-FFF2-40B4-BE49-F238E27FC236}">
              <a16:creationId xmlns:a16="http://schemas.microsoft.com/office/drawing/2014/main" id="{00000000-0008-0000-0400-000005000000}"/>
            </a:ext>
          </a:extLst>
        </xdr:cNvPr>
        <xdr:cNvCxnSpPr/>
      </xdr:nvCxnSpPr>
      <xdr:spPr>
        <a:xfrm flipV="1">
          <a:off x="1019175" y="5400676"/>
          <a:ext cx="1885950" cy="8096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581025</xdr:colOff>
      <xdr:row>19</xdr:row>
      <xdr:rowOff>0</xdr:rowOff>
    </xdr:from>
    <xdr:to>
      <xdr:col>2</xdr:col>
      <xdr:colOff>760476</xdr:colOff>
      <xdr:row>21</xdr:row>
      <xdr:rowOff>11906</xdr:rowOff>
    </xdr:to>
    <xdr:cxnSp macro="">
      <xdr:nvCxnSpPr>
        <xdr:cNvPr id="2" name="Connecteur droit avec flèche 1">
          <a:extLst>
            <a:ext uri="{FF2B5EF4-FFF2-40B4-BE49-F238E27FC236}">
              <a16:creationId xmlns:a16="http://schemas.microsoft.com/office/drawing/2014/main" id="{00000000-0008-0000-0500-000002000000}"/>
            </a:ext>
          </a:extLst>
        </xdr:cNvPr>
        <xdr:cNvCxnSpPr>
          <a:endCxn id="7" idx="1"/>
        </xdr:cNvCxnSpPr>
      </xdr:nvCxnSpPr>
      <xdr:spPr>
        <a:xfrm>
          <a:off x="3857625" y="5762625"/>
          <a:ext cx="179451" cy="392906"/>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760476</xdr:colOff>
      <xdr:row>19</xdr:row>
      <xdr:rowOff>61912</xdr:rowOff>
    </xdr:from>
    <xdr:to>
      <xdr:col>2</xdr:col>
      <xdr:colOff>962026</xdr:colOff>
      <xdr:row>22</xdr:row>
      <xdr:rowOff>152400</xdr:rowOff>
    </xdr:to>
    <xdr:sp macro="" textlink="">
      <xdr:nvSpPr>
        <xdr:cNvPr id="7" name="Accolade ouvrante 6">
          <a:extLst>
            <a:ext uri="{FF2B5EF4-FFF2-40B4-BE49-F238E27FC236}">
              <a16:creationId xmlns:a16="http://schemas.microsoft.com/office/drawing/2014/main" id="{00000000-0008-0000-0500-000007000000}"/>
            </a:ext>
          </a:extLst>
        </xdr:cNvPr>
        <xdr:cNvSpPr/>
      </xdr:nvSpPr>
      <xdr:spPr>
        <a:xfrm>
          <a:off x="4037076" y="5824537"/>
          <a:ext cx="201550" cy="661988"/>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fr-FR" sz="11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504825</xdr:colOff>
          <xdr:row>17</xdr:row>
          <xdr:rowOff>276225</xdr:rowOff>
        </xdr:from>
        <xdr:to>
          <xdr:col>14</xdr:col>
          <xdr:colOff>571500</xdr:colOff>
          <xdr:row>17</xdr:row>
          <xdr:rowOff>1000125</xdr:rowOff>
        </xdr:to>
        <xdr:sp macro="" textlink="">
          <xdr:nvSpPr>
            <xdr:cNvPr id="5121" name="Objet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2</xdr:col>
      <xdr:colOff>0</xdr:colOff>
      <xdr:row>27</xdr:row>
      <xdr:rowOff>0</xdr:rowOff>
    </xdr:from>
    <xdr:to>
      <xdr:col>8</xdr:col>
      <xdr:colOff>123825</xdr:colOff>
      <xdr:row>39</xdr:row>
      <xdr:rowOff>161925</xdr:rowOff>
    </xdr:to>
    <xdr:pic>
      <xdr:nvPicPr>
        <xdr:cNvPr id="2" name="Image 1">
          <a:extLst>
            <a:ext uri="{FF2B5EF4-FFF2-40B4-BE49-F238E27FC236}">
              <a16:creationId xmlns:a16="http://schemas.microsoft.com/office/drawing/2014/main" id="{3785208C-B7FB-42BE-B1A0-32AF87CE5DF6}"/>
            </a:ext>
          </a:extLst>
        </xdr:cNvPr>
        <xdr:cNvPicPr>
          <a:picLocks noChangeAspect="1"/>
        </xdr:cNvPicPr>
      </xdr:nvPicPr>
      <xdr:blipFill>
        <a:blip xmlns:r="http://schemas.openxmlformats.org/officeDocument/2006/relationships" r:embed="rId1"/>
        <a:stretch>
          <a:fillRect/>
        </a:stretch>
      </xdr:blipFill>
      <xdr:spPr>
        <a:xfrm>
          <a:off x="1962150" y="7439025"/>
          <a:ext cx="6315075" cy="24479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dclyo\Collaborateurs\CHA\CAC%20-%20Dossier%20annuel%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de Garde"/>
      <sheetName val="Dossier Annuel"/>
      <sheetName val="Programme de travail"/>
      <sheetName val="Seuils de signification"/>
      <sheetName val="Quest Lutte contre blanchiment"/>
      <sheetName val="Quest Maintien mission"/>
      <sheetName val="Quest Fin de mission"/>
      <sheetName val="Quest Evènements post."/>
      <sheetName val="Quest Continuité exploi"/>
      <sheetName val="Quest Fraudes"/>
      <sheetName val="Quest Text légaux"/>
      <sheetName val="Quest Expert compt."/>
      <sheetName val="Quest Dirigeant"/>
      <sheetName val="Prépa. Décalration act."/>
      <sheetName val="Contrôle Annexe"/>
      <sheetName val="Contrôle Juridique (SAS)"/>
      <sheetName val="Contrôle Juridique (SA)"/>
      <sheetName val="Synthèse des ajustements"/>
      <sheetName val="B synth"/>
      <sheetName val="b10 quest"/>
      <sheetName val="B20"/>
      <sheetName val="B30"/>
      <sheetName val="B 40"/>
      <sheetName val="B 50"/>
      <sheetName val="B 60"/>
      <sheetName val="C synth"/>
      <sheetName val="C 10"/>
      <sheetName val="C 20"/>
      <sheetName val="D synth"/>
      <sheetName val="D.10 quest"/>
      <sheetName val="D15"/>
      <sheetName val="D 20"/>
      <sheetName val="D 30"/>
      <sheetName val="D 40"/>
      <sheetName val="D 50 "/>
      <sheetName val="D 55"/>
      <sheetName val="D60"/>
      <sheetName val="E synthèse"/>
      <sheetName val="E10 quest"/>
      <sheetName val="E 20"/>
      <sheetName val="E 30"/>
      <sheetName val="E 35"/>
      <sheetName val="E 40"/>
      <sheetName val="E 50"/>
      <sheetName val="E 60"/>
      <sheetName val="E 70"/>
      <sheetName val="E 75"/>
      <sheetName val="E80"/>
      <sheetName val="E85"/>
      <sheetName val="E 90"/>
      <sheetName val="F synthèse"/>
      <sheetName val="F10 quest"/>
      <sheetName val="F 20"/>
      <sheetName val="F 30"/>
      <sheetName val="F 40"/>
      <sheetName val="F50"/>
      <sheetName val="F60"/>
      <sheetName val="G synthèse"/>
      <sheetName val="H synthèse"/>
      <sheetName val="H10 quest"/>
      <sheetName val=" J synthèse"/>
      <sheetName val="K synthèse"/>
      <sheetName val="K 10"/>
      <sheetName val="L synthèse"/>
      <sheetName val="M synthèse"/>
      <sheetName val="M.10 quest"/>
      <sheetName val="M 20"/>
      <sheetName val="M 30"/>
      <sheetName val="M 35"/>
      <sheetName val="M 40"/>
      <sheetName val="M 50"/>
      <sheetName val="M 60"/>
      <sheetName val="M 65"/>
      <sheetName val="M70"/>
      <sheetName val="M75"/>
      <sheetName val="N synthèse"/>
      <sheetName val="N.10 quest"/>
      <sheetName val="N 01"/>
      <sheetName val="N 20"/>
      <sheetName val="N 30"/>
      <sheetName val="N 40"/>
      <sheetName val="N 50"/>
      <sheetName val="N 60"/>
      <sheetName val="P synth"/>
      <sheetName val="P10 quest"/>
      <sheetName val="P 20"/>
      <sheetName val="P 301"/>
      <sheetName val="P 302"/>
      <sheetName val="P 40"/>
      <sheetName val="P 50"/>
      <sheetName val="P 55"/>
      <sheetName val="P 60"/>
      <sheetName val="P 70"/>
      <sheetName val="P 80"/>
      <sheetName val="S synth"/>
      <sheetName val="T synth"/>
      <sheetName val="Tableau pour NDS"/>
      <sheetName val="BILAN ACTIF"/>
      <sheetName val="BILAN PASSIF"/>
      <sheetName val="SI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hyperlink" Target="http://bofip.impots.gouv.fr/bofip/4948-PGP"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33"/>
  <sheetViews>
    <sheetView showGridLines="0" zoomScale="90" zoomScaleNormal="90" workbookViewId="0">
      <selection activeCell="A28" sqref="A28"/>
    </sheetView>
  </sheetViews>
  <sheetFormatPr defaultColWidth="11.42578125" defaultRowHeight="15.75"/>
  <cols>
    <col min="1" max="12" width="14.7109375" style="8" customWidth="1"/>
    <col min="13" max="13" width="22.28515625" style="8" customWidth="1"/>
    <col min="14" max="14" width="14.7109375" style="8" customWidth="1"/>
    <col min="15" max="15" width="16" style="8" customWidth="1"/>
    <col min="16" max="16" width="4.7109375" style="8" customWidth="1"/>
    <col min="17" max="17" width="1.7109375" style="8" hidden="1" customWidth="1"/>
    <col min="18" max="16384" width="11.42578125" style="8"/>
  </cols>
  <sheetData>
    <row r="1" spans="1:23" s="2" customFormat="1" ht="15" customHeight="1">
      <c r="A1" s="11"/>
      <c r="B1" s="12"/>
      <c r="C1" s="12"/>
      <c r="D1" s="463" t="s">
        <v>0</v>
      </c>
      <c r="E1" s="464"/>
      <c r="F1" s="464"/>
      <c r="G1" s="464"/>
      <c r="H1" s="464"/>
      <c r="I1" s="464"/>
      <c r="J1" s="464"/>
      <c r="K1" s="464"/>
      <c r="L1" s="464"/>
      <c r="M1" s="465"/>
      <c r="N1" s="12"/>
      <c r="O1" s="13"/>
      <c r="Q1" s="29" t="s">
        <v>1</v>
      </c>
    </row>
    <row r="2" spans="1:23" s="2" customFormat="1" ht="15" customHeight="1" thickBot="1">
      <c r="A2" s="14"/>
      <c r="B2" s="15"/>
      <c r="C2" s="15"/>
      <c r="D2" s="466"/>
      <c r="E2" s="467"/>
      <c r="F2" s="467"/>
      <c r="G2" s="467"/>
      <c r="H2" s="467"/>
      <c r="I2" s="467"/>
      <c r="J2" s="467"/>
      <c r="K2" s="467"/>
      <c r="L2" s="467"/>
      <c r="M2" s="468"/>
      <c r="N2" s="15"/>
      <c r="O2" s="16"/>
      <c r="Q2" s="29" t="s">
        <v>2</v>
      </c>
    </row>
    <row r="3" spans="1:23" ht="15" customHeight="1">
      <c r="A3" s="471" t="s">
        <v>3</v>
      </c>
      <c r="B3" s="472"/>
      <c r="C3" s="472"/>
      <c r="D3" s="472"/>
      <c r="E3" s="472"/>
      <c r="F3" s="472"/>
      <c r="G3" s="472"/>
      <c r="H3" s="472"/>
      <c r="I3" s="472"/>
      <c r="J3" s="472"/>
      <c r="K3" s="472"/>
      <c r="L3" s="472"/>
      <c r="M3" s="472"/>
      <c r="N3" s="472"/>
      <c r="O3" s="473"/>
      <c r="Q3" s="30"/>
      <c r="T3" s="4"/>
      <c r="V3" s="6"/>
      <c r="W3" s="7"/>
    </row>
    <row r="4" spans="1:23" ht="15" customHeight="1">
      <c r="A4" s="471"/>
      <c r="B4" s="472"/>
      <c r="C4" s="472"/>
      <c r="D4" s="472"/>
      <c r="E4" s="472"/>
      <c r="F4" s="472"/>
      <c r="G4" s="472"/>
      <c r="H4" s="472"/>
      <c r="I4" s="472"/>
      <c r="J4" s="472"/>
      <c r="K4" s="472"/>
      <c r="L4" s="472"/>
      <c r="M4" s="472"/>
      <c r="N4" s="472"/>
      <c r="O4" s="473"/>
      <c r="Q4" s="29" t="s">
        <v>4</v>
      </c>
      <c r="R4" s="3"/>
      <c r="T4" s="4"/>
      <c r="V4" s="6"/>
      <c r="W4" s="7"/>
    </row>
    <row r="5" spans="1:23" ht="15" customHeight="1" thickBot="1">
      <c r="A5" s="474"/>
      <c r="B5" s="475"/>
      <c r="C5" s="475"/>
      <c r="D5" s="475"/>
      <c r="E5" s="475"/>
      <c r="F5" s="475"/>
      <c r="G5" s="475"/>
      <c r="H5" s="475"/>
      <c r="I5" s="475"/>
      <c r="J5" s="475"/>
      <c r="K5" s="475"/>
      <c r="L5" s="475"/>
      <c r="M5" s="475"/>
      <c r="N5" s="475"/>
      <c r="O5" s="476"/>
      <c r="Q5" s="29" t="s">
        <v>5</v>
      </c>
      <c r="S5" s="9"/>
      <c r="T5" s="5"/>
      <c r="U5" s="25"/>
      <c r="V5" s="25"/>
      <c r="W5" s="25"/>
    </row>
    <row r="6" spans="1:23" ht="15" customHeight="1">
      <c r="A6" s="18" t="s">
        <v>6</v>
      </c>
      <c r="B6" s="202" t="s">
        <v>7</v>
      </c>
      <c r="C6" s="18" t="s">
        <v>8</v>
      </c>
      <c r="D6" s="201"/>
      <c r="E6" s="487" t="s">
        <v>9</v>
      </c>
      <c r="F6" s="488"/>
      <c r="G6" s="488"/>
      <c r="H6" s="488"/>
      <c r="I6" s="488"/>
      <c r="J6" s="488"/>
      <c r="K6" s="488"/>
      <c r="L6" s="489"/>
      <c r="M6" s="435" t="s">
        <v>10</v>
      </c>
      <c r="N6" s="479" t="s">
        <v>11</v>
      </c>
      <c r="O6" s="480"/>
      <c r="Q6" s="30" t="s">
        <v>12</v>
      </c>
      <c r="R6" s="10"/>
      <c r="T6" s="2"/>
      <c r="U6" s="2"/>
    </row>
    <row r="7" spans="1:23" ht="15" customHeight="1" thickBot="1">
      <c r="A7" s="19" t="s">
        <v>13</v>
      </c>
      <c r="B7" s="203"/>
      <c r="C7" s="19" t="s">
        <v>13</v>
      </c>
      <c r="D7" s="203"/>
      <c r="E7" s="490"/>
      <c r="F7" s="491"/>
      <c r="G7" s="491"/>
      <c r="H7" s="491"/>
      <c r="I7" s="491"/>
      <c r="J7" s="491"/>
      <c r="K7" s="491"/>
      <c r="L7" s="492"/>
      <c r="M7" s="616" t="s">
        <v>14</v>
      </c>
      <c r="N7" s="481" t="s">
        <v>15</v>
      </c>
      <c r="O7" s="482"/>
      <c r="Q7" s="29" t="s">
        <v>16</v>
      </c>
    </row>
    <row r="8" spans="1:23" ht="21" customHeight="1" thickBot="1">
      <c r="A8" s="20"/>
      <c r="B8" s="17"/>
      <c r="C8" s="21"/>
      <c r="D8" s="21"/>
      <c r="E8" s="22"/>
      <c r="F8" s="22"/>
      <c r="G8" s="22"/>
      <c r="H8" s="22"/>
      <c r="I8" s="22"/>
      <c r="J8" s="22"/>
      <c r="K8" s="22"/>
      <c r="L8" s="22"/>
      <c r="M8" s="23"/>
      <c r="N8" s="24"/>
      <c r="O8" s="24"/>
      <c r="Q8" s="29" t="s">
        <v>17</v>
      </c>
    </row>
    <row r="9" spans="1:23" s="21" customFormat="1" ht="31.5" customHeight="1" thickBot="1">
      <c r="A9" s="483" t="s">
        <v>18</v>
      </c>
      <c r="B9" s="484"/>
      <c r="C9" s="484"/>
      <c r="D9" s="364" t="s">
        <v>4</v>
      </c>
      <c r="E9" s="365"/>
      <c r="F9" s="477" t="s">
        <v>19</v>
      </c>
      <c r="G9" s="478"/>
      <c r="H9" s="478"/>
      <c r="I9" s="478"/>
      <c r="J9" s="366"/>
      <c r="K9" s="367"/>
      <c r="L9" s="477" t="s">
        <v>20</v>
      </c>
      <c r="M9" s="478"/>
      <c r="N9" s="364" t="s">
        <v>16</v>
      </c>
      <c r="O9" s="365"/>
      <c r="Q9" s="30" t="s">
        <v>21</v>
      </c>
    </row>
    <row r="10" spans="1:23" s="28" customFormat="1" ht="21" customHeight="1" thickBot="1">
      <c r="A10" s="26"/>
      <c r="B10" s="26"/>
      <c r="C10" s="26"/>
      <c r="D10" s="26"/>
      <c r="E10" s="26"/>
      <c r="F10" s="26"/>
      <c r="G10" s="26"/>
      <c r="H10" s="26"/>
      <c r="I10" s="26"/>
      <c r="J10" s="26"/>
      <c r="K10" s="26"/>
      <c r="L10" s="26"/>
      <c r="M10" s="26"/>
      <c r="N10" s="26"/>
      <c r="O10" s="26"/>
    </row>
    <row r="11" spans="1:23" ht="15" customHeight="1">
      <c r="A11" s="485" t="s">
        <v>22</v>
      </c>
      <c r="B11" s="486"/>
      <c r="C11" s="26" t="s">
        <v>23</v>
      </c>
      <c r="D11" s="26"/>
      <c r="E11" s="26"/>
      <c r="F11" s="26"/>
      <c r="G11" s="26"/>
      <c r="H11" s="26"/>
      <c r="I11" s="26"/>
      <c r="J11" s="26"/>
      <c r="K11" s="26"/>
      <c r="L11" s="26"/>
      <c r="M11" s="432" t="s">
        <v>24</v>
      </c>
      <c r="N11" s="1" t="s">
        <v>25</v>
      </c>
      <c r="O11" s="438"/>
    </row>
    <row r="12" spans="1:23" s="2" customFormat="1" ht="15" customHeight="1">
      <c r="A12" s="439" t="s">
        <v>26</v>
      </c>
      <c r="B12" s="440"/>
      <c r="C12" s="369" t="s">
        <v>27</v>
      </c>
      <c r="D12" s="368"/>
      <c r="E12" s="368"/>
      <c r="F12" s="368"/>
      <c r="G12" s="368"/>
      <c r="H12" s="368"/>
      <c r="I12" s="368"/>
      <c r="J12" s="368"/>
      <c r="K12" s="368"/>
      <c r="L12" s="368"/>
      <c r="M12" s="436" t="s">
        <v>1</v>
      </c>
      <c r="N12" s="617"/>
      <c r="O12" s="617"/>
      <c r="P12" s="335" t="s">
        <v>28</v>
      </c>
      <c r="Q12" s="8"/>
      <c r="R12" s="8" t="s">
        <v>29</v>
      </c>
    </row>
    <row r="13" spans="1:23" s="2" customFormat="1" ht="15" customHeight="1">
      <c r="A13" s="439"/>
      <c r="B13" s="440"/>
      <c r="C13" s="369" t="s">
        <v>30</v>
      </c>
      <c r="D13" s="368"/>
      <c r="E13" s="368"/>
      <c r="F13" s="368"/>
      <c r="G13" s="368"/>
      <c r="H13" s="368"/>
      <c r="I13" s="368"/>
      <c r="J13" s="368"/>
      <c r="K13" s="368"/>
      <c r="L13" s="368"/>
      <c r="M13" s="433" t="s">
        <v>2</v>
      </c>
      <c r="N13" s="450" t="s">
        <v>31</v>
      </c>
      <c r="O13" s="451"/>
      <c r="P13" s="336" t="s">
        <v>32</v>
      </c>
      <c r="R13" s="2" t="s">
        <v>33</v>
      </c>
    </row>
    <row r="14" spans="1:23" s="2" customFormat="1" ht="15" customHeight="1">
      <c r="A14" s="439" t="s">
        <v>34</v>
      </c>
      <c r="B14" s="440"/>
      <c r="C14" s="369" t="s">
        <v>35</v>
      </c>
      <c r="D14" s="368"/>
      <c r="E14" s="368"/>
      <c r="F14" s="368"/>
      <c r="G14" s="368"/>
      <c r="H14" s="368"/>
      <c r="I14" s="368"/>
      <c r="J14" s="368"/>
      <c r="K14" s="368"/>
      <c r="L14" s="368"/>
      <c r="M14" s="433" t="s">
        <v>1</v>
      </c>
      <c r="N14" s="469" t="s">
        <v>36</v>
      </c>
      <c r="O14" s="470"/>
      <c r="P14" s="338" t="s">
        <v>37</v>
      </c>
      <c r="R14" s="2" t="s">
        <v>38</v>
      </c>
    </row>
    <row r="15" spans="1:23" s="2" customFormat="1" ht="15" customHeight="1">
      <c r="A15" s="439" t="s">
        <v>39</v>
      </c>
      <c r="B15" s="440"/>
      <c r="C15" s="369" t="s">
        <v>40</v>
      </c>
      <c r="D15" s="368"/>
      <c r="E15" s="368"/>
      <c r="F15" s="368"/>
      <c r="G15" s="368"/>
      <c r="H15" s="368"/>
      <c r="I15" s="368"/>
      <c r="J15" s="368"/>
      <c r="K15" s="368"/>
      <c r="L15" s="368"/>
      <c r="M15" s="433" t="s">
        <v>1</v>
      </c>
      <c r="N15" s="469" t="s">
        <v>41</v>
      </c>
      <c r="O15" s="470"/>
      <c r="P15" s="336" t="s">
        <v>42</v>
      </c>
      <c r="R15" s="2" t="s">
        <v>43</v>
      </c>
    </row>
    <row r="16" spans="1:23" s="2" customFormat="1" ht="15" customHeight="1">
      <c r="A16" s="439" t="s">
        <v>44</v>
      </c>
      <c r="B16" s="440"/>
      <c r="C16" s="369" t="s">
        <v>45</v>
      </c>
      <c r="D16" s="368"/>
      <c r="E16" s="368"/>
      <c r="F16" s="368"/>
      <c r="G16" s="368"/>
      <c r="H16" s="368"/>
      <c r="I16" s="368"/>
      <c r="J16" s="368"/>
      <c r="K16" s="368"/>
      <c r="L16" s="368"/>
      <c r="M16" s="433" t="s">
        <v>1</v>
      </c>
      <c r="N16" s="469" t="s">
        <v>46</v>
      </c>
      <c r="O16" s="470"/>
      <c r="P16" s="338" t="s">
        <v>15</v>
      </c>
      <c r="R16" s="2" t="s">
        <v>38</v>
      </c>
    </row>
    <row r="17" spans="1:18" s="2" customFormat="1" ht="15" customHeight="1">
      <c r="A17" s="439"/>
      <c r="B17" s="440"/>
      <c r="C17" s="369" t="s">
        <v>47</v>
      </c>
      <c r="D17" s="368"/>
      <c r="E17" s="368"/>
      <c r="F17" s="368"/>
      <c r="G17" s="368"/>
      <c r="H17" s="368"/>
      <c r="I17" s="368"/>
      <c r="J17" s="368"/>
      <c r="K17" s="368"/>
      <c r="L17" s="368"/>
      <c r="M17" s="433" t="s">
        <v>2</v>
      </c>
      <c r="N17" s="450" t="s">
        <v>48</v>
      </c>
      <c r="O17" s="451"/>
      <c r="P17" s="337" t="s">
        <v>49</v>
      </c>
      <c r="R17" s="2" t="s">
        <v>50</v>
      </c>
    </row>
    <row r="18" spans="1:18" s="2" customFormat="1" ht="15" customHeight="1">
      <c r="A18" s="439"/>
      <c r="B18" s="440"/>
      <c r="C18" s="369" t="s">
        <v>51</v>
      </c>
      <c r="D18" s="368"/>
      <c r="E18" s="368"/>
      <c r="F18" s="368"/>
      <c r="G18" s="368"/>
      <c r="H18" s="368"/>
      <c r="I18" s="368"/>
      <c r="J18" s="368"/>
      <c r="K18" s="368"/>
      <c r="L18" s="368"/>
      <c r="M18" s="433" t="s">
        <v>2</v>
      </c>
      <c r="N18" s="450" t="s">
        <v>52</v>
      </c>
      <c r="O18" s="451"/>
      <c r="P18" s="336" t="s">
        <v>53</v>
      </c>
      <c r="R18" s="2" t="s">
        <v>38</v>
      </c>
    </row>
    <row r="19" spans="1:18" s="2" customFormat="1" ht="15" customHeight="1" thickBot="1">
      <c r="A19" s="456"/>
      <c r="B19" s="457"/>
      <c r="C19" s="458"/>
      <c r="D19" s="459"/>
      <c r="E19" s="459"/>
      <c r="F19" s="459"/>
      <c r="G19" s="459"/>
      <c r="H19" s="459"/>
      <c r="I19" s="459"/>
      <c r="J19" s="459"/>
      <c r="K19" s="459"/>
      <c r="L19" s="460"/>
      <c r="M19" s="434"/>
      <c r="N19" s="461"/>
      <c r="O19" s="462"/>
    </row>
    <row r="20" spans="1:18" s="27" customFormat="1" ht="21" customHeight="1" thickBot="1"/>
    <row r="21" spans="1:18" s="52" customFormat="1" thickBot="1">
      <c r="A21" s="455" t="s">
        <v>54</v>
      </c>
      <c r="B21" s="618"/>
      <c r="C21" s="618"/>
      <c r="D21" s="618"/>
      <c r="E21" s="618"/>
      <c r="F21" s="618"/>
      <c r="G21" s="618"/>
      <c r="H21" s="618"/>
      <c r="I21" s="618"/>
      <c r="J21" s="618"/>
      <c r="K21" s="618"/>
      <c r="L21" s="618"/>
      <c r="M21" s="618"/>
      <c r="N21" s="618"/>
      <c r="O21" s="619"/>
      <c r="P21" s="27"/>
      <c r="Q21" s="27"/>
      <c r="R21" s="27"/>
    </row>
    <row r="22" spans="1:18" ht="9.9499999999999993" customHeight="1">
      <c r="A22" s="441" t="s">
        <v>55</v>
      </c>
      <c r="B22" s="442"/>
      <c r="C22" s="442"/>
      <c r="D22" s="442"/>
      <c r="E22" s="442"/>
      <c r="F22" s="442"/>
      <c r="G22" s="442"/>
      <c r="H22" s="442"/>
      <c r="I22" s="442"/>
      <c r="J22" s="442"/>
      <c r="K22" s="442"/>
      <c r="L22" s="442"/>
      <c r="M22" s="442"/>
      <c r="N22" s="442"/>
      <c r="O22" s="443"/>
    </row>
    <row r="23" spans="1:18" ht="9.9499999999999993" customHeight="1">
      <c r="A23" s="444"/>
      <c r="B23" s="445"/>
      <c r="C23" s="445"/>
      <c r="D23" s="445"/>
      <c r="E23" s="445"/>
      <c r="F23" s="445"/>
      <c r="G23" s="445"/>
      <c r="H23" s="445"/>
      <c r="I23" s="445"/>
      <c r="J23" s="445"/>
      <c r="K23" s="445"/>
      <c r="L23" s="445"/>
      <c r="M23" s="445"/>
      <c r="N23" s="445"/>
      <c r="O23" s="446"/>
    </row>
    <row r="24" spans="1:18" ht="9.9499999999999993" customHeight="1">
      <c r="A24" s="444"/>
      <c r="B24" s="445"/>
      <c r="C24" s="445"/>
      <c r="D24" s="445"/>
      <c r="E24" s="445"/>
      <c r="F24" s="445"/>
      <c r="G24" s="445"/>
      <c r="H24" s="445"/>
      <c r="I24" s="445"/>
      <c r="J24" s="445"/>
      <c r="K24" s="445"/>
      <c r="L24" s="445"/>
      <c r="M24" s="445"/>
      <c r="N24" s="445"/>
      <c r="O24" s="446"/>
    </row>
    <row r="25" spans="1:18" ht="9.9499999999999993" customHeight="1" thickBot="1">
      <c r="A25" s="447"/>
      <c r="B25" s="448"/>
      <c r="C25" s="448"/>
      <c r="D25" s="448"/>
      <c r="E25" s="448"/>
      <c r="F25" s="448"/>
      <c r="G25" s="448"/>
      <c r="H25" s="448"/>
      <c r="I25" s="448"/>
      <c r="J25" s="448"/>
      <c r="K25" s="448"/>
      <c r="L25" s="448"/>
      <c r="M25" s="448"/>
      <c r="N25" s="448"/>
      <c r="O25" s="449"/>
    </row>
    <row r="26" spans="1:18" s="27" customFormat="1" ht="21" customHeight="1" thickBot="1"/>
    <row r="27" spans="1:18" s="27" customFormat="1" thickBot="1">
      <c r="A27" s="452" t="s">
        <v>56</v>
      </c>
      <c r="B27" s="453"/>
      <c r="C27" s="453"/>
      <c r="D27" s="453"/>
      <c r="E27" s="453"/>
      <c r="F27" s="453"/>
      <c r="G27" s="453"/>
      <c r="H27" s="453"/>
      <c r="I27" s="453"/>
      <c r="J27" s="453"/>
      <c r="K27" s="453"/>
      <c r="L27" s="453"/>
      <c r="M27" s="453"/>
      <c r="N27" s="453"/>
      <c r="O27" s="454"/>
    </row>
    <row r="28" spans="1:18" ht="9.9499999999999993" customHeight="1">
      <c r="A28" s="441"/>
      <c r="B28" s="442"/>
      <c r="C28" s="442"/>
      <c r="D28" s="442"/>
      <c r="E28" s="442"/>
      <c r="F28" s="442"/>
      <c r="G28" s="442"/>
      <c r="H28" s="442"/>
      <c r="I28" s="442"/>
      <c r="J28" s="442"/>
      <c r="K28" s="442"/>
      <c r="L28" s="442"/>
      <c r="M28" s="442"/>
      <c r="N28" s="442"/>
      <c r="O28" s="443"/>
    </row>
    <row r="29" spans="1:18" ht="9.9499999999999993" customHeight="1">
      <c r="A29" s="444"/>
      <c r="B29" s="445"/>
      <c r="C29" s="445"/>
      <c r="D29" s="445"/>
      <c r="E29" s="445"/>
      <c r="F29" s="445"/>
      <c r="G29" s="445"/>
      <c r="H29" s="445"/>
      <c r="I29" s="445"/>
      <c r="J29" s="445"/>
      <c r="K29" s="445"/>
      <c r="L29" s="445"/>
      <c r="M29" s="445"/>
      <c r="N29" s="445"/>
      <c r="O29" s="446"/>
    </row>
    <row r="30" spans="1:18" ht="9.9499999999999993" customHeight="1">
      <c r="A30" s="444"/>
      <c r="B30" s="445"/>
      <c r="C30" s="445"/>
      <c r="D30" s="445"/>
      <c r="E30" s="445"/>
      <c r="F30" s="445"/>
      <c r="G30" s="445"/>
      <c r="H30" s="445"/>
      <c r="I30" s="445"/>
      <c r="J30" s="445"/>
      <c r="K30" s="445"/>
      <c r="L30" s="445"/>
      <c r="M30" s="445"/>
      <c r="N30" s="445"/>
      <c r="O30" s="446"/>
    </row>
    <row r="31" spans="1:18" ht="9.9499999999999993" customHeight="1">
      <c r="A31" s="444"/>
      <c r="B31" s="445"/>
      <c r="C31" s="445"/>
      <c r="D31" s="445"/>
      <c r="E31" s="445"/>
      <c r="F31" s="445"/>
      <c r="G31" s="445"/>
      <c r="H31" s="445"/>
      <c r="I31" s="445"/>
      <c r="J31" s="445"/>
      <c r="K31" s="445"/>
      <c r="L31" s="445"/>
      <c r="M31" s="445"/>
      <c r="N31" s="445"/>
      <c r="O31" s="446"/>
    </row>
    <row r="32" spans="1:18" ht="9.9499999999999993" customHeight="1">
      <c r="A32" s="444"/>
      <c r="B32" s="445"/>
      <c r="C32" s="445"/>
      <c r="D32" s="445"/>
      <c r="E32" s="445"/>
      <c r="F32" s="445"/>
      <c r="G32" s="445"/>
      <c r="H32" s="445"/>
      <c r="I32" s="445"/>
      <c r="J32" s="445"/>
      <c r="K32" s="445"/>
      <c r="L32" s="445"/>
      <c r="M32" s="445"/>
      <c r="N32" s="445"/>
      <c r="O32" s="446"/>
    </row>
    <row r="33" spans="1:15" ht="9.9499999999999993" customHeight="1" thickBot="1">
      <c r="A33" s="447"/>
      <c r="B33" s="448"/>
      <c r="C33" s="448"/>
      <c r="D33" s="448"/>
      <c r="E33" s="448"/>
      <c r="F33" s="448"/>
      <c r="G33" s="448"/>
      <c r="H33" s="448"/>
      <c r="I33" s="448"/>
      <c r="J33" s="448"/>
      <c r="K33" s="448"/>
      <c r="L33" s="448"/>
      <c r="M33" s="448"/>
      <c r="N33" s="448"/>
      <c r="O33" s="449"/>
    </row>
  </sheetData>
  <sheetProtection formatCells="0" formatColumns="0" formatRows="0" insertColumns="0" insertRows="0" insertHyperlinks="0" deleteColumns="0" deleteRows="0" sort="0" autoFilter="0" pivotTables="0"/>
  <mergeCells count="31">
    <mergeCell ref="D1:M2"/>
    <mergeCell ref="A15:B15"/>
    <mergeCell ref="N14:O14"/>
    <mergeCell ref="N15:O15"/>
    <mergeCell ref="A22:O25"/>
    <mergeCell ref="N13:O13"/>
    <mergeCell ref="N16:O16"/>
    <mergeCell ref="A3:O5"/>
    <mergeCell ref="F9:I9"/>
    <mergeCell ref="A12:B12"/>
    <mergeCell ref="N6:O6"/>
    <mergeCell ref="N7:O7"/>
    <mergeCell ref="L9:M9"/>
    <mergeCell ref="A9:C9"/>
    <mergeCell ref="A11:B11"/>
    <mergeCell ref="E6:L7"/>
    <mergeCell ref="A28:O33"/>
    <mergeCell ref="A17:B17"/>
    <mergeCell ref="N17:O17"/>
    <mergeCell ref="A18:B18"/>
    <mergeCell ref="N18:O18"/>
    <mergeCell ref="A27:O27"/>
    <mergeCell ref="A21:O21"/>
    <mergeCell ref="A19:B19"/>
    <mergeCell ref="C19:L19"/>
    <mergeCell ref="N19:O19"/>
    <mergeCell ref="N11:O11"/>
    <mergeCell ref="N12:O12"/>
    <mergeCell ref="A13:B13"/>
    <mergeCell ref="A16:B16"/>
    <mergeCell ref="A14:B14"/>
  </mergeCells>
  <dataValidations count="3">
    <dataValidation type="list" showInputMessage="1" showErrorMessage="1" sqref="D9:E9" xr:uid="{00000000-0002-0000-0000-000000000000}">
      <formula1>RAS</formula1>
    </dataValidation>
    <dataValidation type="list" allowBlank="1" showInputMessage="1" showErrorMessage="1" sqref="N9:O9" xr:uid="{00000000-0002-0000-0000-000001000000}">
      <formula1>Diligences</formula1>
    </dataValidation>
    <dataValidation type="list" allowBlank="1" showInputMessage="1" showErrorMessage="1" sqref="M12:M19" xr:uid="{00000000-0002-0000-0000-000002000000}">
      <formula1>Etat</formula1>
    </dataValidation>
  </dataValidations>
  <hyperlinks>
    <hyperlink ref="N13:O13" location="'E200 Evaluation CET'!A1" display="E200 Evaluation CET" xr:uid="{00000000-0004-0000-0000-000001000000}"/>
    <hyperlink ref="N17:O17" location="'E600 CIR'!Zone_d_impression" display="E600 CIR" xr:uid="{00000000-0004-0000-0000-000002000000}"/>
    <hyperlink ref="N18:O18" location="'E700 Taxe sur les salaires'!Zone_d_impression" display="E700 Taxe sur les salaires" xr:uid="{00000000-0004-0000-0000-000003000000}"/>
    <hyperlink ref="N16:O16" location="'E500 Résultat Fiscal'!Zone_d_impression" display="E500 Résultat Fiscal" xr:uid="{00000000-0004-0000-0000-000004000000}"/>
    <hyperlink ref="N15:O15" location="'E400 Rappro CA-CA3'!Zone_d_impression" display="E400 Rappro CA-CA3" xr:uid="{00000000-0004-0000-0000-000006000000}"/>
    <hyperlink ref="N14:O14" location="'E300 Contrôle des soldes TVA'!A1" display="E300 Contrôle des soldes TVA" xr:uid="{F1345A93-85A8-485D-98FD-D70AFAC8FA62}"/>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U69"/>
  <sheetViews>
    <sheetView showGridLines="0" zoomScale="80" zoomScaleNormal="80" workbookViewId="0">
      <selection activeCell="O10" sqref="O10"/>
    </sheetView>
  </sheetViews>
  <sheetFormatPr defaultColWidth="11.42578125" defaultRowHeight="15"/>
  <cols>
    <col min="1" max="1" width="14.7109375" style="27" customWidth="1"/>
    <col min="2" max="2" width="26.28515625" style="27" customWidth="1"/>
    <col min="3" max="3" width="16.5703125" style="27" customWidth="1"/>
    <col min="4" max="16" width="14.7109375" style="27" customWidth="1"/>
    <col min="17" max="16384" width="11.42578125" style="27"/>
  </cols>
  <sheetData>
    <row r="1" spans="1:21" s="32" customFormat="1" ht="15" customHeight="1">
      <c r="A1" s="11"/>
      <c r="B1" s="12"/>
      <c r="C1" s="12"/>
      <c r="D1" s="501" t="str">
        <f>'E Synthèse'!D1:M2</f>
        <v>#NomClient</v>
      </c>
      <c r="E1" s="502"/>
      <c r="F1" s="502"/>
      <c r="G1" s="502"/>
      <c r="H1" s="502"/>
      <c r="I1" s="502"/>
      <c r="J1" s="502"/>
      <c r="K1" s="502"/>
      <c r="L1" s="502"/>
      <c r="M1" s="503"/>
      <c r="N1" s="12"/>
      <c r="O1" s="12"/>
      <c r="P1" s="13"/>
    </row>
    <row r="2" spans="1:21" s="32" customFormat="1" ht="15" customHeight="1" thickBot="1">
      <c r="A2" s="14"/>
      <c r="B2" s="15"/>
      <c r="C2" s="15"/>
      <c r="D2" s="504"/>
      <c r="E2" s="505"/>
      <c r="F2" s="505"/>
      <c r="G2" s="505"/>
      <c r="H2" s="505"/>
      <c r="I2" s="505"/>
      <c r="J2" s="505"/>
      <c r="K2" s="505"/>
      <c r="L2" s="505"/>
      <c r="M2" s="506"/>
      <c r="N2" s="15"/>
      <c r="O2" s="15"/>
      <c r="P2" s="16"/>
    </row>
    <row r="3" spans="1:21" ht="15" customHeight="1">
      <c r="A3" s="471" t="s">
        <v>3</v>
      </c>
      <c r="B3" s="472"/>
      <c r="C3" s="472"/>
      <c r="D3" s="472"/>
      <c r="E3" s="472"/>
      <c r="F3" s="472"/>
      <c r="G3" s="472"/>
      <c r="H3" s="472"/>
      <c r="I3" s="472"/>
      <c r="J3" s="472"/>
      <c r="K3" s="472"/>
      <c r="L3" s="472"/>
      <c r="M3" s="472"/>
      <c r="N3" s="472"/>
      <c r="O3" s="472"/>
      <c r="P3" s="473"/>
      <c r="R3" s="4"/>
      <c r="T3" s="6"/>
      <c r="U3" s="6"/>
    </row>
    <row r="4" spans="1:21" ht="15" customHeight="1">
      <c r="A4" s="471"/>
      <c r="B4" s="472"/>
      <c r="C4" s="472"/>
      <c r="D4" s="472"/>
      <c r="E4" s="472"/>
      <c r="F4" s="472"/>
      <c r="G4" s="472"/>
      <c r="H4" s="472"/>
      <c r="I4" s="472"/>
      <c r="J4" s="472"/>
      <c r="K4" s="472"/>
      <c r="L4" s="472"/>
      <c r="M4" s="472"/>
      <c r="N4" s="472"/>
      <c r="O4" s="472"/>
      <c r="P4" s="473"/>
      <c r="R4" s="4"/>
      <c r="T4" s="6"/>
      <c r="U4" s="6"/>
    </row>
    <row r="5" spans="1:21" ht="15" customHeight="1" thickBot="1">
      <c r="A5" s="474"/>
      <c r="B5" s="475"/>
      <c r="C5" s="475"/>
      <c r="D5" s="475"/>
      <c r="E5" s="475"/>
      <c r="F5" s="475"/>
      <c r="G5" s="475"/>
      <c r="H5" s="475"/>
      <c r="I5" s="475"/>
      <c r="J5" s="475"/>
      <c r="K5" s="475"/>
      <c r="L5" s="475"/>
      <c r="M5" s="475"/>
      <c r="N5" s="475"/>
      <c r="O5" s="475"/>
      <c r="P5" s="476"/>
      <c r="Q5" s="4"/>
      <c r="R5" s="33"/>
      <c r="S5" s="34"/>
      <c r="T5" s="34"/>
      <c r="U5" s="34"/>
    </row>
    <row r="6" spans="1:21" ht="15" customHeight="1">
      <c r="A6" s="18" t="s">
        <v>6</v>
      </c>
      <c r="B6" s="202" t="str">
        <f>'E Synthèse'!B6</f>
        <v>BRA</v>
      </c>
      <c r="C6" s="18" t="s">
        <v>8</v>
      </c>
      <c r="D6" s="202">
        <f>'E Synthèse'!D6</f>
        <v>0</v>
      </c>
      <c r="E6" s="487" t="s">
        <v>27</v>
      </c>
      <c r="F6" s="488"/>
      <c r="G6" s="488"/>
      <c r="H6" s="488"/>
      <c r="I6" s="488"/>
      <c r="J6" s="488"/>
      <c r="K6" s="488"/>
      <c r="L6" s="489"/>
      <c r="M6" s="507" t="s">
        <v>10</v>
      </c>
      <c r="N6" s="508"/>
      <c r="O6" s="479" t="s">
        <v>11</v>
      </c>
      <c r="P6" s="480"/>
      <c r="R6" s="32"/>
      <c r="S6" s="32"/>
    </row>
    <row r="7" spans="1:21" ht="15" customHeight="1" thickBot="1">
      <c r="A7" s="19" t="s">
        <v>13</v>
      </c>
      <c r="B7" s="203">
        <f>'E Synthèse'!B7</f>
        <v>0</v>
      </c>
      <c r="C7" s="19" t="s">
        <v>13</v>
      </c>
      <c r="D7" s="203">
        <f>'E Synthèse'!D7</f>
        <v>0</v>
      </c>
      <c r="E7" s="490"/>
      <c r="F7" s="491"/>
      <c r="G7" s="491"/>
      <c r="H7" s="491"/>
      <c r="I7" s="491"/>
      <c r="J7" s="491"/>
      <c r="K7" s="491"/>
      <c r="L7" s="492"/>
      <c r="M7" s="509" t="str">
        <f>'E Synthèse'!M7:M7</f>
        <v>#DateClôture</v>
      </c>
      <c r="N7" s="510"/>
      <c r="O7" s="481" t="s">
        <v>57</v>
      </c>
      <c r="P7" s="482"/>
    </row>
    <row r="8" spans="1:21" ht="21" customHeight="1" thickBot="1">
      <c r="A8" s="20"/>
      <c r="B8" s="35"/>
      <c r="C8" s="21"/>
      <c r="D8" s="21"/>
      <c r="E8" s="36"/>
      <c r="F8" s="36"/>
      <c r="G8" s="36"/>
      <c r="H8" s="36"/>
      <c r="I8" s="36"/>
      <c r="J8" s="36"/>
      <c r="K8" s="36"/>
      <c r="L8" s="36"/>
      <c r="M8" s="23"/>
      <c r="N8" s="21"/>
      <c r="O8" s="511" t="s">
        <v>58</v>
      </c>
      <c r="P8" s="512"/>
    </row>
    <row r="9" spans="1:21" s="21" customFormat="1" ht="31.5" customHeight="1" thickBot="1">
      <c r="A9" s="483" t="s">
        <v>18</v>
      </c>
      <c r="B9" s="484"/>
      <c r="C9" s="484"/>
      <c r="D9" s="494" t="str">
        <f>'E Synthèse'!D9:E9</f>
        <v>Faible</v>
      </c>
      <c r="E9" s="495"/>
      <c r="F9" s="477" t="s">
        <v>19</v>
      </c>
      <c r="G9" s="478"/>
      <c r="H9" s="478"/>
      <c r="I9" s="478"/>
      <c r="J9" s="514">
        <f>'E Synthèse'!J9:K9</f>
        <v>0</v>
      </c>
      <c r="K9" s="515"/>
      <c r="L9" s="477" t="s">
        <v>20</v>
      </c>
      <c r="M9" s="478"/>
      <c r="N9" s="478"/>
      <c r="O9" s="494" t="str">
        <f>'E Synthèse'!N9</f>
        <v>PB</v>
      </c>
      <c r="P9" s="495"/>
    </row>
    <row r="10" spans="1:21" s="21" customFormat="1" ht="21" customHeight="1" thickBot="1">
      <c r="A10" s="26"/>
      <c r="B10" s="26"/>
      <c r="C10" s="26"/>
      <c r="D10" s="26"/>
      <c r="E10" s="26"/>
      <c r="F10" s="26"/>
      <c r="G10" s="26"/>
      <c r="H10" s="26"/>
      <c r="I10" s="26"/>
      <c r="J10" s="26"/>
      <c r="K10" s="26"/>
      <c r="L10" s="26"/>
      <c r="M10" s="26"/>
      <c r="N10" s="26"/>
      <c r="O10" s="26"/>
      <c r="P10" s="26"/>
    </row>
    <row r="11" spans="1:21" ht="129" customHeight="1" thickBot="1">
      <c r="A11" s="516" t="s">
        <v>59</v>
      </c>
      <c r="B11" s="517"/>
      <c r="C11" s="517"/>
      <c r="D11" s="517"/>
      <c r="E11" s="517"/>
      <c r="F11" s="517"/>
      <c r="G11" s="517"/>
      <c r="H11" s="517"/>
      <c r="I11" s="517"/>
      <c r="J11" s="517"/>
      <c r="K11" s="517"/>
      <c r="L11" s="517"/>
      <c r="M11" s="517"/>
      <c r="N11" s="517"/>
      <c r="O11" s="517"/>
      <c r="P11" s="518"/>
    </row>
    <row r="12" spans="1:21" ht="9" customHeight="1" thickBot="1"/>
    <row r="13" spans="1:21">
      <c r="A13" s="519" t="s">
        <v>60</v>
      </c>
      <c r="B13" s="520"/>
      <c r="C13" s="520"/>
      <c r="D13" s="520"/>
      <c r="E13" s="520"/>
      <c r="F13" s="520"/>
      <c r="G13" s="520"/>
      <c r="H13" s="520"/>
      <c r="I13" s="520"/>
      <c r="J13" s="520"/>
      <c r="K13" s="520"/>
      <c r="L13" s="520"/>
      <c r="M13" s="520"/>
      <c r="N13" s="520"/>
      <c r="O13" s="520"/>
      <c r="P13" s="521"/>
    </row>
    <row r="14" spans="1:21" ht="60" customHeight="1" thickBot="1">
      <c r="A14" s="522"/>
      <c r="B14" s="523"/>
      <c r="C14" s="523"/>
      <c r="D14" s="523"/>
      <c r="E14" s="523"/>
      <c r="F14" s="523"/>
      <c r="G14" s="523"/>
      <c r="H14" s="523"/>
      <c r="I14" s="523"/>
      <c r="J14" s="523"/>
      <c r="K14" s="523"/>
      <c r="L14" s="523"/>
      <c r="M14" s="523"/>
      <c r="N14" s="523"/>
      <c r="O14" s="523"/>
      <c r="P14" s="524"/>
    </row>
    <row r="15" spans="1:21" ht="15.75" thickBot="1"/>
    <row r="16" spans="1:21" ht="15.75" thickBot="1">
      <c r="A16" s="42"/>
      <c r="B16" s="43"/>
      <c r="C16" s="43"/>
      <c r="D16" s="43"/>
      <c r="E16" s="43"/>
      <c r="F16" s="43"/>
      <c r="G16" s="43"/>
      <c r="H16" s="43"/>
      <c r="I16" s="43"/>
      <c r="J16" s="43"/>
      <c r="K16" s="43"/>
      <c r="L16" s="43"/>
      <c r="M16" s="43"/>
      <c r="N16" s="43"/>
      <c r="O16" s="43"/>
      <c r="P16" s="44"/>
    </row>
    <row r="17" spans="1:16">
      <c r="A17" s="42"/>
      <c r="B17" s="43"/>
      <c r="C17" s="43"/>
      <c r="D17" s="43"/>
      <c r="E17" s="43"/>
      <c r="F17" s="43"/>
      <c r="G17" s="43"/>
      <c r="H17" s="43"/>
      <c r="I17" s="43"/>
      <c r="J17" s="43"/>
      <c r="K17" s="43"/>
      <c r="L17" s="43"/>
      <c r="M17" s="43"/>
      <c r="N17" s="43"/>
      <c r="O17" s="43"/>
      <c r="P17" s="44"/>
    </row>
    <row r="18" spans="1:16">
      <c r="A18" s="93" t="s">
        <v>61</v>
      </c>
      <c r="B18" s="56"/>
      <c r="C18" s="57"/>
      <c r="D18" s="58"/>
      <c r="E18" s="58"/>
      <c r="F18" s="58"/>
      <c r="G18" s="57"/>
      <c r="H18" s="204"/>
      <c r="P18" s="90"/>
    </row>
    <row r="19" spans="1:16">
      <c r="A19" s="59"/>
      <c r="B19" s="60"/>
      <c r="C19" s="61"/>
      <c r="D19" s="61"/>
      <c r="E19" s="62"/>
      <c r="F19" s="62"/>
      <c r="G19" s="62"/>
      <c r="H19" s="62"/>
      <c r="P19" s="90"/>
    </row>
    <row r="20" spans="1:16" ht="27" customHeight="1">
      <c r="A20" s="413" t="s">
        <v>62</v>
      </c>
      <c r="B20" s="400" t="s">
        <v>63</v>
      </c>
      <c r="C20" s="401" t="s">
        <v>64</v>
      </c>
      <c r="D20" s="401" t="s">
        <v>65</v>
      </c>
      <c r="E20" s="402" t="s">
        <v>66</v>
      </c>
      <c r="F20" s="403" t="s">
        <v>67</v>
      </c>
      <c r="G20" s="498" t="s">
        <v>68</v>
      </c>
      <c r="H20" s="499"/>
      <c r="I20" s="499"/>
      <c r="J20" s="500"/>
      <c r="P20" s="90"/>
    </row>
    <row r="21" spans="1:16" ht="27" customHeight="1">
      <c r="A21" s="414"/>
      <c r="B21" s="374"/>
      <c r="C21" s="211"/>
      <c r="D21" s="211"/>
      <c r="E21" s="211">
        <f>C21-D21</f>
        <v>0</v>
      </c>
      <c r="F21" s="404" t="e">
        <f t="shared" ref="F21:F29" si="0">E21/D21</f>
        <v>#DIV/0!</v>
      </c>
      <c r="G21" s="405"/>
      <c r="H21" s="405"/>
      <c r="I21" s="405"/>
      <c r="J21" s="415"/>
      <c r="P21" s="90"/>
    </row>
    <row r="22" spans="1:16" ht="27" customHeight="1">
      <c r="A22" s="416"/>
      <c r="B22" s="373"/>
      <c r="C22" s="212"/>
      <c r="D22" s="212"/>
      <c r="E22" s="212">
        <f t="shared" ref="E22:E29" si="1">C22-D22</f>
        <v>0</v>
      </c>
      <c r="F22" s="406" t="e">
        <f t="shared" si="0"/>
        <v>#DIV/0!</v>
      </c>
      <c r="G22" s="407"/>
      <c r="H22" s="407"/>
      <c r="I22" s="407"/>
      <c r="J22" s="417"/>
      <c r="P22" s="90"/>
    </row>
    <row r="23" spans="1:16" ht="27" customHeight="1">
      <c r="A23" s="416"/>
      <c r="B23" s="373"/>
      <c r="C23" s="212"/>
      <c r="D23" s="212"/>
      <c r="E23" s="212">
        <f t="shared" si="1"/>
        <v>0</v>
      </c>
      <c r="F23" s="406" t="e">
        <f t="shared" si="0"/>
        <v>#DIV/0!</v>
      </c>
      <c r="G23" s="407"/>
      <c r="H23" s="407"/>
      <c r="I23" s="407"/>
      <c r="J23" s="417"/>
      <c r="P23" s="90"/>
    </row>
    <row r="24" spans="1:16" ht="27" customHeight="1">
      <c r="A24" s="416"/>
      <c r="B24" s="373"/>
      <c r="C24" s="212"/>
      <c r="D24" s="212"/>
      <c r="E24" s="212">
        <f t="shared" si="1"/>
        <v>0</v>
      </c>
      <c r="F24" s="406" t="e">
        <f t="shared" si="0"/>
        <v>#DIV/0!</v>
      </c>
      <c r="G24" s="407"/>
      <c r="H24" s="407"/>
      <c r="I24" s="407"/>
      <c r="J24" s="417"/>
      <c r="P24" s="90"/>
    </row>
    <row r="25" spans="1:16" ht="27" customHeight="1">
      <c r="A25" s="416"/>
      <c r="B25" s="373"/>
      <c r="C25" s="212"/>
      <c r="D25" s="212"/>
      <c r="E25" s="212">
        <f t="shared" si="1"/>
        <v>0</v>
      </c>
      <c r="F25" s="406" t="e">
        <f t="shared" si="0"/>
        <v>#DIV/0!</v>
      </c>
      <c r="G25" s="407"/>
      <c r="H25" s="407"/>
      <c r="I25" s="407"/>
      <c r="J25" s="417"/>
      <c r="P25" s="90"/>
    </row>
    <row r="26" spans="1:16" ht="27" customHeight="1">
      <c r="A26" s="416"/>
      <c r="B26" s="373"/>
      <c r="C26" s="212"/>
      <c r="D26" s="212"/>
      <c r="E26" s="212">
        <f t="shared" si="1"/>
        <v>0</v>
      </c>
      <c r="F26" s="406" t="e">
        <f t="shared" si="0"/>
        <v>#DIV/0!</v>
      </c>
      <c r="G26" s="407"/>
      <c r="H26" s="407"/>
      <c r="I26" s="407"/>
      <c r="J26" s="417"/>
      <c r="P26" s="90"/>
    </row>
    <row r="27" spans="1:16" ht="27" customHeight="1">
      <c r="A27" s="416"/>
      <c r="B27" s="373"/>
      <c r="C27" s="212"/>
      <c r="D27" s="212"/>
      <c r="E27" s="212">
        <f t="shared" si="1"/>
        <v>0</v>
      </c>
      <c r="F27" s="406" t="e">
        <f t="shared" si="0"/>
        <v>#DIV/0!</v>
      </c>
      <c r="G27" s="407"/>
      <c r="H27" s="407"/>
      <c r="I27" s="407"/>
      <c r="J27" s="417"/>
      <c r="P27" s="90"/>
    </row>
    <row r="28" spans="1:16" ht="27" customHeight="1">
      <c r="A28" s="416"/>
      <c r="B28" s="373"/>
      <c r="C28" s="212"/>
      <c r="D28" s="212"/>
      <c r="E28" s="212">
        <f t="shared" si="1"/>
        <v>0</v>
      </c>
      <c r="F28" s="406" t="e">
        <f t="shared" si="0"/>
        <v>#DIV/0!</v>
      </c>
      <c r="G28" s="407"/>
      <c r="H28" s="407"/>
      <c r="I28" s="407"/>
      <c r="J28" s="417"/>
      <c r="P28" s="90"/>
    </row>
    <row r="29" spans="1:16" ht="27" customHeight="1">
      <c r="A29" s="418"/>
      <c r="B29" s="372"/>
      <c r="C29" s="213"/>
      <c r="D29" s="213"/>
      <c r="E29" s="213">
        <f t="shared" si="1"/>
        <v>0</v>
      </c>
      <c r="F29" s="408" t="e">
        <f t="shared" si="0"/>
        <v>#DIV/0!</v>
      </c>
      <c r="G29" s="409"/>
      <c r="H29" s="409"/>
      <c r="I29" s="409"/>
      <c r="J29" s="419"/>
      <c r="P29" s="90"/>
    </row>
    <row r="30" spans="1:16" ht="27" customHeight="1">
      <c r="A30" s="420" t="s">
        <v>69</v>
      </c>
      <c r="B30" s="410"/>
      <c r="C30" s="205">
        <f>SUM(C21:C29)</f>
        <v>0</v>
      </c>
      <c r="D30" s="205">
        <f>SUM(D21:D29)</f>
        <v>0</v>
      </c>
      <c r="E30" s="205">
        <f>SUM(E21:E29)</f>
        <v>0</v>
      </c>
      <c r="F30" s="411" t="e">
        <f>E30/D30</f>
        <v>#DIV/0!</v>
      </c>
      <c r="G30" s="412"/>
      <c r="H30" s="412"/>
      <c r="I30" s="412"/>
      <c r="J30" s="421"/>
      <c r="P30" s="90"/>
    </row>
    <row r="31" spans="1:16" ht="15.75" thickBot="1">
      <c r="A31" s="207"/>
      <c r="B31" s="208"/>
      <c r="C31" s="208"/>
      <c r="D31" s="208"/>
      <c r="E31" s="208"/>
      <c r="F31" s="208"/>
      <c r="G31" s="208"/>
      <c r="H31" s="208"/>
      <c r="I31" s="91"/>
      <c r="J31" s="91"/>
      <c r="K31" s="91"/>
      <c r="L31" s="91"/>
      <c r="M31" s="91"/>
      <c r="N31" s="91"/>
      <c r="O31" s="91"/>
      <c r="P31" s="92"/>
    </row>
    <row r="32" spans="1:16" ht="15.75" thickBot="1">
      <c r="A32" s="64"/>
      <c r="B32" s="65"/>
      <c r="C32" s="65"/>
      <c r="D32" s="65"/>
      <c r="E32" s="65"/>
      <c r="F32" s="65"/>
      <c r="G32" s="65"/>
      <c r="H32" s="65"/>
    </row>
    <row r="33" spans="1:16">
      <c r="A33" s="209"/>
      <c r="B33" s="210"/>
      <c r="C33" s="210"/>
      <c r="D33" s="210"/>
      <c r="E33" s="210"/>
      <c r="F33" s="210"/>
      <c r="G33" s="210"/>
      <c r="H33" s="210"/>
      <c r="I33" s="43"/>
      <c r="J33" s="43"/>
      <c r="K33" s="43"/>
      <c r="L33" s="43"/>
      <c r="M33" s="43"/>
      <c r="N33" s="43"/>
      <c r="O33" s="43"/>
      <c r="P33" s="44"/>
    </row>
    <row r="34" spans="1:16">
      <c r="A34" s="93" t="s">
        <v>70</v>
      </c>
      <c r="B34" s="56"/>
      <c r="C34" s="65"/>
      <c r="D34" s="65"/>
      <c r="E34" s="65"/>
      <c r="F34" s="65"/>
      <c r="G34" s="65"/>
      <c r="H34" s="65"/>
      <c r="P34" s="90"/>
    </row>
    <row r="35" spans="1:16">
      <c r="A35" s="64"/>
      <c r="B35" s="65"/>
      <c r="C35" s="65"/>
      <c r="D35" s="65"/>
      <c r="E35" s="65"/>
      <c r="F35" s="65"/>
      <c r="G35" s="65"/>
      <c r="H35" s="65"/>
      <c r="P35" s="90"/>
    </row>
    <row r="36" spans="1:16" ht="17.25">
      <c r="A36" s="66" t="s">
        <v>71</v>
      </c>
      <c r="B36" s="65"/>
      <c r="C36" s="65"/>
      <c r="D36" s="65"/>
      <c r="E36" s="65"/>
      <c r="F36" s="65"/>
      <c r="G36" s="65"/>
      <c r="H36" s="65"/>
      <c r="P36" s="90"/>
    </row>
    <row r="37" spans="1:16" ht="18" thickBot="1">
      <c r="A37" s="66"/>
      <c r="B37" s="65"/>
      <c r="C37" s="65"/>
      <c r="D37" s="65"/>
      <c r="E37" s="65"/>
      <c r="F37" s="65"/>
      <c r="G37" s="65"/>
      <c r="H37" s="65"/>
      <c r="P37" s="90"/>
    </row>
    <row r="38" spans="1:16" ht="18" thickBot="1">
      <c r="A38" s="66"/>
      <c r="B38" s="83" t="s">
        <v>72</v>
      </c>
      <c r="C38" s="85" t="s">
        <v>73</v>
      </c>
      <c r="D38" s="85" t="s">
        <v>74</v>
      </c>
      <c r="E38" s="86" t="s">
        <v>75</v>
      </c>
      <c r="F38" s="65"/>
      <c r="G38" s="65"/>
      <c r="H38" s="65"/>
      <c r="P38" s="90"/>
    </row>
    <row r="39" spans="1:16">
      <c r="A39" s="64"/>
      <c r="B39" s="84" t="s">
        <v>76</v>
      </c>
      <c r="C39" s="67">
        <f>D39</f>
        <v>6.7999999999999996E-3</v>
      </c>
      <c r="D39" s="67">
        <f>E39</f>
        <v>6.7999999999999996E-3</v>
      </c>
      <c r="E39" s="67">
        <v>6.7999999999999996E-3</v>
      </c>
      <c r="F39" s="65"/>
      <c r="G39" s="65"/>
      <c r="H39" s="65"/>
      <c r="P39" s="90"/>
    </row>
    <row r="40" spans="1:16">
      <c r="A40" s="64"/>
      <c r="B40" s="81" t="s">
        <v>77</v>
      </c>
      <c r="C40" s="68">
        <v>0</v>
      </c>
      <c r="D40" s="68">
        <v>0</v>
      </c>
      <c r="E40" s="68">
        <v>4.4999999999999997E-3</v>
      </c>
      <c r="F40" s="65" t="s">
        <v>78</v>
      </c>
      <c r="G40" s="65"/>
      <c r="H40" s="65"/>
      <c r="P40" s="90"/>
    </row>
    <row r="41" spans="1:16">
      <c r="A41" s="64"/>
      <c r="B41" s="81" t="s">
        <v>79</v>
      </c>
      <c r="C41" s="68">
        <v>5.4999999999999997E-3</v>
      </c>
      <c r="D41" s="68">
        <v>0.01</v>
      </c>
      <c r="E41" s="68">
        <v>0.01</v>
      </c>
      <c r="F41" s="65"/>
      <c r="G41" s="65"/>
      <c r="H41" s="65"/>
      <c r="P41" s="90"/>
    </row>
    <row r="42" spans="1:16">
      <c r="A42" s="69"/>
      <c r="B42" s="70" t="s">
        <v>80</v>
      </c>
      <c r="C42" s="71"/>
      <c r="D42" s="71"/>
      <c r="E42" s="71"/>
      <c r="F42" s="65"/>
      <c r="G42" s="65"/>
      <c r="H42" s="65"/>
      <c r="P42" s="90"/>
    </row>
    <row r="43" spans="1:16">
      <c r="A43" s="69"/>
      <c r="B43" s="70"/>
      <c r="C43" s="71"/>
      <c r="D43" s="71"/>
      <c r="E43" s="71"/>
      <c r="F43" s="65"/>
      <c r="G43" s="65"/>
      <c r="H43" s="65"/>
      <c r="P43" s="90"/>
    </row>
    <row r="44" spans="1:16">
      <c r="A44" s="69" t="s">
        <v>81</v>
      </c>
      <c r="B44" s="70"/>
      <c r="C44" s="71"/>
      <c r="D44" s="71"/>
      <c r="E44" s="71"/>
      <c r="F44" s="65"/>
      <c r="G44" s="65"/>
      <c r="H44" s="65"/>
      <c r="P44" s="90"/>
    </row>
    <row r="45" spans="1:16">
      <c r="A45" s="69"/>
      <c r="B45" s="70"/>
      <c r="C45" s="71"/>
      <c r="D45" s="71"/>
      <c r="E45" s="71"/>
      <c r="F45" s="65"/>
      <c r="G45" s="65"/>
      <c r="H45" s="65"/>
      <c r="P45" s="90"/>
    </row>
    <row r="46" spans="1:16">
      <c r="A46" s="496" t="s">
        <v>82</v>
      </c>
      <c r="B46" s="497"/>
      <c r="C46" s="497"/>
      <c r="D46" s="497"/>
      <c r="E46" s="497"/>
      <c r="F46" s="497"/>
      <c r="G46" s="497"/>
      <c r="H46" s="497"/>
      <c r="P46" s="90"/>
    </row>
    <row r="47" spans="1:16" ht="75">
      <c r="A47" s="69"/>
      <c r="B47" s="82" t="s">
        <v>83</v>
      </c>
      <c r="C47" s="82" t="s">
        <v>84</v>
      </c>
      <c r="D47" s="82" t="s">
        <v>85</v>
      </c>
      <c r="E47" s="82" t="s">
        <v>86</v>
      </c>
      <c r="F47" s="78"/>
      <c r="G47" s="65"/>
      <c r="H47" s="65"/>
      <c r="P47" s="90"/>
    </row>
    <row r="48" spans="1:16">
      <c r="A48" s="69"/>
      <c r="B48" s="77" t="s">
        <v>87</v>
      </c>
      <c r="C48" s="77" t="s">
        <v>88</v>
      </c>
      <c r="D48" s="77" t="s">
        <v>89</v>
      </c>
      <c r="E48" s="77" t="s">
        <v>89</v>
      </c>
      <c r="F48" s="79"/>
      <c r="G48" s="65"/>
      <c r="H48" s="65"/>
      <c r="P48" s="90"/>
    </row>
    <row r="49" spans="1:16">
      <c r="A49" s="69"/>
      <c r="B49" s="77" t="s">
        <v>90</v>
      </c>
      <c r="C49" s="77" t="s">
        <v>88</v>
      </c>
      <c r="D49" s="77" t="s">
        <v>91</v>
      </c>
      <c r="E49" s="77" t="s">
        <v>91</v>
      </c>
      <c r="F49" s="79"/>
      <c r="G49" s="65"/>
      <c r="H49" s="65"/>
      <c r="P49" s="90"/>
    </row>
    <row r="50" spans="1:16">
      <c r="A50" s="69"/>
      <c r="B50" s="77" t="s">
        <v>92</v>
      </c>
      <c r="C50" s="77" t="s">
        <v>93</v>
      </c>
      <c r="D50" s="77" t="s">
        <v>94</v>
      </c>
      <c r="E50" s="77" t="s">
        <v>94</v>
      </c>
      <c r="F50" s="79"/>
      <c r="G50" s="65"/>
      <c r="H50" s="65"/>
      <c r="P50" s="90"/>
    </row>
    <row r="51" spans="1:16">
      <c r="A51" s="69"/>
      <c r="B51" s="77" t="s">
        <v>92</v>
      </c>
      <c r="C51" s="77" t="s">
        <v>95</v>
      </c>
      <c r="D51" s="77" t="s">
        <v>96</v>
      </c>
      <c r="E51" s="77" t="s">
        <v>96</v>
      </c>
      <c r="F51" s="79"/>
      <c r="G51" s="65"/>
      <c r="H51" s="65"/>
      <c r="P51" s="90"/>
    </row>
    <row r="52" spans="1:16">
      <c r="A52" s="69"/>
      <c r="B52" s="77" t="s">
        <v>92</v>
      </c>
      <c r="C52" s="77" t="s">
        <v>97</v>
      </c>
      <c r="D52" s="77" t="s">
        <v>98</v>
      </c>
      <c r="E52" s="77" t="s">
        <v>98</v>
      </c>
      <c r="F52" s="79"/>
      <c r="G52" s="65"/>
      <c r="H52" s="65"/>
      <c r="P52" s="90"/>
    </row>
    <row r="53" spans="1:16">
      <c r="A53" s="69"/>
      <c r="B53" s="77" t="s">
        <v>92</v>
      </c>
      <c r="C53" s="77" t="s">
        <v>99</v>
      </c>
      <c r="D53" s="77" t="s">
        <v>98</v>
      </c>
      <c r="E53" s="77" t="s">
        <v>98</v>
      </c>
      <c r="F53" s="79"/>
      <c r="G53" s="65"/>
      <c r="H53" s="65"/>
      <c r="P53" s="90"/>
    </row>
    <row r="54" spans="1:16">
      <c r="A54" s="69"/>
      <c r="B54" s="70"/>
      <c r="C54" s="71"/>
      <c r="D54" s="71"/>
      <c r="E54" s="71"/>
      <c r="F54" s="65"/>
      <c r="G54" s="65"/>
      <c r="H54" s="65"/>
      <c r="P54" s="90"/>
    </row>
    <row r="55" spans="1:16">
      <c r="A55" s="64"/>
      <c r="B55" s="55"/>
      <c r="C55" s="71"/>
      <c r="D55" s="71"/>
      <c r="E55" s="71"/>
      <c r="F55" s="65"/>
      <c r="G55" s="65"/>
      <c r="H55" s="65"/>
      <c r="P55" s="90"/>
    </row>
    <row r="56" spans="1:16">
      <c r="A56" s="64"/>
      <c r="B56" s="65"/>
      <c r="C56" s="65"/>
      <c r="D56" s="65"/>
      <c r="E56" s="65"/>
      <c r="F56" s="65"/>
      <c r="G56" s="65"/>
      <c r="H56" s="65"/>
      <c r="P56" s="90"/>
    </row>
    <row r="57" spans="1:16">
      <c r="A57" s="64" t="s">
        <v>100</v>
      </c>
      <c r="C57" s="72"/>
      <c r="D57" s="73" t="s">
        <v>101</v>
      </c>
      <c r="F57" s="65"/>
      <c r="G57" s="65"/>
      <c r="H57" s="65"/>
      <c r="P57" s="90"/>
    </row>
    <row r="58" spans="1:16">
      <c r="A58" s="64"/>
      <c r="C58" s="65"/>
      <c r="D58" s="65"/>
      <c r="F58" s="65"/>
      <c r="G58" s="65"/>
      <c r="H58" s="65"/>
      <c r="P58" s="90"/>
    </row>
    <row r="59" spans="1:16">
      <c r="A59" s="64" t="s">
        <v>102</v>
      </c>
      <c r="C59" s="72"/>
      <c r="D59" s="73" t="s">
        <v>101</v>
      </c>
      <c r="F59" s="74"/>
      <c r="G59" s="65"/>
      <c r="H59" s="65"/>
      <c r="P59" s="90"/>
    </row>
    <row r="60" spans="1:16">
      <c r="A60" s="64"/>
      <c r="B60" s="75"/>
      <c r="C60" s="65"/>
      <c r="D60" s="65"/>
      <c r="E60" s="56"/>
      <c r="F60" s="74"/>
      <c r="G60" s="65"/>
      <c r="H60" s="65"/>
      <c r="P60" s="90"/>
    </row>
    <row r="61" spans="1:16">
      <c r="A61" s="64"/>
      <c r="B61" s="75"/>
      <c r="C61" s="65"/>
      <c r="D61" s="65"/>
      <c r="E61" s="56"/>
      <c r="F61" s="74"/>
      <c r="G61" s="65"/>
      <c r="H61" s="65"/>
      <c r="P61" s="90"/>
    </row>
    <row r="62" spans="1:16">
      <c r="A62" s="64"/>
      <c r="B62" s="76"/>
      <c r="C62" s="81" t="s">
        <v>103</v>
      </c>
      <c r="D62" s="81" t="s">
        <v>104</v>
      </c>
      <c r="E62" s="80" t="s">
        <v>105</v>
      </c>
      <c r="F62" s="513" t="s">
        <v>68</v>
      </c>
      <c r="G62" s="513"/>
      <c r="H62" s="513"/>
      <c r="I62" s="513"/>
      <c r="J62" s="513"/>
      <c r="P62" s="90"/>
    </row>
    <row r="63" spans="1:16">
      <c r="A63" s="64"/>
      <c r="B63" s="214" t="s">
        <v>76</v>
      </c>
      <c r="C63" s="87">
        <f>C59*E39</f>
        <v>0</v>
      </c>
      <c r="D63" s="87"/>
      <c r="E63" s="217">
        <f>+D63-C63</f>
        <v>0</v>
      </c>
      <c r="F63" s="493"/>
      <c r="G63" s="493"/>
      <c r="H63" s="493"/>
      <c r="I63" s="493"/>
      <c r="J63" s="493"/>
      <c r="P63" s="90"/>
    </row>
    <row r="64" spans="1:16">
      <c r="A64" s="64"/>
      <c r="B64" s="214" t="s">
        <v>106</v>
      </c>
      <c r="C64" s="87">
        <f>IF(C57&lt;20,0,C59*E40)</f>
        <v>0</v>
      </c>
      <c r="D64" s="87"/>
      <c r="E64" s="217">
        <f>+D64-C64</f>
        <v>0</v>
      </c>
      <c r="F64" s="493"/>
      <c r="G64" s="493"/>
      <c r="H64" s="493"/>
      <c r="I64" s="493"/>
      <c r="J64" s="493"/>
      <c r="P64" s="90"/>
    </row>
    <row r="65" spans="1:16">
      <c r="A65" s="64"/>
      <c r="B65" s="215" t="s">
        <v>107</v>
      </c>
      <c r="C65" s="87">
        <f>IF(C57&lt;10,C59*C41,IF(C57&lt;20,C59*D41,C59*E41))</f>
        <v>0</v>
      </c>
      <c r="D65" s="87"/>
      <c r="E65" s="217">
        <f>+D65-C65</f>
        <v>0</v>
      </c>
      <c r="F65" s="493"/>
      <c r="G65" s="493"/>
      <c r="H65" s="493"/>
      <c r="I65" s="493"/>
      <c r="J65" s="493"/>
      <c r="P65" s="90"/>
    </row>
    <row r="66" spans="1:16" ht="15.75" thickBot="1">
      <c r="A66" s="207"/>
      <c r="B66" s="208"/>
      <c r="C66" s="208"/>
      <c r="D66" s="208"/>
      <c r="E66" s="208"/>
      <c r="F66" s="208"/>
      <c r="G66" s="208"/>
      <c r="H66" s="208"/>
      <c r="I66" s="91"/>
      <c r="J66" s="91"/>
      <c r="K66" s="91"/>
      <c r="L66" s="91"/>
      <c r="M66" s="91"/>
      <c r="N66" s="91"/>
      <c r="O66" s="91"/>
      <c r="P66" s="92"/>
    </row>
    <row r="67" spans="1:16">
      <c r="A67" s="65"/>
      <c r="B67" s="65"/>
      <c r="C67" s="65"/>
      <c r="D67" s="65"/>
      <c r="E67" s="65"/>
      <c r="F67" s="65"/>
      <c r="G67" s="65"/>
      <c r="H67" s="65"/>
    </row>
    <row r="68" spans="1:16">
      <c r="A68" s="64"/>
      <c r="B68" s="56"/>
      <c r="C68" s="75"/>
      <c r="D68" s="75"/>
      <c r="E68" s="75"/>
      <c r="F68" s="55"/>
      <c r="G68" s="55"/>
      <c r="H68" s="65"/>
    </row>
    <row r="69" spans="1:16">
      <c r="A69" s="64"/>
      <c r="B69" s="65"/>
      <c r="C69" s="65"/>
      <c r="D69" s="65"/>
      <c r="E69" s="65"/>
      <c r="F69" s="65"/>
      <c r="G69" s="65"/>
      <c r="H69" s="65"/>
    </row>
  </sheetData>
  <sheetProtection formatCells="0" formatColumns="0" formatRows="0" insertColumns="0" insertRows="0" insertHyperlinks="0" deleteColumns="0" deleteRows="0" sort="0" autoFilter="0" pivotTables="0"/>
  <mergeCells count="23">
    <mergeCell ref="O8:P8"/>
    <mergeCell ref="F62:J62"/>
    <mergeCell ref="J9:K9"/>
    <mergeCell ref="L9:N9"/>
    <mergeCell ref="A11:P11"/>
    <mergeCell ref="A13:P13"/>
    <mergeCell ref="A14:P14"/>
    <mergeCell ref="O9:P9"/>
    <mergeCell ref="A9:C9"/>
    <mergeCell ref="D1:M2"/>
    <mergeCell ref="A3:P5"/>
    <mergeCell ref="E6:L7"/>
    <mergeCell ref="M6:N6"/>
    <mergeCell ref="O6:P6"/>
    <mergeCell ref="M7:N7"/>
    <mergeCell ref="O7:P7"/>
    <mergeCell ref="F65:J65"/>
    <mergeCell ref="D9:E9"/>
    <mergeCell ref="F9:I9"/>
    <mergeCell ref="A46:H46"/>
    <mergeCell ref="F64:J64"/>
    <mergeCell ref="F63:J63"/>
    <mergeCell ref="G20:J20"/>
  </mergeCells>
  <dataValidations count="2">
    <dataValidation type="list" allowBlank="1" showInputMessage="1" showErrorMessage="1" sqref="O9:P9" xr:uid="{00000000-0002-0000-0200-000000000000}">
      <formula1>Diligences</formula1>
    </dataValidation>
    <dataValidation type="list" showInputMessage="1" showErrorMessage="1" sqref="D9:E9" xr:uid="{00000000-0002-0000-0200-000001000000}">
      <formula1>RAS</formula1>
    </dataValidation>
  </dataValidations>
  <hyperlinks>
    <hyperlink ref="O8:P8" location="'E Synthèse'!A1" display="E Synthèse" xr:uid="{00000000-0004-0000-02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U83"/>
  <sheetViews>
    <sheetView showGridLines="0" zoomScale="90" zoomScaleNormal="90" workbookViewId="0">
      <selection activeCell="D64" sqref="D64"/>
    </sheetView>
  </sheetViews>
  <sheetFormatPr defaultColWidth="11.42578125" defaultRowHeight="15"/>
  <cols>
    <col min="1" max="1" width="14.7109375" style="27" customWidth="1"/>
    <col min="2" max="3" width="15.7109375" style="27" customWidth="1"/>
    <col min="4" max="5" width="18" style="27" customWidth="1"/>
    <col min="6" max="7" width="15.7109375" style="27" customWidth="1"/>
    <col min="8" max="9" width="14.7109375" style="27" customWidth="1"/>
    <col min="10" max="16" width="12.140625" style="27" customWidth="1"/>
    <col min="17" max="16384" width="11.42578125" style="27"/>
  </cols>
  <sheetData>
    <row r="1" spans="1:21" s="32" customFormat="1" ht="15" customHeight="1">
      <c r="A1" s="11"/>
      <c r="B1" s="12"/>
      <c r="C1" s="12"/>
      <c r="D1" s="501" t="str">
        <f>'E Synthèse'!D1:M2</f>
        <v>#NomClient</v>
      </c>
      <c r="E1" s="502"/>
      <c r="F1" s="502"/>
      <c r="G1" s="502"/>
      <c r="H1" s="502"/>
      <c r="I1" s="502"/>
      <c r="J1" s="502"/>
      <c r="K1" s="502"/>
      <c r="L1" s="502"/>
      <c r="M1" s="503"/>
      <c r="N1" s="12"/>
      <c r="O1" s="12"/>
      <c r="P1" s="13"/>
    </row>
    <row r="2" spans="1:21" s="32" customFormat="1" ht="15" customHeight="1" thickBot="1">
      <c r="A2" s="14"/>
      <c r="B2" s="15"/>
      <c r="C2" s="15"/>
      <c r="D2" s="504"/>
      <c r="E2" s="505"/>
      <c r="F2" s="505"/>
      <c r="G2" s="505"/>
      <c r="H2" s="505"/>
      <c r="I2" s="505"/>
      <c r="J2" s="505"/>
      <c r="K2" s="505"/>
      <c r="L2" s="505"/>
      <c r="M2" s="506"/>
      <c r="N2" s="15"/>
      <c r="O2" s="15"/>
      <c r="P2" s="16"/>
    </row>
    <row r="3" spans="1:21" ht="15" customHeight="1">
      <c r="A3" s="471" t="s">
        <v>3</v>
      </c>
      <c r="B3" s="472"/>
      <c r="C3" s="472"/>
      <c r="D3" s="472"/>
      <c r="E3" s="472"/>
      <c r="F3" s="472"/>
      <c r="G3" s="472"/>
      <c r="H3" s="472"/>
      <c r="I3" s="472"/>
      <c r="J3" s="472"/>
      <c r="K3" s="472"/>
      <c r="L3" s="472"/>
      <c r="M3" s="472"/>
      <c r="N3" s="472"/>
      <c r="O3" s="472"/>
      <c r="P3" s="473"/>
      <c r="R3" s="4"/>
      <c r="T3" s="6"/>
      <c r="U3" s="6"/>
    </row>
    <row r="4" spans="1:21" ht="15" customHeight="1">
      <c r="A4" s="471"/>
      <c r="B4" s="472"/>
      <c r="C4" s="472"/>
      <c r="D4" s="472"/>
      <c r="E4" s="472"/>
      <c r="F4" s="472"/>
      <c r="G4" s="472"/>
      <c r="H4" s="472"/>
      <c r="I4" s="472"/>
      <c r="J4" s="472"/>
      <c r="K4" s="472"/>
      <c r="L4" s="472"/>
      <c r="M4" s="472"/>
      <c r="N4" s="472"/>
      <c r="O4" s="472"/>
      <c r="P4" s="473"/>
      <c r="R4" s="4"/>
      <c r="T4" s="6"/>
      <c r="U4" s="6"/>
    </row>
    <row r="5" spans="1:21" ht="15" customHeight="1" thickBot="1">
      <c r="A5" s="474"/>
      <c r="B5" s="475"/>
      <c r="C5" s="475"/>
      <c r="D5" s="475"/>
      <c r="E5" s="475"/>
      <c r="F5" s="475"/>
      <c r="G5" s="475"/>
      <c r="H5" s="475"/>
      <c r="I5" s="475"/>
      <c r="J5" s="475"/>
      <c r="K5" s="475"/>
      <c r="L5" s="475"/>
      <c r="M5" s="475"/>
      <c r="N5" s="475"/>
      <c r="O5" s="475"/>
      <c r="P5" s="476"/>
      <c r="Q5" s="4"/>
      <c r="R5" s="33"/>
      <c r="S5" s="34"/>
      <c r="T5" s="34"/>
      <c r="U5" s="34"/>
    </row>
    <row r="6" spans="1:21" ht="15" customHeight="1">
      <c r="A6" s="18" t="s">
        <v>6</v>
      </c>
      <c r="B6" s="202" t="str">
        <f>'E Synthèse'!B6</f>
        <v>BRA</v>
      </c>
      <c r="C6" s="18" t="s">
        <v>8</v>
      </c>
      <c r="D6" s="202">
        <f>'E Synthèse'!D6</f>
        <v>0</v>
      </c>
      <c r="E6" s="487" t="s">
        <v>30</v>
      </c>
      <c r="F6" s="488"/>
      <c r="G6" s="488"/>
      <c r="H6" s="488"/>
      <c r="I6" s="488"/>
      <c r="J6" s="488"/>
      <c r="K6" s="488"/>
      <c r="L6" s="489"/>
      <c r="M6" s="507" t="s">
        <v>10</v>
      </c>
      <c r="N6" s="508"/>
      <c r="O6" s="479" t="s">
        <v>11</v>
      </c>
      <c r="P6" s="480"/>
      <c r="R6" s="32"/>
      <c r="S6" s="32"/>
    </row>
    <row r="7" spans="1:21" ht="15" customHeight="1" thickBot="1">
      <c r="A7" s="19" t="s">
        <v>13</v>
      </c>
      <c r="B7" s="203">
        <f>'E Synthèse'!B7</f>
        <v>0</v>
      </c>
      <c r="C7" s="19" t="s">
        <v>13</v>
      </c>
      <c r="D7" s="203">
        <f>'E Synthèse'!D7</f>
        <v>0</v>
      </c>
      <c r="E7" s="490"/>
      <c r="F7" s="491"/>
      <c r="G7" s="491"/>
      <c r="H7" s="491"/>
      <c r="I7" s="491"/>
      <c r="J7" s="491"/>
      <c r="K7" s="491"/>
      <c r="L7" s="492"/>
      <c r="M7" s="509" t="str">
        <f>'E Synthèse'!M7:M7</f>
        <v>#DateClôture</v>
      </c>
      <c r="N7" s="510"/>
      <c r="O7" s="481" t="s">
        <v>108</v>
      </c>
      <c r="P7" s="482"/>
    </row>
    <row r="8" spans="1:21" ht="21" customHeight="1" thickBot="1">
      <c r="A8" s="20"/>
      <c r="B8" s="35"/>
      <c r="C8" s="21"/>
      <c r="D8" s="21"/>
      <c r="E8" s="36"/>
      <c r="F8" s="36"/>
      <c r="G8" s="36"/>
      <c r="H8" s="36"/>
      <c r="I8" s="36"/>
      <c r="J8" s="36"/>
      <c r="K8" s="36"/>
      <c r="L8" s="36"/>
      <c r="M8" s="23"/>
      <c r="N8" s="21"/>
      <c r="O8" s="511" t="s">
        <v>58</v>
      </c>
      <c r="P8" s="512"/>
    </row>
    <row r="9" spans="1:21" s="21" customFormat="1" ht="31.5" customHeight="1" thickBot="1">
      <c r="A9" s="483" t="s">
        <v>18</v>
      </c>
      <c r="B9" s="484"/>
      <c r="C9" s="484"/>
      <c r="D9" s="494" t="str">
        <f>'E Synthèse'!D9:E9</f>
        <v>Faible</v>
      </c>
      <c r="E9" s="495"/>
      <c r="F9" s="477" t="s">
        <v>19</v>
      </c>
      <c r="G9" s="478"/>
      <c r="H9" s="478"/>
      <c r="I9" s="478"/>
      <c r="J9" s="514">
        <f>'E Synthèse'!J9:K9</f>
        <v>0</v>
      </c>
      <c r="K9" s="515"/>
      <c r="L9" s="477" t="s">
        <v>20</v>
      </c>
      <c r="M9" s="478"/>
      <c r="N9" s="478"/>
      <c r="O9" s="494" t="str">
        <f>'E Synthèse'!N9</f>
        <v>PB</v>
      </c>
      <c r="P9" s="495"/>
    </row>
    <row r="10" spans="1:21" s="21" customFormat="1" ht="21" customHeight="1" thickBot="1">
      <c r="A10" s="26"/>
      <c r="B10" s="26"/>
      <c r="C10" s="26"/>
      <c r="D10" s="26"/>
      <c r="E10" s="26"/>
      <c r="F10" s="26"/>
      <c r="G10" s="26"/>
      <c r="H10" s="26"/>
      <c r="I10" s="26"/>
      <c r="J10" s="26"/>
      <c r="K10" s="26"/>
      <c r="L10" s="26"/>
      <c r="M10" s="26"/>
      <c r="N10" s="26"/>
      <c r="O10" s="26"/>
      <c r="P10" s="26"/>
    </row>
    <row r="11" spans="1:21" ht="123.75" customHeight="1" thickBot="1">
      <c r="A11" s="516" t="s">
        <v>109</v>
      </c>
      <c r="B11" s="517"/>
      <c r="C11" s="517"/>
      <c r="D11" s="517"/>
      <c r="E11" s="517"/>
      <c r="F11" s="517"/>
      <c r="G11" s="517"/>
      <c r="H11" s="517"/>
      <c r="I11" s="517"/>
      <c r="J11" s="517"/>
      <c r="K11" s="517"/>
      <c r="L11" s="517"/>
      <c r="M11" s="517"/>
      <c r="N11" s="517"/>
      <c r="O11" s="517"/>
      <c r="P11" s="518"/>
    </row>
    <row r="12" spans="1:21" ht="9" customHeight="1" thickBot="1"/>
    <row r="13" spans="1:21">
      <c r="A13" s="519" t="s">
        <v>60</v>
      </c>
      <c r="B13" s="520"/>
      <c r="C13" s="520"/>
      <c r="D13" s="520"/>
      <c r="E13" s="520"/>
      <c r="F13" s="520"/>
      <c r="G13" s="520"/>
      <c r="H13" s="520"/>
      <c r="I13" s="520"/>
      <c r="J13" s="520"/>
      <c r="K13" s="520"/>
      <c r="L13" s="520"/>
      <c r="M13" s="520"/>
      <c r="N13" s="520"/>
      <c r="O13" s="520"/>
      <c r="P13" s="521"/>
    </row>
    <row r="14" spans="1:21" ht="60" customHeight="1" thickBot="1">
      <c r="A14" s="522"/>
      <c r="B14" s="523"/>
      <c r="C14" s="523"/>
      <c r="D14" s="523"/>
      <c r="E14" s="523"/>
      <c r="F14" s="523"/>
      <c r="G14" s="523"/>
      <c r="H14" s="523"/>
      <c r="I14" s="523"/>
      <c r="J14" s="523"/>
      <c r="K14" s="523"/>
      <c r="L14" s="523"/>
      <c r="M14" s="523"/>
      <c r="N14" s="523"/>
      <c r="O14" s="523"/>
      <c r="P14" s="524"/>
    </row>
    <row r="15" spans="1:21" ht="15.75" thickBot="1"/>
    <row r="16" spans="1:21">
      <c r="A16" s="42"/>
      <c r="B16" s="43"/>
      <c r="C16" s="43"/>
      <c r="D16" s="43"/>
      <c r="E16" s="43"/>
      <c r="F16" s="43"/>
      <c r="G16" s="43"/>
      <c r="H16" s="43"/>
      <c r="I16" s="43"/>
      <c r="J16" s="43"/>
      <c r="K16" s="43"/>
      <c r="L16" s="43"/>
      <c r="M16" s="43"/>
      <c r="N16" s="43"/>
      <c r="O16" s="43"/>
      <c r="P16" s="44"/>
    </row>
    <row r="17" spans="1:16">
      <c r="A17" s="93" t="s">
        <v>110</v>
      </c>
      <c r="B17" s="94"/>
      <c r="C17" s="94"/>
      <c r="D17" s="94"/>
      <c r="E17" s="95"/>
      <c r="F17" s="95"/>
      <c r="G17" s="95"/>
      <c r="H17" s="95"/>
      <c r="P17" s="90"/>
    </row>
    <row r="18" spans="1:16">
      <c r="A18" s="53"/>
      <c r="B18" s="94"/>
      <c r="C18" s="94"/>
      <c r="D18" s="94"/>
      <c r="E18" s="95"/>
      <c r="F18" s="95"/>
      <c r="G18" s="95"/>
      <c r="H18" s="95"/>
      <c r="P18" s="90"/>
    </row>
    <row r="19" spans="1:16">
      <c r="A19" s="53"/>
      <c r="B19" s="106" t="s">
        <v>111</v>
      </c>
      <c r="D19" s="105"/>
      <c r="E19" s="423" t="s">
        <v>112</v>
      </c>
      <c r="F19" s="95"/>
      <c r="G19" s="95"/>
      <c r="H19" s="95"/>
      <c r="P19" s="90"/>
    </row>
    <row r="20" spans="1:16">
      <c r="A20" s="53"/>
      <c r="B20" s="94"/>
      <c r="C20" s="94"/>
      <c r="D20" s="94"/>
      <c r="E20" s="95"/>
      <c r="F20" s="95"/>
      <c r="G20" s="95"/>
      <c r="H20" s="95"/>
      <c r="P20" s="90"/>
    </row>
    <row r="21" spans="1:16">
      <c r="A21" s="53"/>
      <c r="B21" s="94"/>
      <c r="C21" s="94"/>
      <c r="D21" s="94"/>
      <c r="E21" s="95"/>
      <c r="F21" s="95"/>
      <c r="G21" s="95"/>
      <c r="H21" s="95"/>
      <c r="P21" s="90"/>
    </row>
    <row r="22" spans="1:16">
      <c r="A22" s="96"/>
      <c r="B22" s="527" t="s">
        <v>113</v>
      </c>
      <c r="C22" s="527"/>
      <c r="D22" s="527"/>
      <c r="F22" s="527" t="s">
        <v>114</v>
      </c>
      <c r="G22" s="527"/>
      <c r="H22" s="527"/>
      <c r="P22" s="90"/>
    </row>
    <row r="23" spans="1:16" ht="15" customHeight="1">
      <c r="A23" s="96"/>
      <c r="B23" s="218" t="s">
        <v>115</v>
      </c>
      <c r="C23" s="97"/>
      <c r="D23" s="98"/>
      <c r="F23" s="218" t="s">
        <v>116</v>
      </c>
      <c r="G23" s="97"/>
      <c r="H23" s="98"/>
      <c r="I23" s="95"/>
      <c r="J23" s="528" t="s">
        <v>117</v>
      </c>
      <c r="K23" s="528"/>
      <c r="P23" s="90"/>
    </row>
    <row r="24" spans="1:16">
      <c r="A24" s="96"/>
      <c r="B24" s="218" t="s">
        <v>118</v>
      </c>
      <c r="C24" s="99"/>
      <c r="D24" s="98"/>
      <c r="F24" s="218" t="s">
        <v>119</v>
      </c>
      <c r="G24" s="99"/>
      <c r="H24" s="98"/>
      <c r="I24" s="95"/>
      <c r="J24" s="528"/>
      <c r="K24" s="528"/>
      <c r="P24" s="90"/>
    </row>
    <row r="25" spans="1:16">
      <c r="A25" s="96"/>
      <c r="B25" s="218" t="s">
        <v>120</v>
      </c>
      <c r="C25" s="99"/>
      <c r="D25" s="98"/>
      <c r="F25" s="218" t="s">
        <v>121</v>
      </c>
      <c r="G25" s="99"/>
      <c r="H25" s="98"/>
      <c r="I25" s="95"/>
      <c r="J25" s="526"/>
      <c r="K25" s="526"/>
      <c r="L25" s="526"/>
      <c r="M25" s="526"/>
      <c r="N25" s="525"/>
      <c r="O25" s="525"/>
      <c r="P25" s="239"/>
    </row>
    <row r="26" spans="1:16">
      <c r="A26" s="96"/>
      <c r="B26" s="218"/>
      <c r="C26" s="99"/>
      <c r="D26" s="98"/>
      <c r="F26" s="218"/>
      <c r="G26" s="99"/>
      <c r="H26" s="98"/>
      <c r="I26" s="95"/>
      <c r="J26" s="526"/>
      <c r="K26" s="526"/>
      <c r="L26" s="526"/>
      <c r="M26" s="526"/>
      <c r="N26" s="525"/>
      <c r="O26" s="525"/>
      <c r="P26" s="239"/>
    </row>
    <row r="27" spans="1:16">
      <c r="A27" s="96"/>
      <c r="B27" s="218"/>
      <c r="C27" s="99"/>
      <c r="D27" s="98"/>
      <c r="F27" s="218"/>
      <c r="G27" s="99"/>
      <c r="H27" s="98"/>
      <c r="I27" s="95"/>
      <c r="J27" s="526"/>
      <c r="K27" s="526"/>
      <c r="L27" s="526"/>
      <c r="M27" s="526"/>
      <c r="N27" s="525"/>
      <c r="O27" s="525"/>
      <c r="P27" s="239"/>
    </row>
    <row r="28" spans="1:16">
      <c r="A28" s="96"/>
      <c r="B28" s="218"/>
      <c r="C28" s="99"/>
      <c r="D28" s="98"/>
      <c r="F28" s="218"/>
      <c r="G28" s="99"/>
      <c r="H28" s="98"/>
      <c r="I28" s="95"/>
      <c r="J28" s="526"/>
      <c r="K28" s="526"/>
      <c r="L28" s="526"/>
      <c r="M28" s="526"/>
      <c r="N28" s="525"/>
      <c r="O28" s="525"/>
      <c r="P28" s="239"/>
    </row>
    <row r="29" spans="1:16">
      <c r="A29" s="96"/>
      <c r="B29" s="218"/>
      <c r="C29" s="99"/>
      <c r="D29" s="100"/>
      <c r="F29" s="218"/>
      <c r="G29" s="99"/>
      <c r="H29" s="100"/>
      <c r="I29" s="95"/>
      <c r="J29" s="526"/>
      <c r="K29" s="526"/>
      <c r="L29" s="526"/>
      <c r="M29" s="89"/>
      <c r="N29" s="525"/>
      <c r="O29" s="525"/>
      <c r="P29" s="239"/>
    </row>
    <row r="30" spans="1:16">
      <c r="A30" s="96"/>
      <c r="B30" s="219"/>
      <c r="C30" s="102"/>
      <c r="D30" s="101">
        <f>SUM(D23:D27)</f>
        <v>0</v>
      </c>
      <c r="F30" s="219"/>
      <c r="G30" s="102"/>
      <c r="H30" s="101">
        <f>SUM(H23:H29)-(H27+H28)*2</f>
        <v>0</v>
      </c>
      <c r="I30" s="95"/>
      <c r="J30" s="526"/>
      <c r="K30" s="526"/>
      <c r="L30" s="526"/>
      <c r="M30" s="526"/>
      <c r="N30" s="525"/>
      <c r="O30" s="525"/>
      <c r="P30" s="239"/>
    </row>
    <row r="31" spans="1:16">
      <c r="A31" s="96"/>
      <c r="B31" s="95"/>
      <c r="C31" s="103"/>
      <c r="D31" s="95"/>
      <c r="E31" s="104"/>
      <c r="F31" s="95"/>
      <c r="G31" s="95"/>
      <c r="H31" s="95"/>
      <c r="I31" s="526"/>
      <c r="J31" s="526"/>
      <c r="K31" s="526"/>
      <c r="L31" s="526"/>
      <c r="M31" s="525"/>
      <c r="N31" s="525"/>
      <c r="O31" s="31"/>
      <c r="P31" s="90"/>
    </row>
    <row r="32" spans="1:16">
      <c r="A32" s="96"/>
      <c r="B32" s="106" t="s">
        <v>122</v>
      </c>
      <c r="D32" s="105">
        <f>D19+D30-H30</f>
        <v>0</v>
      </c>
      <c r="E32" s="104"/>
      <c r="F32" s="95"/>
      <c r="G32" s="95"/>
      <c r="H32" s="95"/>
      <c r="I32" s="526"/>
      <c r="J32" s="526"/>
      <c r="K32" s="526"/>
      <c r="L32" s="526"/>
      <c r="M32" s="525"/>
      <c r="N32" s="525"/>
      <c r="O32" s="31"/>
      <c r="P32" s="90"/>
    </row>
    <row r="33" spans="1:16">
      <c r="A33" s="96"/>
      <c r="B33" s="95"/>
      <c r="C33" s="104"/>
      <c r="D33" s="95"/>
      <c r="E33" s="104"/>
      <c r="F33" s="95"/>
      <c r="G33" s="95"/>
      <c r="H33" s="95"/>
      <c r="I33" s="533"/>
      <c r="J33" s="533"/>
      <c r="K33" s="533"/>
      <c r="L33" s="533"/>
      <c r="M33" s="525"/>
      <c r="N33" s="525"/>
      <c r="O33" s="31"/>
      <c r="P33" s="90"/>
    </row>
    <row r="34" spans="1:16" s="220" customFormat="1" ht="33" customHeight="1">
      <c r="A34" s="222" t="s">
        <v>123</v>
      </c>
      <c r="C34" s="534" t="s">
        <v>124</v>
      </c>
      <c r="D34" s="534"/>
      <c r="E34" s="534"/>
      <c r="F34" s="534" t="s">
        <v>125</v>
      </c>
      <c r="G34" s="534"/>
      <c r="H34" s="534"/>
      <c r="I34" s="531"/>
      <c r="J34" s="531"/>
      <c r="K34" s="531"/>
      <c r="L34" s="531"/>
      <c r="M34" s="532"/>
      <c r="N34" s="532"/>
      <c r="O34" s="221"/>
      <c r="P34" s="240"/>
    </row>
    <row r="35" spans="1:16">
      <c r="A35" s="63"/>
      <c r="C35" s="536" t="s">
        <v>126</v>
      </c>
      <c r="D35" s="536"/>
      <c r="E35" s="536"/>
      <c r="F35" s="535">
        <v>0.8</v>
      </c>
      <c r="G35" s="535"/>
      <c r="H35" s="535"/>
      <c r="I35" s="37"/>
      <c r="M35" s="37"/>
      <c r="O35" s="37"/>
      <c r="P35" s="90"/>
    </row>
    <row r="36" spans="1:16">
      <c r="A36" s="63"/>
      <c r="C36" s="536" t="s">
        <v>127</v>
      </c>
      <c r="D36" s="536"/>
      <c r="E36" s="536"/>
      <c r="F36" s="535">
        <v>0.85</v>
      </c>
      <c r="G36" s="535"/>
      <c r="H36" s="535"/>
      <c r="P36" s="90"/>
    </row>
    <row r="37" spans="1:16">
      <c r="A37" s="96"/>
      <c r="C37" s="95"/>
      <c r="F37" s="95"/>
      <c r="G37" s="104"/>
      <c r="H37" s="95"/>
      <c r="P37" s="90"/>
    </row>
    <row r="38" spans="1:16">
      <c r="A38" s="96"/>
      <c r="C38" s="529" t="s">
        <v>128</v>
      </c>
      <c r="D38" s="529"/>
      <c r="E38" s="530"/>
      <c r="F38" s="105">
        <f>IF(D48&lt;=7600,IF(D32&gt;D48*0.8,D48*0.8,D32),IF(D32&gt;D48*0.85,D48*0.85,D32))</f>
        <v>0</v>
      </c>
      <c r="G38" s="95"/>
      <c r="H38" s="95"/>
      <c r="P38" s="90"/>
    </row>
    <row r="39" spans="1:16" ht="15.75" thickBot="1">
      <c r="A39" s="241"/>
      <c r="B39" s="242"/>
      <c r="C39" s="243"/>
      <c r="D39" s="244"/>
      <c r="E39" s="244"/>
      <c r="F39" s="244"/>
      <c r="G39" s="244"/>
      <c r="H39" s="244"/>
      <c r="I39" s="91"/>
      <c r="J39" s="91"/>
      <c r="K39" s="91"/>
      <c r="L39" s="91"/>
      <c r="M39" s="91"/>
      <c r="N39" s="91"/>
      <c r="O39" s="91"/>
      <c r="P39" s="92"/>
    </row>
    <row r="40" spans="1:16" ht="15.75" thickBot="1">
      <c r="A40" s="96"/>
      <c r="B40" s="106"/>
      <c r="C40" s="104"/>
      <c r="D40" s="95"/>
      <c r="E40" s="95"/>
      <c r="F40" s="95"/>
      <c r="G40" s="95"/>
      <c r="H40" s="95"/>
    </row>
    <row r="41" spans="1:16">
      <c r="A41" s="234"/>
      <c r="B41" s="245"/>
      <c r="C41" s="237"/>
      <c r="D41" s="236"/>
      <c r="E41" s="236"/>
      <c r="F41" s="236"/>
      <c r="G41" s="236"/>
      <c r="H41" s="236"/>
      <c r="I41" s="43"/>
      <c r="J41" s="43"/>
      <c r="K41" s="43"/>
      <c r="L41" s="43"/>
      <c r="M41" s="43"/>
      <c r="N41" s="43"/>
      <c r="O41" s="43"/>
      <c r="P41" s="44"/>
    </row>
    <row r="42" spans="1:16">
      <c r="A42" s="93" t="s">
        <v>129</v>
      </c>
      <c r="B42" s="56"/>
      <c r="C42" s="104"/>
      <c r="D42" s="95"/>
      <c r="E42" s="95"/>
      <c r="F42" s="95"/>
      <c r="G42" s="95"/>
      <c r="H42" s="95"/>
      <c r="P42" s="90"/>
    </row>
    <row r="43" spans="1:16">
      <c r="A43" s="64"/>
      <c r="B43" s="65"/>
      <c r="C43" s="104"/>
      <c r="D43" s="95"/>
      <c r="E43" s="95"/>
      <c r="F43" s="95"/>
      <c r="G43" s="95"/>
      <c r="H43" s="95"/>
      <c r="P43" s="90"/>
    </row>
    <row r="44" spans="1:16" ht="15" customHeight="1">
      <c r="A44" s="96"/>
      <c r="B44" s="216" t="s">
        <v>130</v>
      </c>
      <c r="D44" s="224"/>
      <c r="E44" s="550" t="s">
        <v>112</v>
      </c>
      <c r="F44" s="551"/>
      <c r="G44" s="551"/>
      <c r="H44" s="95"/>
      <c r="P44" s="90"/>
    </row>
    <row r="45" spans="1:16" ht="15" customHeight="1">
      <c r="A45" s="96"/>
      <c r="B45" s="216" t="s">
        <v>131</v>
      </c>
      <c r="D45" s="225"/>
      <c r="E45" s="550"/>
      <c r="F45" s="551"/>
      <c r="G45" s="551"/>
      <c r="H45" s="95"/>
      <c r="P45" s="90"/>
    </row>
    <row r="46" spans="1:16" ht="15" customHeight="1">
      <c r="A46" s="96"/>
      <c r="B46" s="216" t="s">
        <v>132</v>
      </c>
      <c r="D46" s="226"/>
      <c r="E46" s="550"/>
      <c r="F46" s="551"/>
      <c r="G46" s="551"/>
      <c r="H46" s="95"/>
      <c r="P46" s="90"/>
    </row>
    <row r="47" spans="1:16">
      <c r="A47" s="96"/>
      <c r="B47" s="104"/>
      <c r="C47" s="95"/>
      <c r="D47" s="227"/>
      <c r="E47" s="95"/>
      <c r="F47" s="95"/>
      <c r="G47" s="95"/>
      <c r="H47" s="95"/>
      <c r="P47" s="90"/>
    </row>
    <row r="48" spans="1:16">
      <c r="A48" s="96"/>
      <c r="B48" s="620" t="s">
        <v>133</v>
      </c>
      <c r="C48" s="620"/>
      <c r="D48" s="223">
        <f>SUM(D44:D47)</f>
        <v>0</v>
      </c>
      <c r="E48" s="95"/>
      <c r="F48" s="95"/>
      <c r="G48" s="95"/>
      <c r="H48" s="95"/>
      <c r="P48" s="90"/>
    </row>
    <row r="49" spans="1:16">
      <c r="A49" s="96"/>
      <c r="B49" s="95"/>
      <c r="C49" s="95"/>
      <c r="D49" s="95"/>
      <c r="E49" s="95"/>
      <c r="F49" s="95"/>
      <c r="G49" s="95"/>
      <c r="H49" s="95"/>
      <c r="P49" s="90"/>
    </row>
    <row r="50" spans="1:16">
      <c r="A50" s="107" t="s">
        <v>134</v>
      </c>
      <c r="B50" s="95"/>
      <c r="C50" s="95"/>
      <c r="D50" s="104"/>
      <c r="E50" s="95"/>
      <c r="F50" s="95"/>
      <c r="G50" s="95"/>
      <c r="H50" s="95"/>
      <c r="P50" s="90"/>
    </row>
    <row r="51" spans="1:16" ht="15.75" thickBot="1">
      <c r="A51" s="246"/>
      <c r="B51" s="244"/>
      <c r="C51" s="244"/>
      <c r="D51" s="243"/>
      <c r="E51" s="244"/>
      <c r="F51" s="244"/>
      <c r="G51" s="244"/>
      <c r="H51" s="244"/>
      <c r="I51" s="91"/>
      <c r="J51" s="91"/>
      <c r="K51" s="91"/>
      <c r="L51" s="91"/>
      <c r="M51" s="91"/>
      <c r="N51" s="91"/>
      <c r="O51" s="91"/>
      <c r="P51" s="92"/>
    </row>
    <row r="52" spans="1:16" ht="15.75" thickBot="1">
      <c r="A52" s="107"/>
      <c r="B52" s="95"/>
      <c r="C52" s="95"/>
      <c r="D52" s="104"/>
      <c r="E52" s="95"/>
      <c r="F52" s="95"/>
      <c r="G52" s="95"/>
      <c r="H52" s="95"/>
    </row>
    <row r="53" spans="1:16">
      <c r="A53" s="234"/>
      <c r="B53" s="235"/>
      <c r="C53" s="236"/>
      <c r="D53" s="237"/>
      <c r="E53" s="236"/>
      <c r="F53" s="236"/>
      <c r="G53" s="236"/>
      <c r="H53" s="236"/>
      <c r="I53" s="43"/>
      <c r="J53" s="43"/>
      <c r="K53" s="43"/>
      <c r="L53" s="43"/>
      <c r="M53" s="43"/>
      <c r="N53" s="43"/>
      <c r="O53" s="43"/>
      <c r="P53" s="44"/>
    </row>
    <row r="54" spans="1:16">
      <c r="A54" s="93" t="s">
        <v>135</v>
      </c>
      <c r="B54" s="108"/>
      <c r="C54" s="95"/>
      <c r="D54" s="104"/>
      <c r="E54" s="95"/>
      <c r="F54" s="95"/>
      <c r="G54" s="95"/>
      <c r="H54" s="95"/>
      <c r="P54" s="90"/>
    </row>
    <row r="55" spans="1:16">
      <c r="A55" s="64"/>
      <c r="B55" s="95"/>
      <c r="C55" s="104"/>
      <c r="D55" s="104"/>
      <c r="E55" s="95"/>
      <c r="F55" s="95"/>
      <c r="G55" s="95"/>
      <c r="H55" s="95"/>
      <c r="P55" s="90"/>
    </row>
    <row r="56" spans="1:16" ht="17.25">
      <c r="A56" s="66" t="s">
        <v>71</v>
      </c>
      <c r="B56" s="95"/>
      <c r="C56" s="104"/>
      <c r="D56" s="104"/>
      <c r="E56" s="95"/>
      <c r="F56" s="95"/>
      <c r="G56" s="95"/>
      <c r="H56" s="95"/>
      <c r="P56" s="90"/>
    </row>
    <row r="57" spans="1:16" ht="17.25">
      <c r="A57" s="66"/>
      <c r="B57" s="513" t="s">
        <v>136</v>
      </c>
      <c r="C57" s="513"/>
      <c r="D57" s="513"/>
      <c r="E57" s="81" t="s">
        <v>137</v>
      </c>
      <c r="F57" s="95"/>
      <c r="G57" s="95"/>
      <c r="H57" s="95"/>
      <c r="P57" s="90"/>
    </row>
    <row r="58" spans="1:16">
      <c r="A58" s="96"/>
      <c r="B58" s="548" t="s">
        <v>138</v>
      </c>
      <c r="C58" s="548"/>
      <c r="D58" s="548"/>
      <c r="E58" s="68">
        <v>0</v>
      </c>
      <c r="F58" s="95"/>
      <c r="G58" s="95"/>
      <c r="H58" s="95"/>
      <c r="P58" s="90"/>
    </row>
    <row r="59" spans="1:16">
      <c r="A59" s="96"/>
      <c r="B59" s="548" t="s">
        <v>139</v>
      </c>
      <c r="C59" s="548"/>
      <c r="D59" s="548"/>
      <c r="E59" s="68">
        <f>ROUND((0.094*(D48-500))/2500,2)/100</f>
        <v>-2.0000000000000001E-4</v>
      </c>
      <c r="F59" s="95"/>
      <c r="G59" s="95"/>
      <c r="H59" s="95"/>
      <c r="P59" s="90"/>
    </row>
    <row r="60" spans="1:16">
      <c r="A60" s="96"/>
      <c r="B60" s="548" t="s">
        <v>140</v>
      </c>
      <c r="C60" s="548"/>
      <c r="D60" s="548"/>
      <c r="E60" s="68">
        <f>ROUND(((0.169*(D48-3000))/7000)+0.094,2)/100</f>
        <v>2.0000000000000001E-4</v>
      </c>
      <c r="F60" s="95"/>
      <c r="G60" s="95"/>
      <c r="H60" s="95"/>
      <c r="P60" s="90"/>
    </row>
    <row r="61" spans="1:16">
      <c r="A61" s="96"/>
      <c r="B61" s="548" t="s">
        <v>141</v>
      </c>
      <c r="C61" s="548"/>
      <c r="D61" s="548"/>
      <c r="E61" s="68">
        <f>ROUND(((0.019*(D48-10000))/50000)+0.263,2)/100</f>
        <v>2.5999999999999999E-3</v>
      </c>
      <c r="F61" s="95"/>
      <c r="G61" s="95"/>
      <c r="H61" s="95"/>
      <c r="P61" s="90"/>
    </row>
    <row r="62" spans="1:16">
      <c r="A62" s="96"/>
      <c r="B62" s="548" t="s">
        <v>142</v>
      </c>
      <c r="C62" s="548"/>
      <c r="D62" s="548"/>
      <c r="E62" s="68">
        <f>0.28/100</f>
        <v>2.8000000000000004E-3</v>
      </c>
      <c r="F62" s="95"/>
      <c r="G62" s="95"/>
      <c r="H62" s="95"/>
      <c r="P62" s="90"/>
    </row>
    <row r="63" spans="1:16">
      <c r="A63" s="96"/>
      <c r="B63" s="108"/>
      <c r="C63" s="95"/>
      <c r="D63" s="104"/>
      <c r="E63" s="95"/>
      <c r="F63" s="95"/>
      <c r="G63" s="95"/>
      <c r="H63" s="95"/>
      <c r="P63" s="90"/>
    </row>
    <row r="64" spans="1:16">
      <c r="A64" s="96"/>
      <c r="B64" s="549" t="s">
        <v>143</v>
      </c>
      <c r="C64" s="549"/>
      <c r="D64" s="422">
        <v>1.4E-2</v>
      </c>
      <c r="E64" s="95"/>
      <c r="F64" s="95"/>
      <c r="G64" s="95"/>
      <c r="H64" s="95"/>
      <c r="P64" s="90"/>
    </row>
    <row r="65" spans="1:16">
      <c r="A65" s="96"/>
      <c r="B65" s="109"/>
      <c r="C65" s="110"/>
      <c r="D65" s="104"/>
      <c r="E65" s="95"/>
      <c r="F65" s="95"/>
      <c r="G65" s="95"/>
      <c r="H65" s="95"/>
      <c r="P65" s="90"/>
    </row>
    <row r="66" spans="1:16">
      <c r="A66" s="96"/>
      <c r="B66" s="108"/>
      <c r="C66" s="95"/>
      <c r="D66" s="104"/>
      <c r="E66" s="95"/>
      <c r="F66" s="95"/>
      <c r="G66" s="95"/>
      <c r="H66" s="95"/>
      <c r="P66" s="90"/>
    </row>
    <row r="67" spans="1:16">
      <c r="A67" s="93" t="s">
        <v>144</v>
      </c>
      <c r="B67" s="108"/>
      <c r="C67" s="95"/>
      <c r="D67" s="104"/>
      <c r="E67" s="95"/>
      <c r="F67" s="95"/>
      <c r="G67" s="95"/>
      <c r="H67" s="95"/>
      <c r="P67" s="90"/>
    </row>
    <row r="68" spans="1:16">
      <c r="A68" s="96"/>
      <c r="B68" s="108"/>
      <c r="C68" s="95"/>
      <c r="D68" s="104"/>
      <c r="E68" s="95"/>
      <c r="F68" s="95"/>
      <c r="G68" s="95"/>
      <c r="H68" s="95"/>
      <c r="P68" s="90"/>
    </row>
    <row r="69" spans="1:16">
      <c r="A69" s="96"/>
      <c r="B69" s="108"/>
      <c r="C69" s="95"/>
      <c r="D69" s="104"/>
      <c r="E69" s="95"/>
      <c r="F69" s="95"/>
      <c r="G69" s="95"/>
      <c r="H69" s="95"/>
      <c r="P69" s="90"/>
    </row>
    <row r="70" spans="1:16">
      <c r="A70" s="96"/>
      <c r="B70" s="552" t="s">
        <v>145</v>
      </c>
      <c r="C70" s="553"/>
      <c r="D70" s="553"/>
      <c r="E70" s="228">
        <f>F38*D64</f>
        <v>0</v>
      </c>
      <c r="F70" s="95"/>
      <c r="G70" s="95"/>
      <c r="H70" s="95"/>
      <c r="P70" s="90"/>
    </row>
    <row r="71" spans="1:16">
      <c r="A71" s="96"/>
      <c r="B71" s="540" t="s">
        <v>146</v>
      </c>
      <c r="C71" s="541"/>
      <c r="D71" s="541"/>
      <c r="E71" s="229">
        <f>IF(D48&lt;2000,-1,0)</f>
        <v>-1</v>
      </c>
      <c r="F71" s="95"/>
      <c r="G71" s="95"/>
      <c r="H71" s="95"/>
      <c r="P71" s="90"/>
    </row>
    <row r="72" spans="1:16">
      <c r="A72" s="96"/>
      <c r="B72" s="540" t="s">
        <v>147</v>
      </c>
      <c r="C72" s="541"/>
      <c r="D72" s="541"/>
      <c r="E72" s="229">
        <f>E70*0.0183</f>
        <v>0</v>
      </c>
      <c r="F72" s="95"/>
      <c r="G72" s="95"/>
      <c r="H72" s="95"/>
      <c r="P72" s="90"/>
    </row>
    <row r="73" spans="1:16">
      <c r="A73" s="96"/>
      <c r="B73" s="540" t="s">
        <v>148</v>
      </c>
      <c r="C73" s="541"/>
      <c r="D73" s="541"/>
      <c r="E73" s="229">
        <f>(E70+E72)*0.01</f>
        <v>0</v>
      </c>
      <c r="F73" s="95"/>
      <c r="G73" s="95"/>
      <c r="H73" s="95"/>
      <c r="P73" s="90"/>
    </row>
    <row r="74" spans="1:16">
      <c r="A74" s="96"/>
      <c r="B74" s="542" t="s">
        <v>149</v>
      </c>
      <c r="C74" s="543"/>
      <c r="D74" s="543"/>
      <c r="E74" s="230">
        <f>IF(E70+E71&lt;0.25,0.25,E70+E71)</f>
        <v>0.25</v>
      </c>
      <c r="F74" s="95"/>
      <c r="G74" s="95"/>
      <c r="H74" s="95"/>
      <c r="P74" s="90"/>
    </row>
    <row r="75" spans="1:16">
      <c r="A75" s="96"/>
      <c r="B75" s="540" t="s">
        <v>150</v>
      </c>
      <c r="C75" s="541"/>
      <c r="D75" s="541"/>
      <c r="E75" s="231"/>
      <c r="F75" s="95"/>
      <c r="G75" s="95"/>
      <c r="H75" s="95"/>
      <c r="P75" s="90"/>
    </row>
    <row r="76" spans="1:16">
      <c r="A76" s="96"/>
      <c r="B76" s="542" t="s">
        <v>151</v>
      </c>
      <c r="C76" s="543"/>
      <c r="D76" s="543"/>
      <c r="E76" s="230">
        <f>E74+E75</f>
        <v>0.25</v>
      </c>
      <c r="F76" s="95"/>
      <c r="G76" s="95"/>
      <c r="H76" s="95"/>
      <c r="P76" s="90"/>
    </row>
    <row r="77" spans="1:16">
      <c r="A77" s="96"/>
      <c r="B77" s="543"/>
      <c r="C77" s="543"/>
      <c r="D77" s="543"/>
      <c r="E77" s="112"/>
      <c r="F77" s="95"/>
      <c r="G77" s="95"/>
      <c r="H77" s="95"/>
      <c r="P77" s="90"/>
    </row>
    <row r="78" spans="1:16">
      <c r="A78" s="96"/>
      <c r="B78" s="546" t="s">
        <v>152</v>
      </c>
      <c r="C78" s="547"/>
      <c r="D78" s="547"/>
      <c r="E78" s="232"/>
      <c r="F78" s="95"/>
      <c r="G78" s="95"/>
      <c r="H78" s="95"/>
      <c r="P78" s="90"/>
    </row>
    <row r="79" spans="1:16">
      <c r="A79" s="96"/>
      <c r="B79" s="544" t="s">
        <v>153</v>
      </c>
      <c r="C79" s="545"/>
      <c r="D79" s="545"/>
      <c r="E79" s="233">
        <f>E76-E78</f>
        <v>0.25</v>
      </c>
      <c r="F79" s="95"/>
      <c r="G79" s="95"/>
      <c r="H79" s="95"/>
      <c r="P79" s="90"/>
    </row>
    <row r="80" spans="1:16">
      <c r="A80" s="96"/>
      <c r="B80" s="95"/>
      <c r="C80" s="111"/>
      <c r="D80" s="111"/>
      <c r="E80" s="95"/>
      <c r="F80" s="95"/>
      <c r="G80" s="95"/>
      <c r="H80" s="95"/>
      <c r="P80" s="90"/>
    </row>
    <row r="81" spans="1:16">
      <c r="A81" s="96"/>
      <c r="B81" s="95"/>
      <c r="C81" s="111"/>
      <c r="D81" s="111"/>
      <c r="E81" s="95"/>
      <c r="F81" s="95"/>
      <c r="G81" s="95"/>
      <c r="H81" s="95"/>
      <c r="P81" s="90"/>
    </row>
    <row r="82" spans="1:16" s="32" customFormat="1" ht="75" customHeight="1">
      <c r="A82" s="537" t="s">
        <v>154</v>
      </c>
      <c r="B82" s="538"/>
      <c r="C82" s="538"/>
      <c r="D82" s="538"/>
      <c r="E82" s="538"/>
      <c r="F82" s="538"/>
      <c r="G82" s="538"/>
      <c r="H82" s="538"/>
      <c r="I82" s="538"/>
      <c r="J82" s="538"/>
      <c r="K82" s="538"/>
      <c r="L82" s="538"/>
      <c r="M82" s="538"/>
      <c r="N82" s="538"/>
      <c r="O82" s="538"/>
      <c r="P82" s="539"/>
    </row>
    <row r="83" spans="1:16" ht="15.75" thickBot="1">
      <c r="A83" s="238"/>
      <c r="B83" s="91"/>
      <c r="C83" s="91"/>
      <c r="D83" s="91"/>
      <c r="E83" s="91"/>
      <c r="F83" s="91"/>
      <c r="G83" s="91"/>
      <c r="H83" s="91"/>
      <c r="I83" s="91"/>
      <c r="J83" s="91"/>
      <c r="K83" s="91"/>
      <c r="L83" s="91"/>
      <c r="M83" s="91"/>
      <c r="N83" s="91"/>
      <c r="O83" s="91"/>
      <c r="P83" s="92"/>
    </row>
  </sheetData>
  <sheetProtection formatCells="0" formatColumns="0" formatRows="0" insertColumns="0" insertRows="0" insertHyperlinks="0" deleteColumns="0" deleteRows="0" sort="0" autoFilter="0" pivotTables="0"/>
  <mergeCells count="67">
    <mergeCell ref="B62:D62"/>
    <mergeCell ref="B64:C64"/>
    <mergeCell ref="E44:G46"/>
    <mergeCell ref="B71:D71"/>
    <mergeCell ref="B70:D70"/>
    <mergeCell ref="B57:D57"/>
    <mergeCell ref="B58:D58"/>
    <mergeCell ref="B59:D59"/>
    <mergeCell ref="B60:D60"/>
    <mergeCell ref="B61:D61"/>
    <mergeCell ref="A82:P82"/>
    <mergeCell ref="B72:D72"/>
    <mergeCell ref="B73:D73"/>
    <mergeCell ref="B74:D74"/>
    <mergeCell ref="B75:D75"/>
    <mergeCell ref="B76:D76"/>
    <mergeCell ref="B77:D77"/>
    <mergeCell ref="B79:D79"/>
    <mergeCell ref="B78:D78"/>
    <mergeCell ref="C38:E38"/>
    <mergeCell ref="B48:C48"/>
    <mergeCell ref="M32:N32"/>
    <mergeCell ref="I31:L31"/>
    <mergeCell ref="M31:N31"/>
    <mergeCell ref="I34:L34"/>
    <mergeCell ref="M34:N34"/>
    <mergeCell ref="I33:L33"/>
    <mergeCell ref="M33:N33"/>
    <mergeCell ref="F34:H34"/>
    <mergeCell ref="C34:E34"/>
    <mergeCell ref="F36:H36"/>
    <mergeCell ref="F35:H35"/>
    <mergeCell ref="C36:E36"/>
    <mergeCell ref="C35:E35"/>
    <mergeCell ref="I32:L32"/>
    <mergeCell ref="J27:M27"/>
    <mergeCell ref="N27:O27"/>
    <mergeCell ref="J28:M28"/>
    <mergeCell ref="N28:O28"/>
    <mergeCell ref="J30:M30"/>
    <mergeCell ref="N30:O30"/>
    <mergeCell ref="N29:O29"/>
    <mergeCell ref="J29:L29"/>
    <mergeCell ref="N25:O25"/>
    <mergeCell ref="J25:M25"/>
    <mergeCell ref="J26:M26"/>
    <mergeCell ref="N26:O26"/>
    <mergeCell ref="A11:P11"/>
    <mergeCell ref="A13:P13"/>
    <mergeCell ref="A14:P14"/>
    <mergeCell ref="F22:H22"/>
    <mergeCell ref="B22:D22"/>
    <mergeCell ref="J23:K24"/>
    <mergeCell ref="O9:P9"/>
    <mergeCell ref="D1:M2"/>
    <mergeCell ref="A3:P5"/>
    <mergeCell ref="E6:L7"/>
    <mergeCell ref="M6:N6"/>
    <mergeCell ref="O6:P6"/>
    <mergeCell ref="M7:N7"/>
    <mergeCell ref="O7:P7"/>
    <mergeCell ref="A9:C9"/>
    <mergeCell ref="D9:E9"/>
    <mergeCell ref="F9:I9"/>
    <mergeCell ref="J9:K9"/>
    <mergeCell ref="L9:N9"/>
    <mergeCell ref="O8:P8"/>
  </mergeCells>
  <dataValidations count="3">
    <dataValidation type="list" showInputMessage="1" showErrorMessage="1" sqref="D9:E9" xr:uid="{00000000-0002-0000-0300-000000000000}">
      <formula1>RAS</formula1>
    </dataValidation>
    <dataValidation type="list" allowBlank="1" showInputMessage="1" showErrorMessage="1" sqref="O9:P9" xr:uid="{00000000-0002-0000-0300-000001000000}">
      <formula1>Diligences</formula1>
    </dataValidation>
    <dataValidation type="list" allowBlank="1" showInputMessage="1" showErrorMessage="1" sqref="A22" xr:uid="{00000000-0002-0000-0300-000002000000}">
      <formula1>$L$24:$L$24</formula1>
    </dataValidation>
  </dataValidations>
  <hyperlinks>
    <hyperlink ref="O8:P8" location="'E Synthèse'!A1" display="E Synthèse" xr:uid="{00000000-0004-0000-03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8">
    <pageSetUpPr fitToPage="1"/>
  </sheetPr>
  <dimension ref="A1:U30"/>
  <sheetViews>
    <sheetView showGridLines="0" zoomScale="90" zoomScaleNormal="90" workbookViewId="0">
      <selection activeCell="A2" sqref="A2"/>
    </sheetView>
  </sheetViews>
  <sheetFormatPr defaultColWidth="11.42578125" defaultRowHeight="15"/>
  <cols>
    <col min="1" max="10" width="14.7109375" style="27" customWidth="1"/>
    <col min="11" max="16" width="13.42578125" style="27" customWidth="1"/>
    <col min="17" max="16384" width="11.42578125" style="27"/>
  </cols>
  <sheetData>
    <row r="1" spans="1:21" s="32" customFormat="1" ht="15" customHeight="1">
      <c r="A1" s="11"/>
      <c r="B1" s="12"/>
      <c r="C1" s="12"/>
      <c r="D1" s="501" t="str">
        <f>'E Synthèse'!D1:M2</f>
        <v>#NomClient</v>
      </c>
      <c r="E1" s="502"/>
      <c r="F1" s="502"/>
      <c r="G1" s="502"/>
      <c r="H1" s="502"/>
      <c r="I1" s="502"/>
      <c r="J1" s="502"/>
      <c r="K1" s="502"/>
      <c r="L1" s="502"/>
      <c r="M1" s="503"/>
      <c r="N1" s="12"/>
      <c r="O1" s="12"/>
      <c r="P1" s="13"/>
    </row>
    <row r="2" spans="1:21" s="32" customFormat="1" ht="15" customHeight="1" thickBot="1">
      <c r="A2" s="14"/>
      <c r="B2" s="15"/>
      <c r="C2" s="15"/>
      <c r="D2" s="504"/>
      <c r="E2" s="505"/>
      <c r="F2" s="505"/>
      <c r="G2" s="505"/>
      <c r="H2" s="505"/>
      <c r="I2" s="505"/>
      <c r="J2" s="505"/>
      <c r="K2" s="505"/>
      <c r="L2" s="505"/>
      <c r="M2" s="506"/>
      <c r="N2" s="15"/>
      <c r="O2" s="15"/>
      <c r="P2" s="16"/>
    </row>
    <row r="3" spans="1:21" ht="15" customHeight="1">
      <c r="A3" s="471" t="s">
        <v>3</v>
      </c>
      <c r="B3" s="472"/>
      <c r="C3" s="472"/>
      <c r="D3" s="472"/>
      <c r="E3" s="472"/>
      <c r="F3" s="472"/>
      <c r="G3" s="472"/>
      <c r="H3" s="472"/>
      <c r="I3" s="472"/>
      <c r="J3" s="472"/>
      <c r="K3" s="472"/>
      <c r="L3" s="472"/>
      <c r="M3" s="472"/>
      <c r="N3" s="472"/>
      <c r="O3" s="472"/>
      <c r="P3" s="473"/>
      <c r="R3" s="4"/>
      <c r="T3" s="6"/>
      <c r="U3" s="6"/>
    </row>
    <row r="4" spans="1:21" ht="15" customHeight="1">
      <c r="A4" s="471"/>
      <c r="B4" s="472"/>
      <c r="C4" s="472"/>
      <c r="D4" s="472"/>
      <c r="E4" s="472"/>
      <c r="F4" s="472"/>
      <c r="G4" s="472"/>
      <c r="H4" s="472"/>
      <c r="I4" s="472"/>
      <c r="J4" s="472"/>
      <c r="K4" s="472"/>
      <c r="L4" s="472"/>
      <c r="M4" s="472"/>
      <c r="N4" s="472"/>
      <c r="O4" s="472"/>
      <c r="P4" s="473"/>
      <c r="R4" s="4"/>
      <c r="T4" s="6"/>
      <c r="U4" s="6"/>
    </row>
    <row r="5" spans="1:21" ht="15" customHeight="1" thickBot="1">
      <c r="A5" s="474"/>
      <c r="B5" s="475"/>
      <c r="C5" s="475"/>
      <c r="D5" s="475"/>
      <c r="E5" s="475"/>
      <c r="F5" s="475"/>
      <c r="G5" s="475"/>
      <c r="H5" s="475"/>
      <c r="I5" s="475"/>
      <c r="J5" s="475"/>
      <c r="K5" s="475"/>
      <c r="L5" s="475"/>
      <c r="M5" s="475"/>
      <c r="N5" s="475"/>
      <c r="O5" s="475"/>
      <c r="P5" s="476"/>
      <c r="Q5" s="4"/>
      <c r="R5" s="33"/>
      <c r="S5" s="34"/>
      <c r="T5" s="34"/>
      <c r="U5" s="34"/>
    </row>
    <row r="6" spans="1:21" ht="15" customHeight="1">
      <c r="A6" s="18" t="s">
        <v>6</v>
      </c>
      <c r="B6" s="202" t="str">
        <f>'E Synthèse'!B6</f>
        <v>BRA</v>
      </c>
      <c r="C6" s="18" t="s">
        <v>8</v>
      </c>
      <c r="D6" s="202">
        <f>'E Synthèse'!D6</f>
        <v>0</v>
      </c>
      <c r="E6" s="487" t="s">
        <v>35</v>
      </c>
      <c r="F6" s="488"/>
      <c r="G6" s="488"/>
      <c r="H6" s="488"/>
      <c r="I6" s="488"/>
      <c r="J6" s="488"/>
      <c r="K6" s="488"/>
      <c r="L6" s="489"/>
      <c r="M6" s="507" t="s">
        <v>10</v>
      </c>
      <c r="N6" s="508"/>
      <c r="O6" s="479" t="s">
        <v>11</v>
      </c>
      <c r="P6" s="480"/>
      <c r="R6" s="32"/>
      <c r="S6" s="32"/>
    </row>
    <row r="7" spans="1:21" ht="15" customHeight="1" thickBot="1">
      <c r="A7" s="19" t="s">
        <v>13</v>
      </c>
      <c r="B7" s="203">
        <f>'E Synthèse'!B7</f>
        <v>0</v>
      </c>
      <c r="C7" s="19" t="s">
        <v>13</v>
      </c>
      <c r="D7" s="203">
        <f>'E Synthèse'!D7</f>
        <v>0</v>
      </c>
      <c r="E7" s="490"/>
      <c r="F7" s="491"/>
      <c r="G7" s="491"/>
      <c r="H7" s="491"/>
      <c r="I7" s="491"/>
      <c r="J7" s="491"/>
      <c r="K7" s="491"/>
      <c r="L7" s="492"/>
      <c r="M7" s="509" t="str">
        <f>'E Synthèse'!M7:M7</f>
        <v>#DateClôture</v>
      </c>
      <c r="N7" s="510"/>
      <c r="O7" s="481" t="s">
        <v>34</v>
      </c>
      <c r="P7" s="482"/>
    </row>
    <row r="8" spans="1:21" ht="21" customHeight="1" thickBot="1">
      <c r="A8" s="20"/>
      <c r="B8" s="35"/>
      <c r="C8" s="21"/>
      <c r="D8" s="21"/>
      <c r="E8" s="36"/>
      <c r="F8" s="36"/>
      <c r="G8" s="36"/>
      <c r="H8" s="36"/>
      <c r="I8" s="36"/>
      <c r="J8" s="36"/>
      <c r="K8" s="36"/>
      <c r="L8" s="36"/>
      <c r="M8" s="23"/>
      <c r="N8" s="21"/>
      <c r="O8" s="511" t="s">
        <v>58</v>
      </c>
      <c r="P8" s="512"/>
    </row>
    <row r="9" spans="1:21" s="21" customFormat="1" ht="31.5" customHeight="1" thickBot="1">
      <c r="A9" s="483" t="s">
        <v>18</v>
      </c>
      <c r="B9" s="484"/>
      <c r="C9" s="484"/>
      <c r="D9" s="494" t="str">
        <f>'E Synthèse'!D9:E9</f>
        <v>Faible</v>
      </c>
      <c r="E9" s="495"/>
      <c r="F9" s="477" t="s">
        <v>19</v>
      </c>
      <c r="G9" s="478"/>
      <c r="H9" s="478"/>
      <c r="I9" s="478"/>
      <c r="J9" s="514">
        <f>'E Synthèse'!J9:K9</f>
        <v>0</v>
      </c>
      <c r="K9" s="515"/>
      <c r="L9" s="477" t="s">
        <v>20</v>
      </c>
      <c r="M9" s="478"/>
      <c r="N9" s="478"/>
      <c r="O9" s="494" t="str">
        <f>'E Synthèse'!N9</f>
        <v>PB</v>
      </c>
      <c r="P9" s="495"/>
    </row>
    <row r="10" spans="1:21" s="21" customFormat="1" ht="21" customHeight="1" thickBot="1">
      <c r="A10" s="26"/>
      <c r="B10" s="26"/>
      <c r="C10" s="26"/>
      <c r="D10" s="26"/>
      <c r="E10" s="26"/>
      <c r="F10" s="26"/>
      <c r="G10" s="26"/>
      <c r="H10" s="26"/>
      <c r="I10" s="26"/>
      <c r="J10" s="26"/>
      <c r="K10" s="26"/>
      <c r="L10" s="26"/>
      <c r="M10" s="26"/>
      <c r="N10" s="26"/>
      <c r="O10" s="26"/>
      <c r="P10" s="26"/>
    </row>
    <row r="11" spans="1:21" ht="112.9" customHeight="1" thickBot="1">
      <c r="A11" s="516" t="s">
        <v>155</v>
      </c>
      <c r="B11" s="517"/>
      <c r="C11" s="517"/>
      <c r="D11" s="517"/>
      <c r="E11" s="517"/>
      <c r="F11" s="517"/>
      <c r="G11" s="517"/>
      <c r="H11" s="517"/>
      <c r="I11" s="517"/>
      <c r="J11" s="517"/>
      <c r="K11" s="517"/>
      <c r="L11" s="517"/>
      <c r="M11" s="517"/>
      <c r="N11" s="517"/>
      <c r="O11" s="517"/>
      <c r="P11" s="518"/>
    </row>
    <row r="12" spans="1:21" ht="9" customHeight="1" thickBot="1"/>
    <row r="13" spans="1:21">
      <c r="A13" s="519" t="s">
        <v>60</v>
      </c>
      <c r="B13" s="520"/>
      <c r="C13" s="520"/>
      <c r="D13" s="520"/>
      <c r="E13" s="520"/>
      <c r="F13" s="520"/>
      <c r="G13" s="520"/>
      <c r="H13" s="520"/>
      <c r="I13" s="520"/>
      <c r="J13" s="520"/>
      <c r="K13" s="520"/>
      <c r="L13" s="520"/>
      <c r="M13" s="520"/>
      <c r="N13" s="520"/>
      <c r="O13" s="520"/>
      <c r="P13" s="521"/>
    </row>
    <row r="14" spans="1:21" ht="60" customHeight="1" thickBot="1">
      <c r="A14" s="522"/>
      <c r="B14" s="523"/>
      <c r="C14" s="523"/>
      <c r="D14" s="523"/>
      <c r="E14" s="523"/>
      <c r="F14" s="523"/>
      <c r="G14" s="523"/>
      <c r="H14" s="523"/>
      <c r="I14" s="523"/>
      <c r="J14" s="523"/>
      <c r="K14" s="523"/>
      <c r="L14" s="523"/>
      <c r="M14" s="523"/>
      <c r="N14" s="523"/>
      <c r="O14" s="523"/>
      <c r="P14" s="524"/>
    </row>
    <row r="15" spans="1:21" ht="15.75" thickBot="1"/>
    <row r="16" spans="1:21">
      <c r="A16" s="42"/>
      <c r="B16" s="43"/>
      <c r="C16" s="43"/>
      <c r="D16" s="43"/>
      <c r="E16" s="305"/>
      <c r="F16" s="43"/>
      <c r="G16" s="43"/>
      <c r="H16" s="43"/>
      <c r="I16" s="43"/>
      <c r="J16" s="43"/>
      <c r="K16" s="43"/>
      <c r="L16" s="43"/>
      <c r="M16" s="43"/>
      <c r="N16" s="43"/>
      <c r="O16" s="43"/>
      <c r="P16" s="44"/>
    </row>
    <row r="17" spans="1:16">
      <c r="A17" s="185" t="s">
        <v>156</v>
      </c>
      <c r="C17" s="51" t="s">
        <v>157</v>
      </c>
      <c r="D17" s="371"/>
      <c r="E17" s="306" t="s">
        <v>101</v>
      </c>
      <c r="F17" s="424" t="s">
        <v>158</v>
      </c>
      <c r="P17" s="90"/>
    </row>
    <row r="18" spans="1:16">
      <c r="A18" s="185"/>
      <c r="C18" s="31"/>
      <c r="D18" s="31"/>
      <c r="E18" s="34"/>
      <c r="P18" s="90"/>
    </row>
    <row r="19" spans="1:16" s="32" customFormat="1" ht="75" customHeight="1">
      <c r="A19" s="537" t="s">
        <v>154</v>
      </c>
      <c r="B19" s="538"/>
      <c r="C19" s="538"/>
      <c r="D19" s="538"/>
      <c r="E19" s="538"/>
      <c r="F19" s="538"/>
      <c r="G19" s="538"/>
      <c r="H19" s="538"/>
      <c r="I19" s="538"/>
      <c r="J19" s="538"/>
      <c r="K19" s="538"/>
      <c r="L19" s="538"/>
      <c r="M19" s="538"/>
      <c r="N19" s="538"/>
      <c r="O19" s="538"/>
      <c r="P19" s="539"/>
    </row>
    <row r="20" spans="1:16">
      <c r="A20" s="38"/>
      <c r="C20" s="121"/>
      <c r="D20" s="31"/>
      <c r="E20" s="34"/>
      <c r="P20" s="90"/>
    </row>
    <row r="21" spans="1:16">
      <c r="A21" s="185" t="s">
        <v>159</v>
      </c>
      <c r="C21" s="121"/>
      <c r="D21" s="31"/>
      <c r="E21" s="34"/>
      <c r="P21" s="90"/>
    </row>
    <row r="22" spans="1:16">
      <c r="A22" s="38"/>
      <c r="E22" s="34"/>
      <c r="P22" s="90"/>
    </row>
    <row r="23" spans="1:16">
      <c r="A23" s="38"/>
      <c r="C23" s="186" t="s">
        <v>160</v>
      </c>
      <c r="D23" s="371"/>
      <c r="E23" s="306" t="s">
        <v>161</v>
      </c>
      <c r="P23" s="90"/>
    </row>
    <row r="24" spans="1:16">
      <c r="A24" s="38"/>
      <c r="C24" s="186" t="s">
        <v>162</v>
      </c>
      <c r="D24" s="371"/>
      <c r="E24" s="306" t="s">
        <v>161</v>
      </c>
      <c r="P24" s="90"/>
    </row>
    <row r="25" spans="1:16">
      <c r="A25" s="38"/>
      <c r="C25" s="186" t="s">
        <v>163</v>
      </c>
      <c r="D25" s="425">
        <f>(D23+D24)/1.2*0.2</f>
        <v>0</v>
      </c>
      <c r="E25" s="34"/>
      <c r="P25" s="90"/>
    </row>
    <row r="26" spans="1:16">
      <c r="A26" s="38"/>
      <c r="C26" s="186" t="s">
        <v>164</v>
      </c>
      <c r="D26" s="371"/>
      <c r="E26" s="306" t="s">
        <v>26</v>
      </c>
      <c r="P26" s="90"/>
    </row>
    <row r="27" spans="1:16">
      <c r="A27" s="38"/>
      <c r="C27" s="186" t="s">
        <v>105</v>
      </c>
      <c r="D27" s="312">
        <f>D26-D25</f>
        <v>0</v>
      </c>
      <c r="E27" s="424"/>
      <c r="F27" s="424"/>
      <c r="P27" s="90"/>
    </row>
    <row r="28" spans="1:16">
      <c r="A28" s="134"/>
      <c r="C28" s="120"/>
      <c r="D28" s="31"/>
      <c r="E28" s="34"/>
      <c r="P28" s="90"/>
    </row>
    <row r="29" spans="1:16" s="32" customFormat="1" ht="75" customHeight="1">
      <c r="A29" s="537" t="s">
        <v>154</v>
      </c>
      <c r="B29" s="538"/>
      <c r="C29" s="538"/>
      <c r="D29" s="538"/>
      <c r="E29" s="538"/>
      <c r="F29" s="538"/>
      <c r="G29" s="538"/>
      <c r="H29" s="538"/>
      <c r="I29" s="538"/>
      <c r="J29" s="538"/>
      <c r="K29" s="538"/>
      <c r="L29" s="538"/>
      <c r="M29" s="538"/>
      <c r="N29" s="538"/>
      <c r="O29" s="538"/>
      <c r="P29" s="539"/>
    </row>
    <row r="30" spans="1:16" ht="15.75" thickBot="1">
      <c r="A30" s="238"/>
      <c r="B30" s="91"/>
      <c r="C30" s="91"/>
      <c r="D30" s="91"/>
      <c r="E30" s="91"/>
      <c r="F30" s="91"/>
      <c r="G30" s="91"/>
      <c r="H30" s="91"/>
      <c r="I30" s="91"/>
      <c r="J30" s="91"/>
      <c r="K30" s="91"/>
      <c r="L30" s="91"/>
      <c r="M30" s="91"/>
      <c r="N30" s="91"/>
      <c r="O30" s="91"/>
      <c r="P30" s="92"/>
    </row>
  </sheetData>
  <sheetProtection formatCells="0" formatColumns="0" formatRows="0" insertColumns="0" insertRows="0" insertHyperlinks="0" deleteColumns="0" deleteRows="0" sort="0" autoFilter="0" pivotTables="0"/>
  <mergeCells count="19">
    <mergeCell ref="A19:P19"/>
    <mergeCell ref="A29:P29"/>
    <mergeCell ref="O8:P8"/>
    <mergeCell ref="L9:N9"/>
    <mergeCell ref="O9:P9"/>
    <mergeCell ref="A11:P11"/>
    <mergeCell ref="A13:P13"/>
    <mergeCell ref="A14:P14"/>
    <mergeCell ref="A9:C9"/>
    <mergeCell ref="D9:E9"/>
    <mergeCell ref="F9:I9"/>
    <mergeCell ref="J9:K9"/>
    <mergeCell ref="D1:M2"/>
    <mergeCell ref="A3:P5"/>
    <mergeCell ref="E6:L7"/>
    <mergeCell ref="M6:N6"/>
    <mergeCell ref="O6:P6"/>
    <mergeCell ref="M7:N7"/>
    <mergeCell ref="O7:P7"/>
  </mergeCells>
  <dataValidations count="2">
    <dataValidation type="list" showInputMessage="1" showErrorMessage="1" sqref="D9:E9" xr:uid="{00000000-0002-0000-0400-000000000000}">
      <formula1>RAS</formula1>
    </dataValidation>
    <dataValidation type="list" allowBlank="1" showInputMessage="1" showErrorMessage="1" sqref="O9:P9" xr:uid="{00000000-0002-0000-0400-000001000000}">
      <formula1>Diligences</formula1>
    </dataValidation>
  </dataValidations>
  <hyperlinks>
    <hyperlink ref="O8:P8" location="'E Synthèse'!A1" display="E Synthèse" xr:uid="{00000000-0004-0000-0400-000000000000}"/>
  </hyperlinks>
  <printOptions horizontalCentered="1"/>
  <pageMargins left="0.27559055118110237" right="0.27559055118110237" top="0.39370078740157483" bottom="0.39370078740157483" header="0.51181102362204722" footer="0.51181102362204722"/>
  <pageSetup paperSize="9" scale="43"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9"/>
  <dimension ref="A1:U139"/>
  <sheetViews>
    <sheetView showGridLines="0" zoomScale="90" zoomScaleNormal="90" workbookViewId="0">
      <selection activeCell="A11" sqref="A11:P11"/>
    </sheetView>
  </sheetViews>
  <sheetFormatPr defaultColWidth="11.42578125" defaultRowHeight="15.75"/>
  <cols>
    <col min="1" max="13" width="14.7109375" style="8" customWidth="1"/>
    <col min="14" max="16" width="13.140625" style="8" customWidth="1"/>
    <col min="17" max="16384" width="11.42578125" style="8"/>
  </cols>
  <sheetData>
    <row r="1" spans="1:21" s="2" customFormat="1" ht="15" customHeight="1">
      <c r="A1" s="11"/>
      <c r="B1" s="12"/>
      <c r="C1" s="12"/>
      <c r="D1" s="501" t="str">
        <f>'E Synthèse'!D1:M2</f>
        <v>#NomClient</v>
      </c>
      <c r="E1" s="502"/>
      <c r="F1" s="502"/>
      <c r="G1" s="502"/>
      <c r="H1" s="502"/>
      <c r="I1" s="502"/>
      <c r="J1" s="502"/>
      <c r="K1" s="502"/>
      <c r="L1" s="502"/>
      <c r="M1" s="503"/>
      <c r="N1" s="12"/>
      <c r="O1" s="12"/>
      <c r="P1" s="13"/>
    </row>
    <row r="2" spans="1:21" s="2" customFormat="1" ht="15" customHeight="1" thickBot="1">
      <c r="A2" s="14"/>
      <c r="B2" s="15"/>
      <c r="C2" s="15"/>
      <c r="D2" s="504"/>
      <c r="E2" s="505"/>
      <c r="F2" s="505"/>
      <c r="G2" s="505"/>
      <c r="H2" s="505"/>
      <c r="I2" s="505"/>
      <c r="J2" s="505"/>
      <c r="K2" s="505"/>
      <c r="L2" s="505"/>
      <c r="M2" s="506"/>
      <c r="N2" s="15"/>
      <c r="O2" s="15"/>
      <c r="P2" s="16"/>
    </row>
    <row r="3" spans="1:21" ht="15" customHeight="1">
      <c r="A3" s="471" t="s">
        <v>3</v>
      </c>
      <c r="B3" s="472"/>
      <c r="C3" s="472"/>
      <c r="D3" s="472"/>
      <c r="E3" s="472"/>
      <c r="F3" s="472"/>
      <c r="G3" s="472"/>
      <c r="H3" s="472"/>
      <c r="I3" s="472"/>
      <c r="J3" s="472"/>
      <c r="K3" s="472"/>
      <c r="L3" s="472"/>
      <c r="M3" s="472"/>
      <c r="N3" s="472"/>
      <c r="O3" s="472"/>
      <c r="P3" s="473"/>
      <c r="R3" s="4"/>
      <c r="T3" s="6"/>
      <c r="U3" s="7"/>
    </row>
    <row r="4" spans="1:21" ht="15" customHeight="1">
      <c r="A4" s="471"/>
      <c r="B4" s="472"/>
      <c r="C4" s="472"/>
      <c r="D4" s="472"/>
      <c r="E4" s="472"/>
      <c r="F4" s="472"/>
      <c r="G4" s="472"/>
      <c r="H4" s="472"/>
      <c r="I4" s="472"/>
      <c r="J4" s="472"/>
      <c r="K4" s="472"/>
      <c r="L4" s="472"/>
      <c r="M4" s="472"/>
      <c r="N4" s="472"/>
      <c r="O4" s="472"/>
      <c r="P4" s="473"/>
      <c r="R4" s="4"/>
      <c r="T4" s="6"/>
      <c r="U4" s="7"/>
    </row>
    <row r="5" spans="1:21" ht="15" customHeight="1" thickBot="1">
      <c r="A5" s="474"/>
      <c r="B5" s="475"/>
      <c r="C5" s="475"/>
      <c r="D5" s="475"/>
      <c r="E5" s="475"/>
      <c r="F5" s="475"/>
      <c r="G5" s="475"/>
      <c r="H5" s="475"/>
      <c r="I5" s="475"/>
      <c r="J5" s="475"/>
      <c r="K5" s="475"/>
      <c r="L5" s="475"/>
      <c r="M5" s="475"/>
      <c r="N5" s="475"/>
      <c r="O5" s="475"/>
      <c r="P5" s="476"/>
      <c r="Q5" s="9"/>
      <c r="R5" s="5"/>
      <c r="S5" s="25"/>
      <c r="T5" s="25"/>
      <c r="U5" s="25"/>
    </row>
    <row r="6" spans="1:21" ht="15" customHeight="1">
      <c r="A6" s="18" t="s">
        <v>6</v>
      </c>
      <c r="B6" s="202" t="str">
        <f>'E Synthèse'!B6</f>
        <v>BRA</v>
      </c>
      <c r="C6" s="18" t="s">
        <v>8</v>
      </c>
      <c r="D6" s="202">
        <f>'E Synthèse'!D6</f>
        <v>0</v>
      </c>
      <c r="E6" s="487" t="s">
        <v>40</v>
      </c>
      <c r="F6" s="488"/>
      <c r="G6" s="488"/>
      <c r="H6" s="488"/>
      <c r="I6" s="488"/>
      <c r="J6" s="488"/>
      <c r="K6" s="488"/>
      <c r="L6" s="489"/>
      <c r="M6" s="507" t="s">
        <v>10</v>
      </c>
      <c r="N6" s="508"/>
      <c r="O6" s="479" t="s">
        <v>11</v>
      </c>
      <c r="P6" s="480"/>
      <c r="R6" s="2"/>
      <c r="S6" s="2"/>
    </row>
    <row r="7" spans="1:21" ht="15" customHeight="1" thickBot="1">
      <c r="A7" s="19" t="s">
        <v>13</v>
      </c>
      <c r="B7" s="203">
        <f>'E Synthèse'!B7</f>
        <v>0</v>
      </c>
      <c r="C7" s="19" t="s">
        <v>13</v>
      </c>
      <c r="D7" s="203">
        <f>'E Synthèse'!D7</f>
        <v>0</v>
      </c>
      <c r="E7" s="490"/>
      <c r="F7" s="491"/>
      <c r="G7" s="491"/>
      <c r="H7" s="491"/>
      <c r="I7" s="491"/>
      <c r="J7" s="491"/>
      <c r="K7" s="491"/>
      <c r="L7" s="492"/>
      <c r="M7" s="509" t="str">
        <f>'E Synthèse'!M7:M7</f>
        <v>#DateClôture</v>
      </c>
      <c r="N7" s="510"/>
      <c r="O7" s="481" t="s">
        <v>39</v>
      </c>
      <c r="P7" s="482"/>
    </row>
    <row r="8" spans="1:21" ht="21" customHeight="1" thickBot="1">
      <c r="A8" s="20"/>
      <c r="B8" s="17"/>
      <c r="C8" s="21"/>
      <c r="D8" s="21"/>
      <c r="E8" s="22"/>
      <c r="F8" s="22"/>
      <c r="G8" s="22"/>
      <c r="H8" s="22"/>
      <c r="I8" s="22"/>
      <c r="J8" s="22"/>
      <c r="K8" s="22"/>
      <c r="L8" s="22"/>
      <c r="M8" s="23"/>
      <c r="N8" s="21"/>
      <c r="O8" s="511" t="s">
        <v>58</v>
      </c>
      <c r="P8" s="512"/>
    </row>
    <row r="9" spans="1:21" s="21" customFormat="1" ht="31.5" customHeight="1" thickBot="1">
      <c r="A9" s="483" t="s">
        <v>18</v>
      </c>
      <c r="B9" s="484"/>
      <c r="C9" s="484"/>
      <c r="D9" s="494" t="str">
        <f>'E Synthèse'!D9:E9</f>
        <v>Faible</v>
      </c>
      <c r="E9" s="495"/>
      <c r="F9" s="477" t="s">
        <v>19</v>
      </c>
      <c r="G9" s="478"/>
      <c r="H9" s="478"/>
      <c r="I9" s="478"/>
      <c r="J9" s="514">
        <f>'E Synthèse'!J9:K9</f>
        <v>0</v>
      </c>
      <c r="K9" s="515"/>
      <c r="L9" s="477" t="s">
        <v>20</v>
      </c>
      <c r="M9" s="478"/>
      <c r="N9" s="478"/>
      <c r="O9" s="494" t="str">
        <f>'E Synthèse'!N9</f>
        <v>PB</v>
      </c>
      <c r="P9" s="495"/>
    </row>
    <row r="10" spans="1:21" s="21" customFormat="1" ht="21" customHeight="1" thickBot="1">
      <c r="A10" s="26"/>
      <c r="B10" s="26"/>
      <c r="C10" s="26"/>
      <c r="D10" s="26"/>
      <c r="E10" s="26"/>
      <c r="F10" s="26"/>
      <c r="G10" s="26"/>
      <c r="H10" s="26"/>
      <c r="I10" s="26"/>
      <c r="J10" s="26"/>
      <c r="K10" s="26"/>
      <c r="L10" s="26"/>
      <c r="M10" s="26"/>
      <c r="N10" s="26"/>
      <c r="O10" s="26"/>
      <c r="P10" s="26"/>
    </row>
    <row r="11" spans="1:21" s="27" customFormat="1" ht="111" customHeight="1" thickBot="1">
      <c r="A11" s="516" t="s">
        <v>165</v>
      </c>
      <c r="B11" s="517"/>
      <c r="C11" s="517"/>
      <c r="D11" s="517"/>
      <c r="E11" s="517"/>
      <c r="F11" s="517"/>
      <c r="G11" s="517"/>
      <c r="H11" s="517"/>
      <c r="I11" s="517"/>
      <c r="J11" s="517"/>
      <c r="K11" s="517"/>
      <c r="L11" s="517"/>
      <c r="M11" s="517"/>
      <c r="N11" s="517"/>
      <c r="O11" s="517"/>
      <c r="P11" s="518"/>
    </row>
    <row r="12" spans="1:21" s="27" customFormat="1" ht="9" customHeight="1" thickBot="1"/>
    <row r="13" spans="1:21" s="27" customFormat="1" ht="15">
      <c r="A13" s="519" t="s">
        <v>60</v>
      </c>
      <c r="B13" s="520"/>
      <c r="C13" s="520"/>
      <c r="D13" s="520"/>
      <c r="E13" s="520"/>
      <c r="F13" s="520"/>
      <c r="G13" s="520"/>
      <c r="H13" s="520"/>
      <c r="I13" s="520"/>
      <c r="J13" s="520"/>
      <c r="K13" s="520"/>
      <c r="L13" s="520"/>
      <c r="M13" s="520"/>
      <c r="N13" s="520"/>
      <c r="O13" s="520"/>
      <c r="P13" s="521"/>
    </row>
    <row r="14" spans="1:21" s="27" customFormat="1" ht="60" customHeight="1" thickBot="1">
      <c r="A14" s="522"/>
      <c r="B14" s="523"/>
      <c r="C14" s="523"/>
      <c r="D14" s="523"/>
      <c r="E14" s="523"/>
      <c r="F14" s="523"/>
      <c r="G14" s="523"/>
      <c r="H14" s="523"/>
      <c r="I14" s="523"/>
      <c r="J14" s="523"/>
      <c r="K14" s="523"/>
      <c r="L14" s="523"/>
      <c r="M14" s="523"/>
      <c r="N14" s="523"/>
      <c r="O14" s="523"/>
      <c r="P14" s="524"/>
    </row>
    <row r="15" spans="1:21" ht="16.5" thickBot="1"/>
    <row r="16" spans="1:21">
      <c r="A16" s="48"/>
      <c r="B16" s="49"/>
      <c r="C16" s="49"/>
      <c r="D16" s="49"/>
      <c r="E16" s="49"/>
      <c r="F16" s="49"/>
      <c r="G16" s="49"/>
      <c r="H16" s="49"/>
      <c r="I16" s="49"/>
      <c r="J16" s="49"/>
      <c r="K16" s="49"/>
      <c r="L16" s="49"/>
      <c r="M16" s="49"/>
      <c r="N16" s="49"/>
      <c r="O16" s="49"/>
      <c r="P16" s="50"/>
    </row>
    <row r="17" spans="1:16">
      <c r="A17" s="555" t="s">
        <v>166</v>
      </c>
      <c r="B17" s="556"/>
      <c r="C17" s="556"/>
      <c r="D17" s="370">
        <v>42736</v>
      </c>
      <c r="P17" s="303"/>
    </row>
    <row r="18" spans="1:16">
      <c r="A18" s="302"/>
      <c r="P18" s="303"/>
    </row>
    <row r="19" spans="1:16" s="27" customFormat="1" ht="15">
      <c r="A19" s="557" t="s">
        <v>167</v>
      </c>
      <c r="B19" s="558"/>
      <c r="C19" s="567" t="s">
        <v>168</v>
      </c>
      <c r="D19" s="568"/>
      <c r="E19" s="568"/>
      <c r="F19" s="568"/>
      <c r="G19" s="568"/>
      <c r="H19" s="568"/>
      <c r="I19" s="569"/>
      <c r="J19" s="567" t="s">
        <v>169</v>
      </c>
      <c r="K19" s="568"/>
      <c r="L19" s="569"/>
      <c r="P19" s="90"/>
    </row>
    <row r="20" spans="1:16" s="27" customFormat="1" ht="15">
      <c r="A20" s="559"/>
      <c r="B20" s="560"/>
      <c r="C20" s="572">
        <v>0.2</v>
      </c>
      <c r="D20" s="572">
        <v>0.1</v>
      </c>
      <c r="E20" s="572">
        <v>7.0000000000000007E-2</v>
      </c>
      <c r="F20" s="570">
        <v>5.5E-2</v>
      </c>
      <c r="G20" s="570" t="s">
        <v>170</v>
      </c>
      <c r="H20" s="574" t="s">
        <v>171</v>
      </c>
      <c r="I20" s="574" t="s">
        <v>172</v>
      </c>
      <c r="J20" s="574" t="s">
        <v>173</v>
      </c>
      <c r="K20" s="574" t="s">
        <v>174</v>
      </c>
      <c r="L20" s="574" t="s">
        <v>175</v>
      </c>
      <c r="M20" s="341"/>
      <c r="P20" s="90"/>
    </row>
    <row r="21" spans="1:16" s="27" customFormat="1" ht="15">
      <c r="A21" s="561"/>
      <c r="B21" s="562"/>
      <c r="C21" s="573"/>
      <c r="D21" s="573"/>
      <c r="E21" s="573"/>
      <c r="F21" s="571"/>
      <c r="G21" s="571"/>
      <c r="H21" s="575"/>
      <c r="I21" s="575"/>
      <c r="J21" s="575"/>
      <c r="K21" s="575"/>
      <c r="L21" s="575"/>
      <c r="M21" s="31"/>
      <c r="P21" s="90"/>
    </row>
    <row r="22" spans="1:16" s="27" customFormat="1" ht="15">
      <c r="A22" s="342">
        <f>D17</f>
        <v>42736</v>
      </c>
      <c r="B22" s="187"/>
      <c r="C22" s="355"/>
      <c r="D22" s="355"/>
      <c r="E22" s="355"/>
      <c r="F22" s="355"/>
      <c r="G22" s="355"/>
      <c r="H22" s="355"/>
      <c r="I22" s="356">
        <f t="shared" ref="I22:I33" si="0">SUM(C22:H22)</f>
        <v>0</v>
      </c>
      <c r="J22" s="357">
        <f>($C$20*C22)+($D$20*D22)+($E$20*E22)+($F$20*F22)+(G22*$C$20)</f>
        <v>0</v>
      </c>
      <c r="K22" s="358"/>
      <c r="L22" s="359">
        <f>J22-K22</f>
        <v>0</v>
      </c>
      <c r="M22" s="31"/>
      <c r="P22" s="90"/>
    </row>
    <row r="23" spans="1:16" s="27" customFormat="1" ht="15">
      <c r="A23" s="344">
        <f>A22+31</f>
        <v>42767</v>
      </c>
      <c r="B23" s="188"/>
      <c r="C23" s="355"/>
      <c r="D23" s="355"/>
      <c r="E23" s="355"/>
      <c r="F23" s="355"/>
      <c r="G23" s="355"/>
      <c r="H23" s="355"/>
      <c r="I23" s="356">
        <f t="shared" si="0"/>
        <v>0</v>
      </c>
      <c r="J23" s="357">
        <f t="shared" ref="J23:J33" si="1">($C$20*C23)+($D$20*D23)+($E$20*E23)+($F$20*F23)+(G23*$C$20)</f>
        <v>0</v>
      </c>
      <c r="K23" s="358"/>
      <c r="L23" s="356">
        <f t="shared" ref="L23:L33" si="2">J23-K23</f>
        <v>0</v>
      </c>
      <c r="M23" s="31"/>
      <c r="P23" s="90"/>
    </row>
    <row r="24" spans="1:16" s="27" customFormat="1" ht="15">
      <c r="A24" s="344">
        <f t="shared" ref="A24:A33" si="3">A23+31</f>
        <v>42798</v>
      </c>
      <c r="B24" s="188"/>
      <c r="C24" s="355"/>
      <c r="D24" s="355"/>
      <c r="E24" s="355"/>
      <c r="F24" s="355"/>
      <c r="G24" s="355"/>
      <c r="H24" s="355"/>
      <c r="I24" s="356">
        <f t="shared" si="0"/>
        <v>0</v>
      </c>
      <c r="J24" s="357">
        <f t="shared" si="1"/>
        <v>0</v>
      </c>
      <c r="K24" s="358"/>
      <c r="L24" s="356">
        <f t="shared" si="2"/>
        <v>0</v>
      </c>
      <c r="M24" s="31"/>
      <c r="P24" s="90"/>
    </row>
    <row r="25" spans="1:16" s="27" customFormat="1" ht="15">
      <c r="A25" s="344">
        <f t="shared" si="3"/>
        <v>42829</v>
      </c>
      <c r="B25" s="188"/>
      <c r="C25" s="355"/>
      <c r="D25" s="355"/>
      <c r="E25" s="355"/>
      <c r="F25" s="355"/>
      <c r="G25" s="355"/>
      <c r="H25" s="355"/>
      <c r="I25" s="356">
        <f t="shared" si="0"/>
        <v>0</v>
      </c>
      <c r="J25" s="357">
        <f t="shared" si="1"/>
        <v>0</v>
      </c>
      <c r="K25" s="358"/>
      <c r="L25" s="356">
        <f t="shared" si="2"/>
        <v>0</v>
      </c>
      <c r="M25" s="31"/>
      <c r="P25" s="90"/>
    </row>
    <row r="26" spans="1:16" s="27" customFormat="1" ht="15">
      <c r="A26" s="344">
        <f t="shared" si="3"/>
        <v>42860</v>
      </c>
      <c r="B26" s="188"/>
      <c r="C26" s="355"/>
      <c r="D26" s="355"/>
      <c r="E26" s="355"/>
      <c r="F26" s="355"/>
      <c r="G26" s="355"/>
      <c r="H26" s="355"/>
      <c r="I26" s="356">
        <f t="shared" si="0"/>
        <v>0</v>
      </c>
      <c r="J26" s="357">
        <f t="shared" si="1"/>
        <v>0</v>
      </c>
      <c r="K26" s="358"/>
      <c r="L26" s="356">
        <f t="shared" si="2"/>
        <v>0</v>
      </c>
      <c r="M26" s="31"/>
      <c r="P26" s="90"/>
    </row>
    <row r="27" spans="1:16" s="27" customFormat="1" ht="15">
      <c r="A27" s="344">
        <f t="shared" si="3"/>
        <v>42891</v>
      </c>
      <c r="B27" s="188"/>
      <c r="C27" s="355"/>
      <c r="D27" s="355"/>
      <c r="E27" s="355"/>
      <c r="F27" s="355"/>
      <c r="G27" s="355"/>
      <c r="H27" s="355"/>
      <c r="I27" s="356">
        <f t="shared" si="0"/>
        <v>0</v>
      </c>
      <c r="J27" s="357">
        <f t="shared" si="1"/>
        <v>0</v>
      </c>
      <c r="K27" s="358"/>
      <c r="L27" s="356">
        <f t="shared" si="2"/>
        <v>0</v>
      </c>
      <c r="M27" s="31"/>
      <c r="P27" s="90"/>
    </row>
    <row r="28" spans="1:16" s="27" customFormat="1" ht="15">
      <c r="A28" s="344">
        <f t="shared" si="3"/>
        <v>42922</v>
      </c>
      <c r="B28" s="188"/>
      <c r="C28" s="355"/>
      <c r="D28" s="355"/>
      <c r="E28" s="355"/>
      <c r="F28" s="355"/>
      <c r="G28" s="355"/>
      <c r="H28" s="355"/>
      <c r="I28" s="356">
        <f t="shared" si="0"/>
        <v>0</v>
      </c>
      <c r="J28" s="357">
        <f t="shared" si="1"/>
        <v>0</v>
      </c>
      <c r="K28" s="358"/>
      <c r="L28" s="356">
        <f t="shared" si="2"/>
        <v>0</v>
      </c>
      <c r="M28" s="31"/>
      <c r="P28" s="90"/>
    </row>
    <row r="29" spans="1:16" s="27" customFormat="1" ht="15">
      <c r="A29" s="344">
        <f t="shared" si="3"/>
        <v>42953</v>
      </c>
      <c r="B29" s="188"/>
      <c r="C29" s="355"/>
      <c r="D29" s="355"/>
      <c r="E29" s="355"/>
      <c r="F29" s="355"/>
      <c r="G29" s="355"/>
      <c r="H29" s="355"/>
      <c r="I29" s="356">
        <f t="shared" si="0"/>
        <v>0</v>
      </c>
      <c r="J29" s="357">
        <f t="shared" si="1"/>
        <v>0</v>
      </c>
      <c r="K29" s="358"/>
      <c r="L29" s="356">
        <f t="shared" si="2"/>
        <v>0</v>
      </c>
      <c r="M29" s="31"/>
      <c r="P29" s="90"/>
    </row>
    <row r="30" spans="1:16" s="27" customFormat="1" ht="15">
      <c r="A30" s="344">
        <f t="shared" si="3"/>
        <v>42984</v>
      </c>
      <c r="B30" s="188"/>
      <c r="C30" s="355"/>
      <c r="D30" s="355"/>
      <c r="E30" s="355"/>
      <c r="F30" s="355"/>
      <c r="G30" s="355"/>
      <c r="H30" s="355"/>
      <c r="I30" s="356">
        <f t="shared" si="0"/>
        <v>0</v>
      </c>
      <c r="J30" s="357">
        <f t="shared" si="1"/>
        <v>0</v>
      </c>
      <c r="K30" s="358"/>
      <c r="L30" s="356">
        <f t="shared" si="2"/>
        <v>0</v>
      </c>
      <c r="M30" s="31"/>
      <c r="P30" s="90"/>
    </row>
    <row r="31" spans="1:16" s="27" customFormat="1" ht="15">
      <c r="A31" s="344">
        <f t="shared" si="3"/>
        <v>43015</v>
      </c>
      <c r="B31" s="188"/>
      <c r="C31" s="355"/>
      <c r="D31" s="355"/>
      <c r="E31" s="355"/>
      <c r="F31" s="355"/>
      <c r="G31" s="355"/>
      <c r="H31" s="355"/>
      <c r="I31" s="356">
        <f t="shared" si="0"/>
        <v>0</v>
      </c>
      <c r="J31" s="357">
        <f t="shared" si="1"/>
        <v>0</v>
      </c>
      <c r="K31" s="358"/>
      <c r="L31" s="356">
        <f t="shared" si="2"/>
        <v>0</v>
      </c>
      <c r="M31" s="31"/>
      <c r="P31" s="90"/>
    </row>
    <row r="32" spans="1:16" s="27" customFormat="1" ht="15">
      <c r="A32" s="344">
        <f t="shared" si="3"/>
        <v>43046</v>
      </c>
      <c r="B32" s="188"/>
      <c r="C32" s="355"/>
      <c r="D32" s="355"/>
      <c r="E32" s="355"/>
      <c r="F32" s="355"/>
      <c r="G32" s="355"/>
      <c r="H32" s="355"/>
      <c r="I32" s="356">
        <f t="shared" si="0"/>
        <v>0</v>
      </c>
      <c r="J32" s="357">
        <f t="shared" si="1"/>
        <v>0</v>
      </c>
      <c r="K32" s="358"/>
      <c r="L32" s="356">
        <f t="shared" si="2"/>
        <v>0</v>
      </c>
      <c r="M32" s="31"/>
      <c r="P32" s="90"/>
    </row>
    <row r="33" spans="1:16" s="27" customFormat="1" ht="15">
      <c r="A33" s="344">
        <f t="shared" si="3"/>
        <v>43077</v>
      </c>
      <c r="B33" s="189"/>
      <c r="C33" s="360"/>
      <c r="D33" s="360"/>
      <c r="E33" s="360"/>
      <c r="F33" s="361"/>
      <c r="G33" s="361"/>
      <c r="H33" s="361"/>
      <c r="I33" s="362">
        <f t="shared" si="0"/>
        <v>0</v>
      </c>
      <c r="J33" s="357">
        <f t="shared" si="1"/>
        <v>0</v>
      </c>
      <c r="K33" s="363"/>
      <c r="L33" s="356">
        <f t="shared" si="2"/>
        <v>0</v>
      </c>
      <c r="M33" s="31"/>
      <c r="P33" s="90"/>
    </row>
    <row r="34" spans="1:16" s="27" customFormat="1" ht="15">
      <c r="A34" s="563" t="s">
        <v>69</v>
      </c>
      <c r="B34" s="564"/>
      <c r="C34" s="190"/>
      <c r="D34" s="190"/>
      <c r="E34" s="190"/>
      <c r="F34" s="191"/>
      <c r="G34" s="192">
        <f>SUM(G22:G33)</f>
        <v>0</v>
      </c>
      <c r="H34" s="191"/>
      <c r="I34" s="192">
        <f>SUM(I22:I33)</f>
        <v>0</v>
      </c>
      <c r="J34" s="192">
        <f>SUM(J22:J33)</f>
        <v>0</v>
      </c>
      <c r="K34" s="192">
        <f>SUM(K22:K33)</f>
        <v>0</v>
      </c>
      <c r="L34" s="192"/>
      <c r="M34" s="31"/>
      <c r="P34" s="90"/>
    </row>
    <row r="35" spans="1:16" s="27" customFormat="1" ht="15">
      <c r="A35" s="38"/>
      <c r="B35" s="46"/>
      <c r="C35" s="46"/>
      <c r="D35" s="31"/>
      <c r="E35" s="31"/>
      <c r="F35" s="31"/>
      <c r="G35" s="31"/>
      <c r="I35" s="345"/>
      <c r="J35" s="345" t="s">
        <v>176</v>
      </c>
      <c r="K35" s="31"/>
      <c r="L35" s="31"/>
      <c r="P35" s="90"/>
    </row>
    <row r="36" spans="1:16" s="27" customFormat="1" ht="15">
      <c r="A36" s="38"/>
      <c r="B36" s="46"/>
      <c r="C36" s="46"/>
      <c r="D36" s="31"/>
      <c r="E36" s="346"/>
      <c r="F36" s="31"/>
      <c r="G36" s="31"/>
      <c r="H36" s="31"/>
      <c r="I36" s="31"/>
      <c r="J36" s="31"/>
      <c r="P36" s="90"/>
    </row>
    <row r="37" spans="1:16" s="27" customFormat="1" ht="15" customHeight="1">
      <c r="A37" s="565" t="s">
        <v>177</v>
      </c>
      <c r="B37" s="566"/>
      <c r="C37" s="566"/>
      <c r="D37" s="566"/>
      <c r="E37" s="566"/>
      <c r="F37" s="554" t="s">
        <v>178</v>
      </c>
      <c r="G37" s="554"/>
      <c r="H37" s="554"/>
      <c r="I37" s="554"/>
      <c r="J37" s="554"/>
      <c r="K37" s="554" t="s">
        <v>179</v>
      </c>
      <c r="L37" s="554" t="s">
        <v>180</v>
      </c>
      <c r="M37" s="554" t="s">
        <v>181</v>
      </c>
      <c r="P37" s="90"/>
    </row>
    <row r="38" spans="1:16" s="27" customFormat="1" ht="15">
      <c r="A38" s="565"/>
      <c r="B38" s="566"/>
      <c r="C38" s="566"/>
      <c r="D38" s="566"/>
      <c r="E38" s="566"/>
      <c r="F38" s="339" t="s">
        <v>182</v>
      </c>
      <c r="G38" s="339" t="s">
        <v>183</v>
      </c>
      <c r="H38" s="339" t="s">
        <v>184</v>
      </c>
      <c r="I38" s="339" t="s">
        <v>185</v>
      </c>
      <c r="J38" s="334">
        <v>0</v>
      </c>
      <c r="K38" s="554"/>
      <c r="L38" s="554"/>
      <c r="M38" s="554"/>
      <c r="P38" s="90"/>
    </row>
    <row r="39" spans="1:16" s="27" customFormat="1" ht="15">
      <c r="A39" s="347" t="s">
        <v>186</v>
      </c>
      <c r="B39" s="329" t="s">
        <v>187</v>
      </c>
      <c r="C39" s="389"/>
      <c r="D39" s="389"/>
      <c r="E39" s="390"/>
      <c r="F39" s="331"/>
      <c r="G39" s="332"/>
      <c r="H39" s="332"/>
      <c r="I39" s="332"/>
      <c r="J39" s="332"/>
      <c r="K39" s="333"/>
      <c r="L39" s="318">
        <f t="shared" ref="L39:L49" si="4">F39*0.2+G39*0.1+H39*0.07+I39*0.055</f>
        <v>0</v>
      </c>
      <c r="M39" s="330"/>
      <c r="P39" s="90"/>
    </row>
    <row r="40" spans="1:16" s="27" customFormat="1" ht="15">
      <c r="A40" s="348" t="s">
        <v>188</v>
      </c>
      <c r="B40" s="315" t="s">
        <v>189</v>
      </c>
      <c r="C40" s="315"/>
      <c r="D40" s="391"/>
      <c r="E40" s="392"/>
      <c r="F40" s="319"/>
      <c r="G40" s="320"/>
      <c r="H40" s="320"/>
      <c r="I40" s="320"/>
      <c r="J40" s="320"/>
      <c r="K40" s="317"/>
      <c r="L40" s="318">
        <f t="shared" si="4"/>
        <v>0</v>
      </c>
      <c r="M40" s="316"/>
      <c r="P40" s="90"/>
    </row>
    <row r="41" spans="1:16" s="27" customFormat="1" ht="15">
      <c r="A41" s="348" t="s">
        <v>188</v>
      </c>
      <c r="B41" s="315" t="s">
        <v>189</v>
      </c>
      <c r="C41" s="315"/>
      <c r="D41" s="391"/>
      <c r="E41" s="392"/>
      <c r="F41" s="319"/>
      <c r="G41" s="320"/>
      <c r="H41" s="320"/>
      <c r="I41" s="320"/>
      <c r="J41" s="320"/>
      <c r="K41" s="317"/>
      <c r="L41" s="318">
        <f t="shared" si="4"/>
        <v>0</v>
      </c>
      <c r="M41" s="316"/>
      <c r="P41" s="90"/>
    </row>
    <row r="42" spans="1:16" s="27" customFormat="1" ht="15">
      <c r="A42" s="348" t="s">
        <v>188</v>
      </c>
      <c r="B42" s="315" t="s">
        <v>189</v>
      </c>
      <c r="C42" s="315"/>
      <c r="D42" s="391"/>
      <c r="E42" s="392"/>
      <c r="F42" s="319"/>
      <c r="G42" s="320"/>
      <c r="H42" s="320"/>
      <c r="I42" s="320"/>
      <c r="J42" s="320"/>
      <c r="K42" s="317"/>
      <c r="L42" s="318">
        <f t="shared" si="4"/>
        <v>0</v>
      </c>
      <c r="M42" s="316"/>
      <c r="P42" s="90"/>
    </row>
    <row r="43" spans="1:16" s="27" customFormat="1" ht="15">
      <c r="A43" s="348" t="s">
        <v>188</v>
      </c>
      <c r="B43" s="315" t="s">
        <v>189</v>
      </c>
      <c r="C43" s="315"/>
      <c r="D43" s="391"/>
      <c r="E43" s="392"/>
      <c r="F43" s="319"/>
      <c r="G43" s="320"/>
      <c r="H43" s="320"/>
      <c r="I43" s="320"/>
      <c r="J43" s="320"/>
      <c r="K43" s="317"/>
      <c r="L43" s="318">
        <f t="shared" si="4"/>
        <v>0</v>
      </c>
      <c r="M43" s="316"/>
      <c r="P43" s="90"/>
    </row>
    <row r="44" spans="1:16" s="27" customFormat="1" ht="15">
      <c r="A44" s="348" t="s">
        <v>188</v>
      </c>
      <c r="B44" s="315" t="s">
        <v>189</v>
      </c>
      <c r="C44" s="315"/>
      <c r="D44" s="391"/>
      <c r="E44" s="392"/>
      <c r="F44" s="319"/>
      <c r="G44" s="320"/>
      <c r="H44" s="320"/>
      <c r="I44" s="320"/>
      <c r="J44" s="320"/>
      <c r="K44" s="317"/>
      <c r="L44" s="318">
        <f t="shared" si="4"/>
        <v>0</v>
      </c>
      <c r="M44" s="316"/>
      <c r="P44" s="90"/>
    </row>
    <row r="45" spans="1:16" s="27" customFormat="1" ht="15">
      <c r="A45" s="348" t="s">
        <v>188</v>
      </c>
      <c r="B45" s="315" t="s">
        <v>189</v>
      </c>
      <c r="C45" s="315"/>
      <c r="D45" s="391"/>
      <c r="E45" s="392"/>
      <c r="F45" s="319"/>
      <c r="G45" s="320"/>
      <c r="H45" s="320"/>
      <c r="I45" s="320"/>
      <c r="J45" s="320"/>
      <c r="K45" s="317"/>
      <c r="L45" s="318">
        <f t="shared" si="4"/>
        <v>0</v>
      </c>
      <c r="M45" s="316"/>
      <c r="P45" s="90"/>
    </row>
    <row r="46" spans="1:16" s="27" customFormat="1" ht="15">
      <c r="A46" s="375"/>
      <c r="B46" s="31"/>
      <c r="C46" s="315"/>
      <c r="D46" s="391"/>
      <c r="E46" s="392"/>
      <c r="F46" s="319"/>
      <c r="G46" s="320"/>
      <c r="H46" s="320"/>
      <c r="I46" s="320"/>
      <c r="J46" s="310"/>
      <c r="K46" s="307"/>
      <c r="L46" s="318">
        <f t="shared" si="4"/>
        <v>0</v>
      </c>
      <c r="M46" s="188"/>
      <c r="P46" s="90"/>
    </row>
    <row r="47" spans="1:16" s="27" customFormat="1" ht="15">
      <c r="A47" s="350" t="s">
        <v>115</v>
      </c>
      <c r="B47" s="315"/>
      <c r="C47" s="315"/>
      <c r="D47" s="315" t="s">
        <v>190</v>
      </c>
      <c r="E47" s="392"/>
      <c r="F47" s="321"/>
      <c r="G47" s="322"/>
      <c r="H47" s="322"/>
      <c r="I47" s="322"/>
      <c r="J47" s="320"/>
      <c r="K47" s="323"/>
      <c r="L47" s="318"/>
      <c r="M47" s="316"/>
      <c r="P47" s="90"/>
    </row>
    <row r="48" spans="1:16" s="27" customFormat="1" ht="15">
      <c r="A48" s="350" t="s">
        <v>191</v>
      </c>
      <c r="B48" s="315"/>
      <c r="C48" s="315"/>
      <c r="D48" s="315" t="s">
        <v>192</v>
      </c>
      <c r="E48" s="392"/>
      <c r="F48" s="319"/>
      <c r="G48" s="320"/>
      <c r="H48" s="320"/>
      <c r="I48" s="320"/>
      <c r="J48" s="320"/>
      <c r="K48" s="323"/>
      <c r="L48" s="318">
        <f t="shared" si="4"/>
        <v>0</v>
      </c>
      <c r="M48" s="316"/>
      <c r="P48" s="90"/>
    </row>
    <row r="49" spans="1:16" s="27" customFormat="1" ht="15">
      <c r="A49" s="350" t="s">
        <v>193</v>
      </c>
      <c r="B49" s="315"/>
      <c r="C49" s="315"/>
      <c r="D49" s="315" t="s">
        <v>194</v>
      </c>
      <c r="E49" s="392"/>
      <c r="F49" s="319"/>
      <c r="G49" s="320"/>
      <c r="H49" s="320"/>
      <c r="I49" s="320"/>
      <c r="J49" s="320"/>
      <c r="K49" s="323"/>
      <c r="L49" s="318">
        <f t="shared" si="4"/>
        <v>0</v>
      </c>
      <c r="M49" s="316"/>
      <c r="P49" s="90"/>
    </row>
    <row r="50" spans="1:16" s="27" customFormat="1" ht="15">
      <c r="A50" s="375"/>
      <c r="B50" s="31"/>
      <c r="C50" s="315"/>
      <c r="D50" s="31"/>
      <c r="E50" s="392"/>
      <c r="F50" s="311"/>
      <c r="G50" s="312"/>
      <c r="H50" s="312"/>
      <c r="I50" s="313"/>
      <c r="J50" s="313"/>
      <c r="K50" s="308"/>
      <c r="L50" s="195"/>
      <c r="M50" s="188"/>
      <c r="P50" s="90"/>
    </row>
    <row r="51" spans="1:16" s="27" customFormat="1" ht="15">
      <c r="A51" s="350" t="s">
        <v>195</v>
      </c>
      <c r="B51" s="315"/>
      <c r="C51" s="315" t="s">
        <v>196</v>
      </c>
      <c r="D51" s="315" t="s">
        <v>197</v>
      </c>
      <c r="E51" s="392"/>
      <c r="F51" s="324"/>
      <c r="G51" s="325"/>
      <c r="H51" s="325"/>
      <c r="I51" s="326"/>
      <c r="J51" s="326"/>
      <c r="K51" s="327"/>
      <c r="L51" s="318">
        <f>(F51/1.2)*0.2+(G51/1.1)*0.1+(H51/1.07)*0.07+(I51/1.021)*0.021</f>
        <v>0</v>
      </c>
      <c r="M51" s="328" t="s">
        <v>198</v>
      </c>
      <c r="P51" s="90"/>
    </row>
    <row r="52" spans="1:16" s="27" customFormat="1" ht="15">
      <c r="A52" s="350" t="s">
        <v>199</v>
      </c>
      <c r="B52" s="315"/>
      <c r="C52" s="315" t="s">
        <v>196</v>
      </c>
      <c r="D52" s="315" t="s">
        <v>197</v>
      </c>
      <c r="E52" s="392"/>
      <c r="F52" s="324"/>
      <c r="G52" s="325"/>
      <c r="H52" s="325"/>
      <c r="I52" s="326"/>
      <c r="J52" s="326"/>
      <c r="K52" s="327"/>
      <c r="L52" s="318">
        <f>(F52/1.2)*0.2+(G52/1.1)*0.1+(H52/1.07)*0.07+(I52/1.021)*0.021</f>
        <v>0</v>
      </c>
      <c r="M52" s="328" t="s">
        <v>200</v>
      </c>
      <c r="P52" s="90"/>
    </row>
    <row r="53" spans="1:16" s="27" customFormat="1" ht="15">
      <c r="A53" s="350" t="s">
        <v>201</v>
      </c>
      <c r="B53" s="315"/>
      <c r="C53" s="315" t="s">
        <v>196</v>
      </c>
      <c r="D53" s="315" t="s">
        <v>202</v>
      </c>
      <c r="E53" s="392"/>
      <c r="F53" s="324"/>
      <c r="G53" s="325"/>
      <c r="H53" s="325"/>
      <c r="I53" s="326"/>
      <c r="J53" s="326"/>
      <c r="K53" s="327"/>
      <c r="L53" s="318">
        <f>(F53/1.2)*0.2+(G53/1.1)*0.1+(H53/1.07)*0.07+(I53/1.021)*0.021</f>
        <v>0</v>
      </c>
      <c r="M53" s="328" t="s">
        <v>198</v>
      </c>
      <c r="P53" s="90"/>
    </row>
    <row r="54" spans="1:16" s="27" customFormat="1" ht="15">
      <c r="A54" s="350" t="s">
        <v>203</v>
      </c>
      <c r="B54" s="315"/>
      <c r="C54" s="315" t="s">
        <v>196</v>
      </c>
      <c r="D54" s="315" t="s">
        <v>202</v>
      </c>
      <c r="E54" s="392"/>
      <c r="F54" s="324"/>
      <c r="G54" s="325"/>
      <c r="H54" s="325"/>
      <c r="I54" s="326"/>
      <c r="J54" s="326"/>
      <c r="K54" s="327"/>
      <c r="L54" s="318">
        <f>(F54/1.2)*0.2+(G54/1.1)*0.1+(H54/1.07)*0.07+(I54/1.021)*0.021</f>
        <v>0</v>
      </c>
      <c r="M54" s="328" t="s">
        <v>200</v>
      </c>
      <c r="P54" s="90"/>
    </row>
    <row r="55" spans="1:16" s="27" customFormat="1" ht="15">
      <c r="A55" s="350" t="s">
        <v>204</v>
      </c>
      <c r="B55" s="315"/>
      <c r="C55" s="315" t="s">
        <v>178</v>
      </c>
      <c r="D55" s="315" t="s">
        <v>205</v>
      </c>
      <c r="E55" s="392"/>
      <c r="F55" s="324"/>
      <c r="G55" s="325"/>
      <c r="H55" s="325"/>
      <c r="I55" s="326"/>
      <c r="J55" s="326"/>
      <c r="K55" s="327"/>
      <c r="L55" s="318">
        <f t="shared" ref="L55:L58" si="5">F55*0.2+G55*0.1+H55*0.07+I55*0.021</f>
        <v>0</v>
      </c>
      <c r="M55" s="328" t="s">
        <v>198</v>
      </c>
      <c r="P55" s="90"/>
    </row>
    <row r="56" spans="1:16" s="27" customFormat="1" ht="15">
      <c r="A56" s="350" t="s">
        <v>206</v>
      </c>
      <c r="B56" s="315"/>
      <c r="C56" s="315" t="s">
        <v>178</v>
      </c>
      <c r="D56" s="315" t="s">
        <v>205</v>
      </c>
      <c r="E56" s="392"/>
      <c r="F56" s="324"/>
      <c r="G56" s="325"/>
      <c r="H56" s="325"/>
      <c r="I56" s="326"/>
      <c r="J56" s="326"/>
      <c r="K56" s="327"/>
      <c r="L56" s="318">
        <f t="shared" si="5"/>
        <v>0</v>
      </c>
      <c r="M56" s="328" t="s">
        <v>200</v>
      </c>
      <c r="P56" s="90"/>
    </row>
    <row r="57" spans="1:16" s="27" customFormat="1" ht="15">
      <c r="A57" s="375" t="s">
        <v>207</v>
      </c>
      <c r="B57" s="315"/>
      <c r="C57" s="315" t="s">
        <v>178</v>
      </c>
      <c r="D57" s="315" t="s">
        <v>208</v>
      </c>
      <c r="E57" s="392"/>
      <c r="F57" s="324"/>
      <c r="G57" s="325"/>
      <c r="H57" s="325"/>
      <c r="I57" s="326"/>
      <c r="J57" s="326"/>
      <c r="K57" s="327"/>
      <c r="L57" s="318">
        <f t="shared" si="5"/>
        <v>0</v>
      </c>
      <c r="M57" s="328" t="s">
        <v>200</v>
      </c>
      <c r="P57" s="90"/>
    </row>
    <row r="58" spans="1:16" s="27" customFormat="1" ht="15">
      <c r="A58" s="375" t="s">
        <v>209</v>
      </c>
      <c r="B58" s="315"/>
      <c r="C58" s="315" t="s">
        <v>178</v>
      </c>
      <c r="D58" s="315" t="s">
        <v>208</v>
      </c>
      <c r="E58" s="392"/>
      <c r="F58" s="324"/>
      <c r="G58" s="325"/>
      <c r="H58" s="325"/>
      <c r="I58" s="326"/>
      <c r="J58" s="326"/>
      <c r="K58" s="327"/>
      <c r="L58" s="318">
        <f t="shared" si="5"/>
        <v>0</v>
      </c>
      <c r="M58" s="328" t="s">
        <v>198</v>
      </c>
      <c r="P58" s="90"/>
    </row>
    <row r="59" spans="1:16" s="27" customFormat="1" ht="15">
      <c r="A59" s="350" t="s">
        <v>210</v>
      </c>
      <c r="B59" s="315"/>
      <c r="C59" s="315"/>
      <c r="D59" s="315" t="s">
        <v>211</v>
      </c>
      <c r="E59" s="392"/>
      <c r="F59" s="321"/>
      <c r="G59" s="322"/>
      <c r="H59" s="322"/>
      <c r="I59" s="322"/>
      <c r="J59" s="320"/>
      <c r="K59" s="323"/>
      <c r="L59" s="318">
        <f t="shared" ref="L59:L60" si="6">+J59</f>
        <v>0</v>
      </c>
      <c r="M59" s="328" t="s">
        <v>200</v>
      </c>
      <c r="P59" s="90"/>
    </row>
    <row r="60" spans="1:16" s="27" customFormat="1" ht="15">
      <c r="A60" s="350" t="s">
        <v>212</v>
      </c>
      <c r="B60" s="315"/>
      <c r="C60" s="315"/>
      <c r="D60" s="315" t="s">
        <v>211</v>
      </c>
      <c r="E60" s="392"/>
      <c r="F60" s="321"/>
      <c r="G60" s="322"/>
      <c r="H60" s="322"/>
      <c r="I60" s="322"/>
      <c r="J60" s="320"/>
      <c r="K60" s="323"/>
      <c r="L60" s="318">
        <f t="shared" si="6"/>
        <v>0</v>
      </c>
      <c r="M60" s="328" t="s">
        <v>198</v>
      </c>
      <c r="P60" s="90"/>
    </row>
    <row r="61" spans="1:16" s="27" customFormat="1" ht="15">
      <c r="A61" s="349"/>
      <c r="B61" s="31"/>
      <c r="C61" s="31"/>
      <c r="D61" s="31"/>
      <c r="E61" s="188"/>
      <c r="F61" s="314"/>
      <c r="G61" s="313"/>
      <c r="H61" s="313"/>
      <c r="I61" s="312"/>
      <c r="J61" s="310"/>
      <c r="K61" s="309"/>
      <c r="L61" s="193"/>
      <c r="M61" s="194"/>
      <c r="P61" s="90"/>
    </row>
    <row r="62" spans="1:16" s="27" customFormat="1" ht="15">
      <c r="A62" s="351"/>
      <c r="B62" s="191"/>
      <c r="C62" s="191"/>
      <c r="D62" s="191"/>
      <c r="E62" s="196"/>
      <c r="F62" s="197"/>
      <c r="G62" s="200"/>
      <c r="H62" s="200"/>
      <c r="I62" s="191"/>
      <c r="J62" s="191"/>
      <c r="K62" s="88"/>
      <c r="L62" s="199">
        <f>SUM(L39:L61)</f>
        <v>0</v>
      </c>
      <c r="M62" s="198"/>
      <c r="P62" s="90"/>
    </row>
    <row r="63" spans="1:16" s="27" customFormat="1" ht="15">
      <c r="A63" s="349"/>
      <c r="B63" s="31"/>
      <c r="C63" s="31"/>
      <c r="D63" s="31"/>
      <c r="E63" s="346"/>
      <c r="F63" s="31"/>
      <c r="G63" s="31"/>
      <c r="H63" s="31"/>
      <c r="I63" s="31"/>
      <c r="L63" s="352" t="s">
        <v>213</v>
      </c>
      <c r="P63" s="90"/>
    </row>
    <row r="64" spans="1:16" s="27" customFormat="1" ht="15">
      <c r="A64" s="349"/>
      <c r="B64" s="31"/>
      <c r="C64" s="31"/>
      <c r="D64" s="31"/>
      <c r="E64" s="346"/>
      <c r="P64" s="90"/>
    </row>
    <row r="65" spans="1:16" s="27" customFormat="1" ht="15">
      <c r="A65" s="206"/>
      <c r="P65" s="90"/>
    </row>
    <row r="66" spans="1:16" s="27" customFormat="1" ht="15">
      <c r="A66" s="206"/>
      <c r="I66" s="31"/>
      <c r="J66" s="31"/>
      <c r="K66" s="353" t="s">
        <v>214</v>
      </c>
      <c r="L66" s="343">
        <f>(J34-G34*$C$20)-L62</f>
        <v>0</v>
      </c>
      <c r="M66" s="354" t="s">
        <v>215</v>
      </c>
      <c r="P66" s="90"/>
    </row>
    <row r="67" spans="1:16" s="27" customFormat="1" ht="15">
      <c r="A67" s="206"/>
      <c r="P67" s="90"/>
    </row>
    <row r="68" spans="1:16" s="32" customFormat="1" ht="75" customHeight="1">
      <c r="A68" s="537" t="s">
        <v>154</v>
      </c>
      <c r="B68" s="538"/>
      <c r="C68" s="538"/>
      <c r="D68" s="538"/>
      <c r="E68" s="538"/>
      <c r="F68" s="538"/>
      <c r="G68" s="538"/>
      <c r="H68" s="538"/>
      <c r="I68" s="538"/>
      <c r="J68" s="538"/>
      <c r="K68" s="538"/>
      <c r="L68" s="538"/>
      <c r="M68" s="538"/>
      <c r="N68" s="538"/>
      <c r="O68" s="538"/>
      <c r="P68" s="539"/>
    </row>
    <row r="69" spans="1:16" s="27" customFormat="1" thickBot="1">
      <c r="A69" s="238"/>
      <c r="B69" s="91"/>
      <c r="C69" s="91"/>
      <c r="D69" s="91"/>
      <c r="E69" s="91"/>
      <c r="F69" s="91"/>
      <c r="G69" s="91"/>
      <c r="H69" s="91"/>
      <c r="I69" s="91"/>
      <c r="J69" s="91"/>
      <c r="K69" s="91"/>
      <c r="L69" s="91"/>
      <c r="M69" s="91"/>
      <c r="N69" s="91"/>
      <c r="O69" s="91"/>
      <c r="P69" s="92"/>
    </row>
    <row r="70" spans="1:16" s="27" customFormat="1" ht="15"/>
    <row r="71" spans="1:16" s="27" customFormat="1" ht="15"/>
    <row r="72" spans="1:16" s="27" customFormat="1" ht="15"/>
    <row r="73" spans="1:16" s="27" customFormat="1" ht="15"/>
    <row r="74" spans="1:16" s="27" customFormat="1" ht="15"/>
    <row r="75" spans="1:16" s="27" customFormat="1" ht="15"/>
    <row r="76" spans="1:16" s="27" customFormat="1" ht="15"/>
    <row r="77" spans="1:16" s="27" customFormat="1" ht="15"/>
    <row r="78" spans="1:16" s="27" customFormat="1" ht="15"/>
    <row r="79" spans="1:16" s="27" customFormat="1" ht="15"/>
    <row r="80" spans="1:16" s="27" customFormat="1" ht="15"/>
    <row r="81" s="27" customFormat="1" ht="15"/>
    <row r="82" s="27" customFormat="1" ht="15"/>
    <row r="83" s="27" customFormat="1" ht="15"/>
    <row r="84" s="27" customFormat="1" ht="15"/>
    <row r="85" s="27" customFormat="1" ht="15"/>
    <row r="86" s="27" customFormat="1" ht="15"/>
    <row r="87" s="27" customFormat="1" ht="15"/>
    <row r="88" s="27" customFormat="1" ht="15"/>
    <row r="89" s="27" customFormat="1" ht="15"/>
    <row r="90" s="27" customFormat="1" ht="15"/>
    <row r="91" s="27" customFormat="1" ht="15"/>
    <row r="92" s="27" customFormat="1" ht="15"/>
    <row r="93" s="27" customFormat="1" ht="15"/>
    <row r="94" s="27" customFormat="1" ht="15"/>
    <row r="95" s="27" customFormat="1" ht="15"/>
    <row r="96" s="27" customFormat="1" ht="15"/>
    <row r="97" s="27" customFormat="1" ht="15"/>
    <row r="98" s="27" customFormat="1" ht="15"/>
    <row r="99" s="27" customFormat="1" ht="15"/>
    <row r="100" s="27" customFormat="1" ht="15"/>
    <row r="101" s="27" customFormat="1" ht="15"/>
    <row r="102" s="27" customFormat="1" ht="15"/>
    <row r="103" s="27" customFormat="1" ht="15"/>
    <row r="104" s="27" customFormat="1" ht="15"/>
    <row r="105" s="27" customFormat="1" ht="15"/>
    <row r="106" s="27" customFormat="1" ht="15"/>
    <row r="107" s="27" customFormat="1" ht="15"/>
    <row r="108" s="27" customFormat="1" ht="15"/>
    <row r="109" s="27" customFormat="1" ht="15"/>
    <row r="110" s="27" customFormat="1" ht="15"/>
    <row r="111" s="27" customFormat="1" ht="15"/>
    <row r="112" s="27" customFormat="1" ht="15"/>
    <row r="113" s="27" customFormat="1" ht="15"/>
    <row r="114" s="27" customFormat="1" ht="15"/>
    <row r="115" s="27" customFormat="1" ht="15"/>
    <row r="116" s="27" customFormat="1" ht="15"/>
    <row r="117" s="27" customFormat="1" ht="15"/>
    <row r="118" s="27" customFormat="1" ht="15"/>
    <row r="119" s="27" customFormat="1" ht="15"/>
    <row r="120" s="27" customFormat="1" ht="15"/>
    <row r="121" s="27" customFormat="1" ht="15"/>
    <row r="122" s="27" customFormat="1" ht="15"/>
    <row r="123" s="27" customFormat="1" ht="15"/>
    <row r="124" s="27" customFormat="1" ht="15"/>
    <row r="125" s="27" customFormat="1" ht="15"/>
    <row r="126" s="27" customFormat="1" ht="15"/>
    <row r="127" s="27" customFormat="1" ht="15"/>
    <row r="128" s="27" customFormat="1" ht="15"/>
    <row r="129" s="27" customFormat="1" ht="15"/>
    <row r="130" s="27" customFormat="1" ht="15"/>
    <row r="131" s="27" customFormat="1" ht="15"/>
    <row r="132" s="27" customFormat="1" ht="15"/>
    <row r="133" s="27" customFormat="1" ht="15"/>
    <row r="134" s="27" customFormat="1" ht="15"/>
    <row r="135" s="27" customFormat="1" ht="15"/>
    <row r="136" s="27" customFormat="1" ht="15"/>
    <row r="137" s="27" customFormat="1" ht="15"/>
    <row r="138" s="27" customFormat="1" ht="15"/>
    <row r="139" s="27" customFormat="1" ht="15"/>
  </sheetData>
  <sheetProtection formatCells="0" formatColumns="0" formatRows="0" insertColumns="0" insertRows="0" insertHyperlinks="0" deleteColumns="0" deleteRows="0" sort="0" autoFilter="0" pivotTables="0"/>
  <mergeCells count="38">
    <mergeCell ref="A68:P68"/>
    <mergeCell ref="O8:P8"/>
    <mergeCell ref="C19:I19"/>
    <mergeCell ref="J19:L19"/>
    <mergeCell ref="G20:G21"/>
    <mergeCell ref="F20:F21"/>
    <mergeCell ref="E20:E21"/>
    <mergeCell ref="D20:D21"/>
    <mergeCell ref="C20:C21"/>
    <mergeCell ref="L20:L21"/>
    <mergeCell ref="K20:K21"/>
    <mergeCell ref="J20:J21"/>
    <mergeCell ref="I20:I21"/>
    <mergeCell ref="H20:H21"/>
    <mergeCell ref="A11:P11"/>
    <mergeCell ref="A13:P13"/>
    <mergeCell ref="O9:P9"/>
    <mergeCell ref="M37:M38"/>
    <mergeCell ref="L37:L38"/>
    <mergeCell ref="K37:K38"/>
    <mergeCell ref="A17:C17"/>
    <mergeCell ref="A19:B21"/>
    <mergeCell ref="A34:B34"/>
    <mergeCell ref="F37:J37"/>
    <mergeCell ref="A37:E38"/>
    <mergeCell ref="A14:P14"/>
    <mergeCell ref="A9:C9"/>
    <mergeCell ref="D9:E9"/>
    <mergeCell ref="F9:I9"/>
    <mergeCell ref="J9:K9"/>
    <mergeCell ref="L9:N9"/>
    <mergeCell ref="D1:M2"/>
    <mergeCell ref="A3:P5"/>
    <mergeCell ref="E6:L7"/>
    <mergeCell ref="M6:N6"/>
    <mergeCell ref="O6:P6"/>
    <mergeCell ref="M7:N7"/>
    <mergeCell ref="O7:P7"/>
  </mergeCells>
  <dataValidations count="2">
    <dataValidation type="list" allowBlank="1" showInputMessage="1" showErrorMessage="1" sqref="O9:P9" xr:uid="{00000000-0002-0000-0500-000000000000}">
      <formula1>Diligences</formula1>
    </dataValidation>
    <dataValidation type="list" showInputMessage="1" showErrorMessage="1" sqref="D9:E9" xr:uid="{00000000-0002-0000-0500-000001000000}">
      <formula1>RAS</formula1>
    </dataValidation>
  </dataValidations>
  <hyperlinks>
    <hyperlink ref="O8:P8" location="'E Synthèse'!A1" display="E Synthèse" xr:uid="{00000000-0004-0000-05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A1:U140"/>
  <sheetViews>
    <sheetView showGridLines="0" zoomScale="90" zoomScaleNormal="90" workbookViewId="0">
      <selection activeCell="E120" sqref="E120"/>
    </sheetView>
  </sheetViews>
  <sheetFormatPr defaultColWidth="11.42578125" defaultRowHeight="15.75"/>
  <cols>
    <col min="1" max="1" width="14.7109375" style="8" customWidth="1"/>
    <col min="2" max="2" width="34.42578125" style="8" customWidth="1"/>
    <col min="3" max="3" width="16.7109375" style="8" customWidth="1"/>
    <col min="4" max="4" width="14.7109375" style="8" customWidth="1"/>
    <col min="5" max="7" width="13.28515625" style="8" customWidth="1"/>
    <col min="8" max="16" width="11.42578125" style="8" customWidth="1"/>
    <col min="17" max="16384" width="11.42578125" style="8"/>
  </cols>
  <sheetData>
    <row r="1" spans="1:21" s="2" customFormat="1" ht="15" customHeight="1">
      <c r="A1" s="11"/>
      <c r="B1" s="12"/>
      <c r="C1" s="12"/>
      <c r="D1" s="501" t="str">
        <f>'E Synthèse'!D1:M2</f>
        <v>#NomClient</v>
      </c>
      <c r="E1" s="502"/>
      <c r="F1" s="502"/>
      <c r="G1" s="502"/>
      <c r="H1" s="502"/>
      <c r="I1" s="502"/>
      <c r="J1" s="502"/>
      <c r="K1" s="502"/>
      <c r="L1" s="502"/>
      <c r="M1" s="503"/>
      <c r="N1" s="12"/>
      <c r="O1" s="12"/>
      <c r="P1" s="13"/>
    </row>
    <row r="2" spans="1:21" s="2" customFormat="1" ht="15" customHeight="1" thickBot="1">
      <c r="A2" s="14"/>
      <c r="B2" s="15"/>
      <c r="C2" s="15"/>
      <c r="D2" s="504"/>
      <c r="E2" s="505"/>
      <c r="F2" s="505"/>
      <c r="G2" s="505"/>
      <c r="H2" s="505"/>
      <c r="I2" s="505"/>
      <c r="J2" s="505"/>
      <c r="K2" s="505"/>
      <c r="L2" s="505"/>
      <c r="M2" s="506"/>
      <c r="N2" s="15"/>
      <c r="O2" s="15"/>
      <c r="P2" s="16"/>
    </row>
    <row r="3" spans="1:21" ht="15" customHeight="1">
      <c r="A3" s="471" t="s">
        <v>3</v>
      </c>
      <c r="B3" s="472"/>
      <c r="C3" s="472"/>
      <c r="D3" s="472"/>
      <c r="E3" s="472"/>
      <c r="F3" s="472"/>
      <c r="G3" s="472"/>
      <c r="H3" s="472"/>
      <c r="I3" s="472"/>
      <c r="J3" s="472"/>
      <c r="K3" s="472"/>
      <c r="L3" s="472"/>
      <c r="M3" s="472"/>
      <c r="N3" s="472"/>
      <c r="O3" s="472"/>
      <c r="P3" s="473"/>
      <c r="R3" s="4"/>
      <c r="T3" s="6"/>
      <c r="U3" s="7"/>
    </row>
    <row r="4" spans="1:21" ht="15" customHeight="1">
      <c r="A4" s="471"/>
      <c r="B4" s="472"/>
      <c r="C4" s="472"/>
      <c r="D4" s="472"/>
      <c r="E4" s="472"/>
      <c r="F4" s="472"/>
      <c r="G4" s="472"/>
      <c r="H4" s="472"/>
      <c r="I4" s="472"/>
      <c r="J4" s="472"/>
      <c r="K4" s="472"/>
      <c r="L4" s="472"/>
      <c r="M4" s="472"/>
      <c r="N4" s="472"/>
      <c r="O4" s="472"/>
      <c r="P4" s="473"/>
      <c r="R4" s="4"/>
      <c r="T4" s="6"/>
      <c r="U4" s="7"/>
    </row>
    <row r="5" spans="1:21" ht="15" customHeight="1" thickBot="1">
      <c r="A5" s="474"/>
      <c r="B5" s="475"/>
      <c r="C5" s="475"/>
      <c r="D5" s="475"/>
      <c r="E5" s="475"/>
      <c r="F5" s="475"/>
      <c r="G5" s="475"/>
      <c r="H5" s="475"/>
      <c r="I5" s="475"/>
      <c r="J5" s="475"/>
      <c r="K5" s="475"/>
      <c r="L5" s="475"/>
      <c r="M5" s="475"/>
      <c r="N5" s="475"/>
      <c r="O5" s="475"/>
      <c r="P5" s="476"/>
      <c r="Q5" s="9"/>
      <c r="R5" s="5"/>
      <c r="S5" s="25"/>
      <c r="T5" s="25"/>
      <c r="U5" s="25"/>
    </row>
    <row r="6" spans="1:21" ht="15" customHeight="1">
      <c r="A6" s="18" t="s">
        <v>6</v>
      </c>
      <c r="B6" s="202" t="str">
        <f>'E Synthèse'!B6</f>
        <v>BRA</v>
      </c>
      <c r="C6" s="18" t="s">
        <v>8</v>
      </c>
      <c r="D6" s="202">
        <f>'E Synthèse'!D6</f>
        <v>0</v>
      </c>
      <c r="E6" s="487" t="s">
        <v>45</v>
      </c>
      <c r="F6" s="488"/>
      <c r="G6" s="488"/>
      <c r="H6" s="488"/>
      <c r="I6" s="488"/>
      <c r="J6" s="488"/>
      <c r="K6" s="488"/>
      <c r="L6" s="489"/>
      <c r="M6" s="507" t="s">
        <v>10</v>
      </c>
      <c r="N6" s="508"/>
      <c r="O6" s="479" t="s">
        <v>11</v>
      </c>
      <c r="P6" s="480"/>
      <c r="R6" s="2"/>
      <c r="S6" s="2"/>
    </row>
    <row r="7" spans="1:21" ht="15" customHeight="1" thickBot="1">
      <c r="A7" s="19" t="s">
        <v>13</v>
      </c>
      <c r="B7" s="203">
        <f>'E Synthèse'!B7</f>
        <v>0</v>
      </c>
      <c r="C7" s="19" t="s">
        <v>13</v>
      </c>
      <c r="D7" s="203">
        <f>'E Synthèse'!D7</f>
        <v>0</v>
      </c>
      <c r="E7" s="490"/>
      <c r="F7" s="491"/>
      <c r="G7" s="491"/>
      <c r="H7" s="491"/>
      <c r="I7" s="491"/>
      <c r="J7" s="491"/>
      <c r="K7" s="491"/>
      <c r="L7" s="492"/>
      <c r="M7" s="509" t="str">
        <f>'E Synthèse'!M7:M7</f>
        <v>#DateClôture</v>
      </c>
      <c r="N7" s="510"/>
      <c r="O7" s="481" t="s">
        <v>44</v>
      </c>
      <c r="P7" s="482"/>
    </row>
    <row r="8" spans="1:21" ht="21" customHeight="1" thickBot="1">
      <c r="A8" s="20"/>
      <c r="B8" s="17"/>
      <c r="C8" s="21"/>
      <c r="D8" s="21"/>
      <c r="E8" s="22"/>
      <c r="F8" s="22"/>
      <c r="G8" s="22"/>
      <c r="H8" s="22"/>
      <c r="I8" s="22"/>
      <c r="J8" s="22"/>
      <c r="K8" s="22"/>
      <c r="L8" s="22"/>
      <c r="M8" s="23"/>
      <c r="N8" s="21"/>
      <c r="O8" s="511" t="s">
        <v>58</v>
      </c>
      <c r="P8" s="512"/>
    </row>
    <row r="9" spans="1:21" s="21" customFormat="1" ht="31.5" customHeight="1" thickBot="1">
      <c r="A9" s="483" t="s">
        <v>18</v>
      </c>
      <c r="B9" s="484"/>
      <c r="C9" s="484"/>
      <c r="D9" s="494" t="str">
        <f>'E Synthèse'!D9:E9</f>
        <v>Faible</v>
      </c>
      <c r="E9" s="495"/>
      <c r="F9" s="477" t="s">
        <v>19</v>
      </c>
      <c r="G9" s="478"/>
      <c r="H9" s="478"/>
      <c r="I9" s="478"/>
      <c r="J9" s="514">
        <f>'E Synthèse'!J9:K9</f>
        <v>0</v>
      </c>
      <c r="K9" s="515"/>
      <c r="L9" s="477" t="s">
        <v>20</v>
      </c>
      <c r="M9" s="478"/>
      <c r="N9" s="478"/>
      <c r="O9" s="494" t="str">
        <f>'E Synthèse'!N9</f>
        <v>PB</v>
      </c>
      <c r="P9" s="495"/>
    </row>
    <row r="10" spans="1:21" s="21" customFormat="1" ht="21" customHeight="1" thickBot="1">
      <c r="A10" s="26"/>
      <c r="B10" s="26"/>
      <c r="C10" s="26"/>
      <c r="D10" s="26"/>
      <c r="E10" s="26"/>
      <c r="F10" s="26"/>
      <c r="G10" s="26"/>
      <c r="H10" s="26"/>
      <c r="I10" s="26"/>
      <c r="J10" s="26"/>
      <c r="K10" s="26"/>
      <c r="L10" s="26"/>
      <c r="M10" s="26"/>
      <c r="N10" s="26"/>
      <c r="O10" s="26"/>
      <c r="P10" s="26"/>
    </row>
    <row r="11" spans="1:21" s="27" customFormat="1" ht="100.15" customHeight="1" thickBot="1">
      <c r="A11" s="516" t="s">
        <v>216</v>
      </c>
      <c r="B11" s="517"/>
      <c r="C11" s="517"/>
      <c r="D11" s="517"/>
      <c r="E11" s="517"/>
      <c r="F11" s="517"/>
      <c r="G11" s="517"/>
      <c r="H11" s="517"/>
      <c r="I11" s="517"/>
      <c r="J11" s="517"/>
      <c r="K11" s="517"/>
      <c r="L11" s="517"/>
      <c r="M11" s="517"/>
      <c r="N11" s="517"/>
      <c r="O11" s="517"/>
      <c r="P11" s="518"/>
    </row>
    <row r="12" spans="1:21" s="27" customFormat="1" ht="9" customHeight="1" thickBot="1"/>
    <row r="13" spans="1:21" s="27" customFormat="1" ht="15">
      <c r="A13" s="519" t="s">
        <v>60</v>
      </c>
      <c r="B13" s="520"/>
      <c r="C13" s="520"/>
      <c r="D13" s="520"/>
      <c r="E13" s="520"/>
      <c r="F13" s="520"/>
      <c r="G13" s="520"/>
      <c r="H13" s="520"/>
      <c r="I13" s="520"/>
      <c r="J13" s="520"/>
      <c r="K13" s="520"/>
      <c r="L13" s="520"/>
      <c r="M13" s="520"/>
      <c r="N13" s="520"/>
      <c r="O13" s="520"/>
      <c r="P13" s="521"/>
    </row>
    <row r="14" spans="1:21" s="27" customFormat="1" ht="60" customHeight="1" thickBot="1">
      <c r="A14" s="522"/>
      <c r="B14" s="523"/>
      <c r="C14" s="523"/>
      <c r="D14" s="523"/>
      <c r="E14" s="523"/>
      <c r="F14" s="523"/>
      <c r="G14" s="523"/>
      <c r="H14" s="523"/>
      <c r="I14" s="523"/>
      <c r="J14" s="523"/>
      <c r="K14" s="523"/>
      <c r="L14" s="523"/>
      <c r="M14" s="523"/>
      <c r="N14" s="523"/>
      <c r="O14" s="523"/>
      <c r="P14" s="524"/>
    </row>
    <row r="15" spans="1:21" ht="16.5" thickBot="1"/>
    <row r="16" spans="1:21" s="27" customFormat="1" ht="15">
      <c r="A16" s="40"/>
      <c r="B16" s="47"/>
      <c r="C16" s="47"/>
      <c r="D16" s="47"/>
      <c r="E16" s="47"/>
      <c r="F16" s="45"/>
      <c r="G16" s="47"/>
      <c r="H16" s="47"/>
      <c r="I16" s="43"/>
      <c r="J16" s="43"/>
      <c r="K16" s="43"/>
      <c r="L16" s="43"/>
      <c r="M16" s="43"/>
      <c r="N16" s="43"/>
      <c r="O16" s="43"/>
      <c r="P16" s="44"/>
    </row>
    <row r="17" spans="1:16" s="27" customFormat="1" ht="15">
      <c r="A17" s="164" t="s">
        <v>217</v>
      </c>
      <c r="I17" s="579"/>
      <c r="J17" s="579"/>
      <c r="K17" s="579"/>
      <c r="L17" s="151"/>
      <c r="P17" s="90"/>
    </row>
    <row r="18" spans="1:16" s="27" customFormat="1" ht="15">
      <c r="A18" s="158"/>
      <c r="B18" s="154" t="s">
        <v>218</v>
      </c>
      <c r="C18" s="159">
        <v>0.25</v>
      </c>
      <c r="D18" s="163"/>
      <c r="E18" s="437"/>
      <c r="F18" s="157"/>
      <c r="G18" s="157"/>
      <c r="H18" s="157"/>
      <c r="I18" s="152"/>
      <c r="J18" s="152"/>
      <c r="K18" s="152"/>
      <c r="L18" s="153"/>
      <c r="P18" s="90"/>
    </row>
    <row r="19" spans="1:16" s="27" customFormat="1" ht="15">
      <c r="A19" s="158"/>
      <c r="B19" s="154" t="s">
        <v>219</v>
      </c>
      <c r="C19" s="159">
        <v>0.15</v>
      </c>
      <c r="D19" s="157"/>
      <c r="E19" s="157"/>
      <c r="F19" s="157"/>
      <c r="G19" s="157"/>
      <c r="H19" s="157"/>
      <c r="I19" s="152"/>
      <c r="J19" s="152"/>
      <c r="K19" s="152"/>
      <c r="L19" s="153"/>
      <c r="P19" s="90"/>
    </row>
    <row r="20" spans="1:16" s="27" customFormat="1" ht="15">
      <c r="A20" s="158"/>
      <c r="B20" s="157"/>
      <c r="D20" s="160" t="s">
        <v>220</v>
      </c>
      <c r="E20" s="157"/>
      <c r="F20" s="157"/>
      <c r="G20" s="157"/>
      <c r="H20" s="157"/>
      <c r="I20" s="152"/>
      <c r="J20" s="152"/>
      <c r="K20" s="152"/>
      <c r="L20" s="153"/>
      <c r="P20" s="90"/>
    </row>
    <row r="21" spans="1:16" s="27" customFormat="1" ht="15">
      <c r="A21" s="158"/>
      <c r="B21" s="160"/>
      <c r="D21" s="161" t="s">
        <v>221</v>
      </c>
      <c r="E21" s="157"/>
      <c r="F21" s="157"/>
      <c r="G21" s="157"/>
      <c r="H21" s="157"/>
      <c r="I21" s="152"/>
      <c r="J21" s="152"/>
      <c r="K21" s="152"/>
      <c r="L21" s="153"/>
      <c r="P21" s="90"/>
    </row>
    <row r="22" spans="1:16" s="27" customFormat="1" ht="15">
      <c r="A22" s="158"/>
      <c r="B22" s="160"/>
      <c r="D22" s="161" t="s">
        <v>222</v>
      </c>
      <c r="E22" s="157"/>
      <c r="F22" s="157"/>
      <c r="G22" s="157"/>
      <c r="H22" s="157"/>
      <c r="P22" s="90"/>
    </row>
    <row r="23" spans="1:16" s="27" customFormat="1" ht="15">
      <c r="A23" s="158"/>
      <c r="B23" s="157"/>
      <c r="D23" s="161" t="s">
        <v>223</v>
      </c>
      <c r="E23" s="157"/>
      <c r="F23" s="157"/>
      <c r="G23" s="157"/>
      <c r="H23" s="157"/>
      <c r="P23" s="90"/>
    </row>
    <row r="24" spans="1:16" s="27" customFormat="1" ht="15">
      <c r="A24" s="158"/>
      <c r="B24" s="157"/>
      <c r="C24" s="161"/>
      <c r="D24" s="157"/>
      <c r="E24" s="157"/>
      <c r="F24" s="157"/>
      <c r="G24" s="157"/>
      <c r="H24" s="157"/>
      <c r="P24" s="90"/>
    </row>
    <row r="25" spans="1:16" s="27" customFormat="1" ht="15">
      <c r="A25" s="162"/>
      <c r="B25" s="157"/>
      <c r="C25" s="161"/>
      <c r="D25" s="157"/>
      <c r="E25" s="157"/>
      <c r="F25" s="157"/>
      <c r="G25" s="157"/>
      <c r="H25" s="157"/>
      <c r="P25" s="90"/>
    </row>
    <row r="26" spans="1:16" s="27" customFormat="1" ht="15">
      <c r="A26" s="162"/>
      <c r="B26" s="154" t="s">
        <v>224</v>
      </c>
      <c r="E26" s="156"/>
      <c r="F26" s="157"/>
      <c r="G26" s="157"/>
      <c r="H26" s="157"/>
      <c r="P26" s="90"/>
    </row>
    <row r="27" spans="1:16" s="27" customFormat="1" ht="15">
      <c r="A27" s="162"/>
      <c r="B27" s="154"/>
      <c r="C27" s="157" t="s">
        <v>225</v>
      </c>
      <c r="E27" s="156"/>
      <c r="F27" s="157"/>
      <c r="G27" s="157"/>
      <c r="H27" s="157"/>
      <c r="P27" s="90"/>
    </row>
    <row r="28" spans="1:16" s="27" customFormat="1" ht="15">
      <c r="A28" s="158"/>
      <c r="B28" s="154"/>
      <c r="C28" s="157"/>
      <c r="E28" s="156"/>
      <c r="F28" s="157"/>
      <c r="G28" s="157"/>
      <c r="H28" s="157"/>
      <c r="P28" s="90"/>
    </row>
    <row r="29" spans="1:16" s="27" customFormat="1" ht="15">
      <c r="A29" s="158"/>
      <c r="B29" s="154" t="s">
        <v>226</v>
      </c>
      <c r="C29" s="159" t="s">
        <v>227</v>
      </c>
      <c r="D29" s="157" t="s">
        <v>228</v>
      </c>
      <c r="E29" s="156"/>
      <c r="F29" s="157"/>
      <c r="G29" s="157"/>
      <c r="H29" s="157"/>
      <c r="P29" s="90"/>
    </row>
    <row r="30" spans="1:16" s="27" customFormat="1" ht="15">
      <c r="A30" s="158"/>
      <c r="B30" s="155"/>
      <c r="C30" s="159"/>
      <c r="D30" s="163"/>
      <c r="E30" s="156"/>
      <c r="F30" s="157"/>
      <c r="G30" s="157"/>
      <c r="H30" s="157"/>
      <c r="P30" s="90"/>
    </row>
    <row r="31" spans="1:16" s="27" customFormat="1" ht="15">
      <c r="A31" s="164" t="s">
        <v>229</v>
      </c>
      <c r="G31" s="157"/>
      <c r="H31" s="157"/>
      <c r="P31" s="90"/>
    </row>
    <row r="32" spans="1:16" s="27" customFormat="1" ht="15">
      <c r="A32" s="162"/>
      <c r="B32" s="154" t="s">
        <v>230</v>
      </c>
      <c r="C32" s="159"/>
      <c r="D32" s="163"/>
      <c r="E32" s="156"/>
      <c r="F32" s="157"/>
      <c r="G32" s="157"/>
      <c r="H32" s="157"/>
      <c r="P32" s="90"/>
    </row>
    <row r="33" spans="1:16" s="27" customFormat="1" ht="15">
      <c r="A33" s="162"/>
      <c r="B33" s="157"/>
      <c r="C33" s="157" t="s">
        <v>231</v>
      </c>
      <c r="D33" s="163"/>
      <c r="E33" s="156"/>
      <c r="F33" s="157"/>
      <c r="G33" s="157"/>
      <c r="H33" s="157"/>
      <c r="P33" s="90"/>
    </row>
    <row r="34" spans="1:16" s="27" customFormat="1" ht="15">
      <c r="A34" s="162"/>
      <c r="B34" s="157"/>
      <c r="C34" s="157" t="s">
        <v>232</v>
      </c>
      <c r="D34" s="163"/>
      <c r="E34" s="156"/>
      <c r="F34" s="157"/>
      <c r="G34" s="157"/>
      <c r="H34" s="157"/>
      <c r="P34" s="90"/>
    </row>
    <row r="35" spans="1:16" s="27" customFormat="1" ht="15">
      <c r="A35" s="162"/>
      <c r="B35" s="157"/>
      <c r="C35" s="159"/>
      <c r="D35" s="163"/>
      <c r="E35" s="156"/>
      <c r="F35" s="157"/>
      <c r="G35" s="157"/>
      <c r="H35" s="157"/>
      <c r="P35" s="90"/>
    </row>
    <row r="36" spans="1:16" s="27" customFormat="1" ht="15">
      <c r="A36" s="162"/>
      <c r="B36" s="154" t="s">
        <v>233</v>
      </c>
      <c r="C36" s="159"/>
      <c r="D36" s="163"/>
      <c r="E36" s="156"/>
      <c r="F36" s="157"/>
      <c r="G36" s="157"/>
      <c r="H36" s="157"/>
      <c r="P36" s="90"/>
    </row>
    <row r="37" spans="1:16" s="27" customFormat="1" ht="15">
      <c r="A37" s="162"/>
      <c r="B37" s="157"/>
      <c r="C37" s="157" t="s">
        <v>234</v>
      </c>
      <c r="D37" s="163"/>
      <c r="E37" s="156"/>
      <c r="F37" s="157"/>
      <c r="G37" s="157"/>
      <c r="H37" s="157"/>
      <c r="P37" s="90"/>
    </row>
    <row r="38" spans="1:16" s="27" customFormat="1" ht="15">
      <c r="A38" s="162"/>
      <c r="B38" s="157"/>
      <c r="C38" s="157" t="s">
        <v>235</v>
      </c>
      <c r="D38" s="163"/>
      <c r="E38" s="156"/>
      <c r="F38" s="157"/>
      <c r="G38" s="157"/>
      <c r="H38" s="157"/>
      <c r="P38" s="90"/>
    </row>
    <row r="39" spans="1:16" s="27" customFormat="1" ht="15">
      <c r="A39" s="162"/>
      <c r="B39" s="157"/>
      <c r="C39" s="159"/>
      <c r="D39" s="163"/>
      <c r="E39" s="156"/>
      <c r="F39" s="157"/>
      <c r="G39" s="157"/>
      <c r="H39" s="157"/>
      <c r="P39" s="90"/>
    </row>
    <row r="40" spans="1:16" s="27" customFormat="1" ht="15">
      <c r="A40" s="165" t="s">
        <v>236</v>
      </c>
      <c r="B40" s="157"/>
      <c r="G40" s="157"/>
      <c r="H40" s="157"/>
      <c r="P40" s="90"/>
    </row>
    <row r="41" spans="1:16" s="27" customFormat="1" ht="15">
      <c r="A41" s="162"/>
      <c r="B41" s="157"/>
      <c r="C41" s="157" t="s">
        <v>237</v>
      </c>
      <c r="D41" s="163"/>
      <c r="E41" s="156"/>
      <c r="F41" s="157"/>
      <c r="G41" s="157"/>
      <c r="H41" s="157"/>
      <c r="P41" s="90"/>
    </row>
    <row r="42" spans="1:16" s="27" customFormat="1" ht="15">
      <c r="A42" s="162"/>
      <c r="B42" s="157"/>
      <c r="C42" s="157" t="s">
        <v>238</v>
      </c>
      <c r="D42" s="163"/>
      <c r="E42" s="156"/>
      <c r="F42" s="157"/>
      <c r="G42" s="157"/>
      <c r="H42" s="157"/>
      <c r="P42" s="90"/>
    </row>
    <row r="43" spans="1:16" s="27" customFormat="1" ht="15">
      <c r="A43" s="162"/>
      <c r="B43" s="157"/>
      <c r="C43" s="157" t="s">
        <v>239</v>
      </c>
      <c r="D43" s="163"/>
      <c r="E43" s="156"/>
      <c r="F43" s="157"/>
      <c r="G43" s="157"/>
      <c r="H43" s="157"/>
      <c r="P43" s="90"/>
    </row>
    <row r="44" spans="1:16" s="27" customFormat="1" ht="15">
      <c r="A44" s="162"/>
      <c r="B44" s="157"/>
      <c r="C44" s="157" t="s">
        <v>240</v>
      </c>
      <c r="D44" s="163"/>
      <c r="E44" s="156"/>
      <c r="F44" s="157"/>
      <c r="G44" s="157"/>
      <c r="H44" s="157"/>
      <c r="P44" s="90"/>
    </row>
    <row r="45" spans="1:16" s="27" customFormat="1" ht="15">
      <c r="A45" s="162"/>
      <c r="B45" s="157"/>
      <c r="C45" s="157" t="s">
        <v>241</v>
      </c>
      <c r="D45" s="163"/>
      <c r="E45" s="156"/>
      <c r="F45" s="157"/>
      <c r="G45" s="157"/>
      <c r="H45" s="157"/>
      <c r="P45" s="90"/>
    </row>
    <row r="46" spans="1:16" s="27" customFormat="1" ht="15">
      <c r="A46" s="162"/>
      <c r="B46" s="157"/>
      <c r="D46" s="157" t="s">
        <v>242</v>
      </c>
      <c r="E46" s="156"/>
      <c r="F46" s="157"/>
      <c r="G46" s="157"/>
      <c r="H46" s="157"/>
      <c r="P46" s="90"/>
    </row>
    <row r="47" spans="1:16" s="27" customFormat="1" ht="15">
      <c r="A47" s="162"/>
      <c r="B47" s="157"/>
      <c r="D47" s="157" t="s">
        <v>243</v>
      </c>
      <c r="E47" s="156"/>
      <c r="F47" s="157"/>
      <c r="G47" s="157"/>
      <c r="H47" s="157"/>
      <c r="P47" s="90"/>
    </row>
    <row r="48" spans="1:16" s="27" customFormat="1" ht="15">
      <c r="A48" s="162"/>
      <c r="B48" s="157"/>
      <c r="D48" s="157" t="s">
        <v>244</v>
      </c>
      <c r="E48" s="156"/>
      <c r="F48" s="157"/>
      <c r="G48" s="157"/>
      <c r="H48" s="157"/>
      <c r="P48" s="90"/>
    </row>
    <row r="49" spans="1:16" s="27" customFormat="1" ht="15">
      <c r="A49" s="158"/>
      <c r="B49" s="157"/>
      <c r="D49" s="157" t="s">
        <v>245</v>
      </c>
      <c r="E49" s="156"/>
      <c r="F49" s="157"/>
      <c r="G49" s="157"/>
      <c r="H49" s="157"/>
      <c r="P49" s="90"/>
    </row>
    <row r="50" spans="1:16" s="27" customFormat="1" ht="15">
      <c r="A50" s="158"/>
      <c r="B50" s="157"/>
      <c r="D50" s="157" t="s">
        <v>246</v>
      </c>
      <c r="E50" s="156"/>
      <c r="F50" s="157"/>
      <c r="G50" s="157"/>
      <c r="H50" s="157"/>
      <c r="P50" s="90"/>
    </row>
    <row r="51" spans="1:16" s="27" customFormat="1" thickBot="1">
      <c r="A51" s="278"/>
      <c r="B51" s="279"/>
      <c r="C51" s="280"/>
      <c r="D51" s="280"/>
      <c r="E51" s="280"/>
      <c r="F51" s="280"/>
      <c r="G51" s="280"/>
      <c r="H51" s="280"/>
      <c r="I51" s="91"/>
      <c r="J51" s="91"/>
      <c r="K51" s="91"/>
      <c r="L51" s="91"/>
      <c r="M51" s="91"/>
      <c r="N51" s="91"/>
      <c r="O51" s="91"/>
      <c r="P51" s="92"/>
    </row>
    <row r="52" spans="1:16" s="27" customFormat="1" thickBot="1">
      <c r="A52" s="162"/>
      <c r="B52" s="41"/>
      <c r="C52" s="157"/>
      <c r="D52" s="157"/>
      <c r="E52" s="157"/>
      <c r="F52" s="157"/>
      <c r="G52" s="157"/>
      <c r="H52" s="157"/>
    </row>
    <row r="53" spans="1:16" s="27" customFormat="1" ht="15">
      <c r="A53" s="294"/>
      <c r="B53" s="295"/>
      <c r="C53" s="296"/>
      <c r="D53" s="296"/>
      <c r="E53" s="296"/>
      <c r="F53" s="296"/>
      <c r="G53" s="296"/>
      <c r="H53" s="296"/>
      <c r="I53" s="43"/>
      <c r="J53" s="43"/>
      <c r="K53" s="43"/>
      <c r="L53" s="43"/>
      <c r="M53" s="43"/>
      <c r="N53" s="43"/>
      <c r="O53" s="43"/>
      <c r="P53" s="44"/>
    </row>
    <row r="54" spans="1:16" s="27" customFormat="1" ht="15">
      <c r="A54" s="93" t="s">
        <v>247</v>
      </c>
      <c r="B54" s="41"/>
      <c r="C54" s="157"/>
      <c r="D54" s="157"/>
      <c r="E54" s="157"/>
      <c r="F54" s="157"/>
      <c r="G54" s="157"/>
      <c r="H54" s="157"/>
      <c r="P54" s="90"/>
    </row>
    <row r="55" spans="1:16" s="27" customFormat="1" ht="15">
      <c r="A55" s="162"/>
      <c r="B55" s="41"/>
      <c r="C55" s="157"/>
      <c r="D55" s="157"/>
      <c r="E55" s="157"/>
      <c r="F55" s="157"/>
      <c r="G55" s="157"/>
      <c r="H55" s="157"/>
      <c r="P55" s="90"/>
    </row>
    <row r="56" spans="1:16" s="27" customFormat="1" ht="15">
      <c r="A56" s="162"/>
      <c r="B56" s="578" t="s">
        <v>248</v>
      </c>
      <c r="C56" s="578"/>
      <c r="D56" s="157"/>
      <c r="E56" s="396"/>
      <c r="F56" s="157"/>
      <c r="G56" s="157"/>
      <c r="H56" s="157"/>
      <c r="P56" s="90"/>
    </row>
    <row r="57" spans="1:16" s="27" customFormat="1" ht="15">
      <c r="A57" s="162"/>
      <c r="B57" s="166"/>
      <c r="C57" s="167"/>
      <c r="D57" s="157"/>
      <c r="E57" s="41"/>
      <c r="F57" s="157"/>
      <c r="G57" s="157"/>
      <c r="H57" s="157"/>
      <c r="P57" s="90"/>
    </row>
    <row r="58" spans="1:16" s="27" customFormat="1" ht="15">
      <c r="A58" s="162"/>
      <c r="B58" s="576" t="s">
        <v>249</v>
      </c>
      <c r="C58" s="577"/>
      <c r="D58" s="157"/>
      <c r="E58" s="41"/>
      <c r="F58" s="157"/>
      <c r="G58" s="157"/>
      <c r="H58" s="157"/>
      <c r="P58" s="90"/>
    </row>
    <row r="59" spans="1:16" s="27" customFormat="1" ht="15">
      <c r="A59" s="162"/>
      <c r="B59" s="168"/>
      <c r="C59" s="167"/>
      <c r="D59" s="169"/>
      <c r="E59" s="41"/>
      <c r="F59" s="157"/>
      <c r="G59" s="157"/>
      <c r="H59" s="157"/>
      <c r="P59" s="90"/>
    </row>
    <row r="60" spans="1:16" s="27" customFormat="1" ht="15">
      <c r="A60" s="162"/>
      <c r="B60" s="580" t="s">
        <v>250</v>
      </c>
      <c r="C60" s="581"/>
      <c r="D60" s="582"/>
      <c r="E60" s="290"/>
      <c r="F60" s="157"/>
      <c r="P60" s="90"/>
    </row>
    <row r="61" spans="1:16" s="27" customFormat="1" ht="15">
      <c r="A61" s="162"/>
      <c r="B61" s="583" t="s">
        <v>251</v>
      </c>
      <c r="C61" s="584"/>
      <c r="D61" s="585"/>
      <c r="E61" s="291"/>
      <c r="F61" s="157"/>
      <c r="P61" s="90"/>
    </row>
    <row r="62" spans="1:16" s="27" customFormat="1" ht="15">
      <c r="A62" s="162"/>
      <c r="B62" s="583" t="s">
        <v>252</v>
      </c>
      <c r="C62" s="584"/>
      <c r="D62" s="585"/>
      <c r="E62" s="291"/>
      <c r="F62" s="157"/>
      <c r="P62" s="90"/>
    </row>
    <row r="63" spans="1:16" s="27" customFormat="1" ht="15">
      <c r="A63" s="162"/>
      <c r="B63" s="583" t="s">
        <v>253</v>
      </c>
      <c r="C63" s="584"/>
      <c r="D63" s="585"/>
      <c r="E63" s="291"/>
      <c r="F63" s="157"/>
      <c r="P63" s="90"/>
    </row>
    <row r="64" spans="1:16" s="27" customFormat="1" ht="15">
      <c r="A64" s="162"/>
      <c r="B64" s="583" t="s">
        <v>254</v>
      </c>
      <c r="C64" s="584"/>
      <c r="D64" s="585"/>
      <c r="E64" s="291"/>
      <c r="F64" s="157"/>
      <c r="P64" s="90"/>
    </row>
    <row r="65" spans="1:16" s="27" customFormat="1" ht="15">
      <c r="A65" s="162"/>
      <c r="B65" s="583" t="s">
        <v>255</v>
      </c>
      <c r="C65" s="584"/>
      <c r="D65" s="585"/>
      <c r="E65" s="291"/>
      <c r="F65" s="157"/>
      <c r="P65" s="90"/>
    </row>
    <row r="66" spans="1:16" s="27" customFormat="1" ht="15">
      <c r="A66" s="162"/>
      <c r="B66" s="583" t="s">
        <v>256</v>
      </c>
      <c r="C66" s="584"/>
      <c r="D66" s="585"/>
      <c r="E66" s="291"/>
      <c r="F66" s="157"/>
      <c r="P66" s="90"/>
    </row>
    <row r="67" spans="1:16" s="27" customFormat="1" ht="15">
      <c r="A67" s="162"/>
      <c r="B67" s="583" t="s">
        <v>257</v>
      </c>
      <c r="C67" s="584"/>
      <c r="D67" s="585"/>
      <c r="E67" s="291"/>
      <c r="F67" s="157"/>
      <c r="P67" s="90"/>
    </row>
    <row r="68" spans="1:16" s="27" customFormat="1" ht="15">
      <c r="A68" s="162"/>
      <c r="B68" s="583" t="s">
        <v>258</v>
      </c>
      <c r="C68" s="584"/>
      <c r="D68" s="585"/>
      <c r="E68" s="291"/>
      <c r="F68" s="157"/>
      <c r="P68" s="90"/>
    </row>
    <row r="69" spans="1:16" s="27" customFormat="1" ht="15">
      <c r="A69" s="162"/>
      <c r="B69" s="583" t="s">
        <v>259</v>
      </c>
      <c r="C69" s="584"/>
      <c r="D69" s="585"/>
      <c r="E69" s="291"/>
      <c r="F69" s="157"/>
      <c r="P69" s="90"/>
    </row>
    <row r="70" spans="1:16" s="27" customFormat="1" ht="15">
      <c r="A70" s="162"/>
      <c r="B70" s="583" t="s">
        <v>260</v>
      </c>
      <c r="C70" s="584"/>
      <c r="D70" s="585"/>
      <c r="E70" s="291"/>
      <c r="F70" s="157"/>
      <c r="P70" s="90"/>
    </row>
    <row r="71" spans="1:16" s="27" customFormat="1" ht="15">
      <c r="A71" s="162"/>
      <c r="B71" s="583" t="s">
        <v>261</v>
      </c>
      <c r="C71" s="584"/>
      <c r="D71" s="585"/>
      <c r="E71" s="291"/>
      <c r="F71" s="157"/>
      <c r="P71" s="90"/>
    </row>
    <row r="72" spans="1:16" s="27" customFormat="1" ht="15">
      <c r="A72" s="162"/>
      <c r="B72" s="583" t="s">
        <v>262</v>
      </c>
      <c r="C72" s="584"/>
      <c r="D72" s="585"/>
      <c r="E72" s="291"/>
      <c r="F72" s="157"/>
      <c r="P72" s="90"/>
    </row>
    <row r="73" spans="1:16" s="27" customFormat="1" ht="15">
      <c r="A73" s="162"/>
      <c r="B73" s="583" t="s">
        <v>263</v>
      </c>
      <c r="C73" s="584"/>
      <c r="D73" s="585"/>
      <c r="E73" s="291"/>
      <c r="F73" s="157"/>
      <c r="P73" s="90"/>
    </row>
    <row r="74" spans="1:16" s="27" customFormat="1" ht="15">
      <c r="A74" s="162"/>
      <c r="B74" s="583" t="s">
        <v>264</v>
      </c>
      <c r="C74" s="584"/>
      <c r="D74" s="585"/>
      <c r="E74" s="291"/>
      <c r="F74" s="157"/>
      <c r="P74" s="90"/>
    </row>
    <row r="75" spans="1:16" s="27" customFormat="1" ht="15">
      <c r="A75" s="162"/>
      <c r="B75" s="586" t="s">
        <v>265</v>
      </c>
      <c r="C75" s="587"/>
      <c r="D75" s="588"/>
      <c r="E75" s="292"/>
      <c r="F75" s="157"/>
      <c r="P75" s="90"/>
    </row>
    <row r="76" spans="1:16" s="27" customFormat="1" ht="15">
      <c r="A76" s="162"/>
      <c r="B76" s="171"/>
      <c r="D76" s="155"/>
      <c r="E76" s="172"/>
      <c r="F76" s="157"/>
      <c r="G76" s="157"/>
      <c r="H76" s="157"/>
      <c r="P76" s="90"/>
    </row>
    <row r="77" spans="1:16" s="27" customFormat="1" ht="15">
      <c r="A77" s="162"/>
      <c r="B77" s="576" t="s">
        <v>266</v>
      </c>
      <c r="C77" s="577"/>
      <c r="D77" s="155"/>
      <c r="E77" s="172"/>
      <c r="F77" s="157"/>
      <c r="G77" s="157"/>
      <c r="H77" s="157"/>
      <c r="P77" s="90"/>
    </row>
    <row r="78" spans="1:16" s="27" customFormat="1" ht="15">
      <c r="A78" s="162"/>
      <c r="B78" s="168"/>
      <c r="D78" s="155"/>
      <c r="E78" s="172"/>
      <c r="F78" s="157"/>
      <c r="G78" s="157"/>
      <c r="H78" s="157"/>
      <c r="P78" s="90"/>
    </row>
    <row r="79" spans="1:16" s="27" customFormat="1" ht="15">
      <c r="A79" s="162"/>
      <c r="B79" s="580" t="s">
        <v>267</v>
      </c>
      <c r="C79" s="581"/>
      <c r="D79" s="582"/>
      <c r="E79" s="290"/>
      <c r="F79" s="157"/>
      <c r="P79" s="90"/>
    </row>
    <row r="80" spans="1:16" s="27" customFormat="1" ht="15">
      <c r="A80" s="162"/>
      <c r="B80" s="583" t="s">
        <v>268</v>
      </c>
      <c r="C80" s="584"/>
      <c r="D80" s="585"/>
      <c r="E80" s="291"/>
      <c r="F80" s="157"/>
      <c r="P80" s="90"/>
    </row>
    <row r="81" spans="1:16" s="27" customFormat="1" ht="15">
      <c r="A81" s="162"/>
      <c r="B81" s="583" t="s">
        <v>269</v>
      </c>
      <c r="C81" s="584"/>
      <c r="D81" s="585"/>
      <c r="E81" s="291"/>
      <c r="F81" s="157"/>
      <c r="P81" s="90"/>
    </row>
    <row r="82" spans="1:16" s="27" customFormat="1" ht="15">
      <c r="A82" s="162"/>
      <c r="B82" s="583" t="s">
        <v>270</v>
      </c>
      <c r="C82" s="584"/>
      <c r="D82" s="585"/>
      <c r="E82" s="291"/>
      <c r="F82" s="157"/>
      <c r="P82" s="90"/>
    </row>
    <row r="83" spans="1:16" s="27" customFormat="1" ht="15">
      <c r="A83" s="162"/>
      <c r="B83" s="583" t="s">
        <v>271</v>
      </c>
      <c r="C83" s="584"/>
      <c r="D83" s="585"/>
      <c r="E83" s="291"/>
      <c r="F83" s="157"/>
      <c r="P83" s="90"/>
    </row>
    <row r="84" spans="1:16" s="27" customFormat="1" ht="15">
      <c r="A84" s="162"/>
      <c r="B84" s="583" t="s">
        <v>272</v>
      </c>
      <c r="C84" s="584"/>
      <c r="D84" s="585"/>
      <c r="E84" s="291"/>
      <c r="F84" s="157"/>
      <c r="P84" s="90"/>
    </row>
    <row r="85" spans="1:16" s="27" customFormat="1" ht="15">
      <c r="A85" s="162"/>
      <c r="B85" s="583" t="s">
        <v>273</v>
      </c>
      <c r="C85" s="584"/>
      <c r="D85" s="585"/>
      <c r="E85" s="291"/>
      <c r="P85" s="90"/>
    </row>
    <row r="86" spans="1:16" s="27" customFormat="1" ht="15">
      <c r="A86" s="162"/>
      <c r="B86" s="583" t="s">
        <v>274</v>
      </c>
      <c r="C86" s="584"/>
      <c r="D86" s="585"/>
      <c r="E86" s="291"/>
      <c r="F86" s="157"/>
      <c r="P86" s="90"/>
    </row>
    <row r="87" spans="1:16" s="27" customFormat="1" ht="15">
      <c r="A87" s="162"/>
      <c r="B87" s="583" t="s">
        <v>275</v>
      </c>
      <c r="C87" s="584"/>
      <c r="D87" s="585"/>
      <c r="E87" s="291"/>
      <c r="F87" s="157"/>
      <c r="P87" s="90"/>
    </row>
    <row r="88" spans="1:16" s="27" customFormat="1" ht="15">
      <c r="A88" s="162"/>
      <c r="B88" s="583" t="s">
        <v>276</v>
      </c>
      <c r="C88" s="584"/>
      <c r="D88" s="585"/>
      <c r="E88" s="291"/>
      <c r="F88" s="157"/>
      <c r="P88" s="90"/>
    </row>
    <row r="89" spans="1:16" s="27" customFormat="1" ht="15">
      <c r="A89" s="162"/>
      <c r="B89" s="583" t="s">
        <v>277</v>
      </c>
      <c r="C89" s="584"/>
      <c r="D89" s="585"/>
      <c r="E89" s="291"/>
      <c r="F89" s="157"/>
      <c r="P89" s="90"/>
    </row>
    <row r="90" spans="1:16" s="27" customFormat="1" ht="15">
      <c r="A90" s="162"/>
      <c r="B90" s="583" t="s">
        <v>278</v>
      </c>
      <c r="C90" s="584"/>
      <c r="D90" s="585"/>
      <c r="E90" s="291"/>
      <c r="F90" s="157"/>
      <c r="P90" s="90"/>
    </row>
    <row r="91" spans="1:16" s="27" customFormat="1" ht="15">
      <c r="A91" s="162"/>
      <c r="B91" s="583" t="s">
        <v>279</v>
      </c>
      <c r="C91" s="584"/>
      <c r="D91" s="585"/>
      <c r="E91" s="291"/>
      <c r="F91" s="157"/>
      <c r="P91" s="90"/>
    </row>
    <row r="92" spans="1:16" s="27" customFormat="1" ht="15">
      <c r="A92" s="162"/>
      <c r="B92" s="583" t="s">
        <v>280</v>
      </c>
      <c r="C92" s="584"/>
      <c r="D92" s="585"/>
      <c r="E92" s="291"/>
      <c r="F92" s="157"/>
      <c r="P92" s="90"/>
    </row>
    <row r="93" spans="1:16" s="27" customFormat="1">
      <c r="A93" s="162"/>
      <c r="B93" s="583" t="s">
        <v>281</v>
      </c>
      <c r="C93" s="584"/>
      <c r="D93" s="585"/>
      <c r="E93" s="397"/>
      <c r="F93" s="393" t="s">
        <v>282</v>
      </c>
      <c r="P93" s="90"/>
    </row>
    <row r="94" spans="1:16" s="27" customFormat="1" ht="15">
      <c r="A94" s="162"/>
      <c r="B94" s="586" t="s">
        <v>283</v>
      </c>
      <c r="C94" s="587"/>
      <c r="D94" s="588"/>
      <c r="E94" s="292"/>
      <c r="F94" s="157"/>
      <c r="P94" s="90"/>
    </row>
    <row r="95" spans="1:16" s="27" customFormat="1" ht="15">
      <c r="A95" s="162"/>
      <c r="B95" s="171"/>
      <c r="D95" s="170"/>
      <c r="E95" s="167"/>
      <c r="F95" s="157"/>
      <c r="G95" s="157"/>
      <c r="H95" s="157"/>
      <c r="P95" s="90"/>
    </row>
    <row r="96" spans="1:16" s="27" customFormat="1" ht="15">
      <c r="A96" s="173"/>
      <c r="B96" s="174"/>
      <c r="D96" s="176"/>
      <c r="E96" s="175"/>
      <c r="F96" s="176"/>
      <c r="G96" s="176"/>
      <c r="H96" s="176"/>
      <c r="P96" s="90"/>
    </row>
    <row r="97" spans="1:16" s="27" customFormat="1" ht="15">
      <c r="A97" s="173"/>
      <c r="B97" s="376" t="s">
        <v>45</v>
      </c>
      <c r="C97" s="394"/>
      <c r="D97" s="395"/>
      <c r="E97" s="281">
        <f>+E56+SUM(E60:E75)-SUM(E79:E94)</f>
        <v>0</v>
      </c>
      <c r="F97" s="176"/>
      <c r="G97" s="176"/>
      <c r="H97" s="176"/>
      <c r="P97" s="90"/>
    </row>
    <row r="98" spans="1:16" s="27" customFormat="1" ht="15">
      <c r="A98" s="173"/>
      <c r="B98" s="426" t="s">
        <v>284</v>
      </c>
      <c r="C98" s="394"/>
      <c r="D98" s="427"/>
      <c r="E98" s="428"/>
      <c r="F98" s="176"/>
      <c r="G98" s="176"/>
      <c r="H98" s="176"/>
      <c r="P98" s="90"/>
    </row>
    <row r="99" spans="1:16" s="27" customFormat="1" ht="15">
      <c r="A99" s="173"/>
      <c r="B99" s="376" t="s">
        <v>285</v>
      </c>
      <c r="C99" s="394"/>
      <c r="D99" s="395"/>
      <c r="E99" s="281">
        <f>IF(E98&gt;E97,0,E97-E98)</f>
        <v>0</v>
      </c>
      <c r="F99" s="176"/>
      <c r="G99" s="176"/>
      <c r="H99" s="176"/>
      <c r="P99" s="90"/>
    </row>
    <row r="100" spans="1:16" s="27" customFormat="1" ht="15">
      <c r="A100" s="173"/>
      <c r="B100" s="168"/>
      <c r="D100" s="176"/>
      <c r="E100" s="176"/>
      <c r="F100" s="176"/>
      <c r="G100" s="176"/>
      <c r="H100" s="176"/>
      <c r="P100" s="90"/>
    </row>
    <row r="101" spans="1:16" s="27" customFormat="1" ht="15">
      <c r="A101" s="173"/>
      <c r="B101" s="426" t="s">
        <v>286</v>
      </c>
      <c r="C101" s="394"/>
      <c r="D101" s="427"/>
      <c r="E101" s="428"/>
      <c r="F101" s="176"/>
      <c r="G101" s="176"/>
      <c r="H101" s="176"/>
      <c r="P101" s="90"/>
    </row>
    <row r="102" spans="1:16" s="27" customFormat="1" ht="15">
      <c r="A102" s="173"/>
      <c r="B102" s="168"/>
      <c r="D102" s="176"/>
      <c r="E102" s="176"/>
      <c r="F102" s="176"/>
      <c r="G102" s="176"/>
      <c r="H102" s="176"/>
      <c r="P102" s="90"/>
    </row>
    <row r="103" spans="1:16" s="27" customFormat="1" ht="15">
      <c r="A103" s="173"/>
      <c r="B103" s="293" t="s">
        <v>287</v>
      </c>
      <c r="C103" s="175"/>
      <c r="D103" s="176"/>
      <c r="F103" s="282"/>
      <c r="G103" s="157" t="s">
        <v>288</v>
      </c>
      <c r="P103" s="90"/>
    </row>
    <row r="104" spans="1:16" s="27" customFormat="1" ht="15">
      <c r="A104" s="173"/>
      <c r="B104" s="177"/>
      <c r="C104" s="175"/>
      <c r="D104" s="176"/>
      <c r="E104" s="176"/>
      <c r="F104" s="176"/>
      <c r="G104" s="176"/>
      <c r="H104" s="176"/>
      <c r="P104" s="90"/>
    </row>
    <row r="105" spans="1:16" s="27" customFormat="1" ht="15">
      <c r="A105" s="173"/>
      <c r="B105" s="177"/>
      <c r="D105" s="176"/>
      <c r="E105" s="176"/>
      <c r="F105" s="176"/>
      <c r="G105" s="176"/>
      <c r="H105" s="176"/>
      <c r="P105" s="90"/>
    </row>
    <row r="106" spans="1:16" s="27" customFormat="1" ht="15">
      <c r="A106" s="162"/>
      <c r="B106" s="283" t="s">
        <v>289</v>
      </c>
      <c r="C106" s="284"/>
      <c r="D106" s="283"/>
      <c r="E106" s="399"/>
      <c r="F106" s="157"/>
      <c r="G106" s="157"/>
      <c r="H106" s="157"/>
      <c r="P106" s="90"/>
    </row>
    <row r="107" spans="1:16" s="27" customFormat="1" ht="15">
      <c r="A107" s="162"/>
      <c r="B107" s="285" t="s">
        <v>290</v>
      </c>
      <c r="C107" s="288">
        <f>E99-C108</f>
        <v>0</v>
      </c>
      <c r="D107" s="289">
        <v>0.25</v>
      </c>
      <c r="E107" s="288">
        <f>C107*D107</f>
        <v>0</v>
      </c>
      <c r="F107" s="157"/>
      <c r="G107" s="157"/>
      <c r="H107" s="157"/>
      <c r="P107" s="90"/>
    </row>
    <row r="108" spans="1:16" s="27" customFormat="1" ht="15">
      <c r="A108" s="162"/>
      <c r="B108" s="285" t="s">
        <v>291</v>
      </c>
      <c r="C108" s="288">
        <f>IF(E99&gt;0,IF(F103="oui",IF(E99&gt;42.5,42.5,E99),0),0)</f>
        <v>0</v>
      </c>
      <c r="D108" s="289">
        <v>0.15</v>
      </c>
      <c r="E108" s="288">
        <f>C108*D108</f>
        <v>0</v>
      </c>
      <c r="F108" s="157"/>
      <c r="G108" s="157"/>
      <c r="H108" s="157"/>
      <c r="P108" s="90"/>
    </row>
    <row r="109" spans="1:16" s="27" customFormat="1" ht="15">
      <c r="A109" s="162"/>
      <c r="B109" s="283" t="s">
        <v>292</v>
      </c>
      <c r="C109" s="286"/>
      <c r="D109" s="287"/>
      <c r="E109" s="281">
        <f>SUM(E107:E108)</f>
        <v>0</v>
      </c>
      <c r="F109" s="157"/>
      <c r="G109" s="157"/>
      <c r="H109" s="157"/>
      <c r="P109" s="90"/>
    </row>
    <row r="110" spans="1:16" s="27" customFormat="1" ht="15">
      <c r="A110" s="162"/>
      <c r="B110" s="283" t="s">
        <v>293</v>
      </c>
      <c r="C110" s="286"/>
      <c r="D110" s="287"/>
      <c r="E110" s="281">
        <f>E56-E109</f>
        <v>0</v>
      </c>
      <c r="F110" s="157"/>
      <c r="G110" s="157"/>
      <c r="H110" s="157"/>
      <c r="P110" s="90"/>
    </row>
    <row r="111" spans="1:16" s="27" customFormat="1" ht="15">
      <c r="A111" s="162"/>
      <c r="B111" s="41"/>
      <c r="C111" s="41"/>
      <c r="D111" s="41"/>
      <c r="E111" s="41"/>
      <c r="F111" s="157"/>
      <c r="G111" s="157"/>
      <c r="H111" s="157"/>
      <c r="P111" s="90"/>
    </row>
    <row r="112" spans="1:16" s="27" customFormat="1" ht="15">
      <c r="A112" s="162"/>
      <c r="B112" s="41"/>
      <c r="C112" s="398"/>
      <c r="D112" s="41"/>
      <c r="E112" s="41"/>
      <c r="F112" s="157"/>
      <c r="G112" s="157"/>
      <c r="H112" s="157"/>
      <c r="P112" s="90"/>
    </row>
    <row r="113" spans="1:16" s="27" customFormat="1" ht="15">
      <c r="A113" s="184" t="s">
        <v>294</v>
      </c>
      <c r="E113" s="157"/>
      <c r="F113" s="157"/>
      <c r="G113" s="157"/>
      <c r="H113" s="157"/>
      <c r="P113" s="90"/>
    </row>
    <row r="114" spans="1:16" s="27" customFormat="1" ht="15">
      <c r="A114" s="162"/>
      <c r="B114" s="178" t="s">
        <v>295</v>
      </c>
      <c r="C114" s="183">
        <f>E109</f>
        <v>0</v>
      </c>
      <c r="E114" s="157"/>
      <c r="F114" s="157"/>
      <c r="G114" s="157"/>
      <c r="H114" s="157"/>
      <c r="P114" s="90"/>
    </row>
    <row r="115" spans="1:16" s="27" customFormat="1" ht="15">
      <c r="A115" s="162"/>
      <c r="B115" s="179" t="s">
        <v>296</v>
      </c>
      <c r="C115" s="41"/>
      <c r="D115" s="41"/>
      <c r="E115" s="157"/>
      <c r="F115" s="157"/>
      <c r="G115" s="157"/>
      <c r="H115" s="157"/>
      <c r="P115" s="90"/>
    </row>
    <row r="116" spans="1:16" s="27" customFormat="1" ht="15">
      <c r="A116" s="162"/>
      <c r="B116" s="179" t="s">
        <v>297</v>
      </c>
      <c r="C116" s="41"/>
      <c r="D116" s="41"/>
      <c r="E116" s="157"/>
      <c r="F116" s="157"/>
      <c r="G116" s="157"/>
      <c r="H116" s="157"/>
      <c r="P116" s="90"/>
    </row>
    <row r="117" spans="1:16" s="27" customFormat="1" ht="15">
      <c r="A117" s="162"/>
      <c r="B117" s="179" t="s">
        <v>298</v>
      </c>
      <c r="C117" s="41"/>
      <c r="D117" s="41"/>
      <c r="E117" s="157"/>
      <c r="F117" s="157"/>
      <c r="G117" s="157"/>
      <c r="H117" s="157"/>
      <c r="P117" s="90"/>
    </row>
    <row r="118" spans="1:16" s="27" customFormat="1" ht="15">
      <c r="A118" s="162"/>
      <c r="B118" s="179" t="s">
        <v>299</v>
      </c>
      <c r="C118" s="41"/>
      <c r="D118" s="41"/>
      <c r="E118" s="157"/>
      <c r="F118" s="157"/>
      <c r="G118" s="157"/>
      <c r="H118" s="157"/>
      <c r="P118" s="90"/>
    </row>
    <row r="119" spans="1:16" s="27" customFormat="1" ht="15">
      <c r="A119" s="162"/>
      <c r="B119" s="41"/>
      <c r="C119" s="41"/>
      <c r="D119" s="41"/>
      <c r="E119" s="157"/>
      <c r="F119" s="157"/>
      <c r="G119" s="157"/>
      <c r="H119" s="157"/>
      <c r="P119" s="90"/>
    </row>
    <row r="120" spans="1:16" s="27" customFormat="1" ht="15">
      <c r="A120" s="162"/>
      <c r="B120" s="179" t="s">
        <v>300</v>
      </c>
      <c r="C120" s="41"/>
      <c r="D120" s="41"/>
      <c r="E120" s="157"/>
      <c r="F120" s="157"/>
      <c r="G120" s="157"/>
      <c r="H120" s="157"/>
      <c r="P120" s="90"/>
    </row>
    <row r="121" spans="1:16" s="27" customFormat="1" ht="15">
      <c r="A121" s="206"/>
      <c r="B121" s="178" t="s">
        <v>301</v>
      </c>
      <c r="C121" s="181">
        <f>SUM(C114:C120)</f>
        <v>0</v>
      </c>
      <c r="D121" s="180" t="s">
        <v>302</v>
      </c>
      <c r="P121" s="90"/>
    </row>
    <row r="122" spans="1:16" s="27" customFormat="1" ht="15">
      <c r="A122" s="206"/>
      <c r="B122" s="430" t="s">
        <v>303</v>
      </c>
      <c r="D122" s="180" t="s">
        <v>26</v>
      </c>
      <c r="P122" s="90"/>
    </row>
    <row r="123" spans="1:16" s="27" customFormat="1" ht="15">
      <c r="A123" s="206"/>
      <c r="B123" s="429" t="s">
        <v>105</v>
      </c>
      <c r="C123" s="431">
        <f>+C122-C121</f>
        <v>0</v>
      </c>
      <c r="P123" s="90"/>
    </row>
    <row r="124" spans="1:16" s="27" customFormat="1" ht="15">
      <c r="A124" s="206"/>
      <c r="P124" s="90"/>
    </row>
    <row r="125" spans="1:16" s="27" customFormat="1" ht="15">
      <c r="A125" s="297" t="s">
        <v>304</v>
      </c>
      <c r="C125" s="298" t="s">
        <v>305</v>
      </c>
      <c r="P125" s="90"/>
    </row>
    <row r="126" spans="1:16" s="27" customFormat="1" ht="15">
      <c r="A126" s="299" t="s">
        <v>306</v>
      </c>
      <c r="B126" s="300"/>
      <c r="P126" s="90"/>
    </row>
    <row r="127" spans="1:16" s="27" customFormat="1" ht="15">
      <c r="A127" s="299" t="s">
        <v>307</v>
      </c>
      <c r="B127" s="31"/>
      <c r="P127" s="90"/>
    </row>
    <row r="128" spans="1:16" s="27" customFormat="1">
      <c r="A128" s="301" t="s">
        <v>308</v>
      </c>
      <c r="B128" s="182"/>
      <c r="C128" s="8"/>
      <c r="P128" s="90"/>
    </row>
    <row r="129" spans="1:16">
      <c r="A129" s="302"/>
      <c r="C129" s="182"/>
      <c r="P129" s="303"/>
    </row>
    <row r="130" spans="1:16" s="182" customFormat="1" ht="15">
      <c r="A130" s="301" t="s">
        <v>309</v>
      </c>
      <c r="P130" s="304"/>
    </row>
    <row r="131" spans="1:16" s="182" customFormat="1" ht="15">
      <c r="A131" s="301"/>
      <c r="P131" s="304"/>
    </row>
    <row r="132" spans="1:16" s="182" customFormat="1" ht="15">
      <c r="A132" s="301" t="s">
        <v>310</v>
      </c>
      <c r="P132" s="304"/>
    </row>
    <row r="133" spans="1:16" s="182" customFormat="1" ht="15">
      <c r="A133" s="301" t="s">
        <v>311</v>
      </c>
      <c r="P133" s="304"/>
    </row>
    <row r="134" spans="1:16" s="182" customFormat="1" ht="15">
      <c r="A134" s="301" t="s">
        <v>312</v>
      </c>
      <c r="P134" s="304"/>
    </row>
    <row r="135" spans="1:16" s="182" customFormat="1" ht="15">
      <c r="A135" s="301"/>
      <c r="P135" s="304"/>
    </row>
    <row r="136" spans="1:16" s="182" customFormat="1" ht="15">
      <c r="A136" s="301" t="s">
        <v>313</v>
      </c>
      <c r="P136" s="304"/>
    </row>
    <row r="137" spans="1:16" s="182" customFormat="1" ht="15">
      <c r="A137" s="301" t="s">
        <v>314</v>
      </c>
      <c r="P137" s="304"/>
    </row>
    <row r="138" spans="1:16" s="182" customFormat="1" ht="15">
      <c r="A138" s="301" t="s">
        <v>315</v>
      </c>
      <c r="P138" s="304"/>
    </row>
    <row r="139" spans="1:16" s="182" customFormat="1" ht="15">
      <c r="A139" s="301" t="s">
        <v>316</v>
      </c>
      <c r="P139" s="304"/>
    </row>
    <row r="140" spans="1:16" ht="16.5" thickBot="1">
      <c r="A140" s="262"/>
      <c r="B140" s="263"/>
      <c r="C140" s="263"/>
      <c r="D140" s="263"/>
      <c r="E140" s="263"/>
      <c r="F140" s="263"/>
      <c r="G140" s="263"/>
      <c r="H140" s="263"/>
      <c r="I140" s="263"/>
      <c r="J140" s="263"/>
      <c r="K140" s="263"/>
      <c r="L140" s="263"/>
      <c r="M140" s="263"/>
      <c r="N140" s="263"/>
      <c r="O140" s="263"/>
      <c r="P140" s="264"/>
    </row>
  </sheetData>
  <sheetProtection formatCells="0" formatColumns="0" formatRows="0" insertColumns="0" insertRows="0" insertHyperlinks="0" deleteColumns="0" deleteRows="0" sort="0" autoFilter="0" pivotTables="0"/>
  <mergeCells count="53">
    <mergeCell ref="B90:D90"/>
    <mergeCell ref="B91:D91"/>
    <mergeCell ref="B92:D92"/>
    <mergeCell ref="B93:D93"/>
    <mergeCell ref="B80:D80"/>
    <mergeCell ref="B81:D81"/>
    <mergeCell ref="B82:D82"/>
    <mergeCell ref="B83:D83"/>
    <mergeCell ref="B84:D84"/>
    <mergeCell ref="B67:D67"/>
    <mergeCell ref="B94:D94"/>
    <mergeCell ref="B85:D85"/>
    <mergeCell ref="B86:D86"/>
    <mergeCell ref="B87:D87"/>
    <mergeCell ref="B88:D88"/>
    <mergeCell ref="B89:D89"/>
    <mergeCell ref="B68:D68"/>
    <mergeCell ref="B69:D69"/>
    <mergeCell ref="B70:D70"/>
    <mergeCell ref="B71:D71"/>
    <mergeCell ref="B72:D72"/>
    <mergeCell ref="B73:D73"/>
    <mergeCell ref="B74:D74"/>
    <mergeCell ref="B75:D75"/>
    <mergeCell ref="B79:D79"/>
    <mergeCell ref="B62:D62"/>
    <mergeCell ref="B63:D63"/>
    <mergeCell ref="B64:D64"/>
    <mergeCell ref="B65:D65"/>
    <mergeCell ref="B66:D66"/>
    <mergeCell ref="B58:C58"/>
    <mergeCell ref="B77:C77"/>
    <mergeCell ref="B56:C56"/>
    <mergeCell ref="O8:P8"/>
    <mergeCell ref="O9:P9"/>
    <mergeCell ref="A11:P11"/>
    <mergeCell ref="I17:K17"/>
    <mergeCell ref="A13:P13"/>
    <mergeCell ref="A14:P14"/>
    <mergeCell ref="A9:C9"/>
    <mergeCell ref="D9:E9"/>
    <mergeCell ref="F9:I9"/>
    <mergeCell ref="J9:K9"/>
    <mergeCell ref="L9:N9"/>
    <mergeCell ref="B60:D60"/>
    <mergeCell ref="B61:D61"/>
    <mergeCell ref="D1:M2"/>
    <mergeCell ref="A3:P5"/>
    <mergeCell ref="E6:L7"/>
    <mergeCell ref="M6:N6"/>
    <mergeCell ref="O6:P6"/>
    <mergeCell ref="M7:N7"/>
    <mergeCell ref="O7:P7"/>
  </mergeCells>
  <dataValidations count="2">
    <dataValidation type="list" allowBlank="1" showInputMessage="1" showErrorMessage="1" sqref="O9:P9" xr:uid="{00000000-0002-0000-0600-000000000000}">
      <formula1>Diligences</formula1>
    </dataValidation>
    <dataValidation type="list" showInputMessage="1" showErrorMessage="1" sqref="D9:E9" xr:uid="{00000000-0002-0000-0600-000001000000}">
      <formula1>RAS</formula1>
    </dataValidation>
  </dataValidations>
  <hyperlinks>
    <hyperlink ref="O8:P8" location="'E Synthèse'!A1" display="E Synthèse" xr:uid="{00000000-0004-0000-0600-000000000000}"/>
    <hyperlink ref="F93" r:id="rId1" xr:uid="{B33F2525-46C1-4E4C-BD44-6801C73F1159}"/>
  </hyperlinks>
  <printOptions horizontalCentered="1"/>
  <pageMargins left="0.27559055118110237" right="0.27559055118110237" top="0.39370078740157483" bottom="0.39370078740157483" header="0.51181102362204722" footer="0.51181102362204722"/>
  <pageSetup paperSize="9" scale="65" orientation="portrait" r:id="rId2"/>
  <headerFooter alignWithMargins="0"/>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5"/>
  <dimension ref="A1:U43"/>
  <sheetViews>
    <sheetView showGridLines="0" zoomScale="90" zoomScaleNormal="90" workbookViewId="0">
      <selection activeCell="H16" sqref="H16"/>
    </sheetView>
  </sheetViews>
  <sheetFormatPr defaultColWidth="11.42578125" defaultRowHeight="15"/>
  <cols>
    <col min="1" max="11" width="14.7109375" style="27" customWidth="1"/>
    <col min="12" max="16" width="12.42578125" style="27" customWidth="1"/>
    <col min="17" max="16384" width="11.42578125" style="27"/>
  </cols>
  <sheetData>
    <row r="1" spans="1:21" s="32" customFormat="1" ht="15" customHeight="1">
      <c r="A1" s="11"/>
      <c r="B1" s="12"/>
      <c r="C1" s="12"/>
      <c r="D1" s="501" t="str">
        <f>'E Synthèse'!D1:M2</f>
        <v>#NomClient</v>
      </c>
      <c r="E1" s="502"/>
      <c r="F1" s="502"/>
      <c r="G1" s="502"/>
      <c r="H1" s="502"/>
      <c r="I1" s="502"/>
      <c r="J1" s="502"/>
      <c r="K1" s="502"/>
      <c r="L1" s="502"/>
      <c r="M1" s="503"/>
      <c r="N1" s="12"/>
      <c r="O1" s="12"/>
      <c r="P1" s="13"/>
    </row>
    <row r="2" spans="1:21" s="32" customFormat="1" ht="15" customHeight="1" thickBot="1">
      <c r="A2" s="14"/>
      <c r="B2" s="15"/>
      <c r="C2" s="15"/>
      <c r="D2" s="504"/>
      <c r="E2" s="505"/>
      <c r="F2" s="505"/>
      <c r="G2" s="505"/>
      <c r="H2" s="505"/>
      <c r="I2" s="505"/>
      <c r="J2" s="505"/>
      <c r="K2" s="505"/>
      <c r="L2" s="505"/>
      <c r="M2" s="506"/>
      <c r="N2" s="15"/>
      <c r="O2" s="15"/>
      <c r="P2" s="16"/>
    </row>
    <row r="3" spans="1:21" ht="15" customHeight="1">
      <c r="A3" s="471" t="s">
        <v>3</v>
      </c>
      <c r="B3" s="472"/>
      <c r="C3" s="472"/>
      <c r="D3" s="472"/>
      <c r="E3" s="472"/>
      <c r="F3" s="472"/>
      <c r="G3" s="472"/>
      <c r="H3" s="472"/>
      <c r="I3" s="472"/>
      <c r="J3" s="472"/>
      <c r="K3" s="472"/>
      <c r="L3" s="472"/>
      <c r="M3" s="472"/>
      <c r="N3" s="472"/>
      <c r="O3" s="472"/>
      <c r="P3" s="473"/>
      <c r="R3" s="4"/>
      <c r="T3" s="6"/>
      <c r="U3" s="6"/>
    </row>
    <row r="4" spans="1:21" ht="15" customHeight="1">
      <c r="A4" s="471"/>
      <c r="B4" s="472"/>
      <c r="C4" s="472"/>
      <c r="D4" s="472"/>
      <c r="E4" s="472"/>
      <c r="F4" s="472"/>
      <c r="G4" s="472"/>
      <c r="H4" s="472"/>
      <c r="I4" s="472"/>
      <c r="J4" s="472"/>
      <c r="K4" s="472"/>
      <c r="L4" s="472"/>
      <c r="M4" s="472"/>
      <c r="N4" s="472"/>
      <c r="O4" s="472"/>
      <c r="P4" s="473"/>
      <c r="R4" s="4"/>
      <c r="T4" s="6"/>
      <c r="U4" s="6"/>
    </row>
    <row r="5" spans="1:21" ht="15" customHeight="1" thickBot="1">
      <c r="A5" s="474"/>
      <c r="B5" s="475"/>
      <c r="C5" s="475"/>
      <c r="D5" s="475"/>
      <c r="E5" s="475"/>
      <c r="F5" s="475"/>
      <c r="G5" s="475"/>
      <c r="H5" s="475"/>
      <c r="I5" s="475"/>
      <c r="J5" s="475"/>
      <c r="K5" s="475"/>
      <c r="L5" s="475"/>
      <c r="M5" s="475"/>
      <c r="N5" s="475"/>
      <c r="O5" s="475"/>
      <c r="P5" s="476"/>
      <c r="Q5" s="4"/>
      <c r="R5" s="33"/>
      <c r="S5" s="34"/>
      <c r="T5" s="34"/>
      <c r="U5" s="34"/>
    </row>
    <row r="6" spans="1:21" ht="15" customHeight="1">
      <c r="A6" s="18" t="s">
        <v>6</v>
      </c>
      <c r="B6" s="202" t="str">
        <f>'E Synthèse'!B6</f>
        <v>BRA</v>
      </c>
      <c r="C6" s="18" t="s">
        <v>8</v>
      </c>
      <c r="D6" s="202">
        <f>'E Synthèse'!D6</f>
        <v>0</v>
      </c>
      <c r="E6" s="487" t="s">
        <v>47</v>
      </c>
      <c r="F6" s="488"/>
      <c r="G6" s="488"/>
      <c r="H6" s="488"/>
      <c r="I6" s="488"/>
      <c r="J6" s="488"/>
      <c r="K6" s="488"/>
      <c r="L6" s="489"/>
      <c r="M6" s="507" t="s">
        <v>10</v>
      </c>
      <c r="N6" s="508"/>
      <c r="O6" s="479" t="s">
        <v>11</v>
      </c>
      <c r="P6" s="480"/>
      <c r="R6" s="32"/>
      <c r="S6" s="32"/>
    </row>
    <row r="7" spans="1:21" ht="15" customHeight="1" thickBot="1">
      <c r="A7" s="19" t="s">
        <v>13</v>
      </c>
      <c r="B7" s="203">
        <f>'E Synthèse'!B7</f>
        <v>0</v>
      </c>
      <c r="C7" s="19" t="s">
        <v>13</v>
      </c>
      <c r="D7" s="203">
        <f>'E Synthèse'!D7</f>
        <v>0</v>
      </c>
      <c r="E7" s="490"/>
      <c r="F7" s="491"/>
      <c r="G7" s="491"/>
      <c r="H7" s="491"/>
      <c r="I7" s="491"/>
      <c r="J7" s="491"/>
      <c r="K7" s="491"/>
      <c r="L7" s="492"/>
      <c r="M7" s="509" t="str">
        <f>'E Synthèse'!M7:M7</f>
        <v>#DateClôture</v>
      </c>
      <c r="N7" s="510"/>
      <c r="O7" s="481" t="s">
        <v>317</v>
      </c>
      <c r="P7" s="482"/>
    </row>
    <row r="8" spans="1:21" ht="21" customHeight="1" thickBot="1">
      <c r="A8" s="20"/>
      <c r="B8" s="35"/>
      <c r="C8" s="21"/>
      <c r="D8" s="21"/>
      <c r="E8" s="36"/>
      <c r="F8" s="36"/>
      <c r="G8" s="36"/>
      <c r="H8" s="36"/>
      <c r="I8" s="36"/>
      <c r="J8" s="36"/>
      <c r="K8" s="36"/>
      <c r="L8" s="36"/>
      <c r="M8" s="23"/>
      <c r="N8" s="21"/>
      <c r="O8" s="511" t="s">
        <v>58</v>
      </c>
      <c r="P8" s="512"/>
    </row>
    <row r="9" spans="1:21" s="21" customFormat="1" ht="31.5" customHeight="1" thickBot="1">
      <c r="A9" s="483" t="s">
        <v>18</v>
      </c>
      <c r="B9" s="484"/>
      <c r="C9" s="484"/>
      <c r="D9" s="494" t="str">
        <f>'E Synthèse'!D9:E9</f>
        <v>Faible</v>
      </c>
      <c r="E9" s="495"/>
      <c r="F9" s="477" t="s">
        <v>19</v>
      </c>
      <c r="G9" s="478"/>
      <c r="H9" s="478"/>
      <c r="I9" s="478"/>
      <c r="J9" s="514">
        <f>'E Synthèse'!J9:K9</f>
        <v>0</v>
      </c>
      <c r="K9" s="515"/>
      <c r="L9" s="477" t="s">
        <v>20</v>
      </c>
      <c r="M9" s="478"/>
      <c r="N9" s="478"/>
      <c r="O9" s="494" t="str">
        <f>'E Synthèse'!N9</f>
        <v>PB</v>
      </c>
      <c r="P9" s="495"/>
    </row>
    <row r="10" spans="1:21" s="21" customFormat="1" ht="21" customHeight="1" thickBot="1">
      <c r="A10" s="26"/>
      <c r="B10" s="26"/>
      <c r="C10" s="26"/>
      <c r="D10" s="26"/>
      <c r="E10" s="26"/>
      <c r="F10" s="26"/>
      <c r="G10" s="26"/>
      <c r="H10" s="26"/>
      <c r="I10" s="26"/>
      <c r="J10" s="26"/>
      <c r="K10" s="26"/>
      <c r="L10" s="26"/>
      <c r="M10" s="26"/>
      <c r="N10" s="26"/>
      <c r="O10" s="26"/>
      <c r="P10" s="26"/>
    </row>
    <row r="11" spans="1:21" ht="87" customHeight="1" thickBot="1">
      <c r="A11" s="516" t="s">
        <v>318</v>
      </c>
      <c r="B11" s="517"/>
      <c r="C11" s="517"/>
      <c r="D11" s="517"/>
      <c r="E11" s="517"/>
      <c r="F11" s="517"/>
      <c r="G11" s="517"/>
      <c r="H11" s="517"/>
      <c r="I11" s="517"/>
      <c r="J11" s="517"/>
      <c r="K11" s="517"/>
      <c r="L11" s="517"/>
      <c r="M11" s="517"/>
      <c r="N11" s="517"/>
      <c r="O11" s="517"/>
      <c r="P11" s="518"/>
    </row>
    <row r="12" spans="1:21" ht="9" customHeight="1" thickBot="1"/>
    <row r="13" spans="1:21">
      <c r="A13" s="519" t="s">
        <v>60</v>
      </c>
      <c r="B13" s="520"/>
      <c r="C13" s="520"/>
      <c r="D13" s="520"/>
      <c r="E13" s="520"/>
      <c r="F13" s="520"/>
      <c r="G13" s="520"/>
      <c r="H13" s="520"/>
      <c r="I13" s="520"/>
      <c r="J13" s="520"/>
      <c r="K13" s="520"/>
      <c r="L13" s="520"/>
      <c r="M13" s="520"/>
      <c r="N13" s="520"/>
      <c r="O13" s="520"/>
      <c r="P13" s="521"/>
    </row>
    <row r="14" spans="1:21" ht="60" customHeight="1" thickBot="1">
      <c r="A14" s="522"/>
      <c r="B14" s="523"/>
      <c r="C14" s="523"/>
      <c r="D14" s="523"/>
      <c r="E14" s="523"/>
      <c r="F14" s="523"/>
      <c r="G14" s="523"/>
      <c r="H14" s="523"/>
      <c r="I14" s="523"/>
      <c r="J14" s="523"/>
      <c r="K14" s="523"/>
      <c r="L14" s="523"/>
      <c r="M14" s="523"/>
      <c r="N14" s="523"/>
      <c r="O14" s="523"/>
      <c r="P14" s="524"/>
    </row>
    <row r="15" spans="1:21" ht="15.75" thickBot="1"/>
    <row r="16" spans="1:21">
      <c r="A16" s="42"/>
      <c r="B16" s="43"/>
      <c r="C16" s="43"/>
      <c r="D16" s="43"/>
      <c r="E16" s="43"/>
      <c r="F16" s="43"/>
      <c r="G16" s="43"/>
      <c r="H16" s="43"/>
      <c r="I16" s="43"/>
      <c r="J16" s="43"/>
      <c r="K16" s="43"/>
      <c r="L16" s="43"/>
      <c r="M16" s="43"/>
      <c r="N16" s="43"/>
      <c r="O16" s="43"/>
      <c r="P16" s="44"/>
    </row>
    <row r="17" spans="1:16">
      <c r="A17" s="248" t="s">
        <v>319</v>
      </c>
      <c r="P17" s="90"/>
    </row>
    <row r="18" spans="1:16" ht="104.25" customHeight="1">
      <c r="A18" s="601" t="s">
        <v>320</v>
      </c>
      <c r="B18" s="602"/>
      <c r="C18" s="602"/>
      <c r="D18" s="602"/>
      <c r="E18" s="602"/>
      <c r="F18" s="602"/>
      <c r="G18" s="602"/>
      <c r="H18" s="602"/>
      <c r="I18" s="602"/>
      <c r="J18" s="602"/>
      <c r="K18" s="602"/>
      <c r="L18" s="602"/>
      <c r="M18" s="602"/>
      <c r="N18" s="602"/>
      <c r="O18" s="602"/>
      <c r="P18" s="603"/>
    </row>
    <row r="19" spans="1:16" ht="17.25" customHeight="1">
      <c r="A19" s="249"/>
      <c r="B19" s="247"/>
      <c r="C19" s="247"/>
      <c r="D19" s="247"/>
      <c r="E19" s="247"/>
      <c r="F19" s="247"/>
      <c r="G19" s="247"/>
      <c r="H19" s="247"/>
      <c r="I19" s="247"/>
      <c r="J19" s="247"/>
      <c r="K19" s="247"/>
      <c r="L19" s="247"/>
      <c r="M19" s="247"/>
      <c r="N19" s="247"/>
      <c r="O19" s="247"/>
      <c r="P19" s="250"/>
    </row>
    <row r="20" spans="1:16" ht="16.5">
      <c r="A20" s="114"/>
      <c r="B20" s="115" t="s">
        <v>321</v>
      </c>
      <c r="C20" s="116"/>
      <c r="D20" s="117" t="s">
        <v>101</v>
      </c>
      <c r="E20" s="113"/>
      <c r="F20" s="113"/>
      <c r="G20" s="113"/>
      <c r="H20" s="113"/>
      <c r="P20" s="90"/>
    </row>
    <row r="21" spans="1:16" ht="16.5">
      <c r="A21" s="114"/>
      <c r="B21" s="115"/>
      <c r="C21" s="118"/>
      <c r="D21" s="117"/>
      <c r="E21" s="113"/>
      <c r="F21" s="113"/>
      <c r="G21" s="113"/>
      <c r="H21" s="113"/>
      <c r="P21" s="90"/>
    </row>
    <row r="22" spans="1:16" ht="16.5">
      <c r="A22" s="114"/>
      <c r="B22" s="113"/>
      <c r="C22" s="118"/>
      <c r="D22" s="113"/>
      <c r="E22" s="113"/>
      <c r="F22" s="113"/>
      <c r="G22" s="113"/>
      <c r="H22" s="113"/>
      <c r="P22" s="90"/>
    </row>
    <row r="23" spans="1:16" ht="16.5">
      <c r="A23" s="251" t="s">
        <v>322</v>
      </c>
      <c r="C23" s="113"/>
      <c r="D23" s="113"/>
      <c r="E23" s="113"/>
      <c r="F23" s="113"/>
      <c r="G23" s="113"/>
      <c r="H23" s="113"/>
      <c r="P23" s="90"/>
    </row>
    <row r="24" spans="1:16" ht="15" customHeight="1">
      <c r="A24" s="604" t="s">
        <v>323</v>
      </c>
      <c r="B24" s="605"/>
      <c r="C24" s="605"/>
      <c r="D24" s="605"/>
      <c r="E24" s="605"/>
      <c r="F24" s="605"/>
      <c r="G24" s="605"/>
      <c r="H24" s="605"/>
      <c r="I24" s="605"/>
      <c r="J24" s="605"/>
      <c r="K24" s="605"/>
      <c r="L24" s="605"/>
      <c r="M24" s="605"/>
      <c r="N24" s="605"/>
      <c r="O24" s="605"/>
      <c r="P24" s="606"/>
    </row>
    <row r="25" spans="1:16" ht="15" customHeight="1">
      <c r="A25" s="604"/>
      <c r="B25" s="605"/>
      <c r="C25" s="605"/>
      <c r="D25" s="605"/>
      <c r="E25" s="605"/>
      <c r="F25" s="605"/>
      <c r="G25" s="605"/>
      <c r="H25" s="605"/>
      <c r="I25" s="605"/>
      <c r="J25" s="605"/>
      <c r="K25" s="605"/>
      <c r="L25" s="605"/>
      <c r="M25" s="605"/>
      <c r="N25" s="605"/>
      <c r="O25" s="605"/>
      <c r="P25" s="606"/>
    </row>
    <row r="26" spans="1:16" ht="15" customHeight="1">
      <c r="A26" s="604"/>
      <c r="B26" s="605"/>
      <c r="C26" s="605"/>
      <c r="D26" s="605"/>
      <c r="E26" s="605"/>
      <c r="F26" s="605"/>
      <c r="G26" s="605"/>
      <c r="H26" s="605"/>
      <c r="I26" s="605"/>
      <c r="J26" s="605"/>
      <c r="K26" s="605"/>
      <c r="L26" s="605"/>
      <c r="M26" s="605"/>
      <c r="N26" s="605"/>
      <c r="O26" s="605"/>
      <c r="P26" s="606"/>
    </row>
    <row r="27" spans="1:16" ht="15" customHeight="1">
      <c r="A27" s="604"/>
      <c r="B27" s="605"/>
      <c r="C27" s="605"/>
      <c r="D27" s="605"/>
      <c r="E27" s="605"/>
      <c r="F27" s="605"/>
      <c r="G27" s="605"/>
      <c r="H27" s="605"/>
      <c r="I27" s="605"/>
      <c r="J27" s="605"/>
      <c r="K27" s="605"/>
      <c r="L27" s="605"/>
      <c r="M27" s="605"/>
      <c r="N27" s="605"/>
      <c r="O27" s="605"/>
      <c r="P27" s="606"/>
    </row>
    <row r="28" spans="1:16" ht="15" customHeight="1">
      <c r="A28" s="604"/>
      <c r="B28" s="605"/>
      <c r="C28" s="605"/>
      <c r="D28" s="605"/>
      <c r="E28" s="605"/>
      <c r="F28" s="605"/>
      <c r="G28" s="605"/>
      <c r="H28" s="605"/>
      <c r="I28" s="605"/>
      <c r="J28" s="605"/>
      <c r="K28" s="605"/>
      <c r="L28" s="605"/>
      <c r="M28" s="605"/>
      <c r="N28" s="605"/>
      <c r="O28" s="605"/>
      <c r="P28" s="606"/>
    </row>
    <row r="29" spans="1:16" ht="16.5">
      <c r="A29" s="114"/>
      <c r="B29" s="113"/>
      <c r="C29" s="113"/>
      <c r="D29" s="113"/>
      <c r="E29" s="113"/>
      <c r="F29" s="113"/>
      <c r="G29" s="113"/>
      <c r="H29" s="113"/>
      <c r="P29" s="90"/>
    </row>
    <row r="30" spans="1:16" ht="16.5">
      <c r="A30" s="251" t="s">
        <v>324</v>
      </c>
      <c r="B30" s="340"/>
      <c r="C30" s="113"/>
      <c r="D30" s="113"/>
      <c r="E30" s="113"/>
      <c r="F30" s="113"/>
      <c r="G30" s="113"/>
      <c r="H30" s="113"/>
      <c r="P30" s="90"/>
    </row>
    <row r="31" spans="1:16" ht="15" customHeight="1">
      <c r="A31" s="589"/>
      <c r="B31" s="590"/>
      <c r="C31" s="590"/>
      <c r="D31" s="590"/>
      <c r="E31" s="590"/>
      <c r="F31" s="590"/>
      <c r="G31" s="590"/>
      <c r="H31" s="590"/>
      <c r="I31" s="590"/>
      <c r="J31" s="590"/>
      <c r="K31" s="590"/>
      <c r="L31" s="590"/>
      <c r="M31" s="590"/>
      <c r="N31" s="590"/>
      <c r="O31" s="590"/>
      <c r="P31" s="591"/>
    </row>
    <row r="32" spans="1:16" ht="15" customHeight="1">
      <c r="A32" s="589"/>
      <c r="B32" s="590"/>
      <c r="C32" s="590"/>
      <c r="D32" s="590"/>
      <c r="E32" s="590"/>
      <c r="F32" s="590"/>
      <c r="G32" s="590"/>
      <c r="H32" s="590"/>
      <c r="I32" s="590"/>
      <c r="J32" s="590"/>
      <c r="K32" s="590"/>
      <c r="L32" s="590"/>
      <c r="M32" s="590"/>
      <c r="N32" s="590"/>
      <c r="O32" s="590"/>
      <c r="P32" s="591"/>
    </row>
    <row r="33" spans="1:16" ht="45" customHeight="1">
      <c r="A33" s="589"/>
      <c r="B33" s="590"/>
      <c r="C33" s="590"/>
      <c r="D33" s="590"/>
      <c r="E33" s="590"/>
      <c r="F33" s="590"/>
      <c r="G33" s="590"/>
      <c r="H33" s="590"/>
      <c r="I33" s="590"/>
      <c r="J33" s="590"/>
      <c r="K33" s="590"/>
      <c r="L33" s="590"/>
      <c r="M33" s="590"/>
      <c r="N33" s="590"/>
      <c r="O33" s="590"/>
      <c r="P33" s="591"/>
    </row>
    <row r="34" spans="1:16" ht="15" customHeight="1">
      <c r="A34" s="589"/>
      <c r="B34" s="590"/>
      <c r="C34" s="590"/>
      <c r="D34" s="590"/>
      <c r="E34" s="590"/>
      <c r="F34" s="590"/>
      <c r="G34" s="590"/>
      <c r="H34" s="590"/>
      <c r="I34" s="590"/>
      <c r="J34" s="590"/>
      <c r="K34" s="590"/>
      <c r="L34" s="590"/>
      <c r="M34" s="590"/>
      <c r="N34" s="590"/>
      <c r="O34" s="590"/>
      <c r="P34" s="591"/>
    </row>
    <row r="35" spans="1:16" ht="15" customHeight="1">
      <c r="A35" s="589"/>
      <c r="B35" s="590"/>
      <c r="C35" s="590"/>
      <c r="D35" s="590"/>
      <c r="E35" s="590"/>
      <c r="F35" s="590"/>
      <c r="G35" s="590"/>
      <c r="H35" s="590"/>
      <c r="I35" s="590"/>
      <c r="J35" s="590"/>
      <c r="K35" s="590"/>
      <c r="L35" s="590"/>
      <c r="M35" s="590"/>
      <c r="N35" s="590"/>
      <c r="O35" s="590"/>
      <c r="P35" s="591"/>
    </row>
    <row r="36" spans="1:16" ht="16.5">
      <c r="A36" s="114"/>
      <c r="B36" s="113"/>
      <c r="C36" s="113"/>
      <c r="D36" s="113"/>
      <c r="E36" s="113"/>
      <c r="F36" s="113"/>
      <c r="G36" s="113"/>
      <c r="H36" s="113"/>
      <c r="P36" s="90"/>
    </row>
    <row r="37" spans="1:16" ht="16.5">
      <c r="A37" s="251" t="s">
        <v>325</v>
      </c>
      <c r="C37" s="113"/>
      <c r="D37" s="113"/>
      <c r="E37" s="113"/>
      <c r="F37" s="113"/>
      <c r="G37" s="113"/>
      <c r="H37" s="113"/>
      <c r="P37" s="90"/>
    </row>
    <row r="38" spans="1:16" ht="16.5">
      <c r="A38" s="598" t="s">
        <v>326</v>
      </c>
      <c r="B38" s="599"/>
      <c r="C38" s="599"/>
      <c r="D38" s="599"/>
      <c r="E38" s="599"/>
      <c r="F38" s="599"/>
      <c r="G38" s="599"/>
      <c r="H38" s="599"/>
      <c r="I38" s="599"/>
      <c r="J38" s="599"/>
      <c r="K38" s="599"/>
      <c r="L38" s="599"/>
      <c r="M38" s="599"/>
      <c r="N38" s="599"/>
      <c r="O38" s="599"/>
      <c r="P38" s="600"/>
    </row>
    <row r="39" spans="1:16" ht="15" customHeight="1">
      <c r="A39" s="592"/>
      <c r="B39" s="593"/>
      <c r="C39" s="593"/>
      <c r="D39" s="593"/>
      <c r="E39" s="593"/>
      <c r="F39" s="593"/>
      <c r="G39" s="593"/>
      <c r="H39" s="593"/>
      <c r="I39" s="593"/>
      <c r="J39" s="593"/>
      <c r="K39" s="593"/>
      <c r="L39" s="593"/>
      <c r="M39" s="593"/>
      <c r="N39" s="593"/>
      <c r="O39" s="593"/>
      <c r="P39" s="594"/>
    </row>
    <row r="40" spans="1:16" ht="15" customHeight="1">
      <c r="A40" s="592"/>
      <c r="B40" s="593"/>
      <c r="C40" s="593"/>
      <c r="D40" s="593"/>
      <c r="E40" s="593"/>
      <c r="F40" s="593"/>
      <c r="G40" s="593"/>
      <c r="H40" s="593"/>
      <c r="I40" s="593"/>
      <c r="J40" s="593"/>
      <c r="K40" s="593"/>
      <c r="L40" s="593"/>
      <c r="M40" s="593"/>
      <c r="N40" s="593"/>
      <c r="O40" s="593"/>
      <c r="P40" s="594"/>
    </row>
    <row r="41" spans="1:16" ht="15" customHeight="1">
      <c r="A41" s="592"/>
      <c r="B41" s="593"/>
      <c r="C41" s="593"/>
      <c r="D41" s="593"/>
      <c r="E41" s="593"/>
      <c r="F41" s="593"/>
      <c r="G41" s="593"/>
      <c r="H41" s="593"/>
      <c r="I41" s="593"/>
      <c r="J41" s="593"/>
      <c r="K41" s="593"/>
      <c r="L41" s="593"/>
      <c r="M41" s="593"/>
      <c r="N41" s="593"/>
      <c r="O41" s="593"/>
      <c r="P41" s="594"/>
    </row>
    <row r="42" spans="1:16" ht="15" customHeight="1">
      <c r="A42" s="595"/>
      <c r="B42" s="596"/>
      <c r="C42" s="596"/>
      <c r="D42" s="596"/>
      <c r="E42" s="596"/>
      <c r="F42" s="596"/>
      <c r="G42" s="596"/>
      <c r="H42" s="596"/>
      <c r="I42" s="596"/>
      <c r="J42" s="596"/>
      <c r="K42" s="596"/>
      <c r="L42" s="596"/>
      <c r="M42" s="596"/>
      <c r="N42" s="596"/>
      <c r="O42" s="596"/>
      <c r="P42" s="597"/>
    </row>
    <row r="43" spans="1:16" ht="15.75" thickBot="1">
      <c r="A43" s="238"/>
      <c r="B43" s="91"/>
      <c r="C43" s="91"/>
      <c r="D43" s="91"/>
      <c r="E43" s="91"/>
      <c r="F43" s="91"/>
      <c r="G43" s="91"/>
      <c r="H43" s="91"/>
      <c r="I43" s="91"/>
      <c r="J43" s="91"/>
      <c r="K43" s="91"/>
      <c r="L43" s="91"/>
      <c r="M43" s="91"/>
      <c r="N43" s="91"/>
      <c r="O43" s="91"/>
      <c r="P43" s="92"/>
    </row>
  </sheetData>
  <sheetProtection formatCells="0" formatColumns="0" formatRows="0" insertColumns="0" insertRows="0" insertHyperlinks="0" deleteColumns="0" deleteRows="0" sort="0" autoFilter="0" pivotTables="0"/>
  <mergeCells count="22">
    <mergeCell ref="O9:P9"/>
    <mergeCell ref="D1:M2"/>
    <mergeCell ref="A3:P5"/>
    <mergeCell ref="E6:L7"/>
    <mergeCell ref="M6:N6"/>
    <mergeCell ref="O6:P6"/>
    <mergeCell ref="M7:N7"/>
    <mergeCell ref="O7:P7"/>
    <mergeCell ref="A9:C9"/>
    <mergeCell ref="D9:E9"/>
    <mergeCell ref="F9:I9"/>
    <mergeCell ref="J9:K9"/>
    <mergeCell ref="L9:N9"/>
    <mergeCell ref="O8:P8"/>
    <mergeCell ref="A31:P35"/>
    <mergeCell ref="A39:P42"/>
    <mergeCell ref="A38:P38"/>
    <mergeCell ref="A11:P11"/>
    <mergeCell ref="A13:P13"/>
    <mergeCell ref="A14:P14"/>
    <mergeCell ref="A18:P18"/>
    <mergeCell ref="A24:P28"/>
  </mergeCells>
  <dataValidations count="2">
    <dataValidation type="list" allowBlank="1" showInputMessage="1" showErrorMessage="1" sqref="O9:P9" xr:uid="{00000000-0002-0000-0700-000000000000}">
      <formula1>Diligences</formula1>
    </dataValidation>
    <dataValidation type="list" showInputMessage="1" showErrorMessage="1" sqref="D9:E9" xr:uid="{00000000-0002-0000-0700-000001000000}">
      <formula1>RAS</formula1>
    </dataValidation>
  </dataValidations>
  <hyperlinks>
    <hyperlink ref="O8:P8" location="'E Synthèse'!A1" display="E Synthèse" xr:uid="{00000000-0004-0000-07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legacyDrawing r:id="rId3"/>
  <oleObjects>
    <mc:AlternateContent xmlns:mc="http://schemas.openxmlformats.org/markup-compatibility/2006">
      <mc:Choice Requires="x14">
        <oleObject progId="Acrobat Document" dvAspect="DVASPECT_ICON" shapeId="5121" r:id="rId4">
          <objectPr defaultSize="0" autoPict="0" r:id="rId5">
            <anchor moveWithCells="1">
              <from>
                <xdr:col>13</xdr:col>
                <xdr:colOff>504825</xdr:colOff>
                <xdr:row>17</xdr:row>
                <xdr:rowOff>276225</xdr:rowOff>
              </from>
              <to>
                <xdr:col>14</xdr:col>
                <xdr:colOff>571500</xdr:colOff>
                <xdr:row>17</xdr:row>
                <xdr:rowOff>1000125</xdr:rowOff>
              </to>
            </anchor>
          </objectPr>
        </oleObject>
      </mc:Choice>
      <mc:Fallback>
        <oleObject progId="Acrobat Document" dvAspect="DVASPECT_ICON" shapeId="5121"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6"/>
  <dimension ref="A1:U105"/>
  <sheetViews>
    <sheetView showGridLines="0" tabSelected="1" topLeftCell="A78" zoomScale="90" zoomScaleNormal="90" workbookViewId="0">
      <selection activeCell="M92" sqref="M92"/>
    </sheetView>
  </sheetViews>
  <sheetFormatPr defaultColWidth="11.42578125" defaultRowHeight="15.75"/>
  <cols>
    <col min="1" max="3" width="14.7109375" style="8" customWidth="1"/>
    <col min="4" max="4" width="19.28515625" style="8" customWidth="1"/>
    <col min="5" max="8" width="14.7109375" style="8" customWidth="1"/>
    <col min="9" max="16" width="13.42578125" style="8" customWidth="1"/>
    <col min="17" max="16384" width="11.42578125" style="8"/>
  </cols>
  <sheetData>
    <row r="1" spans="1:21" s="2" customFormat="1" ht="15" customHeight="1">
      <c r="A1" s="11"/>
      <c r="B1" s="12"/>
      <c r="C1" s="12"/>
      <c r="D1" s="501" t="str">
        <f>'E Synthèse'!D1:M2</f>
        <v>#NomClient</v>
      </c>
      <c r="E1" s="502"/>
      <c r="F1" s="502"/>
      <c r="G1" s="502"/>
      <c r="H1" s="502"/>
      <c r="I1" s="502"/>
      <c r="J1" s="502"/>
      <c r="K1" s="502"/>
      <c r="L1" s="502"/>
      <c r="M1" s="503"/>
      <c r="N1" s="12"/>
      <c r="O1" s="12"/>
      <c r="P1" s="13"/>
    </row>
    <row r="2" spans="1:21" s="2" customFormat="1" ht="15" customHeight="1" thickBot="1">
      <c r="A2" s="14"/>
      <c r="B2" s="15"/>
      <c r="C2" s="15"/>
      <c r="D2" s="504"/>
      <c r="E2" s="505"/>
      <c r="F2" s="505"/>
      <c r="G2" s="505"/>
      <c r="H2" s="505"/>
      <c r="I2" s="505"/>
      <c r="J2" s="505"/>
      <c r="K2" s="505"/>
      <c r="L2" s="505"/>
      <c r="M2" s="506"/>
      <c r="N2" s="15"/>
      <c r="O2" s="15"/>
      <c r="P2" s="16"/>
    </row>
    <row r="3" spans="1:21" ht="15" customHeight="1">
      <c r="A3" s="471" t="s">
        <v>3</v>
      </c>
      <c r="B3" s="472"/>
      <c r="C3" s="472"/>
      <c r="D3" s="472"/>
      <c r="E3" s="472"/>
      <c r="F3" s="472"/>
      <c r="G3" s="472"/>
      <c r="H3" s="472"/>
      <c r="I3" s="472"/>
      <c r="J3" s="472"/>
      <c r="K3" s="472"/>
      <c r="L3" s="472"/>
      <c r="M3" s="472"/>
      <c r="N3" s="472"/>
      <c r="O3" s="472"/>
      <c r="P3" s="473"/>
      <c r="R3" s="4"/>
      <c r="T3" s="6"/>
      <c r="U3" s="7"/>
    </row>
    <row r="4" spans="1:21" ht="15" customHeight="1">
      <c r="A4" s="471"/>
      <c r="B4" s="472"/>
      <c r="C4" s="472"/>
      <c r="D4" s="472"/>
      <c r="E4" s="472"/>
      <c r="F4" s="472"/>
      <c r="G4" s="472"/>
      <c r="H4" s="472"/>
      <c r="I4" s="472"/>
      <c r="J4" s="472"/>
      <c r="K4" s="472"/>
      <c r="L4" s="472"/>
      <c r="M4" s="472"/>
      <c r="N4" s="472"/>
      <c r="O4" s="472"/>
      <c r="P4" s="473"/>
      <c r="R4" s="4"/>
      <c r="T4" s="6"/>
      <c r="U4" s="7"/>
    </row>
    <row r="5" spans="1:21" ht="15" customHeight="1" thickBot="1">
      <c r="A5" s="474"/>
      <c r="B5" s="475"/>
      <c r="C5" s="475"/>
      <c r="D5" s="475"/>
      <c r="E5" s="475"/>
      <c r="F5" s="475"/>
      <c r="G5" s="475"/>
      <c r="H5" s="475"/>
      <c r="I5" s="475"/>
      <c r="J5" s="475"/>
      <c r="K5" s="475"/>
      <c r="L5" s="475"/>
      <c r="M5" s="475"/>
      <c r="N5" s="475"/>
      <c r="O5" s="475"/>
      <c r="P5" s="476"/>
      <c r="Q5" s="9"/>
      <c r="R5" s="5"/>
      <c r="S5" s="25"/>
      <c r="T5" s="25"/>
      <c r="U5" s="25"/>
    </row>
    <row r="6" spans="1:21" ht="15" customHeight="1">
      <c r="A6" s="18" t="s">
        <v>6</v>
      </c>
      <c r="B6" s="202" t="str">
        <f>'E Synthèse'!B6</f>
        <v>BRA</v>
      </c>
      <c r="C6" s="18" t="s">
        <v>8</v>
      </c>
      <c r="D6" s="202">
        <f>'E Synthèse'!D6</f>
        <v>0</v>
      </c>
      <c r="E6" s="487" t="s">
        <v>51</v>
      </c>
      <c r="F6" s="488"/>
      <c r="G6" s="488"/>
      <c r="H6" s="488"/>
      <c r="I6" s="488"/>
      <c r="J6" s="488"/>
      <c r="K6" s="488"/>
      <c r="L6" s="489"/>
      <c r="M6" s="507" t="s">
        <v>10</v>
      </c>
      <c r="N6" s="508"/>
      <c r="O6" s="479" t="s">
        <v>11</v>
      </c>
      <c r="P6" s="480"/>
      <c r="R6" s="2"/>
      <c r="S6" s="2"/>
    </row>
    <row r="7" spans="1:21" ht="15" customHeight="1" thickBot="1">
      <c r="A7" s="19" t="s">
        <v>13</v>
      </c>
      <c r="B7" s="203">
        <f>'E Synthèse'!B7</f>
        <v>0</v>
      </c>
      <c r="C7" s="19" t="s">
        <v>13</v>
      </c>
      <c r="D7" s="203">
        <f>'E Synthèse'!D7</f>
        <v>0</v>
      </c>
      <c r="E7" s="490"/>
      <c r="F7" s="491"/>
      <c r="G7" s="491"/>
      <c r="H7" s="491"/>
      <c r="I7" s="491"/>
      <c r="J7" s="491"/>
      <c r="K7" s="491"/>
      <c r="L7" s="492"/>
      <c r="M7" s="509" t="str">
        <f>'E Synthèse'!M7:M7</f>
        <v>#DateClôture</v>
      </c>
      <c r="N7" s="510"/>
      <c r="O7" s="481" t="s">
        <v>327</v>
      </c>
      <c r="P7" s="482"/>
    </row>
    <row r="8" spans="1:21" ht="21" customHeight="1" thickBot="1">
      <c r="A8" s="20"/>
      <c r="B8" s="17"/>
      <c r="C8" s="21"/>
      <c r="D8" s="21"/>
      <c r="E8" s="22"/>
      <c r="F8" s="22"/>
      <c r="G8" s="22"/>
      <c r="H8" s="22"/>
      <c r="I8" s="22"/>
      <c r="J8" s="22"/>
      <c r="K8" s="22"/>
      <c r="L8" s="22"/>
      <c r="M8" s="23"/>
      <c r="N8" s="21"/>
      <c r="O8" s="511" t="s">
        <v>58</v>
      </c>
      <c r="P8" s="512"/>
    </row>
    <row r="9" spans="1:21" s="21" customFormat="1" ht="31.5" customHeight="1" thickBot="1">
      <c r="A9" s="483" t="s">
        <v>18</v>
      </c>
      <c r="B9" s="484"/>
      <c r="C9" s="484"/>
      <c r="D9" s="494" t="str">
        <f>'E Synthèse'!D9:E9</f>
        <v>Faible</v>
      </c>
      <c r="E9" s="495"/>
      <c r="F9" s="477" t="s">
        <v>19</v>
      </c>
      <c r="G9" s="478"/>
      <c r="H9" s="478"/>
      <c r="I9" s="478"/>
      <c r="J9" s="514">
        <f>'E Synthèse'!J9:K9</f>
        <v>0</v>
      </c>
      <c r="K9" s="515"/>
      <c r="L9" s="477" t="s">
        <v>20</v>
      </c>
      <c r="M9" s="478"/>
      <c r="N9" s="478"/>
      <c r="O9" s="494" t="str">
        <f>'E Synthèse'!N9</f>
        <v>PB</v>
      </c>
      <c r="P9" s="495"/>
    </row>
    <row r="10" spans="1:21" s="21" customFormat="1" ht="21" customHeight="1" thickBot="1">
      <c r="A10" s="26"/>
      <c r="B10" s="26"/>
      <c r="C10" s="26"/>
      <c r="D10" s="26"/>
      <c r="E10" s="26"/>
      <c r="F10" s="26"/>
      <c r="G10" s="26"/>
      <c r="H10" s="26"/>
      <c r="I10" s="26"/>
      <c r="J10" s="26"/>
      <c r="K10" s="26"/>
      <c r="L10" s="26"/>
      <c r="M10" s="26"/>
      <c r="N10" s="26"/>
      <c r="O10" s="26"/>
      <c r="P10" s="26"/>
    </row>
    <row r="11" spans="1:21" s="27" customFormat="1" ht="111" customHeight="1" thickBot="1">
      <c r="A11" s="516" t="s">
        <v>328</v>
      </c>
      <c r="B11" s="517"/>
      <c r="C11" s="517"/>
      <c r="D11" s="517"/>
      <c r="E11" s="517"/>
      <c r="F11" s="517"/>
      <c r="G11" s="517"/>
      <c r="H11" s="517"/>
      <c r="I11" s="517"/>
      <c r="J11" s="517"/>
      <c r="K11" s="517"/>
      <c r="L11" s="517"/>
      <c r="M11" s="517"/>
      <c r="N11" s="517"/>
      <c r="O11" s="517"/>
      <c r="P11" s="518"/>
    </row>
    <row r="12" spans="1:21" s="27" customFormat="1" ht="9" customHeight="1" thickBot="1"/>
    <row r="13" spans="1:21" s="27" customFormat="1" ht="15">
      <c r="A13" s="519" t="s">
        <v>60</v>
      </c>
      <c r="B13" s="520"/>
      <c r="C13" s="520"/>
      <c r="D13" s="520"/>
      <c r="E13" s="520"/>
      <c r="F13" s="520"/>
      <c r="G13" s="520"/>
      <c r="H13" s="520"/>
      <c r="I13" s="520"/>
      <c r="J13" s="520"/>
      <c r="K13" s="520"/>
      <c r="L13" s="520"/>
      <c r="M13" s="520"/>
      <c r="N13" s="520"/>
      <c r="O13" s="520"/>
      <c r="P13" s="521"/>
    </row>
    <row r="14" spans="1:21" s="27" customFormat="1" ht="60" customHeight="1" thickBot="1">
      <c r="A14" s="522"/>
      <c r="B14" s="523"/>
      <c r="C14" s="523"/>
      <c r="D14" s="523"/>
      <c r="E14" s="523"/>
      <c r="F14" s="523"/>
      <c r="G14" s="523"/>
      <c r="H14" s="523"/>
      <c r="I14" s="523"/>
      <c r="J14" s="523"/>
      <c r="K14" s="523"/>
      <c r="L14" s="523"/>
      <c r="M14" s="523"/>
      <c r="N14" s="523"/>
      <c r="O14" s="523"/>
      <c r="P14" s="524"/>
    </row>
    <row r="15" spans="1:21" s="27" customFormat="1" thickBot="1"/>
    <row r="16" spans="1:21" s="27" customFormat="1" thickBot="1">
      <c r="A16" s="42"/>
      <c r="B16" s="43"/>
      <c r="C16" s="43"/>
      <c r="D16" s="43"/>
      <c r="E16" s="43"/>
      <c r="F16" s="43"/>
      <c r="G16" s="43"/>
      <c r="H16" s="43"/>
      <c r="I16" s="43"/>
      <c r="J16" s="43"/>
      <c r="K16" s="43"/>
      <c r="L16" s="43"/>
      <c r="M16" s="43"/>
      <c r="N16" s="43"/>
      <c r="O16" s="43"/>
      <c r="P16" s="44"/>
    </row>
    <row r="17" spans="1:16" s="27" customFormat="1" ht="15">
      <c r="A17" s="42"/>
      <c r="B17" s="43"/>
      <c r="C17" s="43"/>
      <c r="D17" s="43"/>
      <c r="E17" s="43"/>
      <c r="F17" s="43"/>
      <c r="G17" s="43"/>
      <c r="H17" s="43"/>
      <c r="I17" s="43"/>
      <c r="J17" s="43"/>
      <c r="K17" s="43"/>
      <c r="L17" s="43"/>
      <c r="M17" s="43"/>
      <c r="N17" s="43"/>
      <c r="O17" s="43"/>
      <c r="P17" s="44"/>
    </row>
    <row r="18" spans="1:16" s="27" customFormat="1" ht="15">
      <c r="A18" s="277" t="s">
        <v>329</v>
      </c>
      <c r="P18" s="90"/>
    </row>
    <row r="19" spans="1:16" s="27" customFormat="1" ht="15">
      <c r="A19" s="206"/>
      <c r="P19" s="90"/>
    </row>
    <row r="20" spans="1:16" s="27" customFormat="1" ht="15">
      <c r="A20" s="119" t="s">
        <v>330</v>
      </c>
      <c r="B20" s="31"/>
      <c r="C20" s="31"/>
      <c r="D20" s="31"/>
      <c r="E20" s="31"/>
      <c r="F20" s="31"/>
      <c r="G20" s="31"/>
      <c r="H20" s="31"/>
      <c r="P20" s="90"/>
    </row>
    <row r="21" spans="1:16" s="27" customFormat="1" ht="16.5" customHeight="1">
      <c r="A21" s="610" t="s">
        <v>331</v>
      </c>
      <c r="B21" s="611"/>
      <c r="C21" s="611"/>
      <c r="D21" s="611"/>
      <c r="E21" s="611"/>
      <c r="F21" s="611"/>
      <c r="G21" s="611"/>
      <c r="H21" s="611"/>
      <c r="I21" s="611"/>
      <c r="J21" s="611"/>
      <c r="K21" s="611"/>
      <c r="L21" s="611"/>
      <c r="M21" s="611"/>
      <c r="N21" s="611"/>
      <c r="O21" s="611"/>
      <c r="P21" s="612"/>
    </row>
    <row r="22" spans="1:16" s="27" customFormat="1" ht="15">
      <c r="A22" s="38"/>
      <c r="B22" s="31"/>
      <c r="C22" s="31"/>
      <c r="D22" s="31"/>
      <c r="E22" s="31"/>
      <c r="F22" s="31"/>
      <c r="G22" s="31"/>
      <c r="P22" s="90"/>
    </row>
    <row r="23" spans="1:16" s="27" customFormat="1" ht="15">
      <c r="A23" s="271" t="s">
        <v>332</v>
      </c>
      <c r="B23" s="31"/>
      <c r="C23" s="31"/>
      <c r="D23" s="31"/>
      <c r="E23" s="31"/>
      <c r="F23" s="31"/>
      <c r="G23" s="31"/>
      <c r="P23" s="90"/>
    </row>
    <row r="24" spans="1:16" s="27" customFormat="1" ht="29.25" customHeight="1">
      <c r="A24" s="613" t="s">
        <v>333</v>
      </c>
      <c r="B24" s="614"/>
      <c r="C24" s="614"/>
      <c r="D24" s="614"/>
      <c r="E24" s="614"/>
      <c r="F24" s="614"/>
      <c r="G24" s="614"/>
      <c r="H24" s="614"/>
      <c r="I24" s="614"/>
      <c r="J24" s="614"/>
      <c r="K24" s="614"/>
      <c r="L24" s="614"/>
      <c r="M24" s="614"/>
      <c r="N24" s="614"/>
      <c r="O24" s="614"/>
      <c r="P24" s="615"/>
    </row>
    <row r="25" spans="1:16" s="27" customFormat="1" ht="15">
      <c r="A25" s="272"/>
      <c r="B25" s="252"/>
      <c r="C25" s="252"/>
      <c r="D25" s="252"/>
      <c r="E25" s="252"/>
      <c r="F25" s="252"/>
      <c r="G25" s="252"/>
      <c r="H25" s="252"/>
      <c r="I25" s="252"/>
      <c r="J25" s="252"/>
      <c r="K25" s="252"/>
      <c r="L25" s="252"/>
      <c r="M25" s="252"/>
      <c r="N25" s="252"/>
      <c r="O25" s="252"/>
      <c r="P25" s="273"/>
    </row>
    <row r="26" spans="1:16" s="27" customFormat="1" ht="15" customHeight="1">
      <c r="A26" s="613" t="s">
        <v>334</v>
      </c>
      <c r="B26" s="614"/>
      <c r="C26" s="614"/>
      <c r="D26" s="614"/>
      <c r="E26" s="614"/>
      <c r="F26" s="614"/>
      <c r="G26" s="614"/>
      <c r="H26" s="614"/>
      <c r="I26" s="614"/>
      <c r="J26" s="614"/>
      <c r="K26" s="614"/>
      <c r="L26" s="614"/>
      <c r="M26" s="614"/>
      <c r="N26" s="614"/>
      <c r="O26" s="614"/>
      <c r="P26" s="615"/>
    </row>
    <row r="27" spans="1:16" s="27" customFormat="1" ht="15">
      <c r="A27" s="272"/>
      <c r="B27" s="252"/>
      <c r="C27" s="252"/>
      <c r="D27" s="252"/>
      <c r="E27" s="252"/>
      <c r="F27" s="252"/>
      <c r="G27" s="252"/>
      <c r="P27" s="90"/>
    </row>
    <row r="28" spans="1:16" s="27" customFormat="1" ht="15">
      <c r="A28" s="206"/>
      <c r="P28" s="90"/>
    </row>
    <row r="29" spans="1:16" s="27" customFormat="1" ht="15">
      <c r="A29" s="206"/>
      <c r="P29" s="90"/>
    </row>
    <row r="30" spans="1:16" s="27" customFormat="1" ht="15">
      <c r="A30" s="206"/>
      <c r="P30" s="90"/>
    </row>
    <row r="31" spans="1:16" s="27" customFormat="1" ht="15">
      <c r="A31" s="206"/>
      <c r="P31" s="90"/>
    </row>
    <row r="32" spans="1:16" s="27" customFormat="1" ht="15">
      <c r="A32" s="206"/>
      <c r="P32" s="90"/>
    </row>
    <row r="33" spans="1:16" s="27" customFormat="1" ht="15">
      <c r="A33" s="206"/>
      <c r="P33" s="90"/>
    </row>
    <row r="34" spans="1:16" s="27" customFormat="1" ht="15">
      <c r="A34" s="206"/>
      <c r="P34" s="90"/>
    </row>
    <row r="35" spans="1:16" s="27" customFormat="1" ht="15">
      <c r="A35" s="206"/>
      <c r="P35" s="90"/>
    </row>
    <row r="36" spans="1:16" s="27" customFormat="1" ht="15">
      <c r="A36" s="206"/>
      <c r="P36" s="90"/>
    </row>
    <row r="37" spans="1:16" s="27" customFormat="1" ht="15">
      <c r="A37" s="206"/>
      <c r="P37" s="90"/>
    </row>
    <row r="38" spans="1:16" s="27" customFormat="1" ht="15">
      <c r="A38" s="206"/>
      <c r="P38" s="90"/>
    </row>
    <row r="39" spans="1:16" s="27" customFormat="1" ht="15">
      <c r="A39" s="206"/>
      <c r="P39" s="90"/>
    </row>
    <row r="40" spans="1:16" s="27" customFormat="1" ht="15">
      <c r="A40" s="206"/>
      <c r="P40" s="90"/>
    </row>
    <row r="41" spans="1:16" s="27" customFormat="1" ht="15">
      <c r="A41" s="206"/>
      <c r="P41" s="90"/>
    </row>
    <row r="42" spans="1:16" s="27" customFormat="1" ht="15">
      <c r="A42" s="206"/>
      <c r="P42" s="90"/>
    </row>
    <row r="43" spans="1:16" s="27" customFormat="1" ht="15">
      <c r="A43" s="206"/>
      <c r="P43" s="90"/>
    </row>
    <row r="44" spans="1:16" s="27" customFormat="1" ht="15">
      <c r="A44" s="206"/>
      <c r="P44" s="90"/>
    </row>
    <row r="45" spans="1:16" s="27" customFormat="1" ht="15">
      <c r="A45" s="206"/>
      <c r="P45" s="90"/>
    </row>
    <row r="46" spans="1:16" s="27" customFormat="1" ht="32.25" customHeight="1">
      <c r="A46" s="607" t="s">
        <v>335</v>
      </c>
      <c r="B46" s="608"/>
      <c r="C46" s="608"/>
      <c r="D46" s="608"/>
      <c r="E46" s="608"/>
      <c r="F46" s="608"/>
      <c r="G46" s="608"/>
      <c r="H46" s="608"/>
      <c r="I46" s="608"/>
      <c r="J46" s="608"/>
      <c r="K46" s="608"/>
      <c r="L46" s="608"/>
      <c r="M46" s="608"/>
      <c r="N46" s="608"/>
      <c r="O46" s="608"/>
      <c r="P46" s="609"/>
    </row>
    <row r="47" spans="1:16" s="27" customFormat="1" ht="15.75" customHeight="1" thickBot="1">
      <c r="A47" s="274"/>
      <c r="B47" s="275"/>
      <c r="C47" s="275"/>
      <c r="D47" s="275"/>
      <c r="E47" s="275"/>
      <c r="F47" s="275"/>
      <c r="G47" s="275"/>
      <c r="H47" s="275"/>
      <c r="I47" s="275"/>
      <c r="J47" s="275"/>
      <c r="K47" s="275"/>
      <c r="L47" s="275"/>
      <c r="M47" s="275"/>
      <c r="N47" s="275"/>
      <c r="O47" s="275"/>
      <c r="P47" s="276"/>
    </row>
    <row r="48" spans="1:16" s="27" customFormat="1" thickBot="1">
      <c r="A48" s="252"/>
      <c r="B48" s="252"/>
      <c r="C48" s="252"/>
      <c r="D48" s="252"/>
      <c r="E48" s="252"/>
      <c r="F48" s="252"/>
      <c r="G48" s="252"/>
    </row>
    <row r="49" spans="1:16" s="27" customFormat="1" ht="15">
      <c r="A49" s="253"/>
      <c r="B49" s="254"/>
      <c r="C49" s="254"/>
      <c r="D49" s="254"/>
      <c r="E49" s="254"/>
      <c r="F49" s="254"/>
      <c r="G49" s="254"/>
      <c r="H49" s="43"/>
      <c r="I49" s="43"/>
      <c r="J49" s="43"/>
      <c r="K49" s="43"/>
      <c r="L49" s="43"/>
      <c r="M49" s="43"/>
      <c r="N49" s="43"/>
      <c r="O49" s="43"/>
      <c r="P49" s="44"/>
    </row>
    <row r="50" spans="1:16" s="27" customFormat="1" ht="15">
      <c r="A50" s="93" t="s">
        <v>336</v>
      </c>
      <c r="B50" s="120"/>
      <c r="C50" s="121"/>
      <c r="D50" s="120"/>
      <c r="E50" s="122"/>
      <c r="F50" s="31"/>
      <c r="G50" s="31"/>
      <c r="H50" s="31"/>
      <c r="P50" s="90"/>
    </row>
    <row r="51" spans="1:16" s="27" customFormat="1" ht="15">
      <c r="A51" s="38"/>
      <c r="B51" s="120"/>
      <c r="C51" s="121"/>
      <c r="D51" s="120"/>
      <c r="E51" s="122"/>
      <c r="F51" s="31"/>
      <c r="G51" s="31"/>
      <c r="H51" s="31"/>
      <c r="P51" s="90"/>
    </row>
    <row r="52" spans="1:16" s="27" customFormat="1" ht="15">
      <c r="A52" s="38" t="s">
        <v>337</v>
      </c>
      <c r="D52" s="123"/>
      <c r="E52" s="124" t="s">
        <v>101</v>
      </c>
      <c r="F52" s="31"/>
      <c r="G52" s="31"/>
      <c r="H52" s="31"/>
      <c r="P52" s="90"/>
    </row>
    <row r="53" spans="1:16" s="27" customFormat="1" ht="15">
      <c r="A53" s="38"/>
      <c r="D53" s="120"/>
      <c r="E53" s="121"/>
      <c r="F53" s="31"/>
      <c r="G53" s="31"/>
      <c r="H53" s="31"/>
      <c r="P53" s="90"/>
    </row>
    <row r="54" spans="1:16" s="27" customFormat="1" ht="15">
      <c r="A54" s="38" t="s">
        <v>338</v>
      </c>
      <c r="D54" s="123"/>
      <c r="E54" s="124" t="s">
        <v>101</v>
      </c>
      <c r="F54" s="31"/>
      <c r="G54" s="31"/>
      <c r="H54" s="31"/>
      <c r="P54" s="90"/>
    </row>
    <row r="55" spans="1:16" s="27" customFormat="1" ht="15">
      <c r="A55" s="38"/>
      <c r="D55" s="120"/>
      <c r="E55" s="31"/>
      <c r="F55" s="31"/>
      <c r="G55" s="31"/>
      <c r="H55" s="31"/>
      <c r="P55" s="90"/>
    </row>
    <row r="56" spans="1:16" s="27" customFormat="1" ht="15">
      <c r="A56" s="38" t="s">
        <v>105</v>
      </c>
      <c r="D56" s="126">
        <f>D52-D54</f>
        <v>0</v>
      </c>
      <c r="E56" s="31"/>
      <c r="F56" s="31"/>
      <c r="G56" s="31"/>
      <c r="H56" s="31"/>
      <c r="P56" s="90"/>
    </row>
    <row r="57" spans="1:16" s="27" customFormat="1" thickBot="1">
      <c r="A57" s="255"/>
      <c r="B57" s="256"/>
      <c r="C57" s="257"/>
      <c r="D57" s="257"/>
      <c r="E57" s="258"/>
      <c r="F57" s="257"/>
      <c r="G57" s="257"/>
      <c r="H57" s="257"/>
      <c r="I57" s="91"/>
      <c r="J57" s="91"/>
      <c r="K57" s="91"/>
      <c r="L57" s="91"/>
      <c r="M57" s="91"/>
      <c r="N57" s="91"/>
      <c r="O57" s="91"/>
      <c r="P57" s="92"/>
    </row>
    <row r="58" spans="1:16" s="27" customFormat="1" thickBot="1">
      <c r="A58" s="38"/>
      <c r="B58" s="120"/>
      <c r="C58" s="31"/>
      <c r="D58" s="31"/>
      <c r="E58" s="125"/>
      <c r="F58" s="31"/>
      <c r="G58" s="31"/>
      <c r="H58" s="31"/>
    </row>
    <row r="59" spans="1:16" s="27" customFormat="1" ht="15">
      <c r="A59" s="40"/>
      <c r="B59" s="259"/>
      <c r="C59" s="47"/>
      <c r="D59" s="47"/>
      <c r="E59" s="260"/>
      <c r="F59" s="47"/>
      <c r="G59" s="47"/>
      <c r="H59" s="47"/>
      <c r="I59" s="43"/>
      <c r="J59" s="43"/>
      <c r="K59" s="43"/>
      <c r="L59" s="43"/>
      <c r="M59" s="43"/>
      <c r="N59" s="43"/>
      <c r="O59" s="43"/>
      <c r="P59" s="44"/>
    </row>
    <row r="60" spans="1:16" s="27" customFormat="1" ht="15">
      <c r="A60" s="93" t="s">
        <v>339</v>
      </c>
      <c r="B60" s="120"/>
      <c r="C60" s="31"/>
      <c r="D60" s="31"/>
      <c r="E60" s="125"/>
      <c r="F60" s="31"/>
      <c r="G60" s="31"/>
      <c r="H60" s="31"/>
      <c r="P60" s="90"/>
    </row>
    <row r="61" spans="1:16" s="27" customFormat="1" ht="15">
      <c r="A61" s="54"/>
      <c r="B61" s="120"/>
      <c r="C61" s="31"/>
      <c r="D61" s="31"/>
      <c r="E61" s="125"/>
      <c r="F61" s="31"/>
      <c r="G61" s="31"/>
      <c r="H61" s="31"/>
      <c r="P61" s="90"/>
    </row>
    <row r="62" spans="1:16" s="27" customFormat="1" ht="15">
      <c r="A62" s="127" t="s">
        <v>340</v>
      </c>
      <c r="B62" s="120"/>
      <c r="C62" s="31"/>
      <c r="D62" s="31"/>
      <c r="E62" s="125"/>
      <c r="F62" s="31"/>
      <c r="G62" s="31"/>
      <c r="H62" s="31"/>
      <c r="P62" s="90"/>
    </row>
    <row r="63" spans="1:16" s="27" customFormat="1" ht="15">
      <c r="A63" s="127" t="s">
        <v>341</v>
      </c>
      <c r="B63" s="120"/>
      <c r="C63" s="31"/>
      <c r="D63" s="31"/>
      <c r="E63" s="125"/>
      <c r="F63" s="31"/>
      <c r="G63" s="31"/>
      <c r="H63" s="31"/>
      <c r="P63" s="90"/>
    </row>
    <row r="64" spans="1:16" s="27" customFormat="1" ht="15">
      <c r="A64" s="127" t="s">
        <v>342</v>
      </c>
      <c r="B64" s="120"/>
      <c r="C64" s="31"/>
      <c r="D64" s="31"/>
      <c r="E64" s="125"/>
      <c r="F64" s="31"/>
      <c r="G64" s="31"/>
      <c r="H64" s="31"/>
      <c r="P64" s="90"/>
    </row>
    <row r="65" spans="1:16" s="27" customFormat="1" ht="14.45" customHeight="1">
      <c r="A65" s="127" t="s">
        <v>343</v>
      </c>
      <c r="B65" s="120"/>
      <c r="C65" s="31"/>
      <c r="D65" s="31"/>
      <c r="E65" s="125"/>
      <c r="F65" s="31"/>
      <c r="G65" s="31"/>
      <c r="H65" s="31"/>
      <c r="P65" s="90"/>
    </row>
    <row r="66" spans="1:16" s="27" customFormat="1" ht="15">
      <c r="A66" s="127"/>
      <c r="B66" s="120"/>
      <c r="C66" s="31"/>
      <c r="D66" s="31"/>
      <c r="E66" s="125"/>
      <c r="F66" s="31"/>
      <c r="G66" s="31"/>
      <c r="H66" s="31"/>
      <c r="P66" s="90"/>
    </row>
    <row r="67" spans="1:16" s="27" customFormat="1" ht="15">
      <c r="A67" s="127" t="s">
        <v>344</v>
      </c>
      <c r="C67" s="31"/>
      <c r="D67" s="128">
        <f>SUM(B61:B66)</f>
        <v>0</v>
      </c>
      <c r="E67" s="125"/>
      <c r="F67" s="31"/>
      <c r="G67" s="31"/>
      <c r="H67" s="31"/>
      <c r="P67" s="90"/>
    </row>
    <row r="68" spans="1:16" s="27" customFormat="1" ht="15">
      <c r="A68" s="127"/>
      <c r="C68" s="31"/>
      <c r="D68" s="120"/>
      <c r="E68" s="125"/>
      <c r="F68" s="31"/>
      <c r="G68" s="31"/>
      <c r="H68" s="31"/>
      <c r="P68" s="90"/>
    </row>
    <row r="69" spans="1:16" s="27" customFormat="1" ht="15">
      <c r="A69" s="127" t="s">
        <v>345</v>
      </c>
      <c r="D69" s="123"/>
      <c r="E69" s="31" t="s">
        <v>346</v>
      </c>
      <c r="F69" s="261"/>
      <c r="G69" s="31"/>
      <c r="H69" s="31"/>
      <c r="P69" s="90"/>
    </row>
    <row r="70" spans="1:16" s="27" customFormat="1" ht="15">
      <c r="A70" s="127"/>
      <c r="C70" s="31"/>
      <c r="D70" s="120"/>
      <c r="E70" s="125"/>
      <c r="F70" s="31"/>
      <c r="G70" s="31"/>
      <c r="H70" s="31"/>
      <c r="P70" s="90"/>
    </row>
    <row r="71" spans="1:16" s="27" customFormat="1" ht="15">
      <c r="A71" s="127" t="s">
        <v>347</v>
      </c>
      <c r="C71" s="31"/>
      <c r="D71" s="129" t="e">
        <f>D67/D69</f>
        <v>#DIV/0!</v>
      </c>
      <c r="E71" s="125"/>
      <c r="F71" s="31"/>
      <c r="G71" s="31"/>
      <c r="H71" s="31"/>
      <c r="P71" s="90"/>
    </row>
    <row r="72" spans="1:16" s="27" customFormat="1" ht="15">
      <c r="A72" s="127"/>
      <c r="C72" s="31"/>
      <c r="D72" s="120"/>
      <c r="E72" s="125"/>
      <c r="F72" s="31"/>
      <c r="G72" s="31"/>
      <c r="H72" s="31"/>
      <c r="P72" s="90"/>
    </row>
    <row r="73" spans="1:16" s="27" customFormat="1" ht="15">
      <c r="A73" s="127"/>
      <c r="C73" s="31"/>
      <c r="D73" s="120"/>
      <c r="E73" s="125"/>
      <c r="F73" s="31"/>
      <c r="G73" s="31"/>
      <c r="H73" s="31"/>
      <c r="P73" s="90"/>
    </row>
    <row r="74" spans="1:16" s="27" customFormat="1" ht="15">
      <c r="A74" s="127" t="s">
        <v>348</v>
      </c>
      <c r="C74" s="31"/>
      <c r="D74" s="123"/>
      <c r="E74" s="125"/>
      <c r="F74" s="31"/>
      <c r="G74" s="31"/>
      <c r="H74" s="31"/>
      <c r="P74" s="90"/>
    </row>
    <row r="75" spans="1:16" s="27" customFormat="1" ht="15">
      <c r="A75" s="127"/>
      <c r="C75" s="31"/>
      <c r="D75" s="120"/>
      <c r="E75" s="125"/>
      <c r="F75" s="31"/>
      <c r="G75" s="31"/>
      <c r="H75" s="31"/>
      <c r="P75" s="90"/>
    </row>
    <row r="76" spans="1:16" s="27" customFormat="1" ht="15">
      <c r="A76" s="127" t="s">
        <v>105</v>
      </c>
      <c r="C76" s="31"/>
      <c r="D76" s="130" t="e">
        <f>D71-D74</f>
        <v>#DIV/0!</v>
      </c>
      <c r="E76" s="125"/>
      <c r="F76" s="31"/>
      <c r="G76" s="31"/>
      <c r="H76" s="31"/>
      <c r="P76" s="90"/>
    </row>
    <row r="77" spans="1:16" s="27" customFormat="1" ht="15">
      <c r="A77" s="39"/>
      <c r="B77" s="120"/>
      <c r="C77" s="31"/>
      <c r="D77" s="31"/>
      <c r="E77" s="125"/>
      <c r="F77" s="31"/>
      <c r="G77" s="31"/>
      <c r="H77" s="31"/>
      <c r="P77" s="90"/>
    </row>
    <row r="78" spans="1:16" s="32" customFormat="1" ht="75" customHeight="1">
      <c r="A78" s="537" t="s">
        <v>154</v>
      </c>
      <c r="B78" s="538"/>
      <c r="C78" s="538"/>
      <c r="D78" s="538"/>
      <c r="E78" s="538"/>
      <c r="F78" s="538"/>
      <c r="G78" s="538"/>
      <c r="H78" s="538"/>
      <c r="I78" s="538"/>
      <c r="J78" s="538"/>
      <c r="K78" s="538"/>
      <c r="L78" s="538"/>
      <c r="M78" s="538"/>
      <c r="N78" s="538"/>
      <c r="O78" s="538"/>
      <c r="P78" s="539"/>
    </row>
    <row r="79" spans="1:16" s="27" customFormat="1" thickBot="1">
      <c r="A79" s="255"/>
      <c r="B79" s="256"/>
      <c r="C79" s="257"/>
      <c r="D79" s="257"/>
      <c r="E79" s="258"/>
      <c r="F79" s="257"/>
      <c r="G79" s="257"/>
      <c r="H79" s="257"/>
      <c r="I79" s="91"/>
      <c r="J79" s="91"/>
      <c r="K79" s="91"/>
      <c r="L79" s="91"/>
      <c r="M79" s="91"/>
      <c r="N79" s="91"/>
      <c r="O79" s="91"/>
      <c r="P79" s="92"/>
    </row>
    <row r="80" spans="1:16" s="27" customFormat="1" thickBot="1">
      <c r="A80" s="38"/>
      <c r="B80" s="120"/>
      <c r="C80" s="31"/>
      <c r="D80" s="31"/>
      <c r="E80" s="125"/>
      <c r="F80" s="31"/>
      <c r="G80" s="31"/>
      <c r="H80" s="31"/>
    </row>
    <row r="81" spans="1:16" s="27" customFormat="1" ht="15">
      <c r="A81" s="40"/>
      <c r="B81" s="259"/>
      <c r="C81" s="47"/>
      <c r="D81" s="47"/>
      <c r="E81" s="260"/>
      <c r="F81" s="47"/>
      <c r="G81" s="47"/>
      <c r="H81" s="47"/>
      <c r="I81" s="43"/>
      <c r="J81" s="43"/>
      <c r="K81" s="43"/>
      <c r="L81" s="43"/>
      <c r="M81" s="43"/>
      <c r="N81" s="43"/>
      <c r="O81" s="43"/>
      <c r="P81" s="44"/>
    </row>
    <row r="82" spans="1:16" s="27" customFormat="1" ht="15">
      <c r="A82" s="93" t="s">
        <v>349</v>
      </c>
      <c r="B82" s="120"/>
      <c r="C82" s="31"/>
      <c r="D82" s="31"/>
      <c r="E82" s="125"/>
      <c r="F82" s="31"/>
      <c r="G82" s="31"/>
      <c r="H82" s="31"/>
      <c r="P82" s="90"/>
    </row>
    <row r="83" spans="1:16" s="27" customFormat="1" ht="15">
      <c r="A83" s="131"/>
      <c r="B83" s="31"/>
      <c r="C83" s="31"/>
      <c r="D83" s="31"/>
      <c r="E83" s="122"/>
      <c r="F83" s="31"/>
      <c r="G83" s="31"/>
      <c r="H83" s="31"/>
      <c r="P83" s="90"/>
    </row>
    <row r="84" spans="1:16" s="27" customFormat="1" ht="15">
      <c r="B84" s="378"/>
      <c r="C84" s="379"/>
      <c r="D84" s="377" t="s">
        <v>350</v>
      </c>
      <c r="E84" s="132" t="s">
        <v>351</v>
      </c>
      <c r="F84" s="133" t="s">
        <v>352</v>
      </c>
      <c r="G84" s="133" t="s">
        <v>351</v>
      </c>
      <c r="H84" s="133" t="s">
        <v>351</v>
      </c>
      <c r="I84" s="133" t="s">
        <v>351</v>
      </c>
      <c r="J84" s="31"/>
      <c r="P84" s="90"/>
    </row>
    <row r="85" spans="1:16" s="27" customFormat="1" ht="15">
      <c r="A85" s="134"/>
      <c r="E85" s="120"/>
      <c r="F85" s="31"/>
      <c r="G85" s="31"/>
      <c r="H85" s="31"/>
      <c r="I85" s="31"/>
      <c r="J85" s="135" t="s">
        <v>353</v>
      </c>
      <c r="P85" s="90"/>
    </row>
    <row r="86" spans="1:16" s="27" customFormat="1" ht="15">
      <c r="B86" s="340"/>
      <c r="C86" s="381"/>
      <c r="D86" s="380" t="s">
        <v>354</v>
      </c>
      <c r="E86" s="136"/>
      <c r="F86" s="136"/>
      <c r="G86" s="136"/>
      <c r="H86" s="136"/>
      <c r="I86" s="136"/>
      <c r="J86" s="88"/>
      <c r="P86" s="90"/>
    </row>
    <row r="87" spans="1:16" s="27" customFormat="1" ht="15">
      <c r="A87" s="137"/>
      <c r="E87" s="138"/>
      <c r="F87" s="139"/>
      <c r="G87" s="138"/>
      <c r="H87" s="138"/>
      <c r="I87" s="138"/>
      <c r="J87" s="140"/>
      <c r="P87" s="90"/>
    </row>
    <row r="88" spans="1:16" s="27" customFormat="1" ht="15">
      <c r="B88" s="383"/>
      <c r="C88" s="384"/>
      <c r="D88" s="382" t="s">
        <v>355</v>
      </c>
      <c r="E88" s="141">
        <f>IF(E$86&lt;8133,E$86,8133)</f>
        <v>0</v>
      </c>
      <c r="F88" s="141">
        <f>IF(F$86&lt;8133,F$86,8133)</f>
        <v>0</v>
      </c>
      <c r="G88" s="141">
        <f>IF(G$86&lt;8133,G$86,8133)</f>
        <v>0</v>
      </c>
      <c r="H88" s="141">
        <f>IF(H$86&lt;8133,H$86,8133)</f>
        <v>0</v>
      </c>
      <c r="I88" s="141">
        <f>IF(I$86&lt;8133,I$86,8133)</f>
        <v>0</v>
      </c>
      <c r="J88" s="140"/>
      <c r="P88" s="90"/>
    </row>
    <row r="89" spans="1:16" s="27" customFormat="1" ht="15">
      <c r="B89" s="383"/>
      <c r="C89" s="384"/>
      <c r="D89" s="382" t="s">
        <v>356</v>
      </c>
      <c r="E89" s="141">
        <f>IF(E86&gt;8133,IF(E$86&gt;16237,16237-8133,E$86-16237),0)</f>
        <v>0</v>
      </c>
      <c r="F89" s="141">
        <f>IF(F86&gt;8133,IF(F$86&gt;16237,16237-8133,F$86-16237),0)</f>
        <v>0</v>
      </c>
      <c r="G89" s="141">
        <f>IF(G86&gt;8133,IF(G$86&gt;16237,16237-8133,G$86-16237),0)</f>
        <v>0</v>
      </c>
      <c r="H89" s="141">
        <f>IF(H86&gt;8133,IF(H$86&gt;16237,16237-8133,H$86-16237),0)</f>
        <v>0</v>
      </c>
      <c r="I89" s="141">
        <f>IF(I86&gt;8133,IF(I$86&gt;16237,16237-8133,I$86-16237),0)</f>
        <v>0</v>
      </c>
      <c r="J89" s="142"/>
      <c r="P89" s="90"/>
    </row>
    <row r="90" spans="1:16" s="27" customFormat="1" ht="15">
      <c r="B90" s="383"/>
      <c r="C90" s="384"/>
      <c r="D90" s="382" t="s">
        <v>357</v>
      </c>
      <c r="E90" s="141">
        <f>IF(E$86&gt;16237,E$86-16237,0)</f>
        <v>0</v>
      </c>
      <c r="F90" s="141">
        <f>IF(F$86&gt;16237,F$86-16237,0)</f>
        <v>0</v>
      </c>
      <c r="G90" s="141">
        <f>IF(G$86&gt;16237,G$86-16237,0)</f>
        <v>0</v>
      </c>
      <c r="H90" s="141">
        <f>IF(H$86&gt;16237,H$86-16237,0)</f>
        <v>0</v>
      </c>
      <c r="I90" s="141">
        <f>IF(I$86&gt;16237,I$86-16237,0)</f>
        <v>0</v>
      </c>
      <c r="J90" s="142"/>
      <c r="P90" s="90"/>
    </row>
    <row r="91" spans="1:16" s="27" customFormat="1" ht="15">
      <c r="A91" s="143"/>
      <c r="E91" s="144"/>
      <c r="F91" s="144"/>
      <c r="G91" s="144"/>
      <c r="H91" s="144"/>
      <c r="I91" s="144"/>
      <c r="J91" s="142"/>
      <c r="P91" s="90"/>
    </row>
    <row r="92" spans="1:16" s="27" customFormat="1" ht="30">
      <c r="B92" s="386"/>
      <c r="C92" s="387"/>
      <c r="D92" s="388" t="s">
        <v>358</v>
      </c>
      <c r="E92" s="141">
        <f>E$88*0.0425+E$89*0.085+E$90*0.136</f>
        <v>0</v>
      </c>
      <c r="F92" s="141">
        <f>F$88*0.0425+F$89*0.085+F$90*0.136</f>
        <v>0</v>
      </c>
      <c r="G92" s="141">
        <f>G$88*0.0425+G$89*0.085+G$90*0.136</f>
        <v>0</v>
      </c>
      <c r="H92" s="141">
        <f>H$88*0.0425+H$89*0.085+H$90*0.136</f>
        <v>0</v>
      </c>
      <c r="I92" s="141">
        <f>I$88*0.0425+I$89*0.085+I$90*0.136</f>
        <v>0</v>
      </c>
      <c r="J92" s="145"/>
      <c r="P92" s="90"/>
    </row>
    <row r="93" spans="1:16" s="27" customFormat="1" thickBot="1">
      <c r="A93" s="265"/>
      <c r="B93" s="91"/>
      <c r="C93" s="91"/>
      <c r="D93" s="91"/>
      <c r="E93" s="266"/>
      <c r="F93" s="266"/>
      <c r="G93" s="266"/>
      <c r="H93" s="266"/>
      <c r="I93" s="266"/>
      <c r="J93" s="266"/>
      <c r="K93" s="91"/>
      <c r="L93" s="91"/>
      <c r="M93" s="91"/>
      <c r="N93" s="91"/>
      <c r="O93" s="91"/>
      <c r="P93" s="92"/>
    </row>
    <row r="94" spans="1:16" s="27" customFormat="1" thickBot="1">
      <c r="E94" s="142"/>
      <c r="F94" s="142"/>
      <c r="G94" s="142"/>
      <c r="H94" s="142"/>
      <c r="I94" s="142"/>
      <c r="J94" s="142"/>
    </row>
    <row r="95" spans="1:16" s="27" customFormat="1" ht="15">
      <c r="A95" s="267"/>
      <c r="B95" s="43"/>
      <c r="C95" s="43"/>
      <c r="D95" s="43"/>
      <c r="E95" s="268"/>
      <c r="F95" s="268"/>
      <c r="G95" s="269"/>
      <c r="H95" s="270"/>
      <c r="I95" s="268"/>
      <c r="J95" s="268"/>
      <c r="K95" s="43"/>
      <c r="L95" s="43"/>
      <c r="M95" s="43"/>
      <c r="N95" s="43"/>
      <c r="O95" s="43"/>
      <c r="P95" s="44"/>
    </row>
    <row r="96" spans="1:16" s="27" customFormat="1" ht="15">
      <c r="A96" s="93" t="s">
        <v>359</v>
      </c>
      <c r="E96" s="140"/>
      <c r="F96" s="140"/>
      <c r="G96" s="51"/>
      <c r="H96" s="122"/>
      <c r="I96" s="140"/>
      <c r="J96" s="140"/>
      <c r="P96" s="90"/>
    </row>
    <row r="97" spans="1:16" s="27" customFormat="1" ht="15">
      <c r="A97" s="137"/>
      <c r="E97" s="140"/>
      <c r="F97" s="140"/>
      <c r="G97" s="51"/>
      <c r="H97" s="122"/>
      <c r="I97" s="140"/>
      <c r="J97" s="135" t="s">
        <v>353</v>
      </c>
      <c r="P97" s="90"/>
    </row>
    <row r="98" spans="1:16" s="27" customFormat="1" ht="15">
      <c r="B98" s="378"/>
      <c r="C98" s="379"/>
      <c r="D98" s="377" t="s">
        <v>350</v>
      </c>
      <c r="E98" s="141" t="str">
        <f>E84</f>
        <v>XXXX</v>
      </c>
      <c r="F98" s="141" t="str">
        <f>F84</f>
        <v>XXXXX</v>
      </c>
      <c r="G98" s="141" t="str">
        <f>G84</f>
        <v>XXXX</v>
      </c>
      <c r="H98" s="141" t="str">
        <f>H84</f>
        <v>XXXX</v>
      </c>
      <c r="I98" s="141" t="str">
        <f>I84</f>
        <v>XXXX</v>
      </c>
      <c r="J98" s="146"/>
      <c r="P98" s="90"/>
    </row>
    <row r="99" spans="1:16" s="27" customFormat="1" ht="30">
      <c r="B99" s="386"/>
      <c r="C99" s="387"/>
      <c r="D99" s="388" t="s">
        <v>360</v>
      </c>
      <c r="E99" s="147"/>
      <c r="F99" s="147"/>
      <c r="G99" s="148"/>
      <c r="H99" s="149"/>
      <c r="I99" s="147"/>
      <c r="J99" s="146"/>
      <c r="P99" s="90"/>
    </row>
    <row r="100" spans="1:16" s="27" customFormat="1" ht="15">
      <c r="A100" s="137"/>
      <c r="E100" s="140"/>
      <c r="F100" s="140"/>
      <c r="G100" s="51"/>
      <c r="H100" s="122"/>
      <c r="I100" s="140"/>
      <c r="J100" s="140"/>
      <c r="P100" s="90"/>
    </row>
    <row r="101" spans="1:16" s="27" customFormat="1" ht="15">
      <c r="B101" s="386"/>
      <c r="C101" s="387"/>
      <c r="D101" s="385" t="s">
        <v>361</v>
      </c>
      <c r="E101" s="150">
        <f>E92-E99</f>
        <v>0</v>
      </c>
      <c r="F101" s="150">
        <f>F92-F99</f>
        <v>0</v>
      </c>
      <c r="G101" s="150">
        <f>G92-G99</f>
        <v>0</v>
      </c>
      <c r="H101" s="150">
        <f>H92-H99</f>
        <v>0</v>
      </c>
      <c r="I101" s="150">
        <f>I92-I99</f>
        <v>0</v>
      </c>
      <c r="J101" s="140"/>
      <c r="P101" s="90"/>
    </row>
    <row r="102" spans="1:16" s="27" customFormat="1" ht="15">
      <c r="A102" s="137"/>
      <c r="B102" s="140"/>
      <c r="C102" s="140"/>
      <c r="D102" s="51"/>
      <c r="E102" s="122"/>
      <c r="F102" s="140"/>
      <c r="G102" s="140"/>
      <c r="H102" s="31"/>
      <c r="P102" s="90"/>
    </row>
    <row r="103" spans="1:16" s="27" customFormat="1" ht="15">
      <c r="A103" s="137"/>
      <c r="B103" s="140"/>
      <c r="C103" s="140"/>
      <c r="D103" s="51"/>
      <c r="E103" s="122"/>
      <c r="F103" s="140"/>
      <c r="G103" s="140"/>
      <c r="H103" s="31"/>
      <c r="P103" s="90"/>
    </row>
    <row r="104" spans="1:16" s="32" customFormat="1" ht="75" customHeight="1">
      <c r="A104" s="537" t="s">
        <v>154</v>
      </c>
      <c r="B104" s="538"/>
      <c r="C104" s="538"/>
      <c r="D104" s="538"/>
      <c r="E104" s="538"/>
      <c r="F104" s="538"/>
      <c r="G104" s="538"/>
      <c r="H104" s="538"/>
      <c r="I104" s="538"/>
      <c r="J104" s="538"/>
      <c r="K104" s="538"/>
      <c r="L104" s="538"/>
      <c r="M104" s="538"/>
      <c r="N104" s="538"/>
      <c r="O104" s="538"/>
      <c r="P104" s="539"/>
    </row>
    <row r="105" spans="1:16" ht="16.5" thickBot="1">
      <c r="A105" s="262"/>
      <c r="B105" s="263"/>
      <c r="C105" s="263"/>
      <c r="D105" s="263"/>
      <c r="E105" s="263"/>
      <c r="F105" s="263"/>
      <c r="G105" s="263"/>
      <c r="H105" s="263"/>
      <c r="I105" s="263"/>
      <c r="J105" s="263"/>
      <c r="K105" s="263"/>
      <c r="L105" s="263"/>
      <c r="M105" s="263"/>
      <c r="N105" s="263"/>
      <c r="O105" s="263"/>
      <c r="P105" s="264"/>
    </row>
  </sheetData>
  <sheetProtection formatCells="0" formatColumns="0" formatRows="0" insertColumns="0" insertRows="0" insertHyperlinks="0" deleteColumns="0" deleteRows="0" sort="0" autoFilter="0" pivotTables="0"/>
  <mergeCells count="23">
    <mergeCell ref="A104:P104"/>
    <mergeCell ref="O8:P8"/>
    <mergeCell ref="A46:P46"/>
    <mergeCell ref="A78:P78"/>
    <mergeCell ref="A21:P21"/>
    <mergeCell ref="A24:P24"/>
    <mergeCell ref="A26:P26"/>
    <mergeCell ref="A14:P14"/>
    <mergeCell ref="A9:C9"/>
    <mergeCell ref="D9:E9"/>
    <mergeCell ref="F9:I9"/>
    <mergeCell ref="J9:K9"/>
    <mergeCell ref="L9:N9"/>
    <mergeCell ref="O9:P9"/>
    <mergeCell ref="A11:P11"/>
    <mergeCell ref="A13:P13"/>
    <mergeCell ref="D1:M2"/>
    <mergeCell ref="A3:P5"/>
    <mergeCell ref="E6:L7"/>
    <mergeCell ref="M6:N6"/>
    <mergeCell ref="O6:P6"/>
    <mergeCell ref="M7:N7"/>
    <mergeCell ref="O7:P7"/>
  </mergeCells>
  <dataValidations count="2">
    <dataValidation type="list" showInputMessage="1" showErrorMessage="1" sqref="D9:E9" xr:uid="{00000000-0002-0000-0800-000000000000}">
      <formula1>RAS</formula1>
    </dataValidation>
    <dataValidation type="list" allowBlank="1" showInputMessage="1" showErrorMessage="1" sqref="O9:P9" xr:uid="{00000000-0002-0000-0800-000001000000}">
      <formula1>Diligences</formula1>
    </dataValidation>
  </dataValidations>
  <hyperlinks>
    <hyperlink ref="O8:P8" location="'E Synthèse'!A1" display="E Synthèse" xr:uid="{00000000-0004-0000-08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7d32b71-31f9-4ffd-a7f0-416f695e1477">
      <Terms xmlns="http://schemas.microsoft.com/office/infopath/2007/PartnerControls"/>
    </lcf76f155ced4ddcb4097134ff3c332f>
    <TaxCatchAll xmlns="d905335e-07f7-449f-8325-7d00af0e6b9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3FFDFD4C05D14DADD40B72BFB892F2" ma:contentTypeVersion="12" ma:contentTypeDescription="Crée un document." ma:contentTypeScope="" ma:versionID="ffaa0fe9f6dcdabb248cd120433867de">
  <xsd:schema xmlns:xsd="http://www.w3.org/2001/XMLSchema" xmlns:xs="http://www.w3.org/2001/XMLSchema" xmlns:p="http://schemas.microsoft.com/office/2006/metadata/properties" xmlns:ns2="27d32b71-31f9-4ffd-a7f0-416f695e1477" xmlns:ns3="d905335e-07f7-449f-8325-7d00af0e6b96" targetNamespace="http://schemas.microsoft.com/office/2006/metadata/properties" ma:root="true" ma:fieldsID="e911a3a7f25565ed2eec782e12e0db57" ns2:_="" ns3:_="">
    <xsd:import namespace="27d32b71-31f9-4ffd-a7f0-416f695e1477"/>
    <xsd:import namespace="d905335e-07f7-449f-8325-7d00af0e6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32b71-31f9-4ffd-a7f0-416f695e14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e55a836-def3-43e3-8f00-2a26c919754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05335e-07f7-449f-8325-7d00af0e6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981c32-6aaa-40cd-9bf7-e0202a3392a7}" ma:internalName="TaxCatchAll" ma:showField="CatchAllData" ma:web="d905335e-07f7-449f-8325-7d00af0e6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1905C2-21F7-4AF4-9C92-6894FEC2F30A}"/>
</file>

<file path=customXml/itemProps2.xml><?xml version="1.0" encoding="utf-8"?>
<ds:datastoreItem xmlns:ds="http://schemas.openxmlformats.org/officeDocument/2006/customXml" ds:itemID="{D0133A94-7521-4379-AFF2-50BD5410F047}"/>
</file>

<file path=customXml/itemProps3.xml><?xml version="1.0" encoding="utf-8"?>
<ds:datastoreItem xmlns:ds="http://schemas.openxmlformats.org/officeDocument/2006/customXml" ds:itemID="{FBB0F696-7858-4660-8661-5CE8B2CE88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CHA. ARNAUD</dc:creator>
  <cp:keywords/>
  <dc:description/>
  <cp:lastModifiedBy>sarah BADRA</cp:lastModifiedBy>
  <cp:revision/>
  <dcterms:created xsi:type="dcterms:W3CDTF">2017-01-24T11:12:27Z</dcterms:created>
  <dcterms:modified xsi:type="dcterms:W3CDTF">2024-10-21T13:41:21Z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0x010100BD3FFDFD4C05D14DADD40B72BFB892F2</vt:lpwstr>
  </property>
  <property fmtid="{D5CDD505-2E9C-101B-9397-08002B2CF9AE}" pid="3" name="MediaServiceImageTags">
    <vt:lpwstr/>
  </property>
</Properties>
</file>