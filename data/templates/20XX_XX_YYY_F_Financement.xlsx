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Srvdcvil\collaborateurs\2-COLLABORATEURS\Brian\Modèles\Dossier annuel\F- Financement\"/>
    </mc:Choice>
  </mc:AlternateContent>
  <xr:revisionPtr revIDLastSave="0" documentId="13_ncr:1_{8D01836C-4EED-4B41-903D-D415D511FD33}" xr6:coauthVersionLast="47" xr6:coauthVersionMax="47" xr10:uidLastSave="{00000000-0000-0000-0000-000000000000}"/>
  <bookViews>
    <workbookView xWindow="-28920" yWindow="-120" windowWidth="29040" windowHeight="15720" tabRatio="659" xr2:uid="{00000000-000D-0000-FFFF-FFFF00000000}"/>
  </bookViews>
  <sheets>
    <sheet name="F Synthèse" sheetId="4" r:id="rId1"/>
    <sheet name="F100 Etat de rappro bancaire" sheetId="1" r:id="rId2"/>
    <sheet name="F200 Caisse" sheetId="5" r:id="rId3"/>
    <sheet name="F300 Décaissement post-clôture" sheetId="8" r:id="rId4"/>
    <sheet name="F400 Circularisations" sheetId="9" r:id="rId5"/>
    <sheet name="F500 Emprunts" sheetId="10" r:id="rId6"/>
    <sheet name="F600 Comptes courants" sheetId="11" r:id="rId7"/>
    <sheet name="F700 Résultat financier" sheetId="13" state="hidden" r:id="rId8"/>
    <sheet name="F800 VMP" sheetId="6" r:id="rId9"/>
    <sheet name="F900 Comptes à terme" sheetId="7" r:id="rId10"/>
  </sheets>
  <externalReferences>
    <externalReference r:id="rId11"/>
    <externalReference r:id="rId12"/>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0">#REF!</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 localSheetId="8">#REF!</definedName>
    <definedName name="dateCloture" localSheetId="9">#REF!</definedName>
    <definedName name="dateCloture">#REF!</definedName>
    <definedName name="DatesCloture">"$#REF !.$F$9:$#REF !.$M$9"</definedName>
    <definedName name="Diligences" localSheetId="0">'F Synthèse'!$Q$7:$Q$9</definedName>
    <definedName name="Diligences" localSheetId="1">'F100 Etat de rappro bancaire'!#REF!</definedName>
    <definedName name="Diligences" localSheetId="2">'F200 Caisse'!#REF!</definedName>
    <definedName name="Diligences" localSheetId="3">'F300 Décaissement post-clôture'!#REF!</definedName>
    <definedName name="Diligences" localSheetId="4">'F400 Circularisations'!#REF!</definedName>
    <definedName name="Diligences" localSheetId="5">'F500 Emprunts'!#REF!</definedName>
    <definedName name="Diligences" localSheetId="6">'F600 Comptes courants'!#REF!</definedName>
    <definedName name="Diligences" localSheetId="7">'F700 Résultat financier'!#REF!</definedName>
    <definedName name="Diligences" localSheetId="8">'F800 VMP'!#REF!</definedName>
    <definedName name="Diligences" localSheetId="9">'F900 Comptes à terme'!#REF!</definedName>
    <definedName name="Diligences">'[2]I Synthèse'!$R$7:$R$9</definedName>
    <definedName name="Etat" localSheetId="0">'F Synthèse'!$Q$1:$Q$3</definedName>
    <definedName name="Etat" localSheetId="1">'F100 Etat de rappro bancaire'!#REF!</definedName>
    <definedName name="Etat" localSheetId="2">'F200 Caisse'!#REF!</definedName>
    <definedName name="Etat" localSheetId="3">'F300 Décaissement post-clôture'!#REF!</definedName>
    <definedName name="Etat" localSheetId="4">'F400 Circularisations'!#REF!</definedName>
    <definedName name="Etat" localSheetId="5">'F500 Emprunts'!#REF!</definedName>
    <definedName name="Etat" localSheetId="6">'F600 Comptes courants'!#REF!</definedName>
    <definedName name="Etat" localSheetId="7">'F700 Résultat financier'!#REF!</definedName>
    <definedName name="Etat" localSheetId="8">'F800 VMP'!#REF!</definedName>
    <definedName name="Etat" localSheetId="9">'F900 Comptes à terme'!#REF!</definedName>
    <definedName name="Etat">'[2]I Synthèse'!$R$1:$R$3</definedName>
    <definedName name="NomDossier">"$#REF !.$E$1"</definedName>
    <definedName name="RAS" localSheetId="0">'F Synthèse'!$Q$4:$Q$6</definedName>
    <definedName name="RAS" localSheetId="1">'F100 Etat de rappro bancaire'!#REF!</definedName>
    <definedName name="RAS" localSheetId="2">'F200 Caisse'!#REF!</definedName>
    <definedName name="RAS" localSheetId="3">'F300 Décaissement post-clôture'!#REF!</definedName>
    <definedName name="RAS" localSheetId="4">'F400 Circularisations'!#REF!</definedName>
    <definedName name="RAS" localSheetId="5">'F500 Emprunts'!#REF!</definedName>
    <definedName name="RAS" localSheetId="6">'F600 Comptes courants'!#REF!</definedName>
    <definedName name="RAS" localSheetId="7">'F700 Résultat financier'!#REF!</definedName>
    <definedName name="RAS" localSheetId="8">'F800 VMP'!#REF!</definedName>
    <definedName name="RAS" localSheetId="9">'F900 Comptes à terme'!#REF!</definedName>
    <definedName name="RAS">'[2]I Synthèse'!$R$4:$R$6</definedName>
    <definedName name="referenceDossier" localSheetId="0">#REF!</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 localSheetId="8">#REF!</definedName>
    <definedName name="referenceDossier" localSheetId="9">#REF!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0">#REF!</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 localSheetId="8">#REF!</definedName>
    <definedName name="start_toc" localSheetId="9">#REF!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0">#REF!</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 localSheetId="8">#REF!</definedName>
    <definedName name="uniteMonetaire" localSheetId="9">#REF!</definedName>
    <definedName name="uniteMonetaire">#REF!</definedName>
    <definedName name="Z_11CE3843_8765_4D4C_AA39_79A83C002DF6_.wvu.PrintArea" localSheetId="0" hidden="1">'F Synthèse'!$A$1:$O$21</definedName>
    <definedName name="Z_11CE3843_8765_4D4C_AA39_79A83C002DF6_.wvu.PrintArea" localSheetId="1" hidden="1">'F100 Etat de rappro bancaire'!$A$1:$P$10</definedName>
    <definedName name="Z_11CE3843_8765_4D4C_AA39_79A83C002DF6_.wvu.PrintArea" localSheetId="2" hidden="1">'F200 Caisse'!$A$1:$P$10</definedName>
    <definedName name="Z_11CE3843_8765_4D4C_AA39_79A83C002DF6_.wvu.PrintArea" localSheetId="3" hidden="1">'F300 Décaissement post-clôture'!$A$1:$P$10</definedName>
    <definedName name="Z_11CE3843_8765_4D4C_AA39_79A83C002DF6_.wvu.PrintArea" localSheetId="4" hidden="1">'F400 Circularisations'!$A$1:$P$10</definedName>
    <definedName name="Z_11CE3843_8765_4D4C_AA39_79A83C002DF6_.wvu.PrintArea" localSheetId="5" hidden="1">'F500 Emprunts'!$A$1:$P$10</definedName>
    <definedName name="Z_11CE3843_8765_4D4C_AA39_79A83C002DF6_.wvu.PrintArea" localSheetId="6" hidden="1">'F600 Comptes courants'!$A$1:$P$10</definedName>
    <definedName name="Z_11CE3843_8765_4D4C_AA39_79A83C002DF6_.wvu.PrintArea" localSheetId="7" hidden="1">'F700 Résultat financier'!$A$1:$P$10</definedName>
    <definedName name="Z_11CE3843_8765_4D4C_AA39_79A83C002DF6_.wvu.PrintArea" localSheetId="8" hidden="1">'F800 VMP'!$A$1:$P$10</definedName>
    <definedName name="Z_11CE3843_8765_4D4C_AA39_79A83C002DF6_.wvu.PrintArea" localSheetId="9" hidden="1">'F900 Comptes à terme'!$A$1:$P$10</definedName>
    <definedName name="Z_3BBE5D10_E029_4BF5_BC04_29D3FAA5A0EB_.wvu.PrintArea" localSheetId="0" hidden="1">'F Synthèse'!$A$1:$O$21</definedName>
    <definedName name="Z_3BBE5D10_E029_4BF5_BC04_29D3FAA5A0EB_.wvu.PrintArea" localSheetId="1" hidden="1">'F100 Etat de rappro bancaire'!$A$1:$P$10</definedName>
    <definedName name="Z_3BBE5D10_E029_4BF5_BC04_29D3FAA5A0EB_.wvu.PrintArea" localSheetId="2" hidden="1">'F200 Caisse'!$A$1:$P$10</definedName>
    <definedName name="Z_3BBE5D10_E029_4BF5_BC04_29D3FAA5A0EB_.wvu.PrintArea" localSheetId="3" hidden="1">'F300 Décaissement post-clôture'!$A$1:$P$10</definedName>
    <definedName name="Z_3BBE5D10_E029_4BF5_BC04_29D3FAA5A0EB_.wvu.PrintArea" localSheetId="4" hidden="1">'F400 Circularisations'!$A$1:$P$10</definedName>
    <definedName name="Z_3BBE5D10_E029_4BF5_BC04_29D3FAA5A0EB_.wvu.PrintArea" localSheetId="5" hidden="1">'F500 Emprunts'!$A$1:$P$10</definedName>
    <definedName name="Z_3BBE5D10_E029_4BF5_BC04_29D3FAA5A0EB_.wvu.PrintArea" localSheetId="6" hidden="1">'F600 Comptes courants'!$A$1:$P$10</definedName>
    <definedName name="Z_3BBE5D10_E029_4BF5_BC04_29D3FAA5A0EB_.wvu.PrintArea" localSheetId="7" hidden="1">'F700 Résultat financier'!$A$1:$P$10</definedName>
    <definedName name="Z_3BBE5D10_E029_4BF5_BC04_29D3FAA5A0EB_.wvu.PrintArea" localSheetId="8" hidden="1">'F800 VMP'!$A$1:$P$10</definedName>
    <definedName name="Z_3BBE5D10_E029_4BF5_BC04_29D3FAA5A0EB_.wvu.PrintArea" localSheetId="9" hidden="1">'F900 Comptes à terme'!$A$1:$P$10</definedName>
    <definedName name="_xlnm.Print_Area" localSheetId="0">'F Synthèse'!$A$1:$O$36</definedName>
    <definedName name="_xlnm.Print_Area" localSheetId="1">'F100 Etat de rappro bancaire'!$A$1:$P$24</definedName>
    <definedName name="_xlnm.Print_Area" localSheetId="2">'F200 Caisse'!$A$1:$P$15</definedName>
    <definedName name="_xlnm.Print_Area" localSheetId="3">'F300 Décaissement post-clôture'!$A$1:$P$15</definedName>
    <definedName name="_xlnm.Print_Area" localSheetId="4">'F400 Circularisations'!$A$1:$P$15</definedName>
    <definedName name="_xlnm.Print_Area" localSheetId="5">'F500 Emprunts'!$A$1:$P$15</definedName>
    <definedName name="_xlnm.Print_Area" localSheetId="6">'F600 Comptes courants'!$A$1:$P$15</definedName>
    <definedName name="_xlnm.Print_Area" localSheetId="7">'F700 Résultat financier'!$A$1:$P$14</definedName>
    <definedName name="_xlnm.Print_Area" localSheetId="8">'F800 VMP'!$A$1:$P$15</definedName>
    <definedName name="_xlnm.Print_Area" localSheetId="9">'F900 Comptes à terme'!$A$1:$P$15</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7" l="1"/>
  <c r="O9" i="6"/>
  <c r="O9" i="13"/>
  <c r="O9" i="11"/>
  <c r="O9" i="10"/>
  <c r="O9" i="9"/>
  <c r="O9" i="8"/>
  <c r="O9" i="5"/>
  <c r="O9" i="1"/>
  <c r="F16" i="1" l="1"/>
  <c r="F17" i="1"/>
  <c r="F18" i="1"/>
  <c r="F19" i="1"/>
  <c r="F20" i="1"/>
  <c r="F15" i="1"/>
  <c r="E39" i="7" l="1"/>
  <c r="E25" i="7"/>
  <c r="F25" i="7"/>
  <c r="E59" i="6"/>
  <c r="E63" i="6" s="1"/>
  <c r="H57" i="10"/>
  <c r="H61" i="10" s="1"/>
  <c r="G55" i="10"/>
  <c r="G57" i="10" s="1"/>
  <c r="E25" i="10"/>
  <c r="G25" i="7"/>
  <c r="R35" i="10"/>
  <c r="R36" i="10"/>
  <c r="R37" i="10"/>
  <c r="R34" i="10"/>
  <c r="H38" i="10"/>
  <c r="G38" i="10"/>
  <c r="F38" i="10"/>
  <c r="E38" i="10"/>
  <c r="H21" i="10"/>
  <c r="G25" i="10"/>
  <c r="F25" i="10"/>
  <c r="F33" i="13"/>
  <c r="H24" i="10"/>
  <c r="H23" i="10"/>
  <c r="H22" i="10"/>
  <c r="H20" i="10"/>
  <c r="F39" i="7"/>
  <c r="G39" i="7" s="1"/>
  <c r="D7" i="5"/>
  <c r="B7" i="5"/>
  <c r="D6" i="5"/>
  <c r="B6" i="5"/>
  <c r="D7" i="6"/>
  <c r="B7" i="6"/>
  <c r="D6" i="6"/>
  <c r="B6" i="6"/>
  <c r="D7" i="7"/>
  <c r="B7" i="7"/>
  <c r="D6" i="7"/>
  <c r="B6" i="7"/>
  <c r="D7" i="8"/>
  <c r="B7" i="8"/>
  <c r="D6" i="8"/>
  <c r="B6" i="8"/>
  <c r="D7" i="9"/>
  <c r="B7" i="9"/>
  <c r="D6" i="9"/>
  <c r="B6" i="9"/>
  <c r="D7" i="10"/>
  <c r="B7" i="10"/>
  <c r="D6" i="10"/>
  <c r="B6" i="10"/>
  <c r="D7" i="11"/>
  <c r="B7" i="11"/>
  <c r="D6" i="11"/>
  <c r="B6" i="11"/>
  <c r="D7" i="13"/>
  <c r="B7" i="13"/>
  <c r="D6" i="13"/>
  <c r="B6" i="13"/>
  <c r="D7" i="1"/>
  <c r="B7" i="1"/>
  <c r="D6" i="1"/>
  <c r="B6" i="1"/>
  <c r="D1" i="13"/>
  <c r="D1" i="11"/>
  <c r="D1" i="10"/>
  <c r="D1" i="9"/>
  <c r="D1" i="8"/>
  <c r="D1" i="7"/>
  <c r="D1" i="6"/>
  <c r="D1" i="5"/>
  <c r="D1" i="1"/>
  <c r="M7" i="5"/>
  <c r="M7" i="6"/>
  <c r="M7" i="7"/>
  <c r="M7" i="8"/>
  <c r="M7" i="9"/>
  <c r="M7" i="10"/>
  <c r="M7" i="11"/>
  <c r="M7" i="13"/>
  <c r="M7" i="1"/>
  <c r="F39" i="13"/>
  <c r="H39" i="13" s="1"/>
  <c r="F38" i="13"/>
  <c r="H38" i="13" s="1"/>
  <c r="F37" i="13"/>
  <c r="H37" i="13" s="1"/>
  <c r="F36" i="13"/>
  <c r="H36" i="13" s="1"/>
  <c r="F35" i="13"/>
  <c r="H35" i="13" s="1"/>
  <c r="F34" i="13"/>
  <c r="H34" i="13" s="1"/>
  <c r="H33" i="13"/>
  <c r="D38" i="10"/>
  <c r="G38" i="7"/>
  <c r="G37" i="7"/>
  <c r="G36" i="7"/>
  <c r="G35" i="7"/>
  <c r="G24" i="7"/>
  <c r="G23" i="7"/>
  <c r="G22" i="7"/>
  <c r="G21" i="7"/>
  <c r="F55" i="6"/>
  <c r="F56" i="6"/>
  <c r="E44" i="6"/>
  <c r="E43" i="6"/>
  <c r="G24" i="6"/>
  <c r="I24" i="6" s="1"/>
  <c r="G23" i="6"/>
  <c r="I23" i="6" s="1"/>
  <c r="G22" i="6"/>
  <c r="I22" i="6" s="1"/>
  <c r="G21" i="6"/>
  <c r="I21" i="6" s="1"/>
  <c r="G40" i="13"/>
  <c r="D40" i="13"/>
  <c r="J9" i="13"/>
  <c r="D9" i="13"/>
  <c r="I59" i="10"/>
  <c r="I56" i="10"/>
  <c r="G34" i="7"/>
  <c r="G20" i="7"/>
  <c r="F54" i="6"/>
  <c r="E42" i="6"/>
  <c r="G20" i="6"/>
  <c r="I20" i="6"/>
  <c r="J9" i="11"/>
  <c r="D9" i="11"/>
  <c r="J9" i="10"/>
  <c r="D9" i="10"/>
  <c r="J9" i="9"/>
  <c r="D9" i="9"/>
  <c r="J9" i="8"/>
  <c r="D9" i="8"/>
  <c r="J9" i="7"/>
  <c r="D9" i="7"/>
  <c r="J9" i="6"/>
  <c r="D9" i="6"/>
  <c r="J9" i="5"/>
  <c r="D9" i="5"/>
  <c r="J9" i="1"/>
  <c r="D9" i="1"/>
  <c r="E45" i="6"/>
  <c r="E49" i="6"/>
  <c r="I55" i="10"/>
  <c r="I25" i="6" l="1"/>
  <c r="I29" i="6" s="1"/>
  <c r="H25" i="10"/>
  <c r="F40" i="13"/>
  <c r="H40" i="13" s="1"/>
  <c r="I57" i="10"/>
  <c r="G61" i="10"/>
  <c r="I61" i="10" s="1"/>
  <c r="I63" i="10" s="1"/>
</calcChain>
</file>

<file path=xl/sharedStrings.xml><?xml version="1.0" encoding="utf-8"?>
<sst xmlns="http://schemas.openxmlformats.org/spreadsheetml/2006/main" count="436" uniqueCount="182">
  <si>
    <t>#NomClient</t>
  </si>
  <si>
    <t>OUI</t>
  </si>
  <si>
    <t>NON</t>
  </si>
  <si>
    <t>FINANCEMENT</t>
  </si>
  <si>
    <t>Faible</t>
  </si>
  <si>
    <t>Modéré</t>
  </si>
  <si>
    <t>Fait par :</t>
  </si>
  <si>
    <t>Revu par :</t>
  </si>
  <si>
    <t>Synthèse du cycle</t>
  </si>
  <si>
    <t>Date Clôture</t>
  </si>
  <si>
    <t>XRef</t>
  </si>
  <si>
    <t>Elevé</t>
  </si>
  <si>
    <t>Le :</t>
  </si>
  <si>
    <t>#DateClôture</t>
  </si>
  <si>
    <t>F</t>
  </si>
  <si>
    <t>PB</t>
  </si>
  <si>
    <t>PE</t>
  </si>
  <si>
    <t>Risque d'anomalies significatives</t>
  </si>
  <si>
    <t>Seuil d'investigation</t>
  </si>
  <si>
    <t>Niveau de diligences</t>
  </si>
  <si>
    <t>PE + VP</t>
  </si>
  <si>
    <t>Xref</t>
  </si>
  <si>
    <t>Contrôles</t>
  </si>
  <si>
    <t>Diligence à tester</t>
  </si>
  <si>
    <t>Liens</t>
  </si>
  <si>
    <t>F100</t>
  </si>
  <si>
    <t>Etat de rapprochement bancaire</t>
  </si>
  <si>
    <t>F100 Etat de rappro bancaire</t>
  </si>
  <si>
    <t>P</t>
  </si>
  <si>
    <t>Ok BG N</t>
  </si>
  <si>
    <t>F200</t>
  </si>
  <si>
    <t>Caisse</t>
  </si>
  <si>
    <t>F200 Caisse</t>
  </si>
  <si>
    <t>f</t>
  </si>
  <si>
    <t>Ok RG / BG N-1</t>
  </si>
  <si>
    <t>F300</t>
  </si>
  <si>
    <t>Décaissements post-clôture</t>
  </si>
  <si>
    <t>F300 Décaissement post-clôture</t>
  </si>
  <si>
    <t>E</t>
  </si>
  <si>
    <t>Ok Rapppro doc…</t>
  </si>
  <si>
    <t>F400</t>
  </si>
  <si>
    <t>Circularisations bancaires</t>
  </si>
  <si>
    <t>F400 Circularisations</t>
  </si>
  <si>
    <t>G</t>
  </si>
  <si>
    <t>F500</t>
  </si>
  <si>
    <t>Emprunts</t>
  </si>
  <si>
    <t>F500 Emprunts</t>
  </si>
  <si>
    <t>d</t>
  </si>
  <si>
    <t>autres</t>
  </si>
  <si>
    <t>F600</t>
  </si>
  <si>
    <t>Comptes courants</t>
  </si>
  <si>
    <t>F600 Comptes courants</t>
  </si>
  <si>
    <t xml:space="preserve"> Ʇ</t>
  </si>
  <si>
    <t>Contrôle arithmétique</t>
  </si>
  <si>
    <t>F700</t>
  </si>
  <si>
    <t>Résultat financier</t>
  </si>
  <si>
    <t>F700 Résultat financier</t>
  </si>
  <si>
    <t>a</t>
  </si>
  <si>
    <t>F800</t>
  </si>
  <si>
    <t>VMP</t>
  </si>
  <si>
    <t>F800 VMP</t>
  </si>
  <si>
    <t>F900</t>
  </si>
  <si>
    <t>Comptes à terme</t>
  </si>
  <si>
    <t>F900 Comptes à terme</t>
  </si>
  <si>
    <t>Revue analytique</t>
  </si>
  <si>
    <t>CONCLUSION</t>
  </si>
  <si>
    <t>F Synthèse</t>
  </si>
  <si>
    <t>Oui</t>
  </si>
  <si>
    <t>Non</t>
  </si>
  <si>
    <r>
      <t xml:space="preserve">Objectif
</t>
    </r>
    <r>
      <rPr>
        <sz val="11"/>
        <rFont val="Calibri"/>
        <family val="2"/>
        <scheme val="minor"/>
      </rPr>
      <t xml:space="preserve">Réalité des disponibilités
</t>
    </r>
    <r>
      <rPr>
        <b/>
        <u/>
        <sz val="11"/>
        <rFont val="Calibri"/>
        <family val="2"/>
        <scheme val="minor"/>
      </rPr>
      <t>Travail effectué</t>
    </r>
    <r>
      <rPr>
        <sz val="11"/>
        <rFont val="Calibri"/>
        <family val="2"/>
        <scheme val="minor"/>
      </rPr>
      <t xml:space="preserve">
- Obtenir les états de rapprochements bancaires au xx/xx/N (date de clôture) pour tous les comptes de banque de la société : effectuer le cadrage avec la BG (ou balance auxiliaire), avec le relevé bancaire au xx/xx/N (date de clôture), et vérifier les contrôles arithmétiques (à l'euro près)
- Vérifier l'apurement des sommes en rapprochement : à partir des relevés de banque de janvier / février N+1 (pour les écritures passées en comptabilité et non en banque au xx/xx/N), et à partir des grands livres des comptes #512 (pour les écritures passées en banque et non en comptabilité au xx/xx/N)
- Analyser les montants en rapprochement ayant une antériorité significative
- S'assurer que les chèques non encaissés au-delà d'un an et 8 jours ont été comptabilisés en produits
- S'assurer que les états de rapprochement sont systématiquement visés par un responsable habilité
- Pour les comptes clôturés pendant l'exercice, obtenir les lettres de clôture
- Dans le cas de comptes tenus en devises, s'assurer que le taux de conversion est correct (31/12/N) et vérifier l'exactitude des écarts de change. </t>
    </r>
  </si>
  <si>
    <t>Numéro Compte</t>
  </si>
  <si>
    <t>Libellé</t>
  </si>
  <si>
    <t>X Ref</t>
  </si>
  <si>
    <t>Conclusion sur le contrôle</t>
  </si>
  <si>
    <r>
      <t xml:space="preserve">Objectif
</t>
    </r>
    <r>
      <rPr>
        <sz val="11"/>
        <rFont val="Calibri"/>
        <family val="2"/>
        <scheme val="minor"/>
      </rPr>
      <t xml:space="preserve">Réalité de la caisse
</t>
    </r>
    <r>
      <rPr>
        <b/>
        <u/>
        <sz val="11"/>
        <rFont val="Calibri"/>
        <family val="2"/>
        <scheme val="minor"/>
      </rPr>
      <t>Travail effectué</t>
    </r>
    <r>
      <rPr>
        <sz val="11"/>
        <rFont val="Calibri"/>
        <family val="2"/>
        <scheme val="minor"/>
      </rPr>
      <t xml:space="preserve">
- Obtenir les PV d'inventaires de caisses au xx/xx/N : cadrage avec la BG (ou balance auxiliaire) et vérifier les contrôles arithmétiques (à l'euro près)
- S'assurer que les PV de caisse sont systématiquement visés par un responsable habilité
- Obtenir les journaux de tenue de caisse et les cadrer avec les PV de caisses. Analyser le libellé des opérations et le cas échéant sélectionner quelques transactions et remonter aux justificatifs (ex : factures, bordereaux de remises de fonds à la Brinks...)
- Analyser le libellé des opérations, s'assurer que le solde cumuler n'est jamais créditeur et qu'il n'y as pas de montant &gt; à 1K€ pour les clients français ou 15 K€ pour les clients étrangers
- Dans le cas de comptes tenus en devises, s'assurer que le taux de conversion est correct (31/12/N) et vérifier l'exactitude des écarts de change. </t>
    </r>
  </si>
  <si>
    <t>Date banque</t>
  </si>
  <si>
    <t>Montant</t>
  </si>
  <si>
    <t>Analyse</t>
  </si>
  <si>
    <t>X-Ref</t>
  </si>
  <si>
    <t>Banque 1</t>
  </si>
  <si>
    <t>Banque 2</t>
  </si>
  <si>
    <t>Banque 3</t>
  </si>
  <si>
    <r>
      <t xml:space="preserve">Objectif
</t>
    </r>
    <r>
      <rPr>
        <sz val="11"/>
        <rFont val="Calibri"/>
        <family val="2"/>
        <scheme val="minor"/>
      </rPr>
      <t xml:space="preserve">Réalité des disponibilités
</t>
    </r>
    <r>
      <rPr>
        <b/>
        <u/>
        <sz val="11"/>
        <rFont val="Calibri"/>
        <family val="2"/>
        <scheme val="minor"/>
      </rPr>
      <t>Travail effectué</t>
    </r>
    <r>
      <rPr>
        <sz val="11"/>
        <rFont val="Calibri"/>
        <family val="2"/>
        <scheme val="minor"/>
      </rPr>
      <t xml:space="preserve">
- Analyser les circularisations bancaires obtenues
- S'assurer que les garanties mentionnées apparaissent bien en annexe
- S'assurer que les signataires mentionnés sur les circularisations ont les fonctions/habilitations adéquats (Président, DG, DAF, Gérant, etc.)
- S'assurer qu'il n'y a pas de personne habilitée à signer les comptes qui serait partie de la société
</t>
    </r>
  </si>
  <si>
    <t>Banque</t>
  </si>
  <si>
    <t>Effet remis à l'encaissement</t>
  </si>
  <si>
    <t>Signatures autorisées</t>
  </si>
  <si>
    <t>Garanties</t>
  </si>
  <si>
    <t>X-ref</t>
  </si>
  <si>
    <r>
      <t xml:space="preserve">Objectif
</t>
    </r>
    <r>
      <rPr>
        <sz val="11"/>
        <rFont val="Calibri"/>
        <family val="2"/>
        <scheme val="minor"/>
      </rPr>
      <t>Exhaustivité des emprunts</t>
    </r>
    <r>
      <rPr>
        <b/>
        <u/>
        <sz val="11"/>
        <rFont val="Calibri"/>
        <family val="2"/>
        <scheme val="minor"/>
      </rPr>
      <t xml:space="preserve">
Travail effectué
</t>
    </r>
    <r>
      <rPr>
        <sz val="11"/>
        <rFont val="Calibri"/>
        <family val="2"/>
        <scheme val="minor"/>
      </rPr>
      <t>- Analyser la variation des emprunts</t>
    </r>
    <r>
      <rPr>
        <b/>
        <u/>
        <sz val="11"/>
        <rFont val="Calibri"/>
        <family val="2"/>
        <scheme val="minor"/>
      </rPr>
      <t xml:space="preserve">
</t>
    </r>
    <r>
      <rPr>
        <sz val="11"/>
        <rFont val="Calibri"/>
        <family val="2"/>
        <scheme val="minor"/>
      </rPr>
      <t xml:space="preserve">- Rapprocher les échéanciers des emprunts avec la comptabilité générale
- Pour tout nouvel emprunt, obtenir le contrat et l'échéancier
- Vérifier l'exactitude du capital restant à rembourser par échéance  : inférieur à 1 an, entre 1 an et 5 ans et supérieur à 5 ans. S'assurer de la correcte présentation de cette information dans les annexes
- Calculer le taux d'intérêt moyen (applicable uniquement pour les emprunts à taux fixe)
- Vérifier la coupure des intérêts courus non échus
</t>
    </r>
  </si>
  <si>
    <t>1° Variation des emprunts</t>
  </si>
  <si>
    <t>Compte</t>
  </si>
  <si>
    <t>libellé</t>
  </si>
  <si>
    <t>CRD au 31/12/N-1</t>
  </si>
  <si>
    <t>Nouvel emprunt</t>
  </si>
  <si>
    <t>Remboursement d'emprunt</t>
  </si>
  <si>
    <t>CRD au 31/12/N</t>
  </si>
  <si>
    <t>Total</t>
  </si>
  <si>
    <t>2° Rapprocher les échéanciers avec la comptabilité</t>
  </si>
  <si>
    <t>Ventilation du capital restant dû</t>
  </si>
  <si>
    <t>banque</t>
  </si>
  <si>
    <t>Montant initial</t>
  </si>
  <si>
    <t>Capital restant dû au 31/12/N</t>
  </si>
  <si>
    <t>inférieur à 1 an</t>
  </si>
  <si>
    <t>de 1 an à 5 ans</t>
  </si>
  <si>
    <t>supérieur à 5 ans</t>
  </si>
  <si>
    <t>Ctr</t>
  </si>
  <si>
    <t>3° Description des nouveaux emprunts</t>
  </si>
  <si>
    <t>Taux d'intérêt</t>
  </si>
  <si>
    <t>Durée</t>
  </si>
  <si>
    <t>Objet du financement</t>
  </si>
  <si>
    <t>X-Ref (contrat + échéancier)</t>
  </si>
  <si>
    <t>4° Calcul du taux d'intérêt moyen</t>
  </si>
  <si>
    <t>31/12/N</t>
  </si>
  <si>
    <t>31/12/N-1</t>
  </si>
  <si>
    <t>Var</t>
  </si>
  <si>
    <t>Montant emprunts début exercice</t>
  </si>
  <si>
    <t>Montant emprunts fin exercice</t>
  </si>
  <si>
    <t>Montant moyen emprunts</t>
  </si>
  <si>
    <t>Intérêts des emprunts</t>
  </si>
  <si>
    <t>Taux moyen d'intérêt</t>
  </si>
  <si>
    <t>Impact</t>
  </si>
  <si>
    <t>Commentaire</t>
  </si>
  <si>
    <r>
      <t xml:space="preserve">Objectif
</t>
    </r>
    <r>
      <rPr>
        <sz val="11"/>
        <rFont val="Calibri"/>
        <family val="2"/>
        <scheme val="minor"/>
      </rPr>
      <t>Réalité des comptes courants</t>
    </r>
    <r>
      <rPr>
        <sz val="10"/>
        <rFont val="Arial"/>
        <family val="2"/>
      </rPr>
      <t xml:space="preserve">
</t>
    </r>
    <r>
      <rPr>
        <b/>
        <u/>
        <sz val="10"/>
        <rFont val="Arial"/>
        <family val="2"/>
      </rPr>
      <t>Travail effectué</t>
    </r>
    <r>
      <rPr>
        <sz val="10"/>
        <rFont val="Arial"/>
        <family val="2"/>
      </rPr>
      <t xml:space="preserve">
</t>
    </r>
    <r>
      <rPr>
        <u/>
        <sz val="10"/>
        <rFont val="Arial"/>
        <family val="2"/>
      </rPr>
      <t>Comptes courants groupes</t>
    </r>
    <r>
      <rPr>
        <sz val="10"/>
        <rFont val="Arial"/>
        <family val="2"/>
      </rPr>
      <t xml:space="preserve"> :
- S'assurer de la réciprocité des comptes courants dans la comptabilité des sociétés réciproques (obtenir les états de réconciliation établis par la société, par exemple les fiches navettes signées des 2 parties)
- S'assurer de la réciprocité des charges et produits d'intérêts sur comptes courants dans la comptabilité des sociétés réciproques, lorsque significatifs
- S'assurer de l'existence de conventions de comptes courants (ou convention de gestion centralisée de trésorerie) et vérifier notamment l'uniformité du taux d'intérêt pratiqué dans le groupe
- Vérifier que les opérations de financement à moyen long terme sont reclassées en "créances ou dettes rattachées à des participations"
</t>
    </r>
    <r>
      <rPr>
        <u/>
        <sz val="10"/>
        <rFont val="Arial"/>
        <family val="2"/>
      </rPr>
      <t>Comptes courants d'associés</t>
    </r>
    <r>
      <rPr>
        <sz val="10"/>
        <rFont val="Arial"/>
        <family val="2"/>
      </rPr>
      <t xml:space="preserve"> :
- Vérifier que les comptes courants des administrateurs, directeurs généraux (administrateurs ou non), des membres des directoires et conseils de surveillance, des dirigeants (SAS), des gérants et associés des SARL ne sont pas débiteurs (convention interdite, sauf dans certains cas particuliers)
- Attention au taux de rémunération des comptes courants d'associés, déductibles sous certaines conditions (cf. détermination du résultat fiscal)</t>
    </r>
  </si>
  <si>
    <t>2° Produits de participations</t>
  </si>
  <si>
    <t>Nom de la société / SCI détenue</t>
  </si>
  <si>
    <t>% Détenu</t>
  </si>
  <si>
    <t>Dividende versé par la filiale / SCI</t>
  </si>
  <si>
    <t>X-Ref au PV d'AG</t>
  </si>
  <si>
    <t>Dividende théorique reçu par la mère</t>
  </si>
  <si>
    <t xml:space="preserve">En compta </t>
  </si>
  <si>
    <t xml:space="preserve">Ecart </t>
  </si>
  <si>
    <t>Date de l'AG</t>
  </si>
  <si>
    <r>
      <t xml:space="preserve">Objectif
</t>
    </r>
    <r>
      <rPr>
        <sz val="11"/>
        <rFont val="Calibri"/>
        <family val="2"/>
        <scheme val="minor"/>
      </rPr>
      <t xml:space="preserve">Réalité et Evaluation des VMP
Exhaustivité de la dépréciation
</t>
    </r>
    <r>
      <rPr>
        <b/>
        <u/>
        <sz val="11"/>
        <rFont val="Calibri"/>
        <family val="2"/>
        <scheme val="minor"/>
      </rPr>
      <t>Travail effectué</t>
    </r>
    <r>
      <rPr>
        <sz val="11"/>
        <rFont val="Calibri"/>
        <family val="2"/>
        <scheme val="minor"/>
      </rPr>
      <t xml:space="preserve">
- Obtenir le relevé de portefeuille de la banque et le rapprocher du montant en comptabilité
- S'assurer que les VMP sont enregistrées à leur coût d'achat
- S'assurer qu'en cas de perte latente (valeur comptable&lt;valorisation à la clôture) une dépréciation est comptabilisée pour la différence
- S'assurer de la non compensation des gains et pertes latentes et du traitement fiscal adéquat (réintégration de la provision pour perte de change latente)
- Contrôle des mouvements de l'exercice (méthode FIFO) et cadrer les plus ou moins values de cession avec le résultat financier</t>
    </r>
  </si>
  <si>
    <t>1° Rapprocher le relevé de portefeuille du montant en comptabilité et évaluer les plus ou moins values latentes</t>
  </si>
  <si>
    <t>compte</t>
  </si>
  <si>
    <t>Banques</t>
  </si>
  <si>
    <t>Montant N</t>
  </si>
  <si>
    <t>valorisation du portefeuille</t>
  </si>
  <si>
    <t>+ ou - value latente</t>
  </si>
  <si>
    <t>traitement fiscal</t>
  </si>
  <si>
    <t>dépréciation</t>
  </si>
  <si>
    <t>total</t>
  </si>
  <si>
    <t>comptabilité</t>
  </si>
  <si>
    <t>écart</t>
  </si>
  <si>
    <t>2° Contrôler les mouvements de l'exercice</t>
  </si>
  <si>
    <t>Acquisitions</t>
  </si>
  <si>
    <t>Nom SICAV</t>
  </si>
  <si>
    <t>Nombre</t>
  </si>
  <si>
    <t>P.U. d'achat</t>
  </si>
  <si>
    <t>total testé</t>
  </si>
  <si>
    <t>total acquisitions</t>
  </si>
  <si>
    <t>scope</t>
  </si>
  <si>
    <t>Cessions</t>
  </si>
  <si>
    <t>P.U. cession</t>
  </si>
  <si>
    <t>+ ou - value</t>
  </si>
  <si>
    <t>gain</t>
  </si>
  <si>
    <t>perte</t>
  </si>
  <si>
    <t>total cession</t>
  </si>
  <si>
    <r>
      <t>Objectif</t>
    </r>
    <r>
      <rPr>
        <sz val="11"/>
        <rFont val="Calibri"/>
        <family val="2"/>
        <scheme val="minor"/>
      </rPr>
      <t xml:space="preserve">
Réalité et évaluation des comptes à terme
</t>
    </r>
    <r>
      <rPr>
        <b/>
        <u/>
        <sz val="11"/>
        <rFont val="Calibri"/>
        <family val="2"/>
        <scheme val="minor"/>
      </rPr>
      <t>Travail effectué</t>
    </r>
    <r>
      <rPr>
        <sz val="11"/>
        <rFont val="Calibri"/>
        <family val="2"/>
        <scheme val="minor"/>
      </rPr>
      <t xml:space="preserve">
- Suivre les CAT présents à la clôture
- Pour les souscriptions de l'exercice obtenir le contrat et le rapprocher du montant en comptabilité
- Obtenir le relevé de CAT et rapprocher les intérêts dégagés avec le résultat financier</t>
    </r>
  </si>
  <si>
    <t>1° Suivi des CAT enc cours et contrôler les nouvelles souscriptions de l'exercice</t>
  </si>
  <si>
    <t>Date d'échéance</t>
  </si>
  <si>
    <t>contrat</t>
  </si>
  <si>
    <t>TOTAL</t>
  </si>
  <si>
    <t>2° Contrôler les intérêts dégagés</t>
  </si>
  <si>
    <t>Montant des intérêts comptabilisés</t>
  </si>
  <si>
    <t>Montant des intérêts du relevé</t>
  </si>
  <si>
    <t>Solde FM</t>
  </si>
  <si>
    <t>Solde bancaire</t>
  </si>
  <si>
    <t>Ecart théorique</t>
  </si>
  <si>
    <t>Ecart justifié sur l'ERB</t>
  </si>
  <si>
    <r>
      <t>Objectif</t>
    </r>
    <r>
      <rPr>
        <sz val="11"/>
        <rFont val="Calibri"/>
        <family val="2"/>
        <scheme val="minor"/>
      </rPr>
      <t xml:space="preserve">
Exhaustivité des dettes
</t>
    </r>
    <r>
      <rPr>
        <b/>
        <u/>
        <sz val="11"/>
        <rFont val="Calibri"/>
        <family val="2"/>
        <scheme val="minor"/>
      </rPr>
      <t>Travail effectué</t>
    </r>
    <r>
      <rPr>
        <sz val="11"/>
        <rFont val="Calibri"/>
        <family val="2"/>
        <scheme val="minor"/>
      </rPr>
      <t xml:space="preserve">
- Pour l'ensemble des banques que détient la société, récupérer les relevés du mois post-clôture
- Sélectionner les décaissements supérieurs au SI,
- Pour chacun des décaissements, retour sur la facture et pour celles qui concercent N, contrôle de sa présence en comptabilité (sur N) à partir du FEC
</t>
    </r>
  </si>
  <si>
    <t>Date de facture</t>
  </si>
  <si>
    <t>Date de comptabilisation</t>
  </si>
  <si>
    <t>Solde relevé bancaire</t>
  </si>
  <si>
    <t>Solde sur la circularisation</t>
  </si>
  <si>
    <t>Soldes des emprunts restant dus sur la circularisation</t>
  </si>
  <si>
    <t>Soldes des emprunts restant dus en comptabilité</t>
  </si>
  <si>
    <r>
      <t xml:space="preserve">Objectif
</t>
    </r>
    <r>
      <rPr>
        <sz val="11"/>
        <rFont val="Calibri"/>
        <family val="2"/>
        <scheme val="minor"/>
      </rPr>
      <t xml:space="preserve"> Contrôler la réalité et la correcte affectation des comptes de produits et charges financiers
</t>
    </r>
    <r>
      <rPr>
        <b/>
        <u/>
        <sz val="11"/>
        <rFont val="Calibri"/>
        <family val="2"/>
        <scheme val="minor"/>
      </rPr>
      <t>Travail effectué</t>
    </r>
    <r>
      <rPr>
        <sz val="11"/>
        <rFont val="Calibri"/>
        <family val="2"/>
        <scheme val="minor"/>
      </rPr>
      <t xml:space="preserve">
Effectuer une révue analytique du résultat financier et collecter les éléments probants permettant de justifier la valotisation et la comptabilisation des produits et charges</t>
    </r>
  </si>
  <si>
    <t>1° Revue analytique</t>
  </si>
  <si>
    <t>BRA</t>
  </si>
  <si>
    <t>Cf. F0</t>
  </si>
  <si>
    <t>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</si>
</sst>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_-* #,##0.00\ _F_-;\-* #,##0.00\ _F_-;_-* &quot;-&quot;??\ _F_-;_-@_-"/>
    <numFmt numFmtId="167" formatCode="_-* #,##0\ _F_-;\-* #,##0\ _F_-;_-* &quot;-&quot;??\ _F_-;_-@_-"/>
    <numFmt numFmtId="168" formatCode="_(* #,##0_);_(* \(#,##0\);_(* &quot;-&quot;_);_(@_)"/>
    <numFmt numFmtId="169" formatCode="_-* #,##0.0\ _€_-;\-* #,##0.0\ _€_-;_-* &quot;-&quot;??\ _€_-;_-@_-"/>
  </numFmts>
  <fonts count="49"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4"/>
      <name val="Calibri"/>
      <family val="2"/>
      <scheme val="minor"/>
    </font>
    <font>
      <b/>
      <i/>
      <sz val="13"/>
      <name val="Calibri"/>
      <family val="2"/>
      <scheme val="minor"/>
    </font>
    <font>
      <sz val="12"/>
      <name val="Calibri"/>
      <family val="2"/>
      <scheme val="minor"/>
    </font>
    <font>
      <b/>
      <sz val="17"/>
      <name val="Calibri"/>
      <family val="2"/>
      <scheme val="minor"/>
    </font>
    <font>
      <b/>
      <sz val="11"/>
      <name val="Calibri"/>
      <family val="2"/>
      <scheme val="minor"/>
    </font>
    <font>
      <b/>
      <sz val="12"/>
      <name val="Calibri"/>
      <family val="2"/>
      <scheme val="minor"/>
    </font>
    <font>
      <sz val="9"/>
      <name val="Calibri"/>
      <family val="2"/>
      <scheme val="minor"/>
    </font>
    <font>
      <sz val="11"/>
      <name val="Calibri"/>
      <family val="2"/>
      <scheme val="minor"/>
    </font>
    <font>
      <sz val="13"/>
      <name val="Calibri"/>
      <family val="2"/>
      <scheme val="minor"/>
    </font>
    <font>
      <i/>
      <sz val="11"/>
      <name val="Calibri"/>
      <family val="2"/>
      <scheme val="minor"/>
    </font>
    <font>
      <b/>
      <sz val="12"/>
      <color rgb="FFFF0000"/>
      <name val="Calibri"/>
      <family val="2"/>
      <scheme val="minor"/>
    </font>
    <font>
      <sz val="14"/>
      <name val="Calibri"/>
      <family val="2"/>
      <scheme val="minor"/>
    </font>
    <font>
      <sz val="8"/>
      <name val="Calibri"/>
      <family val="2"/>
      <scheme val="minor"/>
    </font>
    <font>
      <b/>
      <u/>
      <sz val="11"/>
      <name val="Calibri"/>
      <family val="2"/>
      <scheme val="minor"/>
    </font>
    <font>
      <b/>
      <sz val="11"/>
      <color rgb="FFFF0000"/>
      <name val="Calibri"/>
      <family val="2"/>
      <scheme val="minor"/>
    </font>
    <font>
      <b/>
      <sz val="11"/>
      <name val="Arial Narrow"/>
      <family val="2"/>
    </font>
    <font>
      <sz val="11"/>
      <name val="Arial Narrow"/>
      <family val="2"/>
    </font>
    <font>
      <sz val="11"/>
      <color rgb="FFFF0000"/>
      <name val="Calibri"/>
      <family val="2"/>
      <scheme val="minor"/>
    </font>
    <font>
      <sz val="12"/>
      <name val="Calibri"/>
      <family val="2"/>
      <scheme val="minor"/>
    </font>
    <font>
      <b/>
      <sz val="11"/>
      <color rgb="FFFF0000"/>
      <name val="Wingdings 2"/>
      <family val="1"/>
      <charset val="2"/>
    </font>
    <font>
      <b/>
      <sz val="11"/>
      <color rgb="FFFF0000"/>
      <name val="Wingdings"/>
      <charset val="2"/>
    </font>
    <font>
      <b/>
      <sz val="11"/>
      <color rgb="FFFF0000"/>
      <name val="Calibri"/>
      <family val="2"/>
    </font>
    <font>
      <b/>
      <sz val="11"/>
      <color rgb="FFFF0000"/>
      <name val="Wingdings 3"/>
      <family val="1"/>
      <charset val="2"/>
    </font>
    <font>
      <sz val="11"/>
      <name val="Calibri"/>
      <family val="2"/>
      <scheme val="minor"/>
    </font>
    <font>
      <sz val="8"/>
      <name val="Calibri"/>
      <family val="2"/>
      <scheme val="minor"/>
    </font>
    <font>
      <sz val="10"/>
      <name val="Trebuchet MS"/>
      <family val="2"/>
    </font>
    <font>
      <u/>
      <sz val="8"/>
      <color theme="10"/>
      <name val="Trebuchet MS"/>
      <family val="2"/>
    </font>
    <font>
      <b/>
      <sz val="11"/>
      <color theme="3"/>
      <name val="Calibri"/>
      <family val="2"/>
      <scheme val="minor"/>
    </font>
    <font>
      <sz val="12"/>
      <name val="Calibri"/>
      <family val="2"/>
      <scheme val="minor"/>
    </font>
    <font>
      <sz val="11"/>
      <name val="Calibri"/>
      <family val="2"/>
      <scheme val="minor"/>
    </font>
    <font>
      <b/>
      <u/>
      <sz val="10"/>
      <name val="Arial"/>
      <family val="2"/>
    </font>
    <font>
      <u/>
      <sz val="11"/>
      <name val="Calibri"/>
      <family val="2"/>
      <scheme val="minor"/>
    </font>
    <font>
      <u/>
      <sz val="10"/>
      <name val="Arial"/>
      <family val="2"/>
    </font>
    <font>
      <b/>
      <sz val="11"/>
      <color rgb="FF0070C0"/>
      <name val="Calibri"/>
      <family val="2"/>
      <scheme val="minor"/>
    </font>
    <font>
      <i/>
      <sz val="12"/>
      <name val="Calibri"/>
      <family val="2"/>
      <scheme val="minor"/>
    </font>
    <font>
      <b/>
      <sz val="11"/>
      <color indexed="60"/>
      <name val="Calibri"/>
      <family val="2"/>
      <scheme val="minor"/>
    </font>
    <font>
      <u/>
      <sz val="11"/>
      <color theme="10"/>
      <name val="Calibri"/>
      <family val="2"/>
      <scheme val="minor"/>
    </font>
    <font>
      <sz val="12"/>
      <name val="Calibri"/>
      <family val="2"/>
      <scheme val="minor"/>
    </font>
    <font>
      <sz val="11"/>
      <name val="Calibri"/>
      <family val="2"/>
      <scheme val="minor"/>
    </font>
    <font>
      <b/>
      <sz val="11"/>
      <color indexed="10"/>
      <name val="Calibri"/>
      <family val="2"/>
      <scheme val="minor"/>
    </font>
    <font>
      <b/>
      <sz val="11"/>
      <color theme="1"/>
      <name val="Calibri"/>
      <family val="2"/>
      <scheme val="minor"/>
    </font>
    <font>
      <u/>
      <sz val="10"/>
      <color theme="10"/>
      <name val="Calibri"/>
      <family val="2"/>
      <scheme val="minor"/>
    </font>
    <font>
      <b/>
      <sz val="10"/>
      <name val="Calibri"/>
      <family val="2"/>
      <scheme val="minor"/>
    </font>
    <font>
      <sz val="11"/>
      <color theme="1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0.14999847407452621"/>
        <bgColor auto="1"/>
      </patternFill>
    </fill>
    <fill>
      <patternFill patternType="solid">
        <fgColor indexed="65"/>
        <bgColor auto="1"/>
      </patternFill>
    </fill>
    <fill>
      <patternFill patternType="solid">
        <fgColor theme="0" tint="-0.14996795556505021"/>
        <bgColor auto="1"/>
      </patternFill>
    </fill>
    <fill>
      <patternFill patternType="solid">
        <fgColor rgb="FF002060"/>
        <bgColor indexed="64"/>
      </patternFill>
    </fill>
  </fills>
  <borders count="6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auto="1"/>
      </right>
      <top/>
      <bottom style="thin">
        <color auto="1"/>
      </bottom>
      <diagonal/>
    </border>
    <border>
      <left/>
      <right style="medium">
        <color indexed="64"/>
      </right>
      <top style="thin">
        <color auto="1"/>
      </top>
      <bottom style="thin">
        <color auto="1"/>
      </bottom>
      <diagonal/>
    </border>
    <border>
      <left style="medium">
        <color auto="1"/>
      </left>
      <right/>
      <top style="thin">
        <color auto="1"/>
      </top>
      <bottom style="medium">
        <color indexed="64"/>
      </bottom>
      <diagonal/>
    </border>
    <border>
      <left/>
      <right style="thin">
        <color indexed="64"/>
      </right>
      <top style="thin">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indexed="64"/>
      </right>
      <top style="thin">
        <color auto="1"/>
      </top>
      <bottom style="hair">
        <color auto="1"/>
      </bottom>
      <diagonal/>
    </border>
    <border>
      <left/>
      <right/>
      <top style="hair">
        <color auto="1"/>
      </top>
      <bottom style="hair">
        <color auto="1"/>
      </bottom>
      <diagonal/>
    </border>
    <border>
      <left/>
      <right style="thin">
        <color indexed="64"/>
      </right>
      <top style="hair">
        <color auto="1"/>
      </top>
      <bottom style="hair">
        <color auto="1"/>
      </bottom>
      <diagonal/>
    </border>
    <border>
      <left/>
      <right/>
      <top style="hair">
        <color auto="1"/>
      </top>
      <bottom style="thin">
        <color auto="1"/>
      </bottom>
      <diagonal/>
    </border>
    <border>
      <left style="thin">
        <color indexed="64"/>
      </left>
      <right style="medium">
        <color indexed="64"/>
      </right>
      <top style="thin">
        <color indexed="64"/>
      </top>
      <bottom/>
      <diagonal/>
    </border>
    <border>
      <left style="medium">
        <color indexed="64"/>
      </left>
      <right/>
      <top style="thin">
        <color auto="1"/>
      </top>
      <bottom style="hair">
        <color auto="1"/>
      </bottom>
      <diagonal/>
    </border>
    <border>
      <left style="medium">
        <color indexed="64"/>
      </left>
      <right/>
      <top style="hair">
        <color indexed="64"/>
      </top>
      <bottom style="thin">
        <color indexed="64"/>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10">
    <xf numFmtId="0" fontId="0" fillId="0" borderId="0"/>
    <xf numFmtId="0" fontId="4" fillId="0" borderId="0"/>
    <xf numFmtId="164" fontId="3" fillId="0" borderId="0" applyFont="0" applyFill="0" applyBorder="0" applyAlignment="0" applyProtection="0"/>
    <xf numFmtId="9" fontId="4" fillId="0" borderId="0" applyFont="0" applyFill="0" applyBorder="0" applyAlignment="0" applyProtection="0"/>
    <xf numFmtId="0" fontId="4" fillId="0" borderId="0"/>
    <xf numFmtId="164" fontId="2" fillId="0" borderId="0" applyFont="0" applyFill="0" applyBorder="0" applyAlignment="0" applyProtection="0"/>
    <xf numFmtId="164" fontId="1" fillId="0" borderId="0" applyFont="0" applyFill="0" applyBorder="0" applyAlignment="0" applyProtection="0"/>
    <xf numFmtId="0" fontId="30" fillId="0" borderId="0"/>
    <xf numFmtId="0" fontId="31" fillId="0" borderId="0" applyNumberFormat="0" applyFill="0" applyBorder="0" applyAlignment="0" applyProtection="0">
      <alignment vertical="top"/>
      <protection locked="0"/>
    </xf>
    <xf numFmtId="0" fontId="4" fillId="0" borderId="0"/>
  </cellStyleXfs>
  <cellXfs count="481">
    <xf numFmtId="0" fontId="0" fillId="0" borderId="0" xfId="0"/>
    <xf numFmtId="0" fontId="9" fillId="0" borderId="9" xfId="0" applyFont="1" applyBorder="1" applyAlignment="1" applyProtection="1">
      <alignment horizontal="center" vertical="center"/>
      <protection locked="0"/>
    </xf>
    <xf numFmtId="14" fontId="5" fillId="0" borderId="1" xfId="0" applyNumberFormat="1" applyFont="1" applyBorder="1" applyAlignment="1" applyProtection="1">
      <alignment vertical="center"/>
      <protection locked="0"/>
    </xf>
    <xf numFmtId="14" fontId="5" fillId="0" borderId="2" xfId="0" applyNumberFormat="1" applyFont="1" applyBorder="1" applyAlignment="1" applyProtection="1">
      <alignment vertical="center"/>
      <protection locked="0"/>
    </xf>
    <xf numFmtId="14" fontId="5" fillId="0" borderId="3" xfId="0" applyNumberFormat="1" applyFont="1" applyBorder="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lignment vertical="center"/>
    </xf>
    <xf numFmtId="14" fontId="5" fillId="0" borderId="4" xfId="0" applyNumberFormat="1" applyFont="1" applyBorder="1" applyAlignment="1" applyProtection="1">
      <alignment vertical="center"/>
      <protection locked="0"/>
    </xf>
    <xf numFmtId="14" fontId="5" fillId="0" borderId="0" xfId="0" applyNumberFormat="1" applyFont="1" applyAlignment="1" applyProtection="1">
      <alignment vertical="center"/>
      <protection locked="0"/>
    </xf>
    <xf numFmtId="14" fontId="5" fillId="0" borderId="8" xfId="0" applyNumberFormat="1" applyFont="1" applyBorder="1" applyAlignment="1" applyProtection="1">
      <alignment vertical="center"/>
      <protection locked="0"/>
    </xf>
    <xf numFmtId="0" fontId="7" fillId="0" borderId="0" xfId="0" applyFont="1"/>
    <xf numFmtId="0" fontId="9"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49" fontId="10" fillId="0" borderId="0" xfId="0" applyNumberFormat="1" applyFont="1" applyAlignment="1" applyProtection="1">
      <alignment horizontal="right" vertical="center"/>
      <protection locked="0"/>
    </xf>
    <xf numFmtId="0" fontId="7" fillId="0" borderId="0" xfId="0" applyFont="1" applyAlignment="1" applyProtection="1">
      <alignment horizontal="left" vertical="center"/>
      <protection locked="0"/>
    </xf>
    <xf numFmtId="0" fontId="9" fillId="0" borderId="1" xfId="0" applyFont="1" applyBorder="1" applyAlignment="1" applyProtection="1">
      <alignment vertical="center"/>
      <protection locked="0"/>
    </xf>
    <xf numFmtId="0" fontId="9" fillId="0" borderId="5" xfId="0" applyFont="1" applyBorder="1" applyAlignment="1" applyProtection="1">
      <alignment vertical="center"/>
      <protection locked="0"/>
    </xf>
    <xf numFmtId="0" fontId="9" fillId="0" borderId="0" xfId="0" applyFont="1" applyAlignment="1" applyProtection="1">
      <alignment vertical="center"/>
      <protection locked="0"/>
    </xf>
    <xf numFmtId="14" fontId="11" fillId="0" borderId="0" xfId="0" applyNumberFormat="1" applyFont="1" applyAlignment="1" applyProtection="1">
      <alignment vertical="center"/>
      <protection locked="0"/>
    </xf>
    <xf numFmtId="0" fontId="12" fillId="0" borderId="0" xfId="0" applyFont="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14" fontId="12" fillId="0" borderId="0" xfId="0" applyNumberFormat="1" applyFont="1" applyAlignment="1" applyProtection="1">
      <alignment horizontal="center" vertical="center"/>
      <protection locked="0"/>
    </xf>
    <xf numFmtId="0" fontId="9" fillId="0" borderId="2" xfId="0" applyFont="1" applyBorder="1" applyAlignment="1" applyProtection="1">
      <alignment vertical="center" wrapText="1"/>
      <protection locked="0"/>
    </xf>
    <xf numFmtId="0" fontId="17" fillId="0" borderId="0" xfId="0" applyFont="1" applyAlignment="1" applyProtection="1">
      <alignment horizontal="center" vertical="center"/>
      <protection locked="0"/>
    </xf>
    <xf numFmtId="0" fontId="12" fillId="0" borderId="0" xfId="0" applyFont="1" applyAlignment="1" applyProtection="1">
      <alignment vertical="center"/>
      <protection locked="0"/>
    </xf>
    <xf numFmtId="0" fontId="7" fillId="0" borderId="0" xfId="0" applyFont="1" applyProtection="1">
      <protection locked="0"/>
    </xf>
    <xf numFmtId="0" fontId="12" fillId="0" borderId="0" xfId="0" applyFont="1" applyProtection="1">
      <protection locked="0"/>
    </xf>
    <xf numFmtId="0" fontId="7" fillId="0" borderId="5" xfId="0" applyFont="1" applyBorder="1" applyAlignment="1" applyProtection="1">
      <alignment vertical="center"/>
      <protection locked="0"/>
    </xf>
    <xf numFmtId="0" fontId="7" fillId="0" borderId="6" xfId="0" applyFont="1" applyBorder="1" applyAlignment="1" applyProtection="1">
      <alignment vertical="center"/>
      <protection locked="0"/>
    </xf>
    <xf numFmtId="0" fontId="7" fillId="0" borderId="7" xfId="0" applyFont="1" applyBorder="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Alignment="1" applyProtection="1">
      <alignment horizontal="center"/>
      <protection locked="0"/>
    </xf>
    <xf numFmtId="0" fontId="23" fillId="0" borderId="0" xfId="0" applyFont="1" applyProtection="1">
      <protection locked="0"/>
    </xf>
    <xf numFmtId="0" fontId="25" fillId="0" borderId="0" xfId="0" applyFont="1" applyAlignment="1" applyProtection="1">
      <alignment horizontal="center"/>
      <protection locked="0"/>
    </xf>
    <xf numFmtId="0" fontId="26" fillId="0" borderId="0" xfId="0" applyFont="1" applyAlignment="1" applyProtection="1">
      <alignment horizontal="center"/>
      <protection locked="0"/>
    </xf>
    <xf numFmtId="0" fontId="27" fillId="0" borderId="0" xfId="0" applyFont="1" applyAlignment="1" applyProtection="1">
      <alignment horizontal="center"/>
      <protection locked="0"/>
    </xf>
    <xf numFmtId="0" fontId="28" fillId="0" borderId="0" xfId="0" applyFont="1" applyAlignment="1" applyProtection="1">
      <alignment horizontal="center" vertical="center"/>
      <protection locked="0"/>
    </xf>
    <xf numFmtId="0" fontId="29" fillId="0" borderId="0" xfId="0" applyFont="1" applyAlignment="1" applyProtection="1">
      <alignment horizontal="center" vertical="center"/>
      <protection locked="0"/>
    </xf>
    <xf numFmtId="0" fontId="28" fillId="0" borderId="0" xfId="0" applyFont="1" applyProtection="1">
      <protection locked="0"/>
    </xf>
    <xf numFmtId="4" fontId="21" fillId="0" borderId="0" xfId="0" applyNumberFormat="1" applyFont="1"/>
    <xf numFmtId="4" fontId="21" fillId="0" borderId="4" xfId="0" applyNumberFormat="1" applyFont="1" applyBorder="1"/>
    <xf numFmtId="0" fontId="7" fillId="0" borderId="1" xfId="0" applyFont="1" applyBorder="1" applyAlignment="1" applyProtection="1">
      <alignment vertical="center"/>
      <protection locked="0"/>
    </xf>
    <xf numFmtId="0" fontId="7" fillId="0" borderId="2" xfId="0" applyFont="1" applyBorder="1" applyAlignment="1" applyProtection="1">
      <alignment vertical="center"/>
      <protection locked="0"/>
    </xf>
    <xf numFmtId="0" fontId="7" fillId="0" borderId="3" xfId="0" applyFont="1" applyBorder="1" applyAlignment="1" applyProtection="1">
      <alignment vertical="center"/>
      <protection locked="0"/>
    </xf>
    <xf numFmtId="0" fontId="33" fillId="0" borderId="0" xfId="0" applyFont="1" applyAlignment="1" applyProtection="1">
      <alignment vertical="center"/>
      <protection locked="0"/>
    </xf>
    <xf numFmtId="0" fontId="34" fillId="0" borderId="0" xfId="0" applyFont="1" applyAlignment="1" applyProtection="1">
      <alignment horizontal="center" vertical="center"/>
      <protection locked="0"/>
    </xf>
    <xf numFmtId="0" fontId="34" fillId="0" borderId="0" xfId="0" applyFont="1" applyAlignment="1" applyProtection="1">
      <alignment vertical="center"/>
      <protection locked="0"/>
    </xf>
    <xf numFmtId="0" fontId="33" fillId="0" borderId="0" xfId="0" applyFont="1" applyProtection="1">
      <protection locked="0"/>
    </xf>
    <xf numFmtId="0" fontId="20" fillId="0" borderId="0" xfId="0" applyFont="1" applyAlignment="1">
      <alignment horizontal="center" vertical="center"/>
    </xf>
    <xf numFmtId="3" fontId="21" fillId="0" borderId="0" xfId="0" applyNumberFormat="1" applyFont="1" applyAlignment="1">
      <alignment horizontal="center"/>
    </xf>
    <xf numFmtId="0" fontId="9" fillId="0" borderId="4" xfId="0" applyFont="1" applyBorder="1" applyAlignment="1">
      <alignment horizontal="left"/>
    </xf>
    <xf numFmtId="0" fontId="19" fillId="0" borderId="0" xfId="0" applyFont="1"/>
    <xf numFmtId="0" fontId="19" fillId="0" borderId="0" xfId="0" applyFont="1" applyAlignment="1">
      <alignment horizontal="center" vertical="center"/>
    </xf>
    <xf numFmtId="4" fontId="12" fillId="0" borderId="0" xfId="0" applyNumberFormat="1" applyFont="1"/>
    <xf numFmtId="0" fontId="12" fillId="0" borderId="8" xfId="0" applyFont="1" applyBorder="1"/>
    <xf numFmtId="0" fontId="38" fillId="0" borderId="4" xfId="0" applyFont="1" applyBorder="1" applyAlignment="1">
      <alignment horizontal="left"/>
    </xf>
    <xf numFmtId="0" fontId="12" fillId="0" borderId="4" xfId="0" applyFont="1" applyBorder="1"/>
    <xf numFmtId="0" fontId="12" fillId="0" borderId="0" xfId="1" applyFont="1" applyAlignment="1">
      <alignment horizontal="left" vertical="center"/>
    </xf>
    <xf numFmtId="3" fontId="12" fillId="0" borderId="0" xfId="1" applyNumberFormat="1" applyFont="1" applyAlignment="1">
      <alignment horizontal="right" vertical="center"/>
    </xf>
    <xf numFmtId="0" fontId="12" fillId="0" borderId="0" xfId="0" applyFont="1"/>
    <xf numFmtId="3" fontId="12" fillId="0" borderId="0" xfId="0" applyNumberFormat="1" applyFont="1" applyAlignment="1">
      <alignment horizontal="center"/>
    </xf>
    <xf numFmtId="4" fontId="12" fillId="0" borderId="0" xfId="1" applyNumberFormat="1" applyFont="1" applyAlignment="1">
      <alignment horizontal="right" vertical="center"/>
    </xf>
    <xf numFmtId="0" fontId="19" fillId="0" borderId="0" xfId="0" applyFont="1" applyAlignment="1">
      <alignment horizontal="center"/>
    </xf>
    <xf numFmtId="0" fontId="12" fillId="0" borderId="4" xfId="1" applyFont="1" applyBorder="1" applyAlignment="1">
      <alignment horizontal="left" vertical="center"/>
    </xf>
    <xf numFmtId="0" fontId="19" fillId="0" borderId="0" xfId="0" applyFont="1" applyAlignment="1">
      <alignment horizontal="right"/>
    </xf>
    <xf numFmtId="4" fontId="36" fillId="0" borderId="0" xfId="0" applyNumberFormat="1" applyFont="1"/>
    <xf numFmtId="0" fontId="19" fillId="0" borderId="4" xfId="1" applyFont="1" applyBorder="1" applyAlignment="1">
      <alignment horizontal="left" vertical="center"/>
    </xf>
    <xf numFmtId="4" fontId="19" fillId="0" borderId="0" xfId="0" applyNumberFormat="1" applyFont="1" applyAlignment="1">
      <alignment horizontal="right"/>
    </xf>
    <xf numFmtId="4" fontId="12" fillId="0" borderId="0" xfId="0" applyNumberFormat="1" applyFont="1" applyAlignment="1">
      <alignment horizontal="right"/>
    </xf>
    <xf numFmtId="0" fontId="12" fillId="0" borderId="4" xfId="0" applyFont="1" applyBorder="1" applyAlignment="1">
      <alignment horizontal="left"/>
    </xf>
    <xf numFmtId="3" fontId="12" fillId="0" borderId="0" xfId="0" applyNumberFormat="1" applyFont="1" applyAlignment="1">
      <alignment horizontal="right" vertical="center" indent="3"/>
    </xf>
    <xf numFmtId="3" fontId="9" fillId="0" borderId="0" xfId="0" applyNumberFormat="1" applyFont="1" applyAlignment="1">
      <alignment horizontal="right" vertical="center" indent="3"/>
    </xf>
    <xf numFmtId="0" fontId="12" fillId="0" borderId="0" xfId="0" applyFont="1" applyAlignment="1">
      <alignment horizontal="right"/>
    </xf>
    <xf numFmtId="4" fontId="12" fillId="0" borderId="4" xfId="0" applyNumberFormat="1" applyFont="1" applyBorder="1"/>
    <xf numFmtId="0" fontId="36" fillId="0" borderId="0" xfId="0" applyFont="1"/>
    <xf numFmtId="0" fontId="7" fillId="0" borderId="8" xfId="0" applyFont="1" applyBorder="1" applyAlignment="1" applyProtection="1">
      <alignment vertical="center"/>
      <protection locked="0"/>
    </xf>
    <xf numFmtId="0" fontId="7" fillId="0" borderId="4" xfId="0" applyFont="1" applyBorder="1" applyAlignment="1" applyProtection="1">
      <alignment vertical="center"/>
      <protection locked="0"/>
    </xf>
    <xf numFmtId="0" fontId="12" fillId="0" borderId="0" xfId="0" applyFont="1" applyAlignment="1">
      <alignment horizontal="left"/>
    </xf>
    <xf numFmtId="0" fontId="12" fillId="0" borderId="1" xfId="1" applyFont="1" applyBorder="1" applyAlignment="1">
      <alignment horizontal="left" vertical="center"/>
    </xf>
    <xf numFmtId="4" fontId="12" fillId="0" borderId="2" xfId="1" applyNumberFormat="1" applyFont="1" applyBorder="1" applyAlignment="1">
      <alignment horizontal="right" vertical="center"/>
    </xf>
    <xf numFmtId="0" fontId="19" fillId="0" borderId="2" xfId="0" applyFont="1" applyBorder="1" applyAlignment="1">
      <alignment horizontal="right"/>
    </xf>
    <xf numFmtId="4" fontId="12" fillId="0" borderId="2" xfId="0" applyNumberFormat="1" applyFont="1" applyBorder="1"/>
    <xf numFmtId="0" fontId="12" fillId="0" borderId="2" xfId="0" applyFont="1" applyBorder="1"/>
    <xf numFmtId="0" fontId="7" fillId="0" borderId="2" xfId="0" quotePrefix="1" applyFont="1" applyBorder="1" applyAlignment="1" applyProtection="1">
      <alignment vertical="center"/>
      <protection locked="0"/>
    </xf>
    <xf numFmtId="4" fontId="19" fillId="2" borderId="55" xfId="0" applyNumberFormat="1" applyFont="1" applyFill="1" applyBorder="1" applyAlignment="1">
      <alignment horizontal="center" vertical="center"/>
    </xf>
    <xf numFmtId="4" fontId="22" fillId="0" borderId="41" xfId="0" applyNumberFormat="1" applyFont="1" applyBorder="1"/>
    <xf numFmtId="4" fontId="22" fillId="0" borderId="42" xfId="0" applyNumberFormat="1" applyFont="1" applyBorder="1"/>
    <xf numFmtId="4" fontId="22" fillId="0" borderId="43" xfId="0" applyNumberFormat="1" applyFont="1" applyBorder="1"/>
    <xf numFmtId="0" fontId="19" fillId="2" borderId="19" xfId="0" applyFont="1" applyFill="1" applyBorder="1" applyAlignment="1">
      <alignment horizontal="center" vertical="center"/>
    </xf>
    <xf numFmtId="0" fontId="22" fillId="0" borderId="30" xfId="0" applyFont="1" applyBorder="1" applyAlignment="1">
      <alignment horizontal="center"/>
    </xf>
    <xf numFmtId="0" fontId="22" fillId="0" borderId="31" xfId="0" applyFont="1" applyBorder="1" applyAlignment="1">
      <alignment horizontal="center"/>
    </xf>
    <xf numFmtId="0" fontId="22" fillId="0" borderId="32" xfId="0" applyFont="1" applyBorder="1" applyAlignment="1">
      <alignment horizontal="center"/>
    </xf>
    <xf numFmtId="0" fontId="19" fillId="2" borderId="28" xfId="0" applyFont="1" applyFill="1" applyBorder="1" applyAlignment="1">
      <alignment horizontal="center" vertical="center"/>
    </xf>
    <xf numFmtId="0" fontId="12" fillId="0" borderId="0" xfId="7" applyFont="1" applyAlignment="1">
      <alignment horizontal="left"/>
    </xf>
    <xf numFmtId="14" fontId="9" fillId="0" borderId="0" xfId="7" applyNumberFormat="1" applyFont="1" applyAlignment="1">
      <alignment horizontal="center"/>
    </xf>
    <xf numFmtId="0" fontId="40" fillId="0" borderId="0" xfId="7" applyFont="1" applyAlignment="1">
      <alignment horizontal="center"/>
    </xf>
    <xf numFmtId="0" fontId="9" fillId="0" borderId="0" xfId="7" applyFont="1" applyAlignment="1">
      <alignment horizontal="center"/>
    </xf>
    <xf numFmtId="0" fontId="12" fillId="0" borderId="0" xfId="7" applyFont="1"/>
    <xf numFmtId="0" fontId="19" fillId="5" borderId="19" xfId="0" applyFont="1" applyFill="1" applyBorder="1" applyAlignment="1">
      <alignment horizontal="center" vertical="center" wrapText="1"/>
    </xf>
    <xf numFmtId="3" fontId="22" fillId="0" borderId="30" xfId="0" applyNumberFormat="1" applyFont="1" applyBorder="1" applyAlignment="1">
      <alignment horizontal="center"/>
    </xf>
    <xf numFmtId="3" fontId="22" fillId="0" borderId="31" xfId="0" applyNumberFormat="1" applyFont="1" applyBorder="1" applyAlignment="1">
      <alignment horizontal="center"/>
    </xf>
    <xf numFmtId="3" fontId="22" fillId="0" borderId="32" xfId="0" applyNumberFormat="1" applyFont="1" applyBorder="1" applyAlignment="1">
      <alignment horizontal="center"/>
    </xf>
    <xf numFmtId="0" fontId="12" fillId="0" borderId="1" xfId="0" applyFont="1" applyBorder="1" applyAlignment="1" applyProtection="1">
      <alignment vertical="center"/>
      <protection locked="0"/>
    </xf>
    <xf numFmtId="0" fontId="12" fillId="0" borderId="2" xfId="0" applyFont="1" applyBorder="1" applyAlignment="1" applyProtection="1">
      <alignment vertical="center"/>
      <protection locked="0"/>
    </xf>
    <xf numFmtId="0" fontId="12" fillId="0" borderId="3" xfId="0" applyFont="1" applyBorder="1" applyAlignment="1" applyProtection="1">
      <alignment vertical="center"/>
      <protection locked="0"/>
    </xf>
    <xf numFmtId="0" fontId="12" fillId="0" borderId="8" xfId="0" applyFont="1" applyBorder="1" applyAlignment="1" applyProtection="1">
      <alignment vertical="center"/>
      <protection locked="0"/>
    </xf>
    <xf numFmtId="0" fontId="12" fillId="0" borderId="4" xfId="0" applyFont="1" applyBorder="1" applyAlignment="1" applyProtection="1">
      <alignment vertical="center"/>
      <protection locked="0"/>
    </xf>
    <xf numFmtId="0" fontId="12" fillId="0" borderId="5" xfId="1" applyFont="1" applyBorder="1" applyAlignment="1">
      <alignment horizontal="left" vertical="center"/>
    </xf>
    <xf numFmtId="4" fontId="12" fillId="0" borderId="6" xfId="1" applyNumberFormat="1" applyFont="1" applyBorder="1" applyAlignment="1">
      <alignment horizontal="right" vertical="center"/>
    </xf>
    <xf numFmtId="0" fontId="19" fillId="0" borderId="6" xfId="0" applyFont="1" applyBorder="1" applyAlignment="1">
      <alignment horizontal="right"/>
    </xf>
    <xf numFmtId="4" fontId="12" fillId="0" borderId="6" xfId="0" applyNumberFormat="1" applyFont="1" applyBorder="1"/>
    <xf numFmtId="0" fontId="12" fillId="0" borderId="6" xfId="0" applyFont="1" applyBorder="1"/>
    <xf numFmtId="0" fontId="12" fillId="0" borderId="6" xfId="0" applyFont="1" applyBorder="1" applyAlignment="1" applyProtection="1">
      <alignment vertical="center"/>
      <protection locked="0"/>
    </xf>
    <xf numFmtId="0" fontId="12" fillId="0" borderId="7" xfId="0" applyFont="1" applyBorder="1" applyAlignment="1" applyProtection="1">
      <alignment vertical="center"/>
      <protection locked="0"/>
    </xf>
    <xf numFmtId="0" fontId="12" fillId="0" borderId="5" xfId="0" applyFont="1" applyBorder="1" applyAlignment="1" applyProtection="1">
      <alignment vertical="center"/>
      <protection locked="0"/>
    </xf>
    <xf numFmtId="0" fontId="19" fillId="2" borderId="19" xfId="0" applyFont="1" applyFill="1" applyBorder="1" applyAlignment="1">
      <alignment horizontal="center" vertical="center" wrapText="1"/>
    </xf>
    <xf numFmtId="0" fontId="9" fillId="0" borderId="0" xfId="0" applyFont="1"/>
    <xf numFmtId="0" fontId="19" fillId="2" borderId="20" xfId="0" applyFont="1" applyFill="1" applyBorder="1" applyAlignment="1">
      <alignment horizontal="center" vertical="center"/>
    </xf>
    <xf numFmtId="0" fontId="22" fillId="0" borderId="8" xfId="0" applyFont="1" applyBorder="1"/>
    <xf numFmtId="0" fontId="22" fillId="0" borderId="41" xfId="0" applyFont="1" applyBorder="1" applyAlignment="1">
      <alignment horizontal="left" vertical="center" wrapText="1"/>
    </xf>
    <xf numFmtId="0" fontId="22" fillId="0" borderId="42" xfId="0" applyFont="1" applyBorder="1" applyAlignment="1">
      <alignment horizontal="left" vertical="center" wrapText="1"/>
    </xf>
    <xf numFmtId="0" fontId="22" fillId="0" borderId="43" xfId="0" applyFont="1" applyBorder="1" applyAlignment="1">
      <alignment horizontal="left" vertical="center" wrapText="1"/>
    </xf>
    <xf numFmtId="0" fontId="42" fillId="0" borderId="0" xfId="0" applyFont="1" applyAlignment="1" applyProtection="1">
      <alignment vertical="center"/>
      <protection locked="0"/>
    </xf>
    <xf numFmtId="0" fontId="43" fillId="0" borderId="0" xfId="0" applyFont="1" applyAlignment="1" applyProtection="1">
      <alignment horizontal="center" vertical="center"/>
      <protection locked="0"/>
    </xf>
    <xf numFmtId="0" fontId="43" fillId="0" borderId="0" xfId="0" applyFont="1" applyAlignment="1" applyProtection="1">
      <alignment vertical="center"/>
      <protection locked="0"/>
    </xf>
    <xf numFmtId="167" fontId="44" fillId="0" borderId="0" xfId="2" applyNumberFormat="1" applyFont="1" applyBorder="1" applyAlignment="1">
      <alignment horizontal="center"/>
    </xf>
    <xf numFmtId="0" fontId="42" fillId="0" borderId="0" xfId="0" applyFont="1" applyProtection="1">
      <protection locked="0"/>
    </xf>
    <xf numFmtId="167" fontId="44" fillId="0" borderId="6" xfId="2" applyNumberFormat="1" applyFont="1" applyBorder="1" applyAlignment="1">
      <alignment horizontal="center"/>
    </xf>
    <xf numFmtId="9" fontId="44" fillId="0" borderId="30" xfId="3" applyFont="1" applyBorder="1" applyAlignment="1">
      <alignment horizontal="center"/>
    </xf>
    <xf numFmtId="9" fontId="44" fillId="0" borderId="31" xfId="3" applyFont="1" applyBorder="1" applyAlignment="1">
      <alignment horizontal="center"/>
    </xf>
    <xf numFmtId="9" fontId="44" fillId="0" borderId="32" xfId="3" applyFont="1" applyBorder="1" applyAlignment="1">
      <alignment horizontal="center"/>
    </xf>
    <xf numFmtId="167" fontId="44" fillId="0" borderId="2" xfId="2" applyNumberFormat="1" applyFont="1" applyBorder="1" applyAlignment="1">
      <alignment horizontal="center"/>
    </xf>
    <xf numFmtId="165" fontId="44" fillId="0" borderId="0" xfId="2" applyNumberFormat="1" applyFont="1" applyBorder="1" applyAlignment="1">
      <alignment horizontal="right" indent="4"/>
    </xf>
    <xf numFmtId="0" fontId="45" fillId="0" borderId="4" xfId="0" applyFont="1" applyBorder="1" applyAlignment="1">
      <alignment horizontal="left"/>
    </xf>
    <xf numFmtId="0" fontId="7" fillId="0" borderId="0" xfId="0" applyFont="1" applyAlignment="1" applyProtection="1">
      <alignment vertical="center" wrapText="1"/>
      <protection locked="0"/>
    </xf>
    <xf numFmtId="0" fontId="12" fillId="0" borderId="5" xfId="0" applyFont="1" applyBorder="1" applyAlignment="1">
      <alignment horizontal="left"/>
    </xf>
    <xf numFmtId="0" fontId="11" fillId="0" borderId="58" xfId="0" applyFont="1" applyBorder="1" applyAlignment="1" applyProtection="1">
      <alignment horizontal="left" vertical="center"/>
      <protection locked="0"/>
    </xf>
    <xf numFmtId="14" fontId="11" fillId="0" borderId="59" xfId="0" applyNumberFormat="1" applyFont="1" applyBorder="1" applyAlignment="1" applyProtection="1">
      <alignment horizontal="left" vertical="center"/>
      <protection locked="0"/>
    </xf>
    <xf numFmtId="9" fontId="12" fillId="0" borderId="19" xfId="3" applyFont="1" applyFill="1" applyBorder="1" applyAlignment="1">
      <alignment horizontal="center"/>
    </xf>
    <xf numFmtId="165" fontId="22" fillId="0" borderId="19" xfId="2" applyNumberFormat="1" applyFont="1" applyFill="1" applyBorder="1" applyAlignment="1">
      <alignment horizontal="right" indent="1"/>
    </xf>
    <xf numFmtId="0" fontId="12" fillId="0" borderId="22" xfId="0" applyFont="1" applyBorder="1" applyAlignment="1" applyProtection="1">
      <alignment vertical="center"/>
      <protection locked="0"/>
    </xf>
    <xf numFmtId="49" fontId="12" fillId="0" borderId="22" xfId="0" applyNumberFormat="1" applyFont="1" applyBorder="1" applyAlignment="1" applyProtection="1">
      <alignment vertical="center"/>
      <protection locked="0"/>
    </xf>
    <xf numFmtId="49" fontId="12" fillId="0" borderId="17" xfId="0" applyNumberFormat="1" applyFont="1" applyBorder="1" applyAlignment="1" applyProtection="1">
      <alignment vertical="center"/>
      <protection locked="0"/>
    </xf>
    <xf numFmtId="0" fontId="15" fillId="0" borderId="0" xfId="0" applyFont="1" applyAlignment="1" applyProtection="1">
      <alignment horizontal="center" vertical="center"/>
      <protection locked="0"/>
    </xf>
    <xf numFmtId="0" fontId="12" fillId="0" borderId="17" xfId="0" applyFont="1" applyBorder="1" applyAlignment="1" applyProtection="1">
      <alignment vertical="center" wrapText="1"/>
      <protection locked="0"/>
    </xf>
    <xf numFmtId="0" fontId="12" fillId="0" borderId="39" xfId="0" applyFont="1" applyBorder="1" applyAlignment="1" applyProtection="1">
      <alignment vertical="center"/>
      <protection locked="0"/>
    </xf>
    <xf numFmtId="4" fontId="12" fillId="0" borderId="5" xfId="0" applyNumberFormat="1" applyFont="1" applyBorder="1"/>
    <xf numFmtId="0" fontId="40" fillId="0" borderId="4" xfId="0" applyFont="1" applyBorder="1" applyAlignment="1">
      <alignment horizontal="left"/>
    </xf>
    <xf numFmtId="4" fontId="9" fillId="0" borderId="0" xfId="0" applyNumberFormat="1" applyFont="1"/>
    <xf numFmtId="4" fontId="19" fillId="0" borderId="4" xfId="0" applyNumberFormat="1" applyFont="1" applyBorder="1"/>
    <xf numFmtId="165" fontId="12" fillId="0" borderId="0" xfId="0" applyNumberFormat="1" applyFont="1" applyAlignment="1" applyProtection="1">
      <alignment vertical="center"/>
      <protection locked="0"/>
    </xf>
    <xf numFmtId="0" fontId="12" fillId="0" borderId="47" xfId="9" applyFont="1" applyBorder="1" applyAlignment="1">
      <alignment horizontal="left" vertical="center" wrapText="1"/>
    </xf>
    <xf numFmtId="0" fontId="12" fillId="0" borderId="44" xfId="9" applyFont="1" applyBorder="1" applyAlignment="1">
      <alignment horizontal="left" vertical="center" wrapText="1"/>
    </xf>
    <xf numFmtId="0" fontId="12" fillId="0" borderId="4" xfId="9" applyFont="1" applyBorder="1"/>
    <xf numFmtId="0" fontId="12" fillId="0" borderId="5" xfId="9" applyFont="1" applyBorder="1"/>
    <xf numFmtId="0" fontId="12" fillId="0" borderId="6" xfId="9" applyFont="1" applyBorder="1"/>
    <xf numFmtId="167" fontId="12" fillId="0" borderId="6" xfId="2" applyNumberFormat="1" applyFont="1" applyBorder="1"/>
    <xf numFmtId="4" fontId="12" fillId="0" borderId="6" xfId="0" applyNumberFormat="1" applyFont="1" applyBorder="1" applyAlignment="1">
      <alignment horizontal="left"/>
    </xf>
    <xf numFmtId="0" fontId="12" fillId="0" borderId="0" xfId="9" applyFont="1"/>
    <xf numFmtId="167" fontId="12" fillId="0" borderId="0" xfId="2" applyNumberFormat="1" applyFont="1" applyBorder="1"/>
    <xf numFmtId="4" fontId="12" fillId="0" borderId="0" xfId="0" applyNumberFormat="1" applyFont="1" applyAlignment="1">
      <alignment horizontal="left"/>
    </xf>
    <xf numFmtId="0" fontId="12" fillId="0" borderId="1" xfId="9" applyFont="1" applyBorder="1"/>
    <xf numFmtId="0" fontId="12" fillId="0" borderId="2" xfId="9" applyFont="1" applyBorder="1"/>
    <xf numFmtId="167" fontId="12" fillId="0" borderId="2" xfId="2" applyNumberFormat="1" applyFont="1" applyBorder="1"/>
    <xf numFmtId="4" fontId="12" fillId="0" borderId="2" xfId="0" applyNumberFormat="1" applyFont="1" applyBorder="1" applyAlignment="1">
      <alignment horizontal="left"/>
    </xf>
    <xf numFmtId="165" fontId="12" fillId="0" borderId="30" xfId="2" applyNumberFormat="1" applyFont="1" applyBorder="1" applyAlignment="1">
      <alignment horizontal="center"/>
    </xf>
    <xf numFmtId="165" fontId="12" fillId="0" borderId="31" xfId="2" applyNumberFormat="1" applyFont="1" applyBorder="1" applyAlignment="1">
      <alignment horizontal="center"/>
    </xf>
    <xf numFmtId="165" fontId="12" fillId="0" borderId="32" xfId="2" applyNumberFormat="1" applyFont="1" applyBorder="1" applyAlignment="1">
      <alignment horizontal="center"/>
    </xf>
    <xf numFmtId="167" fontId="12" fillId="0" borderId="6" xfId="2" applyNumberFormat="1" applyFont="1" applyBorder="1" applyAlignment="1"/>
    <xf numFmtId="168" fontId="9" fillId="0" borderId="0" xfId="0" applyNumberFormat="1" applyFont="1"/>
    <xf numFmtId="165" fontId="12" fillId="0" borderId="0" xfId="2" applyNumberFormat="1" applyFont="1" applyBorder="1" applyAlignment="1" applyProtection="1">
      <alignment vertical="center"/>
      <protection locked="0"/>
    </xf>
    <xf numFmtId="165" fontId="12" fillId="0" borderId="0" xfId="2" applyNumberFormat="1" applyFont="1" applyBorder="1"/>
    <xf numFmtId="165" fontId="12" fillId="0" borderId="0" xfId="2" applyNumberFormat="1" applyFont="1" applyBorder="1" applyAlignment="1">
      <alignment horizontal="center"/>
    </xf>
    <xf numFmtId="0" fontId="12" fillId="0" borderId="0" xfId="0" applyFont="1" applyAlignment="1">
      <alignment horizontal="center"/>
    </xf>
    <xf numFmtId="0" fontId="9" fillId="2" borderId="24" xfId="0" applyFont="1" applyFill="1" applyBorder="1" applyAlignment="1">
      <alignment horizontal="center" vertical="center"/>
    </xf>
    <xf numFmtId="0" fontId="9" fillId="2" borderId="19" xfId="0" applyFont="1" applyFill="1" applyBorder="1" applyAlignment="1">
      <alignment horizontal="center" vertical="center" wrapText="1"/>
    </xf>
    <xf numFmtId="0" fontId="9" fillId="5" borderId="19" xfId="9" applyFont="1" applyFill="1" applyBorder="1" applyAlignment="1">
      <alignment horizontal="center" vertical="center" wrapText="1"/>
    </xf>
    <xf numFmtId="0" fontId="9" fillId="2" borderId="19" xfId="9" applyFont="1" applyFill="1" applyBorder="1" applyAlignment="1">
      <alignment horizontal="center" vertical="center" wrapText="1"/>
    </xf>
    <xf numFmtId="0" fontId="9" fillId="2" borderId="25" xfId="9" applyFont="1" applyFill="1" applyBorder="1" applyAlignment="1">
      <alignment horizontal="center" vertical="center" wrapText="1"/>
    </xf>
    <xf numFmtId="165" fontId="12" fillId="0" borderId="47" xfId="2" applyNumberFormat="1" applyFont="1" applyBorder="1" applyAlignment="1">
      <alignment horizontal="center" vertical="center"/>
    </xf>
    <xf numFmtId="165" fontId="12" fillId="0" borderId="44" xfId="2" applyNumberFormat="1" applyFont="1" applyBorder="1" applyAlignment="1">
      <alignment horizontal="center" vertical="center"/>
    </xf>
    <xf numFmtId="168" fontId="9" fillId="2" borderId="28" xfId="0" applyNumberFormat="1" applyFont="1" applyFill="1" applyBorder="1" applyAlignment="1">
      <alignment horizontal="center" vertical="center"/>
    </xf>
    <xf numFmtId="14" fontId="9" fillId="2" borderId="28" xfId="0" applyNumberFormat="1" applyFont="1" applyFill="1" applyBorder="1" applyAlignment="1">
      <alignment horizontal="center" vertical="center"/>
    </xf>
    <xf numFmtId="4" fontId="9" fillId="0" borderId="19" xfId="0" applyNumberFormat="1" applyFont="1" applyBorder="1" applyAlignment="1">
      <alignment horizontal="center" vertical="center"/>
    </xf>
    <xf numFmtId="4" fontId="9" fillId="0" borderId="28" xfId="0" applyNumberFormat="1" applyFont="1" applyBorder="1" applyAlignment="1">
      <alignment horizontal="center" vertical="center"/>
    </xf>
    <xf numFmtId="169" fontId="12" fillId="5" borderId="30" xfId="2" applyNumberFormat="1" applyFont="1" applyFill="1" applyBorder="1" applyAlignment="1">
      <alignment horizontal="center" vertical="center"/>
    </xf>
    <xf numFmtId="165" fontId="12" fillId="0" borderId="30" xfId="2" applyNumberFormat="1" applyFont="1" applyFill="1" applyBorder="1" applyAlignment="1">
      <alignment horizontal="center" vertical="center"/>
    </xf>
    <xf numFmtId="0" fontId="9" fillId="2" borderId="26" xfId="0" quotePrefix="1" applyFont="1" applyFill="1" applyBorder="1" applyAlignment="1">
      <alignment horizontal="center" vertical="center"/>
    </xf>
    <xf numFmtId="0" fontId="9" fillId="2" borderId="26" xfId="0" applyFont="1" applyFill="1" applyBorder="1" applyAlignment="1">
      <alignment horizontal="center" vertical="center"/>
    </xf>
    <xf numFmtId="0" fontId="9" fillId="2" borderId="26" xfId="0" quotePrefix="1"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5" borderId="19" xfId="0" applyFont="1" applyFill="1" applyBorder="1" applyAlignment="1">
      <alignment horizontal="center" vertical="center" wrapText="1"/>
    </xf>
    <xf numFmtId="14" fontId="12" fillId="0" borderId="57" xfId="0" applyNumberFormat="1" applyFont="1" applyBorder="1" applyAlignment="1">
      <alignment vertical="center"/>
    </xf>
    <xf numFmtId="14" fontId="12" fillId="0" borderId="46" xfId="0" applyNumberFormat="1" applyFont="1" applyBorder="1" applyAlignment="1">
      <alignment vertical="center"/>
    </xf>
    <xf numFmtId="14" fontId="12" fillId="0" borderId="56" xfId="0" applyNumberFormat="1" applyFont="1" applyBorder="1" applyAlignment="1">
      <alignment vertical="center"/>
    </xf>
    <xf numFmtId="0" fontId="12" fillId="0" borderId="44" xfId="0" applyFont="1" applyBorder="1" applyAlignment="1">
      <alignment vertical="center"/>
    </xf>
    <xf numFmtId="0" fontId="12" fillId="0" borderId="47" xfId="0" applyFont="1" applyBorder="1" applyAlignment="1">
      <alignment vertical="center"/>
    </xf>
    <xf numFmtId="0" fontId="12" fillId="0" borderId="49" xfId="0" applyFont="1" applyBorder="1" applyAlignment="1">
      <alignment vertical="center"/>
    </xf>
    <xf numFmtId="165" fontId="12" fillId="5" borderId="44" xfId="2" applyNumberFormat="1" applyFont="1" applyFill="1" applyBorder="1" applyAlignment="1">
      <alignment vertical="center"/>
    </xf>
    <xf numFmtId="165" fontId="12" fillId="5" borderId="47" xfId="2" applyNumberFormat="1" applyFont="1" applyFill="1" applyBorder="1" applyAlignment="1">
      <alignment vertical="center"/>
    </xf>
    <xf numFmtId="165" fontId="12" fillId="5" borderId="49" xfId="2" applyNumberFormat="1" applyFont="1" applyFill="1" applyBorder="1" applyAlignment="1">
      <alignment vertical="center"/>
    </xf>
    <xf numFmtId="165" fontId="12" fillId="0" borderId="19" xfId="2" applyNumberFormat="1" applyFont="1" applyFill="1" applyBorder="1" applyAlignment="1">
      <alignment vertical="center"/>
    </xf>
    <xf numFmtId="165" fontId="12" fillId="5" borderId="19" xfId="2" applyNumberFormat="1" applyFont="1" applyFill="1" applyBorder="1" applyAlignment="1">
      <alignment vertical="center"/>
    </xf>
    <xf numFmtId="165" fontId="12" fillId="5" borderId="31" xfId="2" applyNumberFormat="1" applyFont="1" applyFill="1" applyBorder="1" applyAlignment="1">
      <alignment vertical="center"/>
    </xf>
    <xf numFmtId="0" fontId="9" fillId="2" borderId="25" xfId="0" applyFont="1" applyFill="1" applyBorder="1" applyAlignment="1">
      <alignment horizontal="center" vertical="center"/>
    </xf>
    <xf numFmtId="166" fontId="12" fillId="0" borderId="30" xfId="2" applyNumberFormat="1" applyFont="1" applyFill="1" applyBorder="1" applyAlignment="1">
      <alignment vertical="center" wrapText="1"/>
    </xf>
    <xf numFmtId="166" fontId="12" fillId="0" borderId="31" xfId="2" applyNumberFormat="1" applyFont="1" applyFill="1" applyBorder="1" applyAlignment="1">
      <alignment vertical="center" wrapText="1"/>
    </xf>
    <xf numFmtId="166" fontId="12" fillId="0" borderId="32" xfId="2" applyNumberFormat="1" applyFont="1" applyFill="1" applyBorder="1" applyAlignment="1">
      <alignment vertical="center" wrapText="1"/>
    </xf>
    <xf numFmtId="166" fontId="12" fillId="0" borderId="0" xfId="2" applyNumberFormat="1" applyFont="1" applyFill="1" applyBorder="1" applyAlignment="1">
      <alignment vertical="center" wrapText="1"/>
    </xf>
    <xf numFmtId="0" fontId="9" fillId="0" borderId="0" xfId="0" applyFont="1" applyAlignment="1">
      <alignment vertical="center"/>
    </xf>
    <xf numFmtId="165" fontId="12" fillId="0" borderId="30" xfId="2" applyNumberFormat="1" applyFont="1" applyBorder="1" applyAlignment="1">
      <alignment vertical="center" wrapText="1"/>
    </xf>
    <xf numFmtId="165" fontId="12" fillId="0" borderId="31" xfId="2" applyNumberFormat="1" applyFont="1" applyBorder="1" applyAlignment="1">
      <alignment vertical="center" wrapText="1"/>
    </xf>
    <xf numFmtId="165" fontId="12" fillId="0" borderId="32" xfId="2" applyNumberFormat="1" applyFont="1" applyBorder="1" applyAlignment="1">
      <alignment vertical="center" wrapText="1"/>
    </xf>
    <xf numFmtId="0" fontId="12" fillId="0" borderId="30" xfId="0" applyFont="1" applyBorder="1" applyAlignment="1">
      <alignment vertical="center" wrapText="1"/>
    </xf>
    <xf numFmtId="0" fontId="12" fillId="0" borderId="31" xfId="0" applyFont="1" applyBorder="1" applyAlignment="1">
      <alignment vertical="center" wrapText="1"/>
    </xf>
    <xf numFmtId="0" fontId="12" fillId="0" borderId="32" xfId="0" applyFont="1" applyBorder="1" applyAlignment="1">
      <alignment vertical="center" wrapText="1"/>
    </xf>
    <xf numFmtId="0" fontId="12" fillId="0" borderId="19" xfId="9" applyFont="1" applyBorder="1" applyAlignment="1">
      <alignment vertical="center" wrapText="1"/>
    </xf>
    <xf numFmtId="4" fontId="9" fillId="0" borderId="19" xfId="0" applyNumberFormat="1" applyFont="1" applyBorder="1" applyAlignment="1">
      <alignment vertical="center"/>
    </xf>
    <xf numFmtId="165" fontId="12" fillId="0" borderId="19" xfId="2" applyNumberFormat="1" applyFont="1" applyBorder="1" applyAlignment="1"/>
    <xf numFmtId="165" fontId="9" fillId="5" borderId="19" xfId="2" applyNumberFormat="1" applyFont="1" applyFill="1" applyBorder="1" applyAlignment="1">
      <alignment vertical="center"/>
    </xf>
    <xf numFmtId="0" fontId="12" fillId="0" borderId="48" xfId="9" applyFont="1" applyBorder="1" applyAlignment="1">
      <alignment vertical="center" wrapText="1"/>
    </xf>
    <xf numFmtId="165" fontId="9" fillId="0" borderId="25" xfId="2" applyNumberFormat="1" applyFont="1" applyFill="1" applyBorder="1" applyAlignment="1"/>
    <xf numFmtId="165" fontId="12" fillId="0" borderId="48" xfId="2" applyNumberFormat="1" applyFont="1" applyBorder="1" applyAlignment="1">
      <alignment vertical="center"/>
    </xf>
    <xf numFmtId="165" fontId="9" fillId="2" borderId="19" xfId="2" applyNumberFormat="1" applyFont="1" applyFill="1" applyBorder="1" applyAlignment="1">
      <alignment vertical="center"/>
    </xf>
    <xf numFmtId="4" fontId="9" fillId="0" borderId="0" xfId="0" applyNumberFormat="1" applyFont="1" applyAlignment="1">
      <alignment vertical="center"/>
    </xf>
    <xf numFmtId="165" fontId="12" fillId="0" borderId="49" xfId="2" applyNumberFormat="1" applyFont="1" applyBorder="1" applyAlignment="1">
      <alignment vertical="center"/>
    </xf>
    <xf numFmtId="165" fontId="12" fillId="0" borderId="47" xfId="2" applyNumberFormat="1" applyFont="1" applyBorder="1" applyAlignment="1">
      <alignment vertical="center"/>
    </xf>
    <xf numFmtId="165" fontId="12" fillId="0" borderId="44" xfId="2" applyNumberFormat="1" applyFont="1" applyBorder="1" applyAlignment="1">
      <alignment vertical="center"/>
    </xf>
    <xf numFmtId="167" fontId="12" fillId="0" borderId="49" xfId="2" applyNumberFormat="1" applyFont="1" applyBorder="1" applyAlignment="1"/>
    <xf numFmtId="167" fontId="12" fillId="0" borderId="47" xfId="2" applyNumberFormat="1" applyFont="1" applyBorder="1" applyAlignment="1"/>
    <xf numFmtId="167" fontId="12" fillId="0" borderId="44" xfId="2" applyNumberFormat="1" applyFont="1" applyBorder="1" applyAlignment="1"/>
    <xf numFmtId="165" fontId="12" fillId="0" borderId="19" xfId="2" applyNumberFormat="1" applyFont="1" applyBorder="1" applyAlignment="1">
      <alignment vertical="center"/>
    </xf>
    <xf numFmtId="165" fontId="12" fillId="0" borderId="22" xfId="2" applyNumberFormat="1" applyFont="1" applyBorder="1" applyAlignment="1">
      <alignment vertical="center"/>
    </xf>
    <xf numFmtId="9" fontId="9" fillId="5" borderId="19" xfId="3" applyFont="1" applyFill="1" applyBorder="1" applyAlignment="1">
      <alignment vertical="center"/>
    </xf>
    <xf numFmtId="0" fontId="12" fillId="5" borderId="19" xfId="3" applyNumberFormat="1" applyFont="1" applyFill="1" applyBorder="1" applyAlignment="1">
      <alignment vertical="center"/>
    </xf>
    <xf numFmtId="165" fontId="12" fillId="0" borderId="19" xfId="2" applyNumberFormat="1" applyFont="1" applyFill="1" applyBorder="1" applyAlignment="1"/>
    <xf numFmtId="165" fontId="12" fillId="2" borderId="19" xfId="2" applyNumberFormat="1" applyFont="1" applyFill="1" applyBorder="1" applyAlignment="1"/>
    <xf numFmtId="0" fontId="9" fillId="0" borderId="0" xfId="0" applyFont="1" applyAlignment="1">
      <alignment vertical="center" wrapText="1"/>
    </xf>
    <xf numFmtId="0" fontId="12" fillId="0" borderId="0" xfId="0" applyFont="1" applyAlignment="1">
      <alignment vertical="center"/>
    </xf>
    <xf numFmtId="0" fontId="12" fillId="0" borderId="30" xfId="0" applyFont="1" applyBorder="1" applyAlignment="1">
      <alignment vertical="center"/>
    </xf>
    <xf numFmtId="0" fontId="12" fillId="0" borderId="31" xfId="0" applyFont="1" applyBorder="1" applyAlignment="1">
      <alignment vertical="center"/>
    </xf>
    <xf numFmtId="0" fontId="12" fillId="0" borderId="32" xfId="0" applyFont="1" applyBorder="1" applyAlignment="1">
      <alignment vertical="center"/>
    </xf>
    <xf numFmtId="165" fontId="12" fillId="0" borderId="44" xfId="2" applyNumberFormat="1" applyFont="1" applyFill="1" applyBorder="1" applyAlignment="1">
      <alignment vertical="center"/>
    </xf>
    <xf numFmtId="165" fontId="12" fillId="0" borderId="47" xfId="2" applyNumberFormat="1" applyFont="1" applyFill="1" applyBorder="1" applyAlignment="1">
      <alignment vertical="center"/>
    </xf>
    <xf numFmtId="165" fontId="12" fillId="0" borderId="49" xfId="2" applyNumberFormat="1" applyFont="1" applyFill="1" applyBorder="1" applyAlignment="1">
      <alignment vertical="center"/>
    </xf>
    <xf numFmtId="165" fontId="12" fillId="2" borderId="44" xfId="2" applyNumberFormat="1" applyFont="1" applyFill="1" applyBorder="1" applyAlignment="1">
      <alignment vertical="center"/>
    </xf>
    <xf numFmtId="165" fontId="12" fillId="2" borderId="47" xfId="2" applyNumberFormat="1" applyFont="1" applyFill="1" applyBorder="1" applyAlignment="1">
      <alignment vertical="center"/>
    </xf>
    <xf numFmtId="165" fontId="12" fillId="2" borderId="49" xfId="2" applyNumberFormat="1" applyFont="1" applyFill="1" applyBorder="1" applyAlignment="1">
      <alignment vertical="center"/>
    </xf>
    <xf numFmtId="3" fontId="12" fillId="0" borderId="47" xfId="0" applyNumberFormat="1" applyFont="1" applyBorder="1" applyAlignment="1">
      <alignment vertical="center"/>
    </xf>
    <xf numFmtId="3" fontId="12" fillId="0" borderId="49" xfId="0" applyNumberFormat="1" applyFont="1" applyBorder="1" applyAlignment="1">
      <alignment vertical="center"/>
    </xf>
    <xf numFmtId="165" fontId="12" fillId="2" borderId="30" xfId="2" applyNumberFormat="1" applyFont="1" applyFill="1" applyBorder="1" applyAlignment="1">
      <alignment vertical="center"/>
    </xf>
    <xf numFmtId="165" fontId="12" fillId="2" borderId="31" xfId="2" applyNumberFormat="1" applyFont="1" applyFill="1" applyBorder="1" applyAlignment="1">
      <alignment vertical="center"/>
    </xf>
    <xf numFmtId="3" fontId="12" fillId="0" borderId="44" xfId="0" applyNumberFormat="1" applyFont="1" applyBorder="1" applyAlignment="1">
      <alignment vertical="center"/>
    </xf>
    <xf numFmtId="165" fontId="12" fillId="2" borderId="32" xfId="2" applyNumberFormat="1" applyFont="1" applyFill="1" applyBorder="1" applyAlignment="1">
      <alignment vertical="center"/>
    </xf>
    <xf numFmtId="0" fontId="9" fillId="2" borderId="28" xfId="0" applyFont="1" applyFill="1" applyBorder="1" applyAlignment="1">
      <alignment horizontal="center" vertical="center" wrapText="1"/>
    </xf>
    <xf numFmtId="4" fontId="9" fillId="0" borderId="25" xfId="0" applyNumberFormat="1" applyFont="1" applyBorder="1" applyAlignment="1">
      <alignment vertical="center"/>
    </xf>
    <xf numFmtId="165" fontId="12" fillId="2" borderId="19" xfId="2" applyNumberFormat="1" applyFont="1" applyFill="1" applyBorder="1" applyAlignment="1">
      <alignment vertical="center"/>
    </xf>
    <xf numFmtId="165" fontId="12" fillId="0" borderId="32" xfId="2" applyNumberFormat="1" applyFont="1" applyFill="1" applyBorder="1" applyAlignment="1">
      <alignment vertical="center"/>
    </xf>
    <xf numFmtId="165" fontId="12" fillId="0" borderId="30" xfId="2" applyNumberFormat="1" applyFont="1" applyFill="1" applyBorder="1" applyAlignment="1">
      <alignment vertical="center"/>
    </xf>
    <xf numFmtId="165" fontId="12" fillId="0" borderId="31" xfId="2" applyNumberFormat="1" applyFont="1" applyFill="1" applyBorder="1" applyAlignment="1">
      <alignment vertical="center"/>
    </xf>
    <xf numFmtId="3" fontId="9" fillId="0" borderId="27" xfId="0" applyNumberFormat="1" applyFont="1" applyBorder="1" applyAlignment="1">
      <alignment vertical="center"/>
    </xf>
    <xf numFmtId="3" fontId="9" fillId="0" borderId="0" xfId="0" applyNumberFormat="1" applyFont="1" applyAlignment="1">
      <alignment vertical="center"/>
    </xf>
    <xf numFmtId="165" fontId="12" fillId="5" borderId="32" xfId="2" applyNumberFormat="1" applyFont="1" applyFill="1" applyBorder="1" applyAlignment="1">
      <alignment vertical="center"/>
    </xf>
    <xf numFmtId="165" fontId="12" fillId="5" borderId="30" xfId="2" applyNumberFormat="1" applyFont="1" applyFill="1" applyBorder="1" applyAlignment="1">
      <alignment vertical="center"/>
    </xf>
    <xf numFmtId="0" fontId="12" fillId="5" borderId="19" xfId="2" applyNumberFormat="1" applyFont="1" applyFill="1" applyBorder="1" applyAlignment="1">
      <alignment vertical="center"/>
    </xf>
    <xf numFmtId="169" fontId="12" fillId="5" borderId="31" xfId="2" applyNumberFormat="1" applyFont="1" applyFill="1" applyBorder="1" applyAlignment="1">
      <alignment vertical="center"/>
    </xf>
    <xf numFmtId="0" fontId="12" fillId="0" borderId="30" xfId="0" applyFont="1" applyBorder="1" applyAlignment="1">
      <alignment horizontal="center" vertical="center"/>
    </xf>
    <xf numFmtId="165" fontId="9" fillId="5" borderId="47" xfId="2" applyNumberFormat="1" applyFont="1" applyFill="1" applyBorder="1" applyAlignment="1">
      <alignment vertical="center"/>
    </xf>
    <xf numFmtId="169" fontId="12" fillId="0" borderId="49" xfId="2" applyNumberFormat="1" applyFont="1" applyFill="1" applyBorder="1" applyAlignment="1">
      <alignment vertical="center"/>
    </xf>
    <xf numFmtId="169" fontId="12" fillId="0" borderId="44" xfId="2" applyNumberFormat="1" applyFont="1" applyFill="1" applyBorder="1" applyAlignment="1">
      <alignment vertical="center"/>
    </xf>
    <xf numFmtId="169" fontId="12" fillId="0" borderId="47" xfId="2" applyNumberFormat="1" applyFont="1" applyFill="1" applyBorder="1" applyAlignment="1">
      <alignment vertical="center"/>
    </xf>
    <xf numFmtId="169" fontId="12" fillId="4" borderId="49" xfId="2" applyNumberFormat="1" applyFont="1" applyFill="1" applyBorder="1" applyAlignment="1">
      <alignment vertical="center"/>
    </xf>
    <xf numFmtId="169" fontId="12" fillId="4" borderId="44" xfId="2" applyNumberFormat="1" applyFont="1" applyFill="1" applyBorder="1" applyAlignment="1">
      <alignment vertical="center"/>
    </xf>
    <xf numFmtId="169" fontId="12" fillId="4" borderId="47" xfId="2" applyNumberFormat="1" applyFont="1" applyFill="1" applyBorder="1" applyAlignment="1">
      <alignment vertical="center"/>
    </xf>
    <xf numFmtId="0" fontId="9" fillId="0" borderId="4" xfId="0" applyFont="1" applyBorder="1" applyAlignment="1" applyProtection="1">
      <alignment horizontal="left" vertical="center"/>
      <protection locked="0"/>
    </xf>
    <xf numFmtId="0" fontId="9" fillId="0" borderId="8" xfId="0" applyFont="1" applyBorder="1" applyAlignment="1" applyProtection="1">
      <alignment horizontal="left" vertical="center"/>
      <protection locked="0"/>
    </xf>
    <xf numFmtId="0" fontId="9" fillId="2" borderId="19" xfId="0" applyFont="1" applyFill="1" applyBorder="1" applyAlignment="1">
      <alignment horizontal="center" vertical="center"/>
    </xf>
    <xf numFmtId="168" fontId="12" fillId="0" borderId="22" xfId="0" applyNumberFormat="1" applyFont="1" applyBorder="1"/>
    <xf numFmtId="0" fontId="9" fillId="0" borderId="31" xfId="0" applyFont="1" applyBorder="1" applyAlignment="1" applyProtection="1">
      <alignment horizontal="left" vertical="center"/>
      <protection locked="0"/>
    </xf>
    <xf numFmtId="0" fontId="9" fillId="0" borderId="47" xfId="0" applyFont="1" applyBorder="1" applyAlignment="1" applyProtection="1">
      <alignment horizontal="left" vertical="center"/>
      <protection locked="0"/>
    </xf>
    <xf numFmtId="0" fontId="9" fillId="0" borderId="32" xfId="0" applyFont="1" applyBorder="1" applyAlignment="1" applyProtection="1">
      <alignment horizontal="left" vertical="center"/>
      <protection locked="0"/>
    </xf>
    <xf numFmtId="0" fontId="9" fillId="0" borderId="44" xfId="0" applyFont="1" applyBorder="1" applyAlignment="1" applyProtection="1">
      <alignment horizontal="left" vertical="center"/>
      <protection locked="0"/>
    </xf>
    <xf numFmtId="0" fontId="12" fillId="0" borderId="11" xfId="0" applyFont="1" applyBorder="1" applyAlignment="1" applyProtection="1">
      <alignment vertical="center" wrapText="1"/>
      <protection locked="0"/>
    </xf>
    <xf numFmtId="0" fontId="12" fillId="0" borderId="12" xfId="0" applyFont="1" applyBorder="1" applyAlignment="1" applyProtection="1">
      <alignment vertical="center" wrapText="1"/>
      <protection locked="0"/>
    </xf>
    <xf numFmtId="165" fontId="12" fillId="0" borderId="11" xfId="5" applyNumberFormat="1" applyFont="1" applyFill="1" applyBorder="1" applyAlignment="1" applyProtection="1">
      <alignment vertical="center" wrapText="1"/>
      <protection locked="0"/>
    </xf>
    <xf numFmtId="165" fontId="12" fillId="0" borderId="12" xfId="5" applyNumberFormat="1" applyFont="1" applyFill="1" applyBorder="1" applyAlignment="1" applyProtection="1">
      <alignment vertical="center" wrapText="1"/>
      <protection locked="0"/>
    </xf>
    <xf numFmtId="0" fontId="9" fillId="2" borderId="30" xfId="0" applyFont="1" applyFill="1" applyBorder="1" applyAlignment="1" applyProtection="1">
      <alignment horizontal="left" vertical="center"/>
      <protection locked="0"/>
    </xf>
    <xf numFmtId="0" fontId="9" fillId="2" borderId="49" xfId="0" applyFont="1" applyFill="1" applyBorder="1" applyAlignment="1" applyProtection="1">
      <alignment horizontal="left" vertical="center"/>
      <protection locked="0"/>
    </xf>
    <xf numFmtId="0" fontId="9" fillId="2" borderId="51" xfId="0" applyFont="1" applyFill="1" applyBorder="1" applyAlignment="1" applyProtection="1">
      <alignment horizontal="left" vertical="center" wrapText="1"/>
      <protection locked="0"/>
    </xf>
    <xf numFmtId="0" fontId="19" fillId="2" borderId="30" xfId="0" applyFont="1" applyFill="1" applyBorder="1" applyAlignment="1" applyProtection="1">
      <alignment horizontal="center" vertical="center"/>
      <protection locked="0"/>
    </xf>
    <xf numFmtId="165" fontId="9" fillId="0" borderId="53" xfId="2" applyNumberFormat="1" applyFont="1" applyBorder="1" applyAlignment="1" applyProtection="1">
      <alignment horizontal="left" vertical="center"/>
      <protection locked="0"/>
    </xf>
    <xf numFmtId="0" fontId="19" fillId="0" borderId="31" xfId="0" applyFont="1" applyBorder="1" applyAlignment="1" applyProtection="1">
      <alignment horizontal="center" vertical="center"/>
      <protection locked="0"/>
    </xf>
    <xf numFmtId="165" fontId="9" fillId="0" borderId="45" xfId="2" applyNumberFormat="1" applyFont="1" applyBorder="1" applyAlignment="1" applyProtection="1">
      <alignment horizontal="left" vertical="center"/>
      <protection locked="0"/>
    </xf>
    <xf numFmtId="0" fontId="19" fillId="0" borderId="32" xfId="0" applyFont="1" applyBorder="1" applyAlignment="1" applyProtection="1">
      <alignment horizontal="center" vertical="center"/>
      <protection locked="0"/>
    </xf>
    <xf numFmtId="165" fontId="9" fillId="0" borderId="31" xfId="2" applyNumberFormat="1" applyFont="1" applyBorder="1" applyAlignment="1" applyProtection="1">
      <alignment horizontal="left" vertical="center"/>
      <protection locked="0"/>
    </xf>
    <xf numFmtId="165" fontId="9" fillId="0" borderId="32" xfId="2" applyNumberFormat="1" applyFont="1" applyBorder="1" applyAlignment="1" applyProtection="1">
      <alignment horizontal="left" vertical="center"/>
      <protection locked="0"/>
    </xf>
    <xf numFmtId="0" fontId="41" fillId="0" borderId="17" xfId="8" quotePrefix="1" applyFont="1" applyBorder="1" applyAlignment="1" applyProtection="1"/>
    <xf numFmtId="0" fontId="12" fillId="0" borderId="52" xfId="0" applyFont="1" applyBorder="1" applyAlignment="1">
      <alignment vertical="center"/>
    </xf>
    <xf numFmtId="0" fontId="12" fillId="0" borderId="53" xfId="0" applyFont="1" applyBorder="1" applyAlignment="1">
      <alignment vertical="center"/>
    </xf>
    <xf numFmtId="0" fontId="12" fillId="0" borderId="50" xfId="0" applyFont="1" applyBorder="1" applyAlignment="1">
      <alignment vertical="center"/>
    </xf>
    <xf numFmtId="0" fontId="12" fillId="0" borderId="51" xfId="0" applyFont="1" applyBorder="1" applyAlignment="1">
      <alignment vertical="center"/>
    </xf>
    <xf numFmtId="0" fontId="12" fillId="0" borderId="54" xfId="0" applyFont="1" applyBorder="1" applyAlignment="1">
      <alignment vertical="center"/>
    </xf>
    <xf numFmtId="0" fontId="12" fillId="0" borderId="45" xfId="0" applyFont="1" applyBorder="1" applyAlignment="1">
      <alignment vertical="center"/>
    </xf>
    <xf numFmtId="0" fontId="9" fillId="2" borderId="19" xfId="0" applyFont="1" applyFill="1" applyBorder="1" applyAlignment="1">
      <alignment vertical="center" wrapText="1"/>
    </xf>
    <xf numFmtId="0" fontId="12" fillId="0" borderId="60" xfId="0" applyFont="1" applyBorder="1" applyAlignment="1" applyProtection="1">
      <alignment vertical="center"/>
      <protection locked="0"/>
    </xf>
    <xf numFmtId="0" fontId="22" fillId="0" borderId="0" xfId="0" applyFont="1" applyAlignment="1">
      <alignment horizontal="left" vertical="center" wrapText="1"/>
    </xf>
    <xf numFmtId="14" fontId="12" fillId="0" borderId="27" xfId="0" applyNumberFormat="1" applyFont="1" applyBorder="1" applyAlignment="1">
      <alignment vertical="center"/>
    </xf>
    <xf numFmtId="0" fontId="12" fillId="0" borderId="27" xfId="0" applyFont="1" applyBorder="1" applyAlignment="1">
      <alignment vertical="center"/>
    </xf>
    <xf numFmtId="165" fontId="12" fillId="0" borderId="27" xfId="2" applyNumberFormat="1" applyFont="1" applyFill="1" applyBorder="1" applyAlignment="1">
      <alignment vertical="center"/>
    </xf>
    <xf numFmtId="0" fontId="12" fillId="0" borderId="49" xfId="0" applyFont="1" applyBorder="1" applyAlignment="1">
      <alignment vertical="center" wrapText="1"/>
    </xf>
    <xf numFmtId="0" fontId="12" fillId="0" borderId="47" xfId="0" applyFont="1" applyBorder="1" applyAlignment="1">
      <alignment vertical="center" wrapText="1"/>
    </xf>
    <xf numFmtId="0" fontId="12" fillId="0" borderId="44" xfId="0" applyFont="1" applyBorder="1" applyAlignment="1">
      <alignment vertical="center" wrapText="1"/>
    </xf>
    <xf numFmtId="0" fontId="7" fillId="0" borderId="50" xfId="0" applyFont="1" applyBorder="1" applyAlignment="1" applyProtection="1">
      <alignment vertical="center"/>
      <protection locked="0"/>
    </xf>
    <xf numFmtId="0" fontId="7" fillId="0" borderId="52" xfId="0" applyFont="1" applyBorder="1" applyAlignment="1" applyProtection="1">
      <alignment vertical="center"/>
      <protection locked="0"/>
    </xf>
    <xf numFmtId="0" fontId="7" fillId="0" borderId="54" xfId="0" applyFont="1" applyBorder="1" applyAlignment="1" applyProtection="1">
      <alignment vertical="center"/>
      <protection locked="0"/>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2" fillId="0" borderId="61" xfId="9" applyFont="1" applyBorder="1" applyAlignment="1">
      <alignment vertical="center" wrapText="1"/>
    </xf>
    <xf numFmtId="0" fontId="12" fillId="0" borderId="31" xfId="9" applyFont="1" applyBorder="1" applyAlignment="1">
      <alignment horizontal="left" vertical="center" wrapText="1"/>
    </xf>
    <xf numFmtId="0" fontId="12" fillId="0" borderId="32" xfId="9" applyFont="1" applyBorder="1" applyAlignment="1">
      <alignment horizontal="left" vertical="center" wrapText="1"/>
    </xf>
    <xf numFmtId="0" fontId="19" fillId="2" borderId="19" xfId="9" applyFont="1" applyFill="1" applyBorder="1" applyAlignment="1">
      <alignment horizontal="center" vertical="center" wrapText="1"/>
    </xf>
    <xf numFmtId="0" fontId="22" fillId="0" borderId="61" xfId="0" applyFont="1" applyBorder="1"/>
    <xf numFmtId="0" fontId="22" fillId="0" borderId="31" xfId="0" applyFont="1" applyBorder="1"/>
    <xf numFmtId="0" fontId="22" fillId="0" borderId="32" xfId="0" applyFont="1" applyBorder="1"/>
    <xf numFmtId="0" fontId="22" fillId="0" borderId="19" xfId="0" applyFont="1" applyBorder="1"/>
    <xf numFmtId="0" fontId="12" fillId="0" borderId="30" xfId="9" applyFont="1" applyBorder="1"/>
    <xf numFmtId="0" fontId="12" fillId="0" borderId="31" xfId="9" applyFont="1" applyBorder="1"/>
    <xf numFmtId="0" fontId="12" fillId="0" borderId="32" xfId="9" applyFont="1" applyBorder="1"/>
    <xf numFmtId="4" fontId="19" fillId="2" borderId="19" xfId="0" applyNumberFormat="1" applyFont="1" applyFill="1" applyBorder="1" applyAlignment="1">
      <alignment horizontal="center" vertical="center" wrapText="1"/>
    </xf>
    <xf numFmtId="4" fontId="12" fillId="0" borderId="19" xfId="0" applyNumberFormat="1" applyFont="1" applyBorder="1"/>
    <xf numFmtId="165" fontId="12" fillId="0" borderId="19" xfId="2" applyNumberFormat="1" applyFont="1" applyFill="1" applyBorder="1" applyAlignment="1">
      <alignment horizontal="center"/>
    </xf>
    <xf numFmtId="165" fontId="9" fillId="0" borderId="19" xfId="2" applyNumberFormat="1" applyFont="1" applyFill="1" applyBorder="1" applyAlignment="1"/>
    <xf numFmtId="165" fontId="9" fillId="2" borderId="19" xfId="2" applyNumberFormat="1" applyFont="1" applyFill="1" applyBorder="1" applyAlignment="1"/>
    <xf numFmtId="3" fontId="19" fillId="2" borderId="19" xfId="2" applyNumberFormat="1" applyFont="1" applyFill="1" applyBorder="1" applyAlignment="1">
      <alignment horizontal="right" indent="1"/>
    </xf>
    <xf numFmtId="165" fontId="9" fillId="0" borderId="19" xfId="2" applyNumberFormat="1" applyFont="1" applyFill="1" applyBorder="1" applyAlignment="1">
      <alignment horizontal="center"/>
    </xf>
    <xf numFmtId="4" fontId="9" fillId="2" borderId="19" xfId="0" applyNumberFormat="1" applyFont="1" applyFill="1" applyBorder="1" applyAlignment="1">
      <alignment horizontal="center" vertical="center" wrapText="1"/>
    </xf>
    <xf numFmtId="0" fontId="9" fillId="0" borderId="62" xfId="0" applyFont="1" applyBorder="1" applyAlignment="1" applyProtection="1">
      <alignment horizontal="center"/>
      <protection locked="0"/>
    </xf>
    <xf numFmtId="0" fontId="12" fillId="0" borderId="63" xfId="0" applyFont="1" applyBorder="1" applyAlignment="1" applyProtection="1">
      <alignment horizontal="center" vertical="center"/>
      <protection locked="0"/>
    </xf>
    <xf numFmtId="0" fontId="12" fillId="0" borderId="64" xfId="0" applyFont="1" applyBorder="1" applyAlignment="1" applyProtection="1">
      <alignment horizontal="center" vertical="center"/>
      <protection locked="0"/>
    </xf>
    <xf numFmtId="0" fontId="12" fillId="0" borderId="62" xfId="0" applyFont="1" applyBorder="1" applyAlignment="1" applyProtection="1">
      <alignment vertical="center"/>
      <protection locked="0"/>
    </xf>
    <xf numFmtId="14" fontId="14" fillId="0" borderId="65" xfId="0" applyNumberFormat="1" applyFont="1" applyBorder="1" applyAlignment="1" applyProtection="1">
      <alignment vertical="center"/>
      <protection locked="0"/>
    </xf>
    <xf numFmtId="0" fontId="7" fillId="0" borderId="4" xfId="0" applyFont="1" applyBorder="1" applyAlignment="1" applyProtection="1">
      <alignment vertical="center" wrapText="1"/>
      <protection locked="0"/>
    </xf>
    <xf numFmtId="0" fontId="7" fillId="0" borderId="8" xfId="0" applyFont="1" applyBorder="1" applyAlignment="1" applyProtection="1">
      <alignment vertical="center" wrapText="1"/>
      <protection locked="0"/>
    </xf>
    <xf numFmtId="0" fontId="21" fillId="0" borderId="5" xfId="0" applyFont="1" applyBorder="1" applyAlignment="1">
      <alignment horizontal="left"/>
    </xf>
    <xf numFmtId="0" fontId="21" fillId="0" borderId="6" xfId="0" applyFont="1" applyBorder="1"/>
    <xf numFmtId="165" fontId="48" fillId="0" borderId="48" xfId="2" quotePrefix="1" applyNumberFormat="1" applyFont="1" applyBorder="1" applyAlignment="1" applyProtection="1">
      <alignment vertical="center"/>
    </xf>
    <xf numFmtId="165" fontId="48" fillId="0" borderId="47" xfId="2" quotePrefix="1" applyNumberFormat="1" applyFont="1" applyBorder="1" applyAlignment="1" applyProtection="1">
      <alignment horizontal="center" vertical="center"/>
    </xf>
    <xf numFmtId="165" fontId="48" fillId="0" borderId="44" xfId="2" quotePrefix="1" applyNumberFormat="1" applyFont="1" applyBorder="1" applyAlignment="1" applyProtection="1">
      <alignment horizontal="center" vertical="center"/>
    </xf>
    <xf numFmtId="0" fontId="9" fillId="0" borderId="33" xfId="0" applyFont="1" applyBorder="1" applyAlignment="1" applyProtection="1">
      <alignment horizontal="center" vertical="center"/>
      <protection locked="0"/>
    </xf>
    <xf numFmtId="0" fontId="9" fillId="0" borderId="34" xfId="0" applyFont="1" applyBorder="1" applyAlignment="1" applyProtection="1">
      <alignment horizontal="left" vertical="center" wrapText="1" indent="3"/>
      <protection locked="0"/>
    </xf>
    <xf numFmtId="0" fontId="9" fillId="0" borderId="10" xfId="0" applyFont="1" applyBorder="1" applyAlignment="1" applyProtection="1">
      <alignment horizontal="left" vertical="center" wrapText="1" indent="3"/>
      <protection locked="0"/>
    </xf>
    <xf numFmtId="0" fontId="9" fillId="0" borderId="10" xfId="0" applyFont="1" applyBorder="1" applyAlignment="1" applyProtection="1">
      <alignment horizontal="center" wrapText="1"/>
      <protection locked="0"/>
    </xf>
    <xf numFmtId="0" fontId="9" fillId="0" borderId="12" xfId="0" applyFont="1" applyBorder="1" applyAlignment="1" applyProtection="1">
      <alignment horizontal="center" wrapText="1"/>
      <protection locked="0"/>
    </xf>
    <xf numFmtId="0" fontId="19" fillId="0" borderId="16" xfId="0" applyFont="1" applyBorder="1" applyAlignment="1" applyProtection="1">
      <alignment horizontal="center" vertical="center"/>
      <protection locked="0"/>
    </xf>
    <xf numFmtId="0" fontId="19" fillId="0" borderId="18" xfId="0" applyFont="1" applyBorder="1" applyAlignment="1" applyProtection="1">
      <alignment horizontal="center" vertical="center"/>
      <protection locked="0"/>
    </xf>
    <xf numFmtId="0" fontId="46" fillId="0" borderId="17" xfId="8" applyFont="1" applyFill="1" applyBorder="1" applyAlignment="1" applyProtection="1">
      <alignment horizontal="left" vertical="center"/>
      <protection locked="0"/>
    </xf>
    <xf numFmtId="0" fontId="46" fillId="0" borderId="35" xfId="8" applyFont="1" applyFill="1" applyBorder="1" applyAlignment="1" applyProtection="1">
      <alignment horizontal="left" vertical="center"/>
      <protection locked="0"/>
    </xf>
    <xf numFmtId="0" fontId="47" fillId="0" borderId="39" xfId="0" applyFont="1" applyBorder="1" applyAlignment="1" applyProtection="1">
      <alignment horizontal="left" vertical="center"/>
      <protection locked="0"/>
    </xf>
    <xf numFmtId="0" fontId="47" fillId="0" borderId="40" xfId="0" applyFont="1" applyBorder="1" applyAlignment="1" applyProtection="1">
      <alignment horizontal="left" vertical="center"/>
      <protection locked="0"/>
    </xf>
    <xf numFmtId="0" fontId="9" fillId="0" borderId="1" xfId="0" applyFont="1" applyBorder="1" applyAlignment="1" applyProtection="1">
      <alignment horizontal="left"/>
      <protection locked="0"/>
    </xf>
    <xf numFmtId="0" fontId="9" fillId="0" borderId="2" xfId="0" applyFont="1" applyBorder="1" applyAlignment="1" applyProtection="1">
      <alignment horizontal="left"/>
      <protection locked="0"/>
    </xf>
    <xf numFmtId="0" fontId="9" fillId="0" borderId="3" xfId="0" applyFont="1" applyBorder="1" applyAlignment="1" applyProtection="1">
      <alignment horizontal="left"/>
      <protection locked="0"/>
    </xf>
    <xf numFmtId="0" fontId="15" fillId="0" borderId="1" xfId="0" applyFont="1" applyBorder="1" applyAlignment="1" applyProtection="1">
      <alignment horizontal="left" vertical="top"/>
      <protection locked="0"/>
    </xf>
    <xf numFmtId="0" fontId="7" fillId="0" borderId="2" xfId="0" applyFont="1" applyBorder="1" applyAlignment="1" applyProtection="1">
      <alignment horizontal="left" vertical="top"/>
      <protection locked="0"/>
    </xf>
    <xf numFmtId="0" fontId="7" fillId="0" borderId="3" xfId="0" applyFont="1" applyBorder="1" applyAlignment="1" applyProtection="1">
      <alignment horizontal="left" vertical="top"/>
      <protection locked="0"/>
    </xf>
    <xf numFmtId="0" fontId="7" fillId="0" borderId="4" xfId="0" applyFont="1" applyBorder="1" applyAlignment="1" applyProtection="1">
      <alignment horizontal="left" vertical="top"/>
      <protection locked="0"/>
    </xf>
    <xf numFmtId="0" fontId="7" fillId="0" borderId="0" xfId="0" applyFont="1" applyAlignment="1" applyProtection="1">
      <alignment horizontal="left" vertical="top"/>
      <protection locked="0"/>
    </xf>
    <xf numFmtId="0" fontId="7" fillId="0" borderId="8" xfId="0" applyFont="1" applyBorder="1" applyAlignment="1" applyProtection="1">
      <alignment horizontal="left" vertical="top"/>
      <protection locked="0"/>
    </xf>
    <xf numFmtId="0" fontId="7" fillId="0" borderId="5" xfId="0" applyFont="1" applyBorder="1" applyAlignment="1" applyProtection="1">
      <alignment horizontal="left" vertical="top"/>
      <protection locked="0"/>
    </xf>
    <xf numFmtId="0" fontId="7" fillId="0" borderId="6" xfId="0" applyFont="1" applyBorder="1" applyAlignment="1" applyProtection="1">
      <alignment horizontal="left" vertical="top"/>
      <protection locked="0"/>
    </xf>
    <xf numFmtId="0" fontId="7" fillId="0" borderId="7" xfId="0" applyFont="1" applyBorder="1" applyAlignment="1" applyProtection="1">
      <alignment horizontal="left" vertical="top"/>
      <protection locked="0"/>
    </xf>
    <xf numFmtId="0" fontId="19" fillId="0" borderId="21" xfId="0" applyFont="1" applyBorder="1" applyAlignment="1" applyProtection="1">
      <alignment horizontal="center" vertical="center"/>
      <protection locked="0"/>
    </xf>
    <xf numFmtId="0" fontId="19" fillId="0" borderId="23" xfId="0" applyFont="1" applyBorder="1" applyAlignment="1" applyProtection="1">
      <alignment horizontal="center" vertical="center"/>
      <protection locked="0"/>
    </xf>
    <xf numFmtId="0" fontId="46" fillId="0" borderId="22" xfId="8" applyFont="1" applyFill="1" applyBorder="1" applyAlignment="1" applyProtection="1">
      <alignment horizontal="left" vertical="center"/>
      <protection locked="0"/>
    </xf>
    <xf numFmtId="0" fontId="46" fillId="0" borderId="36" xfId="8" applyFont="1" applyFill="1" applyBorder="1" applyAlignment="1" applyProtection="1">
      <alignment horizontal="left" vertical="center"/>
      <protection locked="0"/>
    </xf>
    <xf numFmtId="0" fontId="31" fillId="0" borderId="22" xfId="8" applyFill="1" applyBorder="1" applyAlignment="1" applyProtection="1">
      <alignment horizontal="left" vertical="center"/>
      <protection locked="0"/>
    </xf>
    <xf numFmtId="0" fontId="31" fillId="0" borderId="36" xfId="8" applyFill="1" applyBorder="1" applyAlignment="1" applyProtection="1">
      <alignment horizontal="left" vertical="center"/>
      <protection locked="0"/>
    </xf>
    <xf numFmtId="0" fontId="9" fillId="0" borderId="9" xfId="0" applyFont="1" applyBorder="1" applyAlignment="1" applyProtection="1">
      <alignment horizontal="left" vertical="center" wrapText="1" indent="2"/>
      <protection locked="0"/>
    </xf>
    <xf numFmtId="0" fontId="9" fillId="0" borderId="10" xfId="0" applyFont="1" applyBorder="1" applyAlignment="1" applyProtection="1">
      <alignment horizontal="left" vertical="center" wrapText="1" indent="2"/>
      <protection locked="0"/>
    </xf>
    <xf numFmtId="0" fontId="9" fillId="0" borderId="9"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13" xfId="0" applyFont="1" applyBorder="1" applyAlignment="1" applyProtection="1">
      <alignment horizontal="center"/>
      <protection locked="0"/>
    </xf>
    <xf numFmtId="0" fontId="9" fillId="0" borderId="14" xfId="0" applyFont="1" applyBorder="1" applyAlignment="1" applyProtection="1">
      <alignment horizontal="center"/>
      <protection locked="0"/>
    </xf>
    <xf numFmtId="0" fontId="9" fillId="0" borderId="15" xfId="0" applyFont="1" applyBorder="1" applyAlignment="1" applyProtection="1">
      <alignment horizontal="center"/>
      <protection locked="0"/>
    </xf>
    <xf numFmtId="0" fontId="19" fillId="0" borderId="37" xfId="0" applyFont="1" applyBorder="1" applyAlignment="1" applyProtection="1">
      <alignment horizontal="center" vertical="center"/>
      <protection locked="0"/>
    </xf>
    <xf numFmtId="0" fontId="19" fillId="0" borderId="38" xfId="0" applyFont="1" applyBorder="1" applyAlignment="1" applyProtection="1">
      <alignment horizontal="center" vertical="center"/>
      <protection locked="0"/>
    </xf>
    <xf numFmtId="14" fontId="6" fillId="0" borderId="4" xfId="0"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4" fontId="8" fillId="0" borderId="4" xfId="0" applyNumberFormat="1" applyFont="1" applyBorder="1" applyAlignment="1" applyProtection="1">
      <alignment horizontal="center" vertical="center"/>
      <protection locked="0"/>
    </xf>
    <xf numFmtId="14" fontId="8" fillId="0" borderId="0" xfId="0" applyNumberFormat="1" applyFont="1" applyAlignment="1" applyProtection="1">
      <alignment horizontal="center" vertical="center"/>
      <protection locked="0"/>
    </xf>
    <xf numFmtId="14" fontId="8" fillId="0" borderId="8" xfId="0" applyNumberFormat="1" applyFont="1" applyBorder="1" applyAlignment="1" applyProtection="1">
      <alignment horizontal="center" vertical="center"/>
      <protection locked="0"/>
    </xf>
    <xf numFmtId="14" fontId="8" fillId="0" borderId="5" xfId="0" applyNumberFormat="1" applyFont="1" applyBorder="1" applyAlignment="1" applyProtection="1">
      <alignment horizontal="center" vertical="center"/>
      <protection locked="0"/>
    </xf>
    <xf numFmtId="14" fontId="8" fillId="0" borderId="6" xfId="0" applyNumberFormat="1" applyFont="1" applyBorder="1" applyAlignment="1" applyProtection="1">
      <alignment horizontal="center" vertical="center"/>
      <protection locked="0"/>
    </xf>
    <xf numFmtId="14" fontId="8" fillId="0" borderId="7" xfId="0" applyNumberFormat="1" applyFont="1" applyBorder="1" applyAlignment="1" applyProtection="1">
      <alignment horizontal="center" vertical="center"/>
      <protection locked="0"/>
    </xf>
    <xf numFmtId="49" fontId="13" fillId="0" borderId="1" xfId="0" applyNumberFormat="1" applyFont="1" applyBorder="1" applyAlignment="1" applyProtection="1">
      <alignment horizontal="center" vertical="center"/>
      <protection locked="0"/>
    </xf>
    <xf numFmtId="49" fontId="13" fillId="0" borderId="2" xfId="0" applyNumberFormat="1" applyFont="1" applyBorder="1" applyAlignment="1" applyProtection="1">
      <alignment horizontal="center" vertical="center"/>
      <protection locked="0"/>
    </xf>
    <xf numFmtId="49" fontId="13" fillId="0" borderId="3" xfId="0" applyNumberFormat="1" applyFont="1" applyBorder="1" applyAlignment="1" applyProtection="1">
      <alignment horizontal="center" vertical="center"/>
      <protection locked="0"/>
    </xf>
    <xf numFmtId="49" fontId="13" fillId="0" borderId="5" xfId="0" applyNumberFormat="1" applyFont="1" applyBorder="1" applyAlignment="1" applyProtection="1">
      <alignment horizontal="center" vertical="center"/>
      <protection locked="0"/>
    </xf>
    <xf numFmtId="49" fontId="13" fillId="0" borderId="6" xfId="0" applyNumberFormat="1" applyFont="1" applyBorder="1" applyAlignment="1" applyProtection="1">
      <alignment horizontal="center" vertical="center"/>
      <protection locked="0"/>
    </xf>
    <xf numFmtId="49" fontId="13" fillId="0" borderId="7" xfId="0" applyNumberFormat="1"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41" fillId="0" borderId="10" xfId="8" applyFont="1" applyBorder="1" applyAlignment="1" applyProtection="1">
      <alignment horizontal="center" vertical="center"/>
      <protection locked="0"/>
    </xf>
    <xf numFmtId="14" fontId="6" fillId="0" borderId="1" xfId="0" applyNumberFormat="1" applyFont="1" applyBorder="1" applyAlignment="1" applyProtection="1">
      <alignment horizontal="center" vertical="center"/>
      <protection locked="0"/>
    </xf>
    <xf numFmtId="14" fontId="6" fillId="0" borderId="2" xfId="0" applyNumberFormat="1" applyFont="1" applyBorder="1" applyAlignment="1" applyProtection="1">
      <alignment horizontal="center" vertical="center"/>
      <protection locked="0"/>
    </xf>
    <xf numFmtId="14" fontId="6" fillId="0" borderId="3" xfId="0" applyNumberFormat="1" applyFont="1" applyBorder="1" applyAlignment="1" applyProtection="1">
      <alignment horizontal="center" vertical="center"/>
      <protection locked="0"/>
    </xf>
    <xf numFmtId="14" fontId="6" fillId="0" borderId="5" xfId="0" applyNumberFormat="1" applyFont="1" applyBorder="1" applyAlignment="1" applyProtection="1">
      <alignment horizontal="center" vertical="center"/>
      <protection locked="0"/>
    </xf>
    <xf numFmtId="14" fontId="6" fillId="0" borderId="6" xfId="0" applyNumberFormat="1" applyFont="1" applyBorder="1" applyAlignment="1" applyProtection="1">
      <alignment horizontal="center" vertical="center"/>
      <protection locked="0"/>
    </xf>
    <xf numFmtId="14" fontId="6" fillId="0" borderId="7" xfId="0" applyNumberFormat="1"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2" fillId="0" borderId="3" xfId="0" applyFont="1" applyBorder="1" applyAlignment="1" applyProtection="1">
      <alignment horizontal="center" vertical="center"/>
      <protection locked="0"/>
    </xf>
    <xf numFmtId="14" fontId="14" fillId="0" borderId="5" xfId="0" applyNumberFormat="1"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165" fontId="12" fillId="0" borderId="11" xfId="2" applyNumberFormat="1" applyFont="1" applyFill="1" applyBorder="1" applyAlignment="1" applyProtection="1">
      <alignment horizontal="center" vertical="center" wrapText="1"/>
      <protection locked="0"/>
    </xf>
    <xf numFmtId="165" fontId="12" fillId="0" borderId="12" xfId="2" applyNumberFormat="1" applyFont="1" applyFill="1" applyBorder="1" applyAlignment="1" applyProtection="1">
      <alignment horizontal="center" vertical="center" wrapText="1"/>
      <protection locked="0"/>
    </xf>
    <xf numFmtId="0" fontId="18" fillId="0" borderId="9" xfId="0" applyFont="1" applyBorder="1" applyAlignment="1" applyProtection="1">
      <alignment horizontal="left" vertical="top" wrapText="1"/>
      <protection locked="0"/>
    </xf>
    <xf numFmtId="0" fontId="12" fillId="0" borderId="10" xfId="0" applyFont="1" applyBorder="1" applyAlignment="1" applyProtection="1">
      <alignment horizontal="left" vertical="top"/>
      <protection locked="0"/>
    </xf>
    <xf numFmtId="0" fontId="12" fillId="0" borderId="12" xfId="0" applyFont="1" applyBorder="1" applyAlignment="1" applyProtection="1">
      <alignment horizontal="left" vertical="top"/>
      <protection locked="0"/>
    </xf>
    <xf numFmtId="0" fontId="9" fillId="0" borderId="21" xfId="0" applyFont="1" applyBorder="1" applyAlignment="1" applyProtection="1">
      <alignment horizontal="left" vertical="center"/>
      <protection locked="0"/>
    </xf>
    <xf numFmtId="0" fontId="9" fillId="0" borderId="22" xfId="0" applyFont="1" applyBorder="1" applyAlignment="1" applyProtection="1">
      <alignment horizontal="left" vertical="center"/>
      <protection locked="0"/>
    </xf>
    <xf numFmtId="0" fontId="9" fillId="0" borderId="36" xfId="0" applyFont="1" applyBorder="1" applyAlignment="1" applyProtection="1">
      <alignment horizontal="left" vertical="center"/>
      <protection locked="0"/>
    </xf>
    <xf numFmtId="0" fontId="12" fillId="0" borderId="5" xfId="0" applyFont="1" applyBorder="1" applyAlignment="1" applyProtection="1">
      <alignment horizontal="left" vertical="top" wrapText="1"/>
      <protection locked="0"/>
    </xf>
    <xf numFmtId="0" fontId="12" fillId="0" borderId="6" xfId="0" applyFont="1" applyBorder="1" applyAlignment="1" applyProtection="1">
      <alignment horizontal="left" vertical="top"/>
      <protection locked="0"/>
    </xf>
    <xf numFmtId="0" fontId="12" fillId="0" borderId="7" xfId="0" applyFont="1" applyBorder="1" applyAlignment="1" applyProtection="1">
      <alignment horizontal="left" vertical="top"/>
      <protection locked="0"/>
    </xf>
    <xf numFmtId="0" fontId="12" fillId="0" borderId="11"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0" fontId="9" fillId="0" borderId="9" xfId="0" applyFont="1" applyBorder="1" applyAlignment="1" applyProtection="1">
      <alignment horizontal="left" vertical="center" wrapText="1"/>
      <protection locked="0"/>
    </xf>
    <xf numFmtId="0" fontId="9" fillId="0" borderId="10" xfId="0" applyFont="1" applyBorder="1" applyAlignment="1" applyProtection="1">
      <alignment horizontal="left" vertical="center" wrapText="1"/>
      <protection locked="0"/>
    </xf>
    <xf numFmtId="0" fontId="9" fillId="0" borderId="13" xfId="0" applyFont="1" applyBorder="1" applyAlignment="1" applyProtection="1">
      <alignment horizontal="left" vertical="center"/>
      <protection locked="0"/>
    </xf>
    <xf numFmtId="0" fontId="9" fillId="0" borderId="14" xfId="0" applyFont="1" applyBorder="1" applyAlignment="1" applyProtection="1">
      <alignment horizontal="left" vertical="center"/>
      <protection locked="0"/>
    </xf>
    <xf numFmtId="0" fontId="9" fillId="0" borderId="15" xfId="0" applyFont="1" applyBorder="1" applyAlignment="1" applyProtection="1">
      <alignment horizontal="left" vertical="center"/>
      <protection locked="0"/>
    </xf>
    <xf numFmtId="0" fontId="32" fillId="0" borderId="16" xfId="0" applyFont="1" applyBorder="1" applyAlignment="1">
      <alignment horizontal="left"/>
    </xf>
    <xf numFmtId="0" fontId="32" fillId="0" borderId="17" xfId="0" applyFont="1" applyBorder="1" applyAlignment="1">
      <alignment horizontal="left"/>
    </xf>
    <xf numFmtId="0" fontId="9" fillId="2" borderId="22" xfId="0" applyFont="1" applyFill="1" applyBorder="1" applyAlignment="1">
      <alignment vertical="center"/>
    </xf>
    <xf numFmtId="0" fontId="9" fillId="2" borderId="23" xfId="0" applyFont="1" applyFill="1" applyBorder="1" applyAlignment="1">
      <alignment vertical="center"/>
    </xf>
    <xf numFmtId="0" fontId="9" fillId="2" borderId="25"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23" xfId="0" applyFont="1" applyFill="1" applyBorder="1" applyAlignment="1">
      <alignment horizontal="center" vertical="center"/>
    </xf>
    <xf numFmtId="168" fontId="9" fillId="0" borderId="19" xfId="0" applyNumberFormat="1" applyFont="1" applyBorder="1"/>
    <xf numFmtId="168" fontId="12" fillId="0" borderId="19" xfId="0" applyNumberFormat="1" applyFont="1" applyBorder="1"/>
    <xf numFmtId="165" fontId="12" fillId="0" borderId="0" xfId="2" applyNumberFormat="1" applyFont="1" applyBorder="1" applyAlignment="1">
      <alignment horizontal="right" vertical="center"/>
    </xf>
    <xf numFmtId="165" fontId="12" fillId="0" borderId="29" xfId="2" applyNumberFormat="1" applyFont="1" applyBorder="1" applyAlignment="1">
      <alignment horizontal="right" vertical="center"/>
    </xf>
    <xf numFmtId="0" fontId="14" fillId="0" borderId="21" xfId="0" applyFont="1" applyBorder="1" applyAlignment="1" applyProtection="1">
      <alignment horizontal="left" vertical="top"/>
      <protection locked="0"/>
    </xf>
    <xf numFmtId="0" fontId="14" fillId="0" borderId="22" xfId="0" applyFont="1" applyBorder="1" applyAlignment="1" applyProtection="1">
      <alignment horizontal="left" vertical="top"/>
      <protection locked="0"/>
    </xf>
    <xf numFmtId="0" fontId="14" fillId="0" borderId="36" xfId="0" applyFont="1" applyBorder="1" applyAlignment="1" applyProtection="1">
      <alignment horizontal="left" vertical="top"/>
      <protection locked="0"/>
    </xf>
    <xf numFmtId="0" fontId="19" fillId="0" borderId="5" xfId="0" applyFont="1" applyBorder="1" applyAlignment="1" applyProtection="1">
      <alignment horizontal="left" vertical="top" wrapText="1"/>
      <protection locked="0"/>
    </xf>
    <xf numFmtId="0" fontId="19" fillId="0" borderId="6" xfId="0" applyFont="1" applyBorder="1" applyAlignment="1" applyProtection="1">
      <alignment horizontal="left" vertical="top"/>
      <protection locked="0"/>
    </xf>
    <xf numFmtId="0" fontId="19" fillId="0" borderId="7" xfId="0" applyFont="1" applyBorder="1" applyAlignment="1" applyProtection="1">
      <alignment horizontal="left" vertical="top"/>
      <protection locked="0"/>
    </xf>
    <xf numFmtId="168" fontId="12" fillId="0" borderId="25" xfId="0" applyNumberFormat="1" applyFont="1" applyBorder="1"/>
    <xf numFmtId="168" fontId="12" fillId="0" borderId="22" xfId="0" applyNumberFormat="1" applyFont="1" applyBorder="1"/>
    <xf numFmtId="168" fontId="12" fillId="0" borderId="23" xfId="0" applyNumberFormat="1" applyFont="1" applyBorder="1"/>
    <xf numFmtId="4" fontId="9" fillId="2" borderId="19" xfId="0" applyNumberFormat="1" applyFont="1" applyFill="1" applyBorder="1" applyAlignment="1">
      <alignment horizontal="center" vertical="center"/>
    </xf>
    <xf numFmtId="165" fontId="12" fillId="0" borderId="19" xfId="2" applyNumberFormat="1" applyFont="1" applyFill="1" applyBorder="1" applyAlignment="1">
      <alignment horizontal="left"/>
    </xf>
    <xf numFmtId="4" fontId="9" fillId="2" borderId="19" xfId="0" applyNumberFormat="1" applyFont="1" applyFill="1" applyBorder="1" applyAlignment="1">
      <alignment horizontal="center" vertical="center" wrapText="1"/>
    </xf>
    <xf numFmtId="0" fontId="12" fillId="0" borderId="4" xfId="0" applyFont="1" applyBorder="1" applyAlignment="1" applyProtection="1">
      <alignment horizontal="left" vertical="top" wrapText="1"/>
      <protection locked="0"/>
    </xf>
    <xf numFmtId="0" fontId="12" fillId="0" borderId="0" xfId="0" applyFont="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165" fontId="9" fillId="0" borderId="19" xfId="2" applyNumberFormat="1" applyFont="1" applyFill="1" applyBorder="1" applyAlignment="1">
      <alignment horizontal="center"/>
    </xf>
    <xf numFmtId="0" fontId="39" fillId="0" borderId="21" xfId="0" applyFont="1" applyBorder="1" applyAlignment="1" applyProtection="1">
      <alignment horizontal="left" vertical="top"/>
      <protection locked="0"/>
    </xf>
    <xf numFmtId="0" fontId="39" fillId="0" borderId="22" xfId="0" applyFont="1" applyBorder="1" applyAlignment="1" applyProtection="1">
      <alignment horizontal="left" vertical="top"/>
      <protection locked="0"/>
    </xf>
    <xf numFmtId="0" fontId="39" fillId="0" borderId="36" xfId="0" applyFont="1" applyBorder="1" applyAlignment="1" applyProtection="1">
      <alignment horizontal="left" vertical="top"/>
      <protection locked="0"/>
    </xf>
    <xf numFmtId="0" fontId="18" fillId="0" borderId="4" xfId="1" applyFont="1" applyBorder="1" applyAlignment="1">
      <alignment horizontal="center" vertical="center"/>
    </xf>
    <xf numFmtId="0" fontId="18" fillId="0" borderId="0" xfId="1" applyFont="1" applyAlignment="1">
      <alignment horizontal="center" vertical="center"/>
    </xf>
    <xf numFmtId="0" fontId="15" fillId="0" borderId="2" xfId="0" applyFont="1" applyBorder="1" applyAlignment="1" applyProtection="1">
      <alignment horizontal="left" vertical="top"/>
      <protection locked="0"/>
    </xf>
    <xf numFmtId="0" fontId="15" fillId="0" borderId="3" xfId="0" applyFont="1" applyBorder="1" applyAlignment="1" applyProtection="1">
      <alignment horizontal="left" vertical="top"/>
      <protection locked="0"/>
    </xf>
    <xf numFmtId="0" fontId="15" fillId="0" borderId="4" xfId="0" applyFont="1" applyBorder="1" applyAlignment="1" applyProtection="1">
      <alignment horizontal="left" vertical="top"/>
      <protection locked="0"/>
    </xf>
    <xf numFmtId="0" fontId="15" fillId="0" borderId="0" xfId="0" applyFont="1" applyAlignment="1" applyProtection="1">
      <alignment horizontal="left" vertical="top"/>
      <protection locked="0"/>
    </xf>
    <xf numFmtId="0" fontId="15" fillId="0" borderId="8" xfId="0" applyFont="1" applyBorder="1" applyAlignment="1" applyProtection="1">
      <alignment horizontal="left" vertical="top"/>
      <protection locked="0"/>
    </xf>
    <xf numFmtId="0" fontId="15" fillId="0" borderId="5" xfId="0" applyFont="1" applyBorder="1" applyAlignment="1" applyProtection="1">
      <alignment horizontal="left" vertical="top"/>
      <protection locked="0"/>
    </xf>
    <xf numFmtId="0" fontId="15" fillId="0" borderId="6" xfId="0" applyFont="1" applyBorder="1" applyAlignment="1" applyProtection="1">
      <alignment horizontal="left" vertical="top"/>
      <protection locked="0"/>
    </xf>
    <xf numFmtId="0" fontId="15" fillId="0" borderId="7" xfId="0" applyFont="1" applyBorder="1" applyAlignment="1" applyProtection="1">
      <alignment horizontal="left" vertical="top"/>
      <protection locked="0"/>
    </xf>
    <xf numFmtId="0" fontId="31" fillId="6" borderId="22" xfId="8" applyFill="1" applyBorder="1" applyAlignment="1" applyProtection="1">
      <alignment horizontal="left" vertical="center"/>
      <protection locked="0"/>
    </xf>
    <xf numFmtId="0" fontId="31" fillId="6" borderId="36" xfId="8" applyFill="1" applyBorder="1" applyAlignment="1" applyProtection="1">
      <alignment horizontal="left" vertical="center"/>
      <protection locked="0"/>
    </xf>
  </cellXfs>
  <cellStyles count="10">
    <cellStyle name="Lien hypertexte" xfId="8" builtinId="8"/>
    <cellStyle name="Milliers" xfId="2" builtinId="3"/>
    <cellStyle name="Milliers 2" xfId="5" xr:uid="{00000000-0005-0000-0000-000002000000}"/>
    <cellStyle name="Milliers 3" xfId="6" xr:uid="{00000000-0005-0000-0000-000003000000}"/>
    <cellStyle name="NiveauLigne_4" xfId="1" builtinId="1" iLevel="3"/>
    <cellStyle name="Normal" xfId="0" builtinId="0"/>
    <cellStyle name="Normal 2" xfId="4" xr:uid="{00000000-0005-0000-0000-000006000000}"/>
    <cellStyle name="Normal 5" xfId="7" xr:uid="{00000000-0005-0000-0000-000007000000}"/>
    <cellStyle name="Normal_IDE 311205 Clients" xfId="9" xr:uid="{00000000-0005-0000-0000-00000800000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53</xdr:row>
      <xdr:rowOff>0</xdr:rowOff>
    </xdr:from>
    <xdr:to>
      <xdr:col>8</xdr:col>
      <xdr:colOff>9525</xdr:colOff>
      <xdr:row>53</xdr:row>
      <xdr:rowOff>9525</xdr:rowOff>
    </xdr:to>
    <xdr:pic>
      <xdr:nvPicPr>
        <xdr:cNvPr id="4" name="Picture 6" descr="C:\Ticks\ly.bmp">
          <a:extLst>
            <a:ext uri="{FF2B5EF4-FFF2-40B4-BE49-F238E27FC236}">
              <a16:creationId xmlns:a16="http://schemas.microsoft.com/office/drawing/2014/main" id="{FCDCC120-5E3F-4C47-9E65-E2C280706919}"/>
            </a:ext>
          </a:extLst>
        </xdr:cNvPr>
        <xdr:cNvPicPr>
          <a:picLocks noChangeAspect="1" noChangeArrowheads="1"/>
        </xdr:cNvPicPr>
      </xdr:nvPicPr>
      <xdr:blipFill>
        <a:blip xmlns:r="http://schemas.openxmlformats.org/officeDocument/2006/relationships" r:embed="rId1" cstate="print">
          <a:lum bright="-100000" contrast="-100000"/>
          <a:extLst>
            <a:ext uri="{28A0092B-C50C-407E-A947-70E740481C1C}">
              <a14:useLocalDpi xmlns:a14="http://schemas.microsoft.com/office/drawing/2010/main" val="0"/>
            </a:ext>
          </a:extLst>
        </a:blip>
        <a:srcRect/>
        <a:stretch>
          <a:fillRect/>
        </a:stretch>
      </xdr:blipFill>
      <xdr:spPr bwMode="auto">
        <a:xfrm>
          <a:off x="4572000" y="105727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irex1.sharepoint.com/sites/firexaudit/Documents%20partages/DOCUMENTATION/MISSIONS/01%20PACK%20DOSSIER%20ANNUEL/01%20COMPTES%20SOCIAUX/07%20DOSSIER%20ANNUEL/2017/I%20-%20Immobilis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ow r="24">
          <cell r="F24">
            <v>0</v>
          </cell>
          <cell r="H24">
            <v>0</v>
          </cell>
        </row>
        <row r="29">
          <cell r="F29">
            <v>0</v>
          </cell>
          <cell r="H29">
            <v>0</v>
          </cell>
        </row>
        <row r="34">
          <cell r="F34">
            <v>0</v>
          </cell>
          <cell r="H34">
            <v>0</v>
          </cell>
        </row>
        <row r="54">
          <cell r="F54">
            <v>0</v>
          </cell>
          <cell r="H54">
            <v>0</v>
          </cell>
        </row>
        <row r="56">
          <cell r="F56" t="str">
            <v>#DC{£AED=1}</v>
          </cell>
          <cell r="H56" t="str">
            <v>#DC{£AED_1=1}</v>
          </cell>
        </row>
        <row r="58">
          <cell r="F58" t="e">
            <v>#VALUE!</v>
          </cell>
          <cell r="H58" t="e">
            <v>#VALUE!</v>
          </cell>
        </row>
      </sheetData>
      <sheetData sheetId="99">
        <row r="8">
          <cell r="B8" t="str">
            <v>#DC{£DS1=1}</v>
          </cell>
          <cell r="D8" t="str">
            <v>#DC{£DS1_1=1}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 Synthèse"/>
      <sheetName val="Qestionnaire"/>
      <sheetName val="I100 Centralisation immos."/>
      <sheetName val="I200 Variation immos"/>
      <sheetName val="I210 Acquisitions immos"/>
      <sheetName val="I220 Sorties immos"/>
      <sheetName val="I230 Immos en cours"/>
      <sheetName val="I240 Charges activables"/>
      <sheetName val="I250 Taux moyen d'amortissement"/>
    </sheetNames>
    <sheetDataSet>
      <sheetData sheetId="0">
        <row r="1">
          <cell r="R1" t="str">
            <v>N/A</v>
          </cell>
        </row>
        <row r="2">
          <cell r="R2" t="str">
            <v>A faire</v>
          </cell>
        </row>
        <row r="3">
          <cell r="R3" t="str">
            <v>Terminé</v>
          </cell>
        </row>
        <row r="4">
          <cell r="R4" t="str">
            <v>Faible</v>
          </cell>
        </row>
        <row r="5">
          <cell r="R5" t="str">
            <v>Modéré</v>
          </cell>
        </row>
        <row r="6">
          <cell r="R6" t="str">
            <v>Elevé</v>
          </cell>
        </row>
        <row r="7">
          <cell r="R7" t="str">
            <v>PB</v>
          </cell>
        </row>
        <row r="8">
          <cell r="R8" t="str">
            <v>PE</v>
          </cell>
        </row>
        <row r="9">
          <cell r="R9" t="str">
            <v>PE + VP</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36"/>
  <sheetViews>
    <sheetView showGridLines="0" tabSelected="1" zoomScale="90" zoomScaleNormal="90" workbookViewId="0">
      <selection activeCell="A24" sqref="A24:O28"/>
    </sheetView>
  </sheetViews>
  <sheetFormatPr baseColWidth="10" defaultColWidth="11.42578125" defaultRowHeight="15.75" x14ac:dyDescent="0.25"/>
  <cols>
    <col min="1" max="12" width="14.7109375" style="32" customWidth="1"/>
    <col min="13" max="13" width="23.5703125" style="32" customWidth="1"/>
    <col min="14" max="15" width="14.7109375" style="32" customWidth="1"/>
    <col min="16" max="16" width="4.7109375" style="32" customWidth="1"/>
    <col min="17" max="17" width="11.42578125" style="32" hidden="1" customWidth="1"/>
    <col min="18" max="16384" width="11.42578125" style="32"/>
  </cols>
  <sheetData>
    <row r="1" spans="1:23" s="30" customFormat="1" ht="15" customHeight="1" x14ac:dyDescent="0.25">
      <c r="A1" s="2"/>
      <c r="B1" s="3"/>
      <c r="C1" s="3"/>
      <c r="D1" s="388" t="s">
        <v>0</v>
      </c>
      <c r="E1" s="389"/>
      <c r="F1" s="389"/>
      <c r="G1" s="389"/>
      <c r="H1" s="389"/>
      <c r="I1" s="389"/>
      <c r="J1" s="389"/>
      <c r="K1" s="389"/>
      <c r="L1" s="389"/>
      <c r="M1" s="390"/>
      <c r="N1" s="3"/>
      <c r="O1" s="4"/>
      <c r="P1" s="5"/>
      <c r="Q1" s="6" t="s">
        <v>1</v>
      </c>
      <c r="R1" s="31"/>
      <c r="S1" s="25"/>
      <c r="T1" s="25"/>
      <c r="U1" s="31"/>
      <c r="V1" s="25"/>
      <c r="W1" s="25"/>
    </row>
    <row r="2" spans="1:23" s="30" customFormat="1" ht="15" customHeight="1" thickBot="1" x14ac:dyDescent="0.25">
      <c r="A2" s="7"/>
      <c r="B2" s="8"/>
      <c r="C2" s="8"/>
      <c r="D2" s="391"/>
      <c r="E2" s="392"/>
      <c r="F2" s="392"/>
      <c r="G2" s="392"/>
      <c r="H2" s="392"/>
      <c r="I2" s="392"/>
      <c r="J2" s="392"/>
      <c r="K2" s="392"/>
      <c r="L2" s="392"/>
      <c r="M2" s="393"/>
      <c r="N2" s="8"/>
      <c r="O2" s="9"/>
      <c r="P2" s="5"/>
      <c r="Q2" s="6" t="s">
        <v>2</v>
      </c>
      <c r="R2" s="33"/>
      <c r="S2" s="5"/>
      <c r="T2" s="5"/>
      <c r="U2" s="33"/>
      <c r="V2" s="5"/>
      <c r="W2" s="5"/>
    </row>
    <row r="3" spans="1:23" ht="15" customHeight="1" x14ac:dyDescent="0.25">
      <c r="A3" s="394" t="s">
        <v>3</v>
      </c>
      <c r="B3" s="395"/>
      <c r="C3" s="395"/>
      <c r="D3" s="395"/>
      <c r="E3" s="395"/>
      <c r="F3" s="395"/>
      <c r="G3" s="395"/>
      <c r="H3" s="395"/>
      <c r="I3" s="395"/>
      <c r="J3" s="395"/>
      <c r="K3" s="395"/>
      <c r="L3" s="395"/>
      <c r="M3" s="395"/>
      <c r="N3" s="395"/>
      <c r="O3" s="396"/>
      <c r="P3" s="25"/>
      <c r="Q3" s="10"/>
      <c r="R3" s="34"/>
      <c r="S3" s="5"/>
      <c r="T3" s="5"/>
      <c r="U3" s="34"/>
      <c r="V3" s="5"/>
      <c r="W3" s="5"/>
    </row>
    <row r="4" spans="1:23" ht="15" customHeight="1" x14ac:dyDescent="0.25">
      <c r="A4" s="394"/>
      <c r="B4" s="395"/>
      <c r="C4" s="395"/>
      <c r="D4" s="395"/>
      <c r="E4" s="395"/>
      <c r="F4" s="395"/>
      <c r="G4" s="395"/>
      <c r="H4" s="395"/>
      <c r="I4" s="395"/>
      <c r="J4" s="395"/>
      <c r="K4" s="395"/>
      <c r="L4" s="395"/>
      <c r="M4" s="395"/>
      <c r="N4" s="395"/>
      <c r="O4" s="396"/>
      <c r="P4" s="25"/>
      <c r="Q4" s="6" t="s">
        <v>4</v>
      </c>
      <c r="R4" s="33"/>
      <c r="S4" s="5"/>
      <c r="T4" s="5"/>
      <c r="U4" s="33"/>
      <c r="V4" s="5"/>
      <c r="W4" s="5"/>
    </row>
    <row r="5" spans="1:23" ht="15" customHeight="1" thickBot="1" x14ac:dyDescent="0.3">
      <c r="A5" s="397"/>
      <c r="B5" s="398"/>
      <c r="C5" s="398"/>
      <c r="D5" s="398"/>
      <c r="E5" s="398"/>
      <c r="F5" s="398"/>
      <c r="G5" s="398"/>
      <c r="H5" s="398"/>
      <c r="I5" s="398"/>
      <c r="J5" s="398"/>
      <c r="K5" s="398"/>
      <c r="L5" s="398"/>
      <c r="M5" s="398"/>
      <c r="N5" s="398"/>
      <c r="O5" s="399"/>
      <c r="P5" s="25"/>
      <c r="Q5" s="6" t="s">
        <v>5</v>
      </c>
      <c r="R5" s="35"/>
      <c r="S5" s="5"/>
      <c r="T5" s="5"/>
      <c r="U5" s="35"/>
      <c r="V5" s="5"/>
      <c r="W5" s="5"/>
    </row>
    <row r="6" spans="1:23" ht="15" customHeight="1" x14ac:dyDescent="0.25">
      <c r="A6" s="15" t="s">
        <v>6</v>
      </c>
      <c r="B6" s="136" t="s">
        <v>179</v>
      </c>
      <c r="C6" s="15" t="s">
        <v>7</v>
      </c>
      <c r="D6" s="136"/>
      <c r="E6" s="400" t="s">
        <v>8</v>
      </c>
      <c r="F6" s="401"/>
      <c r="G6" s="401"/>
      <c r="H6" s="401"/>
      <c r="I6" s="401"/>
      <c r="J6" s="401"/>
      <c r="K6" s="401"/>
      <c r="L6" s="402"/>
      <c r="M6" s="341" t="s">
        <v>9</v>
      </c>
      <c r="N6" s="406" t="s">
        <v>10</v>
      </c>
      <c r="O6" s="407"/>
      <c r="P6" s="25"/>
      <c r="Q6" s="10" t="s">
        <v>11</v>
      </c>
      <c r="R6" s="35"/>
      <c r="S6" s="5"/>
      <c r="T6" s="5"/>
      <c r="U6" s="35"/>
      <c r="V6" s="5"/>
      <c r="W6" s="5"/>
    </row>
    <row r="7" spans="1:23" ht="15" customHeight="1" thickBot="1" x14ac:dyDescent="0.3">
      <c r="A7" s="16" t="s">
        <v>12</v>
      </c>
      <c r="B7" s="137"/>
      <c r="C7" s="16" t="s">
        <v>12</v>
      </c>
      <c r="D7" s="137"/>
      <c r="E7" s="403"/>
      <c r="F7" s="404"/>
      <c r="G7" s="404"/>
      <c r="H7" s="404"/>
      <c r="I7" s="404"/>
      <c r="J7" s="404"/>
      <c r="K7" s="404"/>
      <c r="L7" s="405"/>
      <c r="M7" s="342" t="s">
        <v>13</v>
      </c>
      <c r="N7" s="408" t="s">
        <v>14</v>
      </c>
      <c r="O7" s="409"/>
      <c r="P7" s="25"/>
      <c r="Q7" s="6" t="s">
        <v>15</v>
      </c>
      <c r="R7" s="33"/>
      <c r="S7" s="5"/>
      <c r="T7" s="5"/>
      <c r="U7" s="33"/>
      <c r="V7" s="5"/>
      <c r="W7" s="5"/>
    </row>
    <row r="8" spans="1:23" ht="21" customHeight="1" thickBot="1" x14ac:dyDescent="0.3">
      <c r="A8" s="17"/>
      <c r="B8" s="18"/>
      <c r="C8" s="19"/>
      <c r="D8" s="19"/>
      <c r="E8" s="20"/>
      <c r="F8" s="20"/>
      <c r="G8" s="20"/>
      <c r="H8" s="20"/>
      <c r="I8" s="20"/>
      <c r="J8" s="20"/>
      <c r="K8" s="20"/>
      <c r="L8" s="20"/>
      <c r="M8" s="21"/>
      <c r="N8" s="143"/>
      <c r="O8" s="143"/>
      <c r="P8" s="25"/>
      <c r="Q8" s="6" t="s">
        <v>16</v>
      </c>
      <c r="R8" s="25"/>
      <c r="S8" s="25"/>
      <c r="T8" s="25"/>
      <c r="U8" s="25"/>
      <c r="V8" s="25"/>
      <c r="W8" s="25"/>
    </row>
    <row r="9" spans="1:23" s="36" customFormat="1" ht="31.5" customHeight="1" thickBot="1" x14ac:dyDescent="0.3">
      <c r="A9" s="379" t="s">
        <v>17</v>
      </c>
      <c r="B9" s="380"/>
      <c r="C9" s="380"/>
      <c r="D9" s="283" t="s">
        <v>5</v>
      </c>
      <c r="E9" s="284"/>
      <c r="F9" s="381" t="s">
        <v>18</v>
      </c>
      <c r="G9" s="382"/>
      <c r="H9" s="382"/>
      <c r="I9" s="382"/>
      <c r="J9" s="285"/>
      <c r="K9" s="286"/>
      <c r="L9" s="381" t="s">
        <v>19</v>
      </c>
      <c r="M9" s="382"/>
      <c r="N9" s="283" t="s">
        <v>16</v>
      </c>
      <c r="O9" s="284"/>
      <c r="P9" s="19"/>
      <c r="Q9" s="10" t="s">
        <v>20</v>
      </c>
      <c r="R9" s="19"/>
      <c r="S9" s="31"/>
      <c r="T9" s="19"/>
      <c r="U9" s="19"/>
      <c r="V9" s="19"/>
      <c r="W9" s="19"/>
    </row>
    <row r="10" spans="1:23" s="37" customFormat="1" ht="21" customHeight="1" thickBot="1" x14ac:dyDescent="0.25">
      <c r="A10" s="22"/>
      <c r="B10" s="22"/>
      <c r="C10" s="22"/>
      <c r="D10" s="22"/>
      <c r="E10" s="22"/>
      <c r="F10" s="22"/>
      <c r="G10" s="22"/>
      <c r="H10" s="22"/>
      <c r="I10" s="22"/>
      <c r="J10" s="22"/>
      <c r="K10" s="22"/>
      <c r="L10" s="22"/>
      <c r="M10" s="22"/>
      <c r="N10" s="22"/>
      <c r="O10" s="22"/>
      <c r="P10" s="23"/>
      <c r="Q10" s="23"/>
      <c r="R10" s="23"/>
      <c r="S10" s="23"/>
      <c r="T10" s="23"/>
      <c r="U10" s="23"/>
      <c r="V10" s="23"/>
      <c r="W10" s="23"/>
    </row>
    <row r="11" spans="1:23" ht="15" customHeight="1" thickBot="1" x14ac:dyDescent="0.3">
      <c r="A11" s="1" t="s">
        <v>21</v>
      </c>
      <c r="B11" s="350"/>
      <c r="C11" s="351" t="s">
        <v>22</v>
      </c>
      <c r="D11" s="352"/>
      <c r="E11" s="352"/>
      <c r="F11" s="352"/>
      <c r="G11" s="352"/>
      <c r="H11" s="352"/>
      <c r="I11" s="352"/>
      <c r="J11" s="352"/>
      <c r="K11" s="352"/>
      <c r="L11" s="352"/>
      <c r="M11" s="338" t="s">
        <v>23</v>
      </c>
      <c r="N11" s="353" t="s">
        <v>24</v>
      </c>
      <c r="O11" s="354"/>
      <c r="P11" s="31"/>
      <c r="Q11" s="25"/>
      <c r="R11" s="25"/>
      <c r="S11" s="25"/>
      <c r="T11" s="25"/>
      <c r="U11" s="25"/>
      <c r="V11" s="25"/>
      <c r="W11" s="25"/>
    </row>
    <row r="12" spans="1:23" s="30" customFormat="1" ht="15" customHeight="1" x14ac:dyDescent="0.25">
      <c r="A12" s="355" t="s">
        <v>25</v>
      </c>
      <c r="B12" s="356"/>
      <c r="C12" s="142" t="s">
        <v>26</v>
      </c>
      <c r="D12" s="144"/>
      <c r="E12" s="144"/>
      <c r="F12" s="144"/>
      <c r="G12" s="144"/>
      <c r="H12" s="144"/>
      <c r="I12" s="144"/>
      <c r="J12" s="144"/>
      <c r="K12" s="144"/>
      <c r="L12" s="144"/>
      <c r="M12" s="339" t="s">
        <v>1</v>
      </c>
      <c r="N12" s="357" t="s">
        <v>27</v>
      </c>
      <c r="O12" s="358"/>
      <c r="P12" s="31" t="s">
        <v>28</v>
      </c>
      <c r="Q12" s="25"/>
      <c r="R12" s="25" t="s">
        <v>29</v>
      </c>
      <c r="S12" s="5"/>
      <c r="T12" s="5"/>
      <c r="U12" s="5"/>
      <c r="V12" s="5"/>
      <c r="W12" s="5"/>
    </row>
    <row r="13" spans="1:23" s="30" customFormat="1" ht="15" customHeight="1" x14ac:dyDescent="0.2">
      <c r="A13" s="373" t="s">
        <v>30</v>
      </c>
      <c r="B13" s="374"/>
      <c r="C13" s="141" t="s">
        <v>31</v>
      </c>
      <c r="D13" s="140"/>
      <c r="E13" s="140"/>
      <c r="F13" s="140"/>
      <c r="G13" s="140"/>
      <c r="H13" s="140"/>
      <c r="I13" s="140"/>
      <c r="J13" s="140"/>
      <c r="K13" s="140"/>
      <c r="L13" s="140"/>
      <c r="M13" s="339" t="s">
        <v>1</v>
      </c>
      <c r="N13" s="375" t="s">
        <v>32</v>
      </c>
      <c r="O13" s="376"/>
      <c r="P13" s="33" t="s">
        <v>33</v>
      </c>
      <c r="Q13" s="5"/>
      <c r="R13" s="5" t="s">
        <v>34</v>
      </c>
      <c r="S13" s="5"/>
      <c r="T13" s="33"/>
      <c r="U13" s="5"/>
      <c r="V13" s="5"/>
      <c r="W13" s="5"/>
    </row>
    <row r="14" spans="1:23" s="30" customFormat="1" ht="15" customHeight="1" x14ac:dyDescent="0.2">
      <c r="A14" s="373" t="s">
        <v>35</v>
      </c>
      <c r="B14" s="374"/>
      <c r="C14" s="140" t="s">
        <v>36</v>
      </c>
      <c r="D14" s="140"/>
      <c r="E14" s="140"/>
      <c r="F14" s="140"/>
      <c r="G14" s="140"/>
      <c r="H14" s="140"/>
      <c r="I14" s="140"/>
      <c r="J14" s="140"/>
      <c r="K14" s="140"/>
      <c r="L14" s="140"/>
      <c r="M14" s="339" t="s">
        <v>1</v>
      </c>
      <c r="N14" s="377" t="s">
        <v>37</v>
      </c>
      <c r="O14" s="378"/>
      <c r="P14" s="35" t="s">
        <v>38</v>
      </c>
      <c r="Q14" s="5"/>
      <c r="R14" s="5" t="s">
        <v>39</v>
      </c>
      <c r="S14" s="5"/>
      <c r="T14" s="5"/>
      <c r="U14" s="5"/>
      <c r="V14" s="5"/>
      <c r="W14" s="5"/>
    </row>
    <row r="15" spans="1:23" s="30" customFormat="1" ht="15" customHeight="1" x14ac:dyDescent="0.2">
      <c r="A15" s="373" t="s">
        <v>40</v>
      </c>
      <c r="B15" s="374"/>
      <c r="C15" s="140" t="s">
        <v>41</v>
      </c>
      <c r="D15" s="140"/>
      <c r="E15" s="140"/>
      <c r="F15" s="140"/>
      <c r="G15" s="140"/>
      <c r="H15" s="140"/>
      <c r="I15" s="140"/>
      <c r="J15" s="140"/>
      <c r="K15" s="140"/>
      <c r="L15" s="140"/>
      <c r="M15" s="339" t="s">
        <v>1</v>
      </c>
      <c r="N15" s="377" t="s">
        <v>42</v>
      </c>
      <c r="O15" s="378"/>
      <c r="P15" s="35" t="s">
        <v>43</v>
      </c>
      <c r="Q15" s="5"/>
      <c r="R15" s="5" t="s">
        <v>39</v>
      </c>
      <c r="S15" s="5"/>
      <c r="T15" s="5"/>
      <c r="U15" s="5"/>
      <c r="V15" s="5"/>
      <c r="W15" s="5"/>
    </row>
    <row r="16" spans="1:23" s="30" customFormat="1" ht="15" customHeight="1" x14ac:dyDescent="0.2">
      <c r="A16" s="373" t="s">
        <v>44</v>
      </c>
      <c r="B16" s="374"/>
      <c r="C16" s="140" t="s">
        <v>45</v>
      </c>
      <c r="D16" s="140"/>
      <c r="E16" s="140"/>
      <c r="F16" s="140"/>
      <c r="G16" s="140"/>
      <c r="H16" s="140"/>
      <c r="I16" s="140"/>
      <c r="J16" s="140"/>
      <c r="K16" s="140"/>
      <c r="L16" s="140"/>
      <c r="M16" s="339" t="s">
        <v>1</v>
      </c>
      <c r="N16" s="377" t="s">
        <v>46</v>
      </c>
      <c r="O16" s="378"/>
      <c r="P16" s="33" t="s">
        <v>47</v>
      </c>
      <c r="Q16" s="5"/>
      <c r="R16" s="5" t="s">
        <v>48</v>
      </c>
      <c r="S16" s="5"/>
      <c r="T16" s="5"/>
      <c r="U16" s="5"/>
      <c r="V16" s="5"/>
      <c r="W16" s="5"/>
    </row>
    <row r="17" spans="1:20" s="30" customFormat="1" ht="15" customHeight="1" x14ac:dyDescent="0.25">
      <c r="A17" s="373" t="s">
        <v>49</v>
      </c>
      <c r="B17" s="374"/>
      <c r="C17" s="140" t="s">
        <v>50</v>
      </c>
      <c r="D17" s="140"/>
      <c r="E17" s="140"/>
      <c r="F17" s="140"/>
      <c r="G17" s="140"/>
      <c r="H17" s="140"/>
      <c r="I17" s="140"/>
      <c r="J17" s="140"/>
      <c r="K17" s="140"/>
      <c r="L17" s="140"/>
      <c r="M17" s="339" t="s">
        <v>1</v>
      </c>
      <c r="N17" s="377" t="s">
        <v>51</v>
      </c>
      <c r="O17" s="378"/>
      <c r="P17" s="34" t="s">
        <v>52</v>
      </c>
      <c r="Q17" s="5"/>
      <c r="R17" s="5" t="s">
        <v>53</v>
      </c>
      <c r="S17" s="5"/>
      <c r="T17" s="5"/>
    </row>
    <row r="18" spans="1:20" s="30" customFormat="1" ht="15" customHeight="1" x14ac:dyDescent="0.2">
      <c r="A18" s="373" t="s">
        <v>181</v>
      </c>
      <c r="B18" s="374"/>
      <c r="C18" s="140" t="s">
        <v>55</v>
      </c>
      <c r="D18" s="140"/>
      <c r="E18" s="140"/>
      <c r="F18" s="140"/>
      <c r="G18" s="140"/>
      <c r="H18" s="140"/>
      <c r="I18" s="140"/>
      <c r="J18" s="140"/>
      <c r="K18" s="140"/>
      <c r="L18" s="140"/>
      <c r="M18" s="339" t="s">
        <v>1</v>
      </c>
      <c r="N18" s="479" t="s">
        <v>56</v>
      </c>
      <c r="O18" s="480"/>
      <c r="P18" s="33" t="s">
        <v>57</v>
      </c>
      <c r="Q18" s="5"/>
      <c r="R18" s="5" t="s">
        <v>39</v>
      </c>
      <c r="S18" s="5"/>
      <c r="T18" s="5"/>
    </row>
    <row r="19" spans="1:20" s="30" customFormat="1" ht="15" customHeight="1" x14ac:dyDescent="0.2">
      <c r="A19" s="373" t="s">
        <v>58</v>
      </c>
      <c r="B19" s="374"/>
      <c r="C19" s="140" t="s">
        <v>59</v>
      </c>
      <c r="D19" s="140"/>
      <c r="E19" s="140"/>
      <c r="F19" s="140"/>
      <c r="G19" s="140"/>
      <c r="H19" s="140"/>
      <c r="I19" s="140"/>
      <c r="J19" s="140"/>
      <c r="K19" s="140"/>
      <c r="L19" s="140"/>
      <c r="M19" s="339" t="s">
        <v>1</v>
      </c>
      <c r="N19" s="377" t="s">
        <v>60</v>
      </c>
      <c r="O19" s="378"/>
      <c r="P19" s="5"/>
      <c r="Q19" s="5"/>
      <c r="R19" s="5"/>
      <c r="S19" s="5"/>
      <c r="T19" s="5"/>
    </row>
    <row r="20" spans="1:20" s="30" customFormat="1" ht="15" customHeight="1" x14ac:dyDescent="0.2">
      <c r="A20" s="373" t="s">
        <v>61</v>
      </c>
      <c r="B20" s="374"/>
      <c r="C20" s="140" t="s">
        <v>62</v>
      </c>
      <c r="D20" s="140"/>
      <c r="E20" s="140"/>
      <c r="F20" s="140"/>
      <c r="G20" s="140"/>
      <c r="H20" s="140"/>
      <c r="I20" s="140"/>
      <c r="J20" s="140"/>
      <c r="K20" s="140"/>
      <c r="L20" s="140"/>
      <c r="M20" s="339" t="s">
        <v>1</v>
      </c>
      <c r="N20" s="377" t="s">
        <v>63</v>
      </c>
      <c r="O20" s="378"/>
      <c r="P20" s="5"/>
      <c r="Q20" s="5"/>
      <c r="R20" s="5"/>
      <c r="S20" s="5"/>
      <c r="T20" s="5"/>
    </row>
    <row r="21" spans="1:20" s="30" customFormat="1" ht="15" customHeight="1" thickBot="1" x14ac:dyDescent="0.25">
      <c r="A21" s="386"/>
      <c r="B21" s="387"/>
      <c r="C21" s="145"/>
      <c r="D21" s="145"/>
      <c r="E21" s="145"/>
      <c r="F21" s="145"/>
      <c r="G21" s="145"/>
      <c r="H21" s="145"/>
      <c r="I21" s="145"/>
      <c r="J21" s="145"/>
      <c r="K21" s="145"/>
      <c r="L21" s="145"/>
      <c r="M21" s="340"/>
      <c r="N21" s="359"/>
      <c r="O21" s="360"/>
      <c r="P21" s="35"/>
      <c r="Q21" s="5"/>
      <c r="R21" s="5"/>
      <c r="S21" s="5"/>
      <c r="T21" s="5"/>
    </row>
    <row r="22" spans="1:20" s="38" customFormat="1" ht="21" customHeight="1" thickBot="1" x14ac:dyDescent="0.3">
      <c r="A22" s="26"/>
      <c r="B22" s="26"/>
      <c r="C22" s="26"/>
      <c r="D22" s="26"/>
      <c r="E22" s="26"/>
      <c r="F22" s="26"/>
      <c r="G22" s="26"/>
      <c r="H22" s="26"/>
      <c r="I22" s="26"/>
      <c r="J22" s="26"/>
      <c r="K22" s="26"/>
      <c r="L22" s="26"/>
      <c r="M22" s="26"/>
      <c r="N22" s="26"/>
      <c r="O22" s="26"/>
      <c r="P22" s="35"/>
      <c r="Q22" s="26"/>
      <c r="R22" s="26"/>
      <c r="S22" s="26"/>
      <c r="T22" s="33"/>
    </row>
    <row r="23" spans="1:20" s="38" customFormat="1" thickBot="1" x14ac:dyDescent="0.3">
      <c r="A23" s="361" t="s">
        <v>64</v>
      </c>
      <c r="B23" s="362"/>
      <c r="C23" s="362"/>
      <c r="D23" s="362"/>
      <c r="E23" s="362"/>
      <c r="F23" s="362"/>
      <c r="G23" s="362"/>
      <c r="H23" s="362"/>
      <c r="I23" s="362"/>
      <c r="J23" s="362"/>
      <c r="K23" s="362"/>
      <c r="L23" s="362"/>
      <c r="M23" s="362"/>
      <c r="N23" s="362"/>
      <c r="O23" s="363"/>
      <c r="P23" s="26"/>
      <c r="Q23" s="26"/>
      <c r="R23" s="26"/>
      <c r="S23" s="26"/>
      <c r="T23" s="26"/>
    </row>
    <row r="24" spans="1:20" s="25" customFormat="1" ht="9.9499999999999993" customHeight="1" x14ac:dyDescent="0.25">
      <c r="A24" s="364" t="s">
        <v>180</v>
      </c>
      <c r="B24" s="365"/>
      <c r="C24" s="365"/>
      <c r="D24" s="365"/>
      <c r="E24" s="365"/>
      <c r="F24" s="365"/>
      <c r="G24" s="365"/>
      <c r="H24" s="365"/>
      <c r="I24" s="365"/>
      <c r="J24" s="365"/>
      <c r="K24" s="365"/>
      <c r="L24" s="365"/>
      <c r="M24" s="365"/>
      <c r="N24" s="365"/>
      <c r="O24" s="366"/>
    </row>
    <row r="25" spans="1:20" s="25" customFormat="1" ht="9.9499999999999993" customHeight="1" x14ac:dyDescent="0.25">
      <c r="A25" s="367"/>
      <c r="B25" s="368"/>
      <c r="C25" s="368"/>
      <c r="D25" s="368"/>
      <c r="E25" s="368"/>
      <c r="F25" s="368"/>
      <c r="G25" s="368"/>
      <c r="H25" s="368"/>
      <c r="I25" s="368"/>
      <c r="J25" s="368"/>
      <c r="K25" s="368"/>
      <c r="L25" s="368"/>
      <c r="M25" s="368"/>
      <c r="N25" s="368"/>
      <c r="O25" s="369"/>
    </row>
    <row r="26" spans="1:20" s="25" customFormat="1" ht="9.9499999999999993" customHeight="1" x14ac:dyDescent="0.25">
      <c r="A26" s="367"/>
      <c r="B26" s="368"/>
      <c r="C26" s="368"/>
      <c r="D26" s="368"/>
      <c r="E26" s="368"/>
      <c r="F26" s="368"/>
      <c r="G26" s="368"/>
      <c r="H26" s="368"/>
      <c r="I26" s="368"/>
      <c r="J26" s="368"/>
      <c r="K26" s="368"/>
      <c r="L26" s="368"/>
      <c r="M26" s="368"/>
      <c r="N26" s="368"/>
      <c r="O26" s="369"/>
    </row>
    <row r="27" spans="1:20" s="25" customFormat="1" ht="9.9499999999999993" customHeight="1" x14ac:dyDescent="0.25">
      <c r="A27" s="367"/>
      <c r="B27" s="368"/>
      <c r="C27" s="368"/>
      <c r="D27" s="368"/>
      <c r="E27" s="368"/>
      <c r="F27" s="368"/>
      <c r="G27" s="368"/>
      <c r="H27" s="368"/>
      <c r="I27" s="368"/>
      <c r="J27" s="368"/>
      <c r="K27" s="368"/>
      <c r="L27" s="368"/>
      <c r="M27" s="368"/>
      <c r="N27" s="368"/>
      <c r="O27" s="369"/>
    </row>
    <row r="28" spans="1:20" s="25" customFormat="1" ht="9.9499999999999993" customHeight="1" thickBot="1" x14ac:dyDescent="0.3">
      <c r="A28" s="370"/>
      <c r="B28" s="371"/>
      <c r="C28" s="371"/>
      <c r="D28" s="371"/>
      <c r="E28" s="371"/>
      <c r="F28" s="371"/>
      <c r="G28" s="371"/>
      <c r="H28" s="371"/>
      <c r="I28" s="371"/>
      <c r="J28" s="371"/>
      <c r="K28" s="371"/>
      <c r="L28" s="371"/>
      <c r="M28" s="371"/>
      <c r="N28" s="371"/>
      <c r="O28" s="372"/>
    </row>
    <row r="29" spans="1:20" s="38" customFormat="1" ht="21" customHeight="1" thickBot="1" x14ac:dyDescent="0.3">
      <c r="A29" s="26"/>
      <c r="B29" s="26"/>
      <c r="C29" s="26"/>
      <c r="D29" s="26"/>
      <c r="E29" s="26"/>
      <c r="F29" s="26"/>
      <c r="G29" s="26"/>
      <c r="H29" s="26"/>
      <c r="I29" s="26"/>
      <c r="J29" s="26"/>
      <c r="K29" s="26"/>
      <c r="L29" s="26"/>
      <c r="M29" s="26"/>
      <c r="N29" s="26"/>
      <c r="O29" s="26"/>
      <c r="P29" s="26"/>
      <c r="Q29" s="26"/>
      <c r="R29" s="26"/>
      <c r="S29" s="26"/>
      <c r="T29" s="26"/>
    </row>
    <row r="30" spans="1:20" s="38" customFormat="1" thickBot="1" x14ac:dyDescent="0.3">
      <c r="A30" s="383" t="s">
        <v>65</v>
      </c>
      <c r="B30" s="384"/>
      <c r="C30" s="384"/>
      <c r="D30" s="384"/>
      <c r="E30" s="384"/>
      <c r="F30" s="384"/>
      <c r="G30" s="384"/>
      <c r="H30" s="384"/>
      <c r="I30" s="384"/>
      <c r="J30" s="384"/>
      <c r="K30" s="384"/>
      <c r="L30" s="384"/>
      <c r="M30" s="384"/>
      <c r="N30" s="384"/>
      <c r="O30" s="385"/>
      <c r="P30" s="26"/>
      <c r="Q30" s="26"/>
      <c r="R30" s="26"/>
      <c r="S30" s="26"/>
      <c r="T30" s="26"/>
    </row>
    <row r="31" spans="1:20" s="25" customFormat="1" ht="9.9499999999999993" customHeight="1" x14ac:dyDescent="0.25">
      <c r="A31" s="364"/>
      <c r="B31" s="471"/>
      <c r="C31" s="471"/>
      <c r="D31" s="471"/>
      <c r="E31" s="471"/>
      <c r="F31" s="471"/>
      <c r="G31" s="471"/>
      <c r="H31" s="471"/>
      <c r="I31" s="471"/>
      <c r="J31" s="471"/>
      <c r="K31" s="471"/>
      <c r="L31" s="471"/>
      <c r="M31" s="471"/>
      <c r="N31" s="471"/>
      <c r="O31" s="472"/>
    </row>
    <row r="32" spans="1:20" s="25" customFormat="1" ht="9.9499999999999993" customHeight="1" x14ac:dyDescent="0.25">
      <c r="A32" s="473"/>
      <c r="B32" s="474"/>
      <c r="C32" s="474"/>
      <c r="D32" s="474"/>
      <c r="E32" s="474"/>
      <c r="F32" s="474"/>
      <c r="G32" s="474"/>
      <c r="H32" s="474"/>
      <c r="I32" s="474"/>
      <c r="J32" s="474"/>
      <c r="K32" s="474"/>
      <c r="L32" s="474"/>
      <c r="M32" s="474"/>
      <c r="N32" s="474"/>
      <c r="O32" s="475"/>
    </row>
    <row r="33" spans="1:15" s="25" customFormat="1" ht="9.9499999999999993" customHeight="1" x14ac:dyDescent="0.25">
      <c r="A33" s="473"/>
      <c r="B33" s="474"/>
      <c r="C33" s="474"/>
      <c r="D33" s="474"/>
      <c r="E33" s="474"/>
      <c r="F33" s="474"/>
      <c r="G33" s="474"/>
      <c r="H33" s="474"/>
      <c r="I33" s="474"/>
      <c r="J33" s="474"/>
      <c r="K33" s="474"/>
      <c r="L33" s="474"/>
      <c r="M33" s="474"/>
      <c r="N33" s="474"/>
      <c r="O33" s="475"/>
    </row>
    <row r="34" spans="1:15" s="25" customFormat="1" ht="9.9499999999999993" customHeight="1" x14ac:dyDescent="0.25">
      <c r="A34" s="473"/>
      <c r="B34" s="474"/>
      <c r="C34" s="474"/>
      <c r="D34" s="474"/>
      <c r="E34" s="474"/>
      <c r="F34" s="474"/>
      <c r="G34" s="474"/>
      <c r="H34" s="474"/>
      <c r="I34" s="474"/>
      <c r="J34" s="474"/>
      <c r="K34" s="474"/>
      <c r="L34" s="474"/>
      <c r="M34" s="474"/>
      <c r="N34" s="474"/>
      <c r="O34" s="475"/>
    </row>
    <row r="35" spans="1:15" s="25" customFormat="1" ht="9.9499999999999993" customHeight="1" x14ac:dyDescent="0.25">
      <c r="A35" s="473"/>
      <c r="B35" s="474"/>
      <c r="C35" s="474"/>
      <c r="D35" s="474"/>
      <c r="E35" s="474"/>
      <c r="F35" s="474"/>
      <c r="G35" s="474"/>
      <c r="H35" s="474"/>
      <c r="I35" s="474"/>
      <c r="J35" s="474"/>
      <c r="K35" s="474"/>
      <c r="L35" s="474"/>
      <c r="M35" s="474"/>
      <c r="N35" s="474"/>
      <c r="O35" s="475"/>
    </row>
    <row r="36" spans="1:15" s="25" customFormat="1" ht="9.9499999999999993" customHeight="1" thickBot="1" x14ac:dyDescent="0.3">
      <c r="A36" s="476"/>
      <c r="B36" s="477"/>
      <c r="C36" s="477"/>
      <c r="D36" s="477"/>
      <c r="E36" s="477"/>
      <c r="F36" s="477"/>
      <c r="G36" s="477"/>
      <c r="H36" s="477"/>
      <c r="I36" s="477"/>
      <c r="J36" s="477"/>
      <c r="K36" s="477"/>
      <c r="L36" s="477"/>
      <c r="M36" s="477"/>
      <c r="N36" s="477"/>
      <c r="O36" s="478"/>
    </row>
  </sheetData>
  <sheetProtection formatCells="0" formatColumns="0" formatRows="0" insertColumns="0" insertRows="0" insertHyperlinks="0" deleteColumns="0" deleteRows="0" sort="0" autoFilter="0" pivotTables="0"/>
  <mergeCells count="35">
    <mergeCell ref="D1:M2"/>
    <mergeCell ref="A3:O5"/>
    <mergeCell ref="E6:L7"/>
    <mergeCell ref="N6:O6"/>
    <mergeCell ref="N7:O7"/>
    <mergeCell ref="A9:C9"/>
    <mergeCell ref="F9:I9"/>
    <mergeCell ref="L9:M9"/>
    <mergeCell ref="A31:O36"/>
    <mergeCell ref="A20:B20"/>
    <mergeCell ref="N20:O20"/>
    <mergeCell ref="A14:B14"/>
    <mergeCell ref="N14:O14"/>
    <mergeCell ref="A15:B15"/>
    <mergeCell ref="N15:O15"/>
    <mergeCell ref="A16:B16"/>
    <mergeCell ref="N16:O16"/>
    <mergeCell ref="A17:B17"/>
    <mergeCell ref="N17:O17"/>
    <mergeCell ref="A30:O30"/>
    <mergeCell ref="A21:B21"/>
    <mergeCell ref="N21:O21"/>
    <mergeCell ref="A23:O23"/>
    <mergeCell ref="A24:O28"/>
    <mergeCell ref="A13:B13"/>
    <mergeCell ref="N13:O13"/>
    <mergeCell ref="A19:B19"/>
    <mergeCell ref="N19:O19"/>
    <mergeCell ref="N18:O18"/>
    <mergeCell ref="A18:B18"/>
    <mergeCell ref="A11:B11"/>
    <mergeCell ref="C11:L11"/>
    <mergeCell ref="N11:O11"/>
    <mergeCell ref="A12:B12"/>
    <mergeCell ref="N12:O12"/>
  </mergeCells>
  <dataValidations count="4">
    <dataValidation type="list" allowBlank="1" showInputMessage="1" showErrorMessage="1" sqref="N9" xr:uid="{00000000-0002-0000-0000-000000000000}">
      <formula1>Diligences</formula1>
    </dataValidation>
    <dataValidation type="list" showInputMessage="1" showErrorMessage="1" sqref="D9:E9" xr:uid="{00000000-0002-0000-0000-000001000000}">
      <formula1>RAS</formula1>
    </dataValidation>
    <dataValidation type="list" allowBlank="1" showInputMessage="1" showErrorMessage="1" sqref="M21" xr:uid="{00000000-0002-0000-0000-000002000000}">
      <formula1>Etat</formula1>
    </dataValidation>
    <dataValidation type="list" allowBlank="1" showInputMessage="1" showErrorMessage="1" sqref="M12:M20" xr:uid="{00000000-0002-0000-0000-000003000000}">
      <formula1>$Q$1:$Q$2</formula1>
    </dataValidation>
  </dataValidations>
  <hyperlinks>
    <hyperlink ref="N12:O12" location="'F100 Etat de rappro bancaire'!A1" display="F100 Etat de rappro bancaire" xr:uid="{00000000-0004-0000-0000-000000000000}"/>
    <hyperlink ref="N13:O13" location="'F200 Caisse'!A1" display="F200 Caisse" xr:uid="{00000000-0004-0000-0000-000001000000}"/>
    <hyperlink ref="N19:O19" location="'F800 VMP'!Zone_d_impression" display="F800 VMP" xr:uid="{00000000-0004-0000-0000-000002000000}"/>
    <hyperlink ref="N20:O20" location="'F900 Comptes à terme'!Zone_d_impression" display="F900 Comptes à terme" xr:uid="{00000000-0004-0000-0000-000003000000}"/>
    <hyperlink ref="N14:O14" location="'F500 Décaissement post-clôture'!Zone_d_impression" display="F300 Décaissement post-clôture" xr:uid="{00000000-0004-0000-0000-000004000000}"/>
    <hyperlink ref="N15:O15" location="'F400 Circularisations'!Zone_d_impression" display="F400 Circularisations" xr:uid="{00000000-0004-0000-0000-000005000000}"/>
    <hyperlink ref="N16:O16" location="'F500 Emprunts'!Zone_d_impression" display="F500 Emprunts" xr:uid="{00000000-0004-0000-0000-000006000000}"/>
    <hyperlink ref="N17:O17" location="'F600 Comptes courants'!Zone_d_impression" display="F600 Comptes courants" xr:uid="{00000000-0004-0000-0000-000007000000}"/>
    <hyperlink ref="N18:O18" location="'F700 Résultat financier'!Zone_d_impression" display="F700 Résultat financier" xr:uid="{00000000-0004-0000-0000-000008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U25"/>
  <sheetViews>
    <sheetView showGridLines="0" zoomScale="90" zoomScaleNormal="90" zoomScaleSheetLayoutView="85" workbookViewId="0">
      <selection activeCell="O10" sqref="O10"/>
    </sheetView>
  </sheetViews>
  <sheetFormatPr baseColWidth="10" defaultColWidth="11.42578125" defaultRowHeight="15.75" x14ac:dyDescent="0.25"/>
  <cols>
    <col min="1" max="1" width="14.7109375" style="5" customWidth="1"/>
    <col min="2" max="2" width="18.7109375" style="5" customWidth="1"/>
    <col min="3" max="3" width="24.85546875" style="5" customWidth="1"/>
    <col min="4" max="6" width="14.7109375" style="5" customWidth="1"/>
    <col min="7" max="7" width="17" style="5" customWidth="1"/>
    <col min="8" max="8" width="14.7109375" style="5" customWidth="1"/>
    <col min="9" max="16" width="11.28515625"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26</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25</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221.25" customHeight="1" thickBot="1" x14ac:dyDescent="0.3">
      <c r="A11" s="423" t="s">
        <v>69</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102"/>
      <c r="B13" s="103"/>
      <c r="C13" s="103"/>
      <c r="D13" s="103"/>
      <c r="E13" s="103"/>
      <c r="F13" s="103"/>
      <c r="G13" s="103"/>
      <c r="H13" s="103"/>
      <c r="I13" s="103"/>
      <c r="J13" s="103"/>
      <c r="K13" s="103"/>
      <c r="L13" s="103"/>
      <c r="M13" s="103"/>
      <c r="N13" s="103"/>
      <c r="O13" s="103"/>
      <c r="P13" s="104"/>
      <c r="R13" s="5"/>
    </row>
    <row r="14" spans="1:21" s="24" customFormat="1" ht="33.75" customHeight="1" x14ac:dyDescent="0.2">
      <c r="A14" s="275"/>
      <c r="B14" s="287" t="s">
        <v>70</v>
      </c>
      <c r="C14" s="288" t="s">
        <v>71</v>
      </c>
      <c r="D14" s="287" t="s">
        <v>166</v>
      </c>
      <c r="E14" s="287" t="s">
        <v>167</v>
      </c>
      <c r="F14" s="287" t="s">
        <v>168</v>
      </c>
      <c r="G14" s="289" t="s">
        <v>169</v>
      </c>
      <c r="H14" s="290" t="s">
        <v>72</v>
      </c>
      <c r="J14" s="11"/>
      <c r="K14" s="11"/>
      <c r="L14" s="11"/>
      <c r="M14" s="11"/>
      <c r="N14" s="11"/>
      <c r="O14" s="11"/>
      <c r="P14" s="276"/>
      <c r="R14" s="5"/>
    </row>
    <row r="15" spans="1:21" s="24" customFormat="1" x14ac:dyDescent="0.2">
      <c r="A15" s="275"/>
      <c r="B15" s="279"/>
      <c r="C15" s="280"/>
      <c r="D15" s="295"/>
      <c r="E15" s="295"/>
      <c r="F15" s="295">
        <f>D15-E15</f>
        <v>0</v>
      </c>
      <c r="G15" s="291"/>
      <c r="H15" s="292"/>
      <c r="J15" s="11"/>
      <c r="K15" s="11"/>
      <c r="L15" s="11"/>
      <c r="M15" s="11"/>
      <c r="N15" s="11"/>
      <c r="O15" s="11"/>
      <c r="P15" s="276"/>
      <c r="R15" s="5"/>
    </row>
    <row r="16" spans="1:21" s="24" customFormat="1" x14ac:dyDescent="0.2">
      <c r="A16" s="275"/>
      <c r="B16" s="279"/>
      <c r="C16" s="280"/>
      <c r="D16" s="295"/>
      <c r="E16" s="295"/>
      <c r="F16" s="295">
        <f t="shared" ref="F16:F20" si="0">D16-E16</f>
        <v>0</v>
      </c>
      <c r="G16" s="291"/>
      <c r="H16" s="292"/>
      <c r="J16" s="11"/>
      <c r="K16" s="11"/>
      <c r="L16" s="11"/>
      <c r="M16" s="11"/>
      <c r="N16" s="11"/>
      <c r="O16" s="11"/>
      <c r="P16" s="276"/>
      <c r="R16" s="5"/>
    </row>
    <row r="17" spans="1:18" s="24" customFormat="1" x14ac:dyDescent="0.2">
      <c r="A17" s="275"/>
      <c r="B17" s="279"/>
      <c r="C17" s="280"/>
      <c r="D17" s="295"/>
      <c r="E17" s="295"/>
      <c r="F17" s="295">
        <f t="shared" si="0"/>
        <v>0</v>
      </c>
      <c r="G17" s="291"/>
      <c r="H17" s="292"/>
      <c r="J17" s="11"/>
      <c r="K17" s="11"/>
      <c r="L17" s="11"/>
      <c r="M17" s="11"/>
      <c r="N17" s="11"/>
      <c r="O17" s="11"/>
      <c r="P17" s="276"/>
      <c r="R17" s="5"/>
    </row>
    <row r="18" spans="1:18" s="24" customFormat="1" x14ac:dyDescent="0.2">
      <c r="A18" s="275"/>
      <c r="B18" s="279"/>
      <c r="C18" s="280"/>
      <c r="D18" s="295"/>
      <c r="E18" s="295"/>
      <c r="F18" s="295">
        <f t="shared" si="0"/>
        <v>0</v>
      </c>
      <c r="G18" s="291"/>
      <c r="H18" s="292"/>
      <c r="J18" s="11"/>
      <c r="K18" s="11"/>
      <c r="L18" s="11"/>
      <c r="M18" s="11"/>
      <c r="N18" s="11"/>
      <c r="O18" s="11"/>
      <c r="P18" s="276"/>
      <c r="R18" s="5"/>
    </row>
    <row r="19" spans="1:18" s="24" customFormat="1" x14ac:dyDescent="0.2">
      <c r="A19" s="275"/>
      <c r="B19" s="279"/>
      <c r="C19" s="280"/>
      <c r="D19" s="295"/>
      <c r="E19" s="295"/>
      <c r="F19" s="295">
        <f t="shared" si="0"/>
        <v>0</v>
      </c>
      <c r="G19" s="291"/>
      <c r="H19" s="292"/>
      <c r="J19" s="11"/>
      <c r="K19" s="11"/>
      <c r="L19" s="11"/>
      <c r="M19" s="11"/>
      <c r="N19" s="11"/>
      <c r="O19" s="11"/>
      <c r="P19" s="276"/>
      <c r="R19" s="5"/>
    </row>
    <row r="20" spans="1:18" s="24" customFormat="1" x14ac:dyDescent="0.2">
      <c r="A20" s="275"/>
      <c r="B20" s="281"/>
      <c r="C20" s="282"/>
      <c r="D20" s="296"/>
      <c r="E20" s="296"/>
      <c r="F20" s="296">
        <f t="shared" si="0"/>
        <v>0</v>
      </c>
      <c r="G20" s="293"/>
      <c r="H20" s="294"/>
      <c r="J20" s="11"/>
      <c r="K20" s="11"/>
      <c r="L20" s="11"/>
      <c r="M20" s="11"/>
      <c r="N20" s="11"/>
      <c r="O20" s="11"/>
      <c r="P20" s="276"/>
      <c r="R20" s="5"/>
    </row>
    <row r="21" spans="1:18" s="24" customFormat="1" x14ac:dyDescent="0.2">
      <c r="A21" s="275"/>
      <c r="B21" s="11"/>
      <c r="C21" s="11"/>
      <c r="D21" s="11"/>
      <c r="E21" s="11"/>
      <c r="F21" s="11"/>
      <c r="G21" s="11"/>
      <c r="H21" s="11"/>
      <c r="I21" s="11"/>
      <c r="J21" s="11"/>
      <c r="K21" s="11"/>
      <c r="L21" s="11"/>
      <c r="M21" s="11"/>
      <c r="N21" s="11"/>
      <c r="O21" s="11"/>
      <c r="P21" s="276"/>
      <c r="R21" s="5"/>
    </row>
    <row r="22" spans="1:18" s="24" customFormat="1" x14ac:dyDescent="0.2">
      <c r="A22" s="426" t="s">
        <v>73</v>
      </c>
      <c r="B22" s="427"/>
      <c r="C22" s="427"/>
      <c r="D22" s="427"/>
      <c r="E22" s="427"/>
      <c r="F22" s="427"/>
      <c r="G22" s="427"/>
      <c r="H22" s="427"/>
      <c r="I22" s="427"/>
      <c r="J22" s="427"/>
      <c r="K22" s="427"/>
      <c r="L22" s="427"/>
      <c r="M22" s="427"/>
      <c r="N22" s="427"/>
      <c r="O22" s="427"/>
      <c r="P22" s="428"/>
      <c r="R22" s="5"/>
    </row>
    <row r="23" spans="1:18" s="24" customFormat="1" ht="90" customHeight="1" thickBot="1" x14ac:dyDescent="0.25">
      <c r="A23" s="429"/>
      <c r="B23" s="430"/>
      <c r="C23" s="430"/>
      <c r="D23" s="430"/>
      <c r="E23" s="430"/>
      <c r="F23" s="430"/>
      <c r="G23" s="430"/>
      <c r="H23" s="430"/>
      <c r="I23" s="430"/>
      <c r="J23" s="430"/>
      <c r="K23" s="430"/>
      <c r="L23" s="430"/>
      <c r="M23" s="430"/>
      <c r="N23" s="430"/>
      <c r="O23" s="430"/>
      <c r="P23" s="431"/>
      <c r="R23" s="5"/>
    </row>
    <row r="24" spans="1:18" s="24" customFormat="1" ht="21" customHeight="1" x14ac:dyDescent="0.2">
      <c r="R24" s="5"/>
    </row>
    <row r="25" spans="1:18" x14ac:dyDescent="0.25">
      <c r="R25" s="26"/>
    </row>
  </sheetData>
  <sheetProtection formatCells="0" formatColumns="0" formatRows="0" insertColumns="0" insertRows="0" insertHyperlinks="0" deleteColumns="0" deleteRows="0" sort="0" autoFilter="0" pivotTables="0"/>
  <mergeCells count="17">
    <mergeCell ref="J9:K9"/>
    <mergeCell ref="L9:N9"/>
    <mergeCell ref="A11:P11"/>
    <mergeCell ref="A22:P22"/>
    <mergeCell ref="A23:P23"/>
    <mergeCell ref="O9:P9"/>
    <mergeCell ref="A9:C9"/>
    <mergeCell ref="D9:E9"/>
    <mergeCell ref="F9:I9"/>
    <mergeCell ref="O8:P8"/>
    <mergeCell ref="D1:M2"/>
    <mergeCell ref="A3:P5"/>
    <mergeCell ref="E6:L7"/>
    <mergeCell ref="M6:N6"/>
    <mergeCell ref="O6:P6"/>
    <mergeCell ref="M7:N7"/>
    <mergeCell ref="O7:P7"/>
  </mergeCells>
  <dataValidations count="2">
    <dataValidation type="list" showInputMessage="1" showErrorMessage="1" sqref="D9:E9" xr:uid="{00000000-0002-0000-0200-000000000000}">
      <formula1>$R$4:$R$6</formula1>
    </dataValidation>
    <dataValidation type="list" allowBlank="1" showInputMessage="1" showErrorMessage="1" sqref="O9:P9" xr:uid="{00000000-0002-0000-0200-000001000000}">
      <formula1>$R$7:$R$9</formula1>
    </dataValidation>
  </dataValidations>
  <hyperlinks>
    <hyperlink ref="O8:P8" location="'F Synthèse'!A1" display="F Synthèse" xr:uid="{00000000-0004-0000-02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D9:N9 F15:F20 P9"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U16"/>
  <sheetViews>
    <sheetView showGridLines="0" zoomScale="90" zoomScaleNormal="90" zoomScaleSheetLayoutView="85" workbookViewId="0">
      <selection activeCell="O10" sqref="O10"/>
    </sheetView>
  </sheetViews>
  <sheetFormatPr baseColWidth="10" defaultColWidth="11.42578125" defaultRowHeight="15.75" x14ac:dyDescent="0.25"/>
  <cols>
    <col min="1" max="16" width="14.28515625"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31</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30</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188.25" customHeight="1" thickBot="1" x14ac:dyDescent="0.3">
      <c r="A11" s="423" t="s">
        <v>74</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436" t="s">
        <v>73</v>
      </c>
      <c r="B13" s="437"/>
      <c r="C13" s="437"/>
      <c r="D13" s="437"/>
      <c r="E13" s="437"/>
      <c r="F13" s="437"/>
      <c r="G13" s="437"/>
      <c r="H13" s="437"/>
      <c r="I13" s="437"/>
      <c r="J13" s="437"/>
      <c r="K13" s="437"/>
      <c r="L13" s="437"/>
      <c r="M13" s="437"/>
      <c r="N13" s="437"/>
      <c r="O13" s="437"/>
      <c r="P13" s="438"/>
      <c r="R13" s="5"/>
    </row>
    <row r="14" spans="1:21" s="24" customFormat="1" ht="72" customHeight="1" thickBot="1" x14ac:dyDescent="0.25">
      <c r="A14" s="429"/>
      <c r="B14" s="430"/>
      <c r="C14" s="430"/>
      <c r="D14" s="430"/>
      <c r="E14" s="430"/>
      <c r="F14" s="430"/>
      <c r="G14" s="430"/>
      <c r="H14" s="430"/>
      <c r="I14" s="430"/>
      <c r="J14" s="430"/>
      <c r="K14" s="430"/>
      <c r="L14" s="430"/>
      <c r="M14" s="430"/>
      <c r="N14" s="430"/>
      <c r="O14" s="430"/>
      <c r="P14" s="431"/>
      <c r="R14" s="5"/>
    </row>
    <row r="15" spans="1:21" s="24" customFormat="1" ht="21" customHeight="1" x14ac:dyDescent="0.2">
      <c r="R15" s="5"/>
    </row>
    <row r="16" spans="1:21" x14ac:dyDescent="0.25">
      <c r="R16" s="26"/>
    </row>
  </sheetData>
  <sheetProtection formatCells="0" formatColumns="0" formatRows="0" insertColumns="0" insertRows="0" insertHyperlinks="0" deleteColumns="0" deleteRows="0" sort="0" autoFilter="0" pivotTables="0"/>
  <mergeCells count="17">
    <mergeCell ref="A11:P11"/>
    <mergeCell ref="A13:P13"/>
    <mergeCell ref="A14:P14"/>
    <mergeCell ref="A9:C9"/>
    <mergeCell ref="D9:E9"/>
    <mergeCell ref="F9:I9"/>
    <mergeCell ref="J9:K9"/>
    <mergeCell ref="L9:N9"/>
    <mergeCell ref="O9:P9"/>
    <mergeCell ref="O8:P8"/>
    <mergeCell ref="D1:M2"/>
    <mergeCell ref="A3:P5"/>
    <mergeCell ref="E6:L7"/>
    <mergeCell ref="M6:N6"/>
    <mergeCell ref="O6:P6"/>
    <mergeCell ref="M7:N7"/>
    <mergeCell ref="O7:P7"/>
  </mergeCells>
  <dataValidations count="2">
    <dataValidation type="list" allowBlank="1" showInputMessage="1" showErrorMessage="1" sqref="O9:P9" xr:uid="{00000000-0002-0000-0300-000000000000}">
      <formula1>$R$7:$R$9</formula1>
    </dataValidation>
    <dataValidation type="list" showInputMessage="1" showErrorMessage="1" sqref="D9:E9" xr:uid="{00000000-0002-0000-0300-000001000000}">
      <formula1>$R$4:$R$6</formula1>
    </dataValidation>
  </dataValidations>
  <hyperlinks>
    <hyperlink ref="O8:P8" location="'F Synthèse'!A1" display="F Synthèse" xr:uid="{00000000-0004-0000-03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U46"/>
  <sheetViews>
    <sheetView showGridLines="0" zoomScale="90" zoomScaleNormal="90" zoomScaleSheetLayoutView="85" workbookViewId="0">
      <selection activeCell="O10" sqref="O10"/>
    </sheetView>
  </sheetViews>
  <sheetFormatPr baseColWidth="10" defaultColWidth="11.42578125" defaultRowHeight="15.75" x14ac:dyDescent="0.25"/>
  <cols>
    <col min="1" max="2" width="14.7109375" style="5" customWidth="1"/>
    <col min="3" max="3" width="16.28515625" style="5" customWidth="1"/>
    <col min="4" max="5" width="14.7109375" style="5" customWidth="1"/>
    <col min="6" max="6" width="17.85546875" style="5" customWidth="1"/>
    <col min="7" max="11" width="14.7109375" style="5" customWidth="1"/>
    <col min="12" max="16" width="12.42578125"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36</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35</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110.25" customHeight="1" thickBot="1" x14ac:dyDescent="0.3">
      <c r="A11" s="423" t="s">
        <v>170</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436" t="s">
        <v>73</v>
      </c>
      <c r="B13" s="437"/>
      <c r="C13" s="437"/>
      <c r="D13" s="437"/>
      <c r="E13" s="437"/>
      <c r="F13" s="437"/>
      <c r="G13" s="437"/>
      <c r="H13" s="437"/>
      <c r="I13" s="437"/>
      <c r="J13" s="437"/>
      <c r="K13" s="437"/>
      <c r="L13" s="437"/>
      <c r="M13" s="437"/>
      <c r="N13" s="437"/>
      <c r="O13" s="437"/>
      <c r="P13" s="438"/>
      <c r="R13" s="5"/>
    </row>
    <row r="14" spans="1:21" s="24" customFormat="1" ht="60" customHeight="1" thickBot="1" x14ac:dyDescent="0.25">
      <c r="A14" s="429"/>
      <c r="B14" s="430"/>
      <c r="C14" s="430"/>
      <c r="D14" s="430"/>
      <c r="E14" s="430"/>
      <c r="F14" s="430"/>
      <c r="G14" s="430"/>
      <c r="H14" s="430"/>
      <c r="I14" s="430"/>
      <c r="J14" s="430"/>
      <c r="K14" s="430"/>
      <c r="L14" s="430"/>
      <c r="M14" s="430"/>
      <c r="N14" s="430"/>
      <c r="O14" s="430"/>
      <c r="P14" s="431"/>
      <c r="R14" s="5"/>
    </row>
    <row r="15" spans="1:21" s="24" customFormat="1" ht="21" customHeight="1" thickBot="1" x14ac:dyDescent="0.25">
      <c r="R15" s="5"/>
    </row>
    <row r="16" spans="1:21" s="24" customFormat="1" ht="15" x14ac:dyDescent="0.25">
      <c r="A16" s="102"/>
      <c r="B16" s="103"/>
      <c r="C16" s="103"/>
      <c r="D16" s="103"/>
      <c r="E16" s="103"/>
      <c r="F16" s="103"/>
      <c r="G16" s="103"/>
      <c r="H16" s="103"/>
      <c r="I16" s="103"/>
      <c r="J16" s="103"/>
      <c r="K16" s="103"/>
      <c r="L16" s="103"/>
      <c r="M16" s="103"/>
      <c r="N16" s="103"/>
      <c r="O16" s="103"/>
      <c r="P16" s="104"/>
      <c r="R16" s="26"/>
    </row>
    <row r="17" spans="1:18" s="24" customFormat="1" ht="15" x14ac:dyDescent="0.25">
      <c r="A17" s="439" t="s">
        <v>79</v>
      </c>
      <c r="B17" s="440"/>
      <c r="C17" s="297"/>
      <c r="D17" s="297"/>
      <c r="E17" s="297"/>
      <c r="F17" s="297"/>
      <c r="G17" s="59"/>
      <c r="I17" s="59"/>
      <c r="K17" s="59"/>
      <c r="P17" s="118"/>
      <c r="R17" s="26"/>
    </row>
    <row r="18" spans="1:18" s="24" customFormat="1" ht="39" customHeight="1" x14ac:dyDescent="0.25">
      <c r="B18" s="174" t="s">
        <v>75</v>
      </c>
      <c r="C18" s="277" t="s">
        <v>71</v>
      </c>
      <c r="D18" s="205" t="s">
        <v>76</v>
      </c>
      <c r="E18" s="277" t="s">
        <v>171</v>
      </c>
      <c r="F18" s="304" t="s">
        <v>172</v>
      </c>
      <c r="G18" s="441" t="s">
        <v>77</v>
      </c>
      <c r="H18" s="441"/>
      <c r="I18" s="441"/>
      <c r="J18" s="442"/>
      <c r="K18" s="117" t="s">
        <v>78</v>
      </c>
      <c r="M18" s="26"/>
      <c r="P18" s="105"/>
    </row>
    <row r="19" spans="1:18" s="24" customFormat="1" ht="15" x14ac:dyDescent="0.25">
      <c r="B19" s="195"/>
      <c r="C19" s="198"/>
      <c r="D19" s="201"/>
      <c r="E19" s="240"/>
      <c r="F19" s="240"/>
      <c r="G19" s="300"/>
      <c r="H19" s="300"/>
      <c r="I19" s="300"/>
      <c r="J19" s="301"/>
      <c r="K19" s="119"/>
      <c r="M19" s="26"/>
      <c r="P19" s="105"/>
    </row>
    <row r="20" spans="1:18" s="24" customFormat="1" ht="15" x14ac:dyDescent="0.25">
      <c r="B20" s="194"/>
      <c r="C20" s="197"/>
      <c r="D20" s="200"/>
      <c r="E20" s="305"/>
      <c r="F20" s="305"/>
      <c r="G20" s="298"/>
      <c r="H20" s="298"/>
      <c r="I20" s="298"/>
      <c r="J20" s="299"/>
      <c r="K20" s="120"/>
      <c r="M20" s="26"/>
      <c r="P20" s="105"/>
    </row>
    <row r="21" spans="1:18" s="24" customFormat="1" ht="15" x14ac:dyDescent="0.25">
      <c r="B21" s="194"/>
      <c r="C21" s="197"/>
      <c r="D21" s="200"/>
      <c r="E21" s="241"/>
      <c r="F21" s="241"/>
      <c r="G21" s="298"/>
      <c r="H21" s="298"/>
      <c r="I21" s="298"/>
      <c r="J21" s="299"/>
      <c r="K21" s="120"/>
      <c r="M21" s="26"/>
      <c r="P21" s="105"/>
    </row>
    <row r="22" spans="1:18" s="24" customFormat="1" ht="15" x14ac:dyDescent="0.25">
      <c r="B22" s="194"/>
      <c r="C22" s="197"/>
      <c r="D22" s="200"/>
      <c r="E22" s="241"/>
      <c r="F22" s="241"/>
      <c r="G22" s="298"/>
      <c r="H22" s="298"/>
      <c r="I22" s="298"/>
      <c r="J22" s="299"/>
      <c r="K22" s="120"/>
      <c r="M22" s="26"/>
      <c r="P22" s="105"/>
    </row>
    <row r="23" spans="1:18" s="24" customFormat="1" ht="15" x14ac:dyDescent="0.25">
      <c r="B23" s="194"/>
      <c r="C23" s="197"/>
      <c r="D23" s="200"/>
      <c r="E23" s="241"/>
      <c r="F23" s="241"/>
      <c r="G23" s="298"/>
      <c r="H23" s="298"/>
      <c r="I23" s="298"/>
      <c r="J23" s="299"/>
      <c r="K23" s="120"/>
      <c r="M23" s="26"/>
      <c r="P23" s="105"/>
    </row>
    <row r="24" spans="1:18" s="24" customFormat="1" ht="15" x14ac:dyDescent="0.25">
      <c r="B24" s="194"/>
      <c r="C24" s="197"/>
      <c r="D24" s="200"/>
      <c r="E24" s="241"/>
      <c r="F24" s="241"/>
      <c r="G24" s="298"/>
      <c r="H24" s="298"/>
      <c r="I24" s="298"/>
      <c r="J24" s="299"/>
      <c r="K24" s="120"/>
      <c r="M24" s="26"/>
      <c r="P24" s="105"/>
    </row>
    <row r="25" spans="1:18" s="24" customFormat="1" ht="15" x14ac:dyDescent="0.25">
      <c r="B25" s="193"/>
      <c r="C25" s="196"/>
      <c r="D25" s="199"/>
      <c r="E25" s="242"/>
      <c r="F25" s="242"/>
      <c r="G25" s="302"/>
      <c r="H25" s="302"/>
      <c r="I25" s="302"/>
      <c r="J25" s="303"/>
      <c r="K25" s="121"/>
      <c r="M25" s="26"/>
      <c r="P25" s="105"/>
    </row>
    <row r="26" spans="1:18" s="24" customFormat="1" ht="15" x14ac:dyDescent="0.25">
      <c r="B26" s="307"/>
      <c r="C26" s="308"/>
      <c r="D26" s="309"/>
      <c r="E26" s="308"/>
      <c r="F26" s="308"/>
      <c r="G26" s="239"/>
      <c r="H26" s="239"/>
      <c r="I26" s="239"/>
      <c r="J26" s="239"/>
      <c r="K26" s="306"/>
      <c r="M26" s="26"/>
      <c r="P26" s="105"/>
    </row>
    <row r="27" spans="1:18" s="24" customFormat="1" ht="15" x14ac:dyDescent="0.25">
      <c r="A27" s="439" t="s">
        <v>80</v>
      </c>
      <c r="B27" s="440"/>
      <c r="C27" s="297"/>
      <c r="D27" s="297"/>
      <c r="E27" s="297"/>
      <c r="F27" s="297"/>
      <c r="G27" s="59"/>
      <c r="I27" s="59"/>
      <c r="K27" s="59"/>
      <c r="P27" s="118"/>
      <c r="R27" s="26"/>
    </row>
    <row r="28" spans="1:18" s="24" customFormat="1" ht="39" customHeight="1" x14ac:dyDescent="0.25">
      <c r="B28" s="174" t="s">
        <v>75</v>
      </c>
      <c r="C28" s="277" t="s">
        <v>71</v>
      </c>
      <c r="D28" s="205" t="s">
        <v>76</v>
      </c>
      <c r="E28" s="277" t="s">
        <v>171</v>
      </c>
      <c r="F28" s="304" t="s">
        <v>172</v>
      </c>
      <c r="G28" s="441" t="s">
        <v>77</v>
      </c>
      <c r="H28" s="441"/>
      <c r="I28" s="441"/>
      <c r="J28" s="442"/>
      <c r="K28" s="117" t="s">
        <v>78</v>
      </c>
      <c r="M28" s="26"/>
      <c r="P28" s="105"/>
    </row>
    <row r="29" spans="1:18" s="24" customFormat="1" ht="15" x14ac:dyDescent="0.25">
      <c r="B29" s="195"/>
      <c r="C29" s="198"/>
      <c r="D29" s="201"/>
      <c r="E29" s="240"/>
      <c r="F29" s="240"/>
      <c r="G29" s="300"/>
      <c r="H29" s="300"/>
      <c r="I29" s="300"/>
      <c r="J29" s="301"/>
      <c r="K29" s="119"/>
      <c r="M29" s="26"/>
      <c r="P29" s="105"/>
    </row>
    <row r="30" spans="1:18" s="24" customFormat="1" ht="15" x14ac:dyDescent="0.25">
      <c r="B30" s="194"/>
      <c r="C30" s="197"/>
      <c r="D30" s="200"/>
      <c r="E30" s="305"/>
      <c r="F30" s="305"/>
      <c r="G30" s="298"/>
      <c r="H30" s="298"/>
      <c r="I30" s="298"/>
      <c r="J30" s="299"/>
      <c r="K30" s="120"/>
      <c r="M30" s="26"/>
      <c r="P30" s="105"/>
    </row>
    <row r="31" spans="1:18" s="24" customFormat="1" ht="15" x14ac:dyDescent="0.25">
      <c r="B31" s="194"/>
      <c r="C31" s="197"/>
      <c r="D31" s="200"/>
      <c r="E31" s="241"/>
      <c r="F31" s="241"/>
      <c r="G31" s="298"/>
      <c r="H31" s="298"/>
      <c r="I31" s="298"/>
      <c r="J31" s="299"/>
      <c r="K31" s="120"/>
      <c r="M31" s="26"/>
      <c r="P31" s="105"/>
    </row>
    <row r="32" spans="1:18" s="24" customFormat="1" ht="15" x14ac:dyDescent="0.25">
      <c r="B32" s="194"/>
      <c r="C32" s="197"/>
      <c r="D32" s="200"/>
      <c r="E32" s="241"/>
      <c r="F32" s="241"/>
      <c r="G32" s="298"/>
      <c r="H32" s="298"/>
      <c r="I32" s="298"/>
      <c r="J32" s="299"/>
      <c r="K32" s="120"/>
      <c r="M32" s="26"/>
      <c r="P32" s="105"/>
    </row>
    <row r="33" spans="1:18" s="24" customFormat="1" ht="15" x14ac:dyDescent="0.25">
      <c r="B33" s="194"/>
      <c r="C33" s="197"/>
      <c r="D33" s="200"/>
      <c r="E33" s="241"/>
      <c r="F33" s="241"/>
      <c r="G33" s="298"/>
      <c r="H33" s="298"/>
      <c r="I33" s="298"/>
      <c r="J33" s="299"/>
      <c r="K33" s="120"/>
      <c r="M33" s="26"/>
      <c r="P33" s="105"/>
    </row>
    <row r="34" spans="1:18" s="24" customFormat="1" ht="15" x14ac:dyDescent="0.25">
      <c r="B34" s="194"/>
      <c r="C34" s="197"/>
      <c r="D34" s="200"/>
      <c r="E34" s="241"/>
      <c r="F34" s="241"/>
      <c r="G34" s="298"/>
      <c r="H34" s="298"/>
      <c r="I34" s="298"/>
      <c r="J34" s="299"/>
      <c r="K34" s="120"/>
      <c r="M34" s="26"/>
      <c r="P34" s="105"/>
    </row>
    <row r="35" spans="1:18" s="24" customFormat="1" ht="15" x14ac:dyDescent="0.25">
      <c r="B35" s="193"/>
      <c r="C35" s="196"/>
      <c r="D35" s="199"/>
      <c r="E35" s="242"/>
      <c r="F35" s="242"/>
      <c r="G35" s="302"/>
      <c r="H35" s="302"/>
      <c r="I35" s="302"/>
      <c r="J35" s="303"/>
      <c r="K35" s="121"/>
      <c r="M35" s="26"/>
      <c r="P35" s="105"/>
    </row>
    <row r="36" spans="1:18" s="24" customFormat="1" ht="15" x14ac:dyDescent="0.25">
      <c r="B36" s="307"/>
      <c r="C36" s="308"/>
      <c r="D36" s="309"/>
      <c r="E36" s="308"/>
      <c r="F36" s="308"/>
      <c r="G36" s="239"/>
      <c r="H36" s="239"/>
      <c r="I36" s="239"/>
      <c r="J36" s="239"/>
      <c r="K36" s="306"/>
      <c r="M36" s="26"/>
      <c r="P36" s="105"/>
    </row>
    <row r="37" spans="1:18" s="24" customFormat="1" ht="15" x14ac:dyDescent="0.25">
      <c r="A37" s="439" t="s">
        <v>81</v>
      </c>
      <c r="B37" s="440"/>
      <c r="C37" s="297"/>
      <c r="D37" s="297"/>
      <c r="E37" s="297"/>
      <c r="F37" s="297"/>
      <c r="G37" s="59"/>
      <c r="I37" s="59"/>
      <c r="K37" s="59"/>
      <c r="P37" s="118"/>
      <c r="R37" s="26"/>
    </row>
    <row r="38" spans="1:18" s="24" customFormat="1" ht="39" customHeight="1" x14ac:dyDescent="0.25">
      <c r="B38" s="174" t="s">
        <v>75</v>
      </c>
      <c r="C38" s="277" t="s">
        <v>71</v>
      </c>
      <c r="D38" s="205" t="s">
        <v>76</v>
      </c>
      <c r="E38" s="277" t="s">
        <v>171</v>
      </c>
      <c r="F38" s="304" t="s">
        <v>172</v>
      </c>
      <c r="G38" s="441" t="s">
        <v>77</v>
      </c>
      <c r="H38" s="441"/>
      <c r="I38" s="441"/>
      <c r="J38" s="442"/>
      <c r="K38" s="117" t="s">
        <v>78</v>
      </c>
      <c r="M38" s="26"/>
      <c r="P38" s="105"/>
    </row>
    <row r="39" spans="1:18" s="24" customFormat="1" ht="15" x14ac:dyDescent="0.25">
      <c r="B39" s="195"/>
      <c r="C39" s="198"/>
      <c r="D39" s="201"/>
      <c r="E39" s="240"/>
      <c r="F39" s="240"/>
      <c r="G39" s="300"/>
      <c r="H39" s="300"/>
      <c r="I39" s="300"/>
      <c r="J39" s="301"/>
      <c r="K39" s="119"/>
      <c r="M39" s="26"/>
      <c r="P39" s="105"/>
    </row>
    <row r="40" spans="1:18" s="24" customFormat="1" ht="15" x14ac:dyDescent="0.25">
      <c r="B40" s="194"/>
      <c r="C40" s="197"/>
      <c r="D40" s="200"/>
      <c r="E40" s="305"/>
      <c r="F40" s="305"/>
      <c r="G40" s="298"/>
      <c r="H40" s="298"/>
      <c r="I40" s="298"/>
      <c r="J40" s="299"/>
      <c r="K40" s="120"/>
      <c r="M40" s="26"/>
      <c r="P40" s="105"/>
    </row>
    <row r="41" spans="1:18" s="24" customFormat="1" ht="15" x14ac:dyDescent="0.25">
      <c r="B41" s="194"/>
      <c r="C41" s="197"/>
      <c r="D41" s="200"/>
      <c r="E41" s="241"/>
      <c r="F41" s="241"/>
      <c r="G41" s="298"/>
      <c r="H41" s="298"/>
      <c r="I41" s="298"/>
      <c r="J41" s="299"/>
      <c r="K41" s="120"/>
      <c r="M41" s="26"/>
      <c r="P41" s="105"/>
    </row>
    <row r="42" spans="1:18" s="24" customFormat="1" ht="15" x14ac:dyDescent="0.25">
      <c r="B42" s="194"/>
      <c r="C42" s="197"/>
      <c r="D42" s="200"/>
      <c r="E42" s="241"/>
      <c r="F42" s="241"/>
      <c r="G42" s="298"/>
      <c r="H42" s="298"/>
      <c r="I42" s="298"/>
      <c r="J42" s="299"/>
      <c r="K42" s="120"/>
      <c r="M42" s="26"/>
      <c r="P42" s="105"/>
    </row>
    <row r="43" spans="1:18" s="24" customFormat="1" ht="15" x14ac:dyDescent="0.25">
      <c r="B43" s="194"/>
      <c r="C43" s="197"/>
      <c r="D43" s="200"/>
      <c r="E43" s="241"/>
      <c r="F43" s="241"/>
      <c r="G43" s="298"/>
      <c r="H43" s="298"/>
      <c r="I43" s="298"/>
      <c r="J43" s="299"/>
      <c r="K43" s="120"/>
      <c r="M43" s="26"/>
      <c r="P43" s="105"/>
    </row>
    <row r="44" spans="1:18" s="24" customFormat="1" ht="15" x14ac:dyDescent="0.25">
      <c r="B44" s="194"/>
      <c r="C44" s="197"/>
      <c r="D44" s="200"/>
      <c r="E44" s="241"/>
      <c r="F44" s="241"/>
      <c r="G44" s="298"/>
      <c r="H44" s="298"/>
      <c r="I44" s="298"/>
      <c r="J44" s="299"/>
      <c r="K44" s="120"/>
      <c r="M44" s="26"/>
      <c r="P44" s="105"/>
    </row>
    <row r="45" spans="1:18" s="24" customFormat="1" ht="15" x14ac:dyDescent="0.25">
      <c r="B45" s="193"/>
      <c r="C45" s="196"/>
      <c r="D45" s="199"/>
      <c r="E45" s="242"/>
      <c r="F45" s="242"/>
      <c r="G45" s="302"/>
      <c r="H45" s="302"/>
      <c r="I45" s="302"/>
      <c r="J45" s="303"/>
      <c r="K45" s="121"/>
      <c r="M45" s="26"/>
      <c r="P45" s="105"/>
    </row>
    <row r="46" spans="1:18" ht="16.5" thickBot="1" x14ac:dyDescent="0.3">
      <c r="A46" s="27"/>
      <c r="B46" s="28"/>
      <c r="C46" s="28"/>
      <c r="D46" s="28"/>
      <c r="E46" s="28"/>
      <c r="F46" s="28"/>
      <c r="G46" s="28"/>
      <c r="H46" s="28"/>
      <c r="I46" s="28"/>
      <c r="J46" s="28"/>
      <c r="K46" s="28"/>
      <c r="L46" s="28"/>
      <c r="M46" s="28"/>
      <c r="N46" s="28"/>
      <c r="O46" s="28"/>
      <c r="P46" s="29"/>
    </row>
  </sheetData>
  <sheetProtection formatCells="0" formatColumns="0" formatRows="0" insertColumns="0" insertRows="0" insertHyperlinks="0" deleteColumns="0" deleteRows="0" sort="0" autoFilter="0" pivotTables="0"/>
  <mergeCells count="23">
    <mergeCell ref="A27:B27"/>
    <mergeCell ref="G28:J28"/>
    <mergeCell ref="A37:B37"/>
    <mergeCell ref="G38:J38"/>
    <mergeCell ref="O8:P8"/>
    <mergeCell ref="A11:P11"/>
    <mergeCell ref="A13:P13"/>
    <mergeCell ref="A14:P14"/>
    <mergeCell ref="A9:C9"/>
    <mergeCell ref="D9:E9"/>
    <mergeCell ref="F9:I9"/>
    <mergeCell ref="J9:K9"/>
    <mergeCell ref="L9:N9"/>
    <mergeCell ref="O9:P9"/>
    <mergeCell ref="A17:B17"/>
    <mergeCell ref="G18:J18"/>
    <mergeCell ref="D1:M2"/>
    <mergeCell ref="A3:P5"/>
    <mergeCell ref="E6:L7"/>
    <mergeCell ref="M6:N6"/>
    <mergeCell ref="O6:P6"/>
    <mergeCell ref="M7:N7"/>
    <mergeCell ref="O7:P7"/>
  </mergeCells>
  <dataValidations count="2">
    <dataValidation type="list" showInputMessage="1" showErrorMessage="1" sqref="D9:E9" xr:uid="{00000000-0002-0000-0400-000000000000}">
      <formula1>$R$4:$R$6</formula1>
    </dataValidation>
    <dataValidation type="list" allowBlank="1" showInputMessage="1" showErrorMessage="1" sqref="O9:P9" xr:uid="{00000000-0002-0000-0400-000001000000}">
      <formula1>$R$7:$R$9</formula1>
    </dataValidation>
  </dataValidations>
  <hyperlinks>
    <hyperlink ref="O8:P8" location="'F Synthèse'!A1" display="F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U22"/>
  <sheetViews>
    <sheetView showGridLines="0" zoomScale="90" zoomScaleNormal="90" zoomScaleSheetLayoutView="85" workbookViewId="0"/>
  </sheetViews>
  <sheetFormatPr baseColWidth="10" defaultColWidth="11.42578125" defaultRowHeight="15.75" x14ac:dyDescent="0.25"/>
  <cols>
    <col min="1" max="2" width="11.7109375" style="5" customWidth="1"/>
    <col min="3" max="7" width="14.7109375" style="5" customWidth="1"/>
    <col min="8" max="9" width="21.28515625" style="5" customWidth="1"/>
    <col min="10" max="13" width="14.7109375" style="5" customWidth="1"/>
    <col min="14" max="16" width="10"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41</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40</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126.75" customHeight="1" thickBot="1" x14ac:dyDescent="0.3">
      <c r="A11" s="423" t="s">
        <v>82</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436" t="s">
        <v>73</v>
      </c>
      <c r="B13" s="437"/>
      <c r="C13" s="437"/>
      <c r="D13" s="437"/>
      <c r="E13" s="437"/>
      <c r="F13" s="437"/>
      <c r="G13" s="437"/>
      <c r="H13" s="437"/>
      <c r="I13" s="437"/>
      <c r="J13" s="437"/>
      <c r="K13" s="437"/>
      <c r="L13" s="437"/>
      <c r="M13" s="437"/>
      <c r="N13" s="437"/>
      <c r="O13" s="437"/>
      <c r="P13" s="438"/>
      <c r="R13" s="5"/>
    </row>
    <row r="14" spans="1:21" s="24" customFormat="1" ht="79.5" customHeight="1" thickBot="1" x14ac:dyDescent="0.25">
      <c r="A14" s="429"/>
      <c r="B14" s="430"/>
      <c r="C14" s="430"/>
      <c r="D14" s="430"/>
      <c r="E14" s="430"/>
      <c r="F14" s="430"/>
      <c r="G14" s="430"/>
      <c r="H14" s="430"/>
      <c r="I14" s="430"/>
      <c r="J14" s="430"/>
      <c r="K14" s="430"/>
      <c r="L14" s="430"/>
      <c r="M14" s="430"/>
      <c r="N14" s="430"/>
      <c r="O14" s="430"/>
      <c r="P14" s="431"/>
      <c r="R14" s="5"/>
    </row>
    <row r="15" spans="1:21" s="24" customFormat="1" ht="21" customHeight="1" thickBot="1" x14ac:dyDescent="0.25">
      <c r="R15" s="5"/>
    </row>
    <row r="16" spans="1:21" x14ac:dyDescent="0.25">
      <c r="A16" s="41"/>
      <c r="B16" s="42"/>
      <c r="C16" s="42"/>
      <c r="D16" s="42"/>
      <c r="E16" s="42"/>
      <c r="F16" s="42"/>
      <c r="G16" s="42"/>
      <c r="H16" s="42"/>
      <c r="I16" s="42"/>
      <c r="J16" s="42"/>
      <c r="K16" s="42"/>
      <c r="L16" s="42"/>
      <c r="M16" s="42"/>
      <c r="N16" s="42"/>
      <c r="O16" s="42"/>
      <c r="P16" s="43"/>
      <c r="R16" s="26"/>
    </row>
    <row r="17" spans="1:18" ht="55.5" customHeight="1" x14ac:dyDescent="0.2">
      <c r="B17" s="210"/>
      <c r="C17" s="277" t="s">
        <v>83</v>
      </c>
      <c r="D17" s="175" t="s">
        <v>174</v>
      </c>
      <c r="E17" s="175" t="s">
        <v>173</v>
      </c>
      <c r="F17" s="175" t="s">
        <v>84</v>
      </c>
      <c r="G17" s="175" t="s">
        <v>85</v>
      </c>
      <c r="H17" s="175" t="s">
        <v>175</v>
      </c>
      <c r="I17" s="175" t="s">
        <v>176</v>
      </c>
      <c r="J17" s="443" t="s">
        <v>86</v>
      </c>
      <c r="K17" s="444"/>
      <c r="L17" s="445"/>
      <c r="M17" s="88" t="s">
        <v>87</v>
      </c>
      <c r="P17" s="75"/>
      <c r="R17" s="5"/>
    </row>
    <row r="18" spans="1:18" x14ac:dyDescent="0.2">
      <c r="B18" s="209"/>
      <c r="C18" s="206"/>
      <c r="D18" s="211"/>
      <c r="E18" s="211"/>
      <c r="F18" s="211"/>
      <c r="G18" s="214"/>
      <c r="H18" s="211"/>
      <c r="I18" s="211"/>
      <c r="J18" s="310"/>
      <c r="K18" s="313"/>
      <c r="L18" s="313"/>
      <c r="M18" s="316"/>
      <c r="P18" s="75"/>
      <c r="R18" s="5"/>
    </row>
    <row r="19" spans="1:18" x14ac:dyDescent="0.2">
      <c r="B19" s="209"/>
      <c r="C19" s="207"/>
      <c r="D19" s="212"/>
      <c r="E19" s="212"/>
      <c r="F19" s="212"/>
      <c r="G19" s="215"/>
      <c r="H19" s="212"/>
      <c r="I19" s="212"/>
      <c r="J19" s="311"/>
      <c r="K19" s="314"/>
      <c r="L19" s="314"/>
      <c r="M19" s="317"/>
      <c r="P19" s="75"/>
      <c r="R19" s="5"/>
    </row>
    <row r="20" spans="1:18" x14ac:dyDescent="0.2">
      <c r="B20" s="209"/>
      <c r="C20" s="207"/>
      <c r="D20" s="212"/>
      <c r="E20" s="212"/>
      <c r="F20" s="212"/>
      <c r="G20" s="215"/>
      <c r="H20" s="212"/>
      <c r="I20" s="212"/>
      <c r="J20" s="311"/>
      <c r="K20" s="314"/>
      <c r="L20" s="314"/>
      <c r="M20" s="317"/>
      <c r="P20" s="75"/>
      <c r="R20" s="5"/>
    </row>
    <row r="21" spans="1:18" x14ac:dyDescent="0.2">
      <c r="B21" s="209"/>
      <c r="C21" s="208"/>
      <c r="D21" s="213"/>
      <c r="E21" s="213"/>
      <c r="F21" s="213"/>
      <c r="G21" s="216"/>
      <c r="H21" s="213"/>
      <c r="I21" s="213"/>
      <c r="J21" s="312"/>
      <c r="K21" s="315"/>
      <c r="L21" s="315"/>
      <c r="M21" s="318"/>
      <c r="P21" s="75"/>
      <c r="R21" s="5"/>
    </row>
    <row r="22" spans="1:18" ht="16.5" thickBot="1" x14ac:dyDescent="0.3">
      <c r="A22" s="27"/>
      <c r="B22" s="28"/>
      <c r="C22" s="28"/>
      <c r="D22" s="28"/>
      <c r="E22" s="28"/>
      <c r="F22" s="28"/>
      <c r="G22" s="28"/>
      <c r="H22" s="28"/>
      <c r="I22" s="28"/>
      <c r="J22" s="28"/>
      <c r="K22" s="28"/>
      <c r="L22" s="28"/>
      <c r="M22" s="28"/>
      <c r="N22" s="28"/>
      <c r="O22" s="28"/>
      <c r="P22" s="29"/>
    </row>
  </sheetData>
  <sheetProtection formatCells="0" formatColumns="0" formatRows="0" insertColumns="0" insertRows="0" insertHyperlinks="0" deleteColumns="0" deleteRows="0" sort="0" autoFilter="0" pivotTables="0"/>
  <mergeCells count="18">
    <mergeCell ref="J17:L17"/>
    <mergeCell ref="A11:P11"/>
    <mergeCell ref="A13:P13"/>
    <mergeCell ref="A14:P14"/>
    <mergeCell ref="A9:C9"/>
    <mergeCell ref="D9:E9"/>
    <mergeCell ref="F9:I9"/>
    <mergeCell ref="J9:K9"/>
    <mergeCell ref="L9:N9"/>
    <mergeCell ref="O9:P9"/>
    <mergeCell ref="O8:P8"/>
    <mergeCell ref="D1:M2"/>
    <mergeCell ref="A3:P5"/>
    <mergeCell ref="E6:L7"/>
    <mergeCell ref="M6:N6"/>
    <mergeCell ref="O6:P6"/>
    <mergeCell ref="M7:N7"/>
    <mergeCell ref="O7:P7"/>
  </mergeCells>
  <dataValidations count="2">
    <dataValidation type="list" allowBlank="1" showInputMessage="1" showErrorMessage="1" sqref="O9:P9" xr:uid="{00000000-0002-0000-0500-000000000000}">
      <formula1>$R$7:$R$9</formula1>
    </dataValidation>
    <dataValidation type="list" showInputMessage="1" showErrorMessage="1" sqref="D9:E9" xr:uid="{00000000-0002-0000-0500-000001000000}">
      <formula1>$R$4:$R$6</formula1>
    </dataValidation>
  </dataValidations>
  <hyperlinks>
    <hyperlink ref="O8:P8" location="'F Synthèse'!A1" display="F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U67"/>
  <sheetViews>
    <sheetView showGridLines="0" topLeftCell="A11" zoomScale="90" zoomScaleNormal="90" zoomScaleSheetLayoutView="85" workbookViewId="0">
      <selection activeCell="A14" sqref="A14:P14"/>
    </sheetView>
  </sheetViews>
  <sheetFormatPr baseColWidth="10" defaultColWidth="11.42578125" defaultRowHeight="15.75" x14ac:dyDescent="0.25"/>
  <cols>
    <col min="1" max="3" width="14.7109375" style="122" customWidth="1"/>
    <col min="4" max="4" width="20.7109375" style="122" customWidth="1"/>
    <col min="5" max="5" width="16.42578125" style="122" customWidth="1"/>
    <col min="6" max="6" width="14.7109375" style="122" customWidth="1"/>
    <col min="7" max="7" width="17.28515625" style="122" customWidth="1"/>
    <col min="8" max="8" width="16.7109375" style="122" customWidth="1"/>
    <col min="9" max="9" width="14.7109375" style="122" customWidth="1"/>
    <col min="10" max="16" width="11.7109375" style="122" customWidth="1"/>
    <col min="17" max="17" width="11.42578125" style="122"/>
    <col min="18" max="18" width="11.42578125" style="126" hidden="1" customWidth="1"/>
    <col min="19" max="16384" width="11.42578125" style="122"/>
  </cols>
  <sheetData>
    <row r="1" spans="1:21" ht="15" customHeight="1" x14ac:dyDescent="0.2">
      <c r="A1" s="2"/>
      <c r="B1" s="3"/>
      <c r="C1" s="3"/>
      <c r="D1" s="411" t="str">
        <f>'F Synthèse'!D1:M2</f>
        <v>#NomClient</v>
      </c>
      <c r="E1" s="412"/>
      <c r="F1" s="412"/>
      <c r="G1" s="412"/>
      <c r="H1" s="412"/>
      <c r="I1" s="412"/>
      <c r="J1" s="412"/>
      <c r="K1" s="412"/>
      <c r="L1" s="412"/>
      <c r="M1" s="413"/>
      <c r="N1" s="3"/>
      <c r="O1" s="3"/>
      <c r="P1" s="4"/>
      <c r="Q1" s="5"/>
      <c r="R1" s="6" t="s">
        <v>67</v>
      </c>
      <c r="S1" s="5"/>
      <c r="T1" s="5"/>
      <c r="U1" s="5"/>
    </row>
    <row r="2" spans="1:21" ht="15" customHeight="1" thickBot="1" x14ac:dyDescent="0.25">
      <c r="A2" s="7"/>
      <c r="B2" s="8"/>
      <c r="C2" s="8"/>
      <c r="D2" s="414"/>
      <c r="E2" s="415"/>
      <c r="F2" s="415"/>
      <c r="G2" s="415"/>
      <c r="H2" s="415"/>
      <c r="I2" s="415"/>
      <c r="J2" s="415"/>
      <c r="K2" s="415"/>
      <c r="L2" s="415"/>
      <c r="M2" s="416"/>
      <c r="N2" s="8"/>
      <c r="O2" s="8"/>
      <c r="P2" s="9"/>
      <c r="Q2" s="5"/>
      <c r="R2" s="6" t="s">
        <v>68</v>
      </c>
      <c r="S2" s="5"/>
      <c r="T2" s="5"/>
      <c r="U2" s="5"/>
    </row>
    <row r="3" spans="1:21" ht="15" customHeight="1" x14ac:dyDescent="0.25">
      <c r="A3" s="394" t="s">
        <v>3</v>
      </c>
      <c r="B3" s="395"/>
      <c r="C3" s="395"/>
      <c r="D3" s="395"/>
      <c r="E3" s="395"/>
      <c r="F3" s="395"/>
      <c r="G3" s="395"/>
      <c r="H3" s="395"/>
      <c r="I3" s="395"/>
      <c r="J3" s="395"/>
      <c r="K3" s="395"/>
      <c r="L3" s="395"/>
      <c r="M3" s="395"/>
      <c r="N3" s="395"/>
      <c r="O3" s="395"/>
      <c r="P3" s="396"/>
      <c r="Q3" s="5"/>
      <c r="R3" s="10"/>
      <c r="S3" s="5"/>
      <c r="T3" s="11"/>
      <c r="U3" s="12"/>
    </row>
    <row r="4" spans="1:21" ht="15" customHeight="1" x14ac:dyDescent="0.2">
      <c r="A4" s="394"/>
      <c r="B4" s="395"/>
      <c r="C4" s="395"/>
      <c r="D4" s="395"/>
      <c r="E4" s="395"/>
      <c r="F4" s="395"/>
      <c r="G4" s="395"/>
      <c r="H4" s="395"/>
      <c r="I4" s="395"/>
      <c r="J4" s="395"/>
      <c r="K4" s="395"/>
      <c r="L4" s="395"/>
      <c r="M4" s="395"/>
      <c r="N4" s="395"/>
      <c r="O4" s="395"/>
      <c r="P4" s="396"/>
      <c r="Q4" s="5"/>
      <c r="R4" s="6" t="s">
        <v>4</v>
      </c>
      <c r="S4" s="5"/>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45</v>
      </c>
      <c r="F6" s="401"/>
      <c r="G6" s="401"/>
      <c r="H6" s="401"/>
      <c r="I6" s="401"/>
      <c r="J6" s="401"/>
      <c r="K6" s="401"/>
      <c r="L6" s="402"/>
      <c r="M6" s="417" t="s">
        <v>9</v>
      </c>
      <c r="N6" s="418"/>
      <c r="O6" s="406" t="s">
        <v>10</v>
      </c>
      <c r="P6" s="407"/>
      <c r="Q6" s="5"/>
      <c r="R6" s="10" t="s">
        <v>11</v>
      </c>
      <c r="S6" s="5"/>
      <c r="T6" s="5"/>
      <c r="U6" s="5"/>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44</v>
      </c>
      <c r="P7" s="409"/>
      <c r="Q7" s="5"/>
      <c r="R7" s="6" t="s">
        <v>15</v>
      </c>
      <c r="S7" s="5"/>
      <c r="T7" s="5"/>
      <c r="U7" s="5"/>
    </row>
    <row r="8" spans="1:21" ht="21" customHeight="1" thickBot="1" x14ac:dyDescent="0.25">
      <c r="A8" s="17"/>
      <c r="B8" s="18"/>
      <c r="C8" s="19"/>
      <c r="D8" s="19"/>
      <c r="E8" s="20"/>
      <c r="F8" s="20"/>
      <c r="G8" s="20"/>
      <c r="H8" s="20"/>
      <c r="I8" s="20"/>
      <c r="J8" s="20"/>
      <c r="K8" s="20"/>
      <c r="L8" s="20"/>
      <c r="M8" s="21"/>
      <c r="N8" s="19"/>
      <c r="O8" s="410" t="s">
        <v>66</v>
      </c>
      <c r="P8" s="410"/>
      <c r="Q8" s="5"/>
      <c r="R8" s="6" t="s">
        <v>16</v>
      </c>
      <c r="S8" s="5"/>
      <c r="T8" s="5"/>
      <c r="U8" s="5"/>
    </row>
    <row r="9" spans="1:21" s="123"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Q9" s="19"/>
      <c r="R9" s="10" t="s">
        <v>20</v>
      </c>
      <c r="S9" s="19"/>
      <c r="T9" s="19"/>
      <c r="U9" s="19"/>
    </row>
    <row r="10" spans="1:21" s="123" customFormat="1" ht="21" customHeight="1" thickBot="1" x14ac:dyDescent="0.25">
      <c r="A10" s="22"/>
      <c r="B10" s="22"/>
      <c r="C10" s="22"/>
      <c r="D10" s="22"/>
      <c r="E10" s="22"/>
      <c r="F10" s="22"/>
      <c r="G10" s="22"/>
      <c r="H10" s="22"/>
      <c r="I10" s="22"/>
      <c r="J10" s="22"/>
      <c r="K10" s="22"/>
      <c r="L10" s="22"/>
      <c r="M10" s="22"/>
      <c r="N10" s="22"/>
      <c r="O10" s="22"/>
      <c r="P10" s="22"/>
      <c r="Q10" s="19"/>
      <c r="R10" s="23"/>
      <c r="S10" s="19"/>
      <c r="T10" s="19"/>
      <c r="U10" s="19"/>
    </row>
    <row r="11" spans="1:21" s="124" customFormat="1" ht="157.9" customHeight="1" thickBot="1" x14ac:dyDescent="0.3">
      <c r="A11" s="423" t="s">
        <v>88</v>
      </c>
      <c r="B11" s="424"/>
      <c r="C11" s="424"/>
      <c r="D11" s="424"/>
      <c r="E11" s="424"/>
      <c r="F11" s="424"/>
      <c r="G11" s="424"/>
      <c r="H11" s="424"/>
      <c r="I11" s="424"/>
      <c r="J11" s="424"/>
      <c r="K11" s="424"/>
      <c r="L11" s="424"/>
      <c r="M11" s="424"/>
      <c r="N11" s="424"/>
      <c r="O11" s="424"/>
      <c r="P11" s="425"/>
      <c r="Q11" s="24"/>
      <c r="R11" s="25"/>
      <c r="S11" s="24"/>
      <c r="T11" s="24"/>
      <c r="U11" s="24"/>
    </row>
    <row r="12" spans="1:21" s="124" customFormat="1" ht="9" customHeight="1" thickBot="1" x14ac:dyDescent="0.25">
      <c r="A12" s="24"/>
      <c r="B12" s="24"/>
      <c r="C12" s="24"/>
      <c r="D12" s="24"/>
      <c r="E12" s="24"/>
      <c r="F12" s="24"/>
      <c r="G12" s="24"/>
      <c r="H12" s="24"/>
      <c r="I12" s="24"/>
      <c r="J12" s="24"/>
      <c r="K12" s="24"/>
      <c r="L12" s="24"/>
      <c r="M12" s="24"/>
      <c r="N12" s="24"/>
      <c r="O12" s="24"/>
      <c r="P12" s="24"/>
      <c r="Q12" s="24"/>
      <c r="R12" s="5"/>
      <c r="S12" s="24"/>
      <c r="T12" s="24"/>
      <c r="U12" s="24"/>
    </row>
    <row r="13" spans="1:21" s="124" customFormat="1" x14ac:dyDescent="0.2">
      <c r="A13" s="436" t="s">
        <v>73</v>
      </c>
      <c r="B13" s="437"/>
      <c r="C13" s="437"/>
      <c r="D13" s="437"/>
      <c r="E13" s="437"/>
      <c r="F13" s="437"/>
      <c r="G13" s="437"/>
      <c r="H13" s="437"/>
      <c r="I13" s="437"/>
      <c r="J13" s="437"/>
      <c r="K13" s="437"/>
      <c r="L13" s="437"/>
      <c r="M13" s="437"/>
      <c r="N13" s="437"/>
      <c r="O13" s="437"/>
      <c r="P13" s="438"/>
      <c r="Q13" s="24"/>
      <c r="R13" s="5"/>
      <c r="S13" s="24"/>
      <c r="T13" s="24"/>
      <c r="U13" s="24"/>
    </row>
    <row r="14" spans="1:21" s="124" customFormat="1" ht="72.75" customHeight="1" thickBot="1" x14ac:dyDescent="0.25">
      <c r="A14" s="453"/>
      <c r="B14" s="454"/>
      <c r="C14" s="454"/>
      <c r="D14" s="454"/>
      <c r="E14" s="454"/>
      <c r="F14" s="454"/>
      <c r="G14" s="454"/>
      <c r="H14" s="454"/>
      <c r="I14" s="454"/>
      <c r="J14" s="454"/>
      <c r="K14" s="454"/>
      <c r="L14" s="454"/>
      <c r="M14" s="454"/>
      <c r="N14" s="454"/>
      <c r="O14" s="454"/>
      <c r="P14" s="455"/>
      <c r="Q14" s="24"/>
      <c r="R14" s="5"/>
      <c r="S14" s="24"/>
      <c r="T14" s="24"/>
      <c r="U14" s="24"/>
    </row>
    <row r="15" spans="1:21" s="124" customFormat="1" ht="21" customHeight="1" thickBot="1" x14ac:dyDescent="0.25">
      <c r="A15" s="24"/>
      <c r="B15" s="24"/>
      <c r="C15" s="24"/>
      <c r="D15" s="24"/>
      <c r="E15" s="24"/>
      <c r="F15" s="24"/>
      <c r="G15" s="24"/>
      <c r="H15" s="24"/>
      <c r="I15" s="24"/>
      <c r="J15" s="24"/>
      <c r="K15" s="24"/>
      <c r="L15" s="24"/>
      <c r="M15" s="24"/>
      <c r="N15" s="24"/>
      <c r="O15" s="24"/>
      <c r="P15" s="24"/>
      <c r="Q15" s="24"/>
      <c r="R15" s="5"/>
      <c r="S15" s="24"/>
      <c r="T15" s="24"/>
      <c r="U15" s="24"/>
    </row>
    <row r="16" spans="1:21" s="124" customFormat="1" ht="15" x14ac:dyDescent="0.25">
      <c r="A16" s="102"/>
      <c r="B16" s="103"/>
      <c r="C16" s="103"/>
      <c r="D16" s="103"/>
      <c r="E16" s="103"/>
      <c r="F16" s="103"/>
      <c r="G16" s="103"/>
      <c r="H16" s="103"/>
      <c r="I16" s="103"/>
      <c r="J16" s="103"/>
      <c r="K16" s="103"/>
      <c r="L16" s="103"/>
      <c r="M16" s="103"/>
      <c r="N16" s="103"/>
      <c r="O16" s="103"/>
      <c r="P16" s="104"/>
      <c r="Q16" s="24"/>
      <c r="R16" s="26"/>
      <c r="S16" s="24"/>
      <c r="T16" s="24"/>
      <c r="U16" s="24"/>
    </row>
    <row r="17" spans="1:19" s="124" customFormat="1" ht="15" x14ac:dyDescent="0.25">
      <c r="A17" s="50" t="s">
        <v>89</v>
      </c>
      <c r="B17" s="53"/>
      <c r="C17" s="53"/>
      <c r="D17" s="53"/>
      <c r="E17" s="53"/>
      <c r="F17" s="53"/>
      <c r="G17" s="53"/>
      <c r="H17" s="59"/>
      <c r="I17" s="24"/>
      <c r="J17" s="24"/>
      <c r="K17" s="24"/>
      <c r="L17" s="24"/>
      <c r="M17" s="24"/>
      <c r="N17" s="24"/>
      <c r="O17" s="24"/>
      <c r="P17" s="105"/>
      <c r="Q17" s="24"/>
      <c r="R17" s="26"/>
    </row>
    <row r="18" spans="1:19" s="124" customFormat="1" ht="15" x14ac:dyDescent="0.25">
      <c r="A18" s="73"/>
      <c r="B18" s="53"/>
      <c r="C18" s="53"/>
      <c r="D18" s="53"/>
      <c r="E18" s="53"/>
      <c r="F18" s="53"/>
      <c r="G18" s="53"/>
      <c r="H18" s="59"/>
      <c r="I18" s="24"/>
      <c r="J18" s="24"/>
      <c r="K18" s="24"/>
      <c r="L18" s="24"/>
      <c r="M18" s="24"/>
      <c r="N18" s="24"/>
      <c r="O18" s="24"/>
      <c r="P18" s="105"/>
      <c r="Q18" s="24"/>
      <c r="R18" s="26"/>
    </row>
    <row r="19" spans="1:19" s="124" customFormat="1" ht="39" customHeight="1" x14ac:dyDescent="0.25">
      <c r="A19" s="106"/>
      <c r="B19" s="24"/>
      <c r="C19" s="176" t="s">
        <v>90</v>
      </c>
      <c r="D19" s="176" t="s">
        <v>91</v>
      </c>
      <c r="E19" s="176" t="s">
        <v>92</v>
      </c>
      <c r="F19" s="176" t="s">
        <v>93</v>
      </c>
      <c r="G19" s="176" t="s">
        <v>94</v>
      </c>
      <c r="H19" s="176" t="s">
        <v>95</v>
      </c>
      <c r="I19" s="24"/>
      <c r="J19" s="24"/>
      <c r="K19" s="26"/>
      <c r="L19" s="24"/>
      <c r="M19" s="24"/>
      <c r="N19" s="24"/>
      <c r="O19" s="24"/>
      <c r="P19" s="105"/>
      <c r="Q19" s="24"/>
      <c r="R19" s="24"/>
    </row>
    <row r="20" spans="1:19" s="124" customFormat="1" ht="15" x14ac:dyDescent="0.25">
      <c r="A20" s="106"/>
      <c r="B20" s="24"/>
      <c r="C20" s="217"/>
      <c r="D20" s="217"/>
      <c r="E20" s="219"/>
      <c r="F20" s="219"/>
      <c r="G20" s="219"/>
      <c r="H20" s="203">
        <f>E20+F20-G20</f>
        <v>0</v>
      </c>
      <c r="I20" s="24"/>
      <c r="J20" s="24"/>
      <c r="K20" s="26"/>
      <c r="L20" s="24"/>
      <c r="M20" s="24"/>
      <c r="N20" s="24"/>
      <c r="O20" s="24"/>
      <c r="P20" s="105"/>
      <c r="Q20" s="24"/>
      <c r="R20" s="24"/>
    </row>
    <row r="21" spans="1:19" s="124" customFormat="1" ht="15" x14ac:dyDescent="0.25">
      <c r="A21" s="106"/>
      <c r="B21" s="24"/>
      <c r="C21" s="217"/>
      <c r="D21" s="217"/>
      <c r="E21" s="219"/>
      <c r="F21" s="219"/>
      <c r="G21" s="219"/>
      <c r="H21" s="203">
        <f>E21+F21-G21</f>
        <v>0</v>
      </c>
      <c r="I21" s="24"/>
      <c r="J21" s="24"/>
      <c r="K21" s="26"/>
      <c r="L21" s="24"/>
      <c r="M21" s="24"/>
      <c r="N21" s="24"/>
      <c r="O21" s="24"/>
      <c r="P21" s="105"/>
      <c r="Q21" s="24"/>
      <c r="R21" s="24"/>
    </row>
    <row r="22" spans="1:19" s="124" customFormat="1" ht="15" x14ac:dyDescent="0.25">
      <c r="A22" s="106"/>
      <c r="B22" s="24"/>
      <c r="C22" s="217"/>
      <c r="D22" s="217"/>
      <c r="E22" s="219"/>
      <c r="F22" s="219"/>
      <c r="G22" s="219"/>
      <c r="H22" s="203">
        <f>E22+F22-G22</f>
        <v>0</v>
      </c>
      <c r="I22" s="24"/>
      <c r="J22" s="24"/>
      <c r="K22" s="26"/>
      <c r="L22" s="24"/>
      <c r="M22" s="24"/>
      <c r="N22" s="24"/>
      <c r="O22" s="24"/>
      <c r="P22" s="105"/>
      <c r="Q22" s="24"/>
      <c r="R22" s="24"/>
    </row>
    <row r="23" spans="1:19" s="124" customFormat="1" ht="15" x14ac:dyDescent="0.25">
      <c r="A23" s="106"/>
      <c r="B23" s="24"/>
      <c r="C23" s="217"/>
      <c r="D23" s="217"/>
      <c r="E23" s="219"/>
      <c r="F23" s="219"/>
      <c r="G23" s="219"/>
      <c r="H23" s="203">
        <f>E23+F23-G23</f>
        <v>0</v>
      </c>
      <c r="I23" s="24"/>
      <c r="J23" s="24"/>
      <c r="K23" s="26"/>
      <c r="L23" s="24"/>
      <c r="M23" s="24"/>
      <c r="N23" s="24"/>
      <c r="O23" s="24"/>
      <c r="P23" s="105"/>
      <c r="Q23" s="24"/>
      <c r="R23" s="24"/>
    </row>
    <row r="24" spans="1:19" s="124" customFormat="1" ht="15" x14ac:dyDescent="0.25">
      <c r="A24" s="106"/>
      <c r="B24" s="24"/>
      <c r="C24" s="217"/>
      <c r="D24" s="217"/>
      <c r="E24" s="219"/>
      <c r="F24" s="219"/>
      <c r="G24" s="219"/>
      <c r="H24" s="203">
        <f>E24+F24-G24</f>
        <v>0</v>
      </c>
      <c r="I24" s="24"/>
      <c r="J24" s="24"/>
      <c r="K24" s="26"/>
      <c r="L24" s="24"/>
      <c r="M24" s="24"/>
      <c r="N24" s="24"/>
      <c r="O24" s="24"/>
      <c r="P24" s="105"/>
      <c r="Q24" s="24"/>
      <c r="R24" s="24"/>
    </row>
    <row r="25" spans="1:19" s="124" customFormat="1" ht="15" x14ac:dyDescent="0.25">
      <c r="A25" s="73"/>
      <c r="B25" s="24"/>
      <c r="C25" s="24"/>
      <c r="D25" s="218" t="s">
        <v>96</v>
      </c>
      <c r="E25" s="220">
        <f>SUM(E20:E24)</f>
        <v>0</v>
      </c>
      <c r="F25" s="220">
        <f>SUM(F20:F24)</f>
        <v>0</v>
      </c>
      <c r="G25" s="220">
        <f>SUM(G20:G24)</f>
        <v>0</v>
      </c>
      <c r="H25" s="220">
        <f>SUM(H20:H24)</f>
        <v>0</v>
      </c>
      <c r="I25" s="24"/>
      <c r="J25" s="24"/>
      <c r="K25" s="26"/>
      <c r="L25" s="24"/>
      <c r="M25" s="24"/>
      <c r="N25" s="24"/>
      <c r="O25" s="24"/>
      <c r="P25" s="105"/>
      <c r="Q25" s="24"/>
      <c r="R25" s="24"/>
    </row>
    <row r="26" spans="1:19" s="124" customFormat="1" thickBot="1" x14ac:dyDescent="0.3">
      <c r="A26" s="146"/>
      <c r="B26" s="110"/>
      <c r="C26" s="110"/>
      <c r="D26" s="110"/>
      <c r="E26" s="110"/>
      <c r="F26" s="110"/>
      <c r="G26" s="110"/>
      <c r="H26" s="111"/>
      <c r="I26" s="112"/>
      <c r="J26" s="112"/>
      <c r="K26" s="112"/>
      <c r="L26" s="112"/>
      <c r="M26" s="112"/>
      <c r="N26" s="112"/>
      <c r="O26" s="112"/>
      <c r="P26" s="113"/>
      <c r="Q26" s="24"/>
      <c r="R26" s="26"/>
    </row>
    <row r="27" spans="1:19" s="124" customFormat="1" thickBot="1" x14ac:dyDescent="0.3">
      <c r="A27" s="24"/>
      <c r="B27" s="24"/>
      <c r="C27" s="24"/>
      <c r="D27" s="24"/>
      <c r="E27" s="24"/>
      <c r="F27" s="24"/>
      <c r="G27" s="24"/>
      <c r="H27" s="24"/>
      <c r="I27" s="24"/>
      <c r="J27" s="24"/>
      <c r="K27" s="24"/>
      <c r="L27" s="24"/>
      <c r="M27" s="24"/>
      <c r="N27" s="24"/>
      <c r="O27" s="24"/>
      <c r="P27" s="24"/>
      <c r="Q27" s="24"/>
      <c r="R27" s="26"/>
    </row>
    <row r="28" spans="1:19" s="124" customFormat="1" ht="15" x14ac:dyDescent="0.25">
      <c r="A28" s="102"/>
      <c r="B28" s="103"/>
      <c r="C28" s="103"/>
      <c r="D28" s="103"/>
      <c r="E28" s="103"/>
      <c r="F28" s="103"/>
      <c r="G28" s="103"/>
      <c r="H28" s="103"/>
      <c r="I28" s="103"/>
      <c r="J28" s="103"/>
      <c r="K28" s="103"/>
      <c r="L28" s="103"/>
      <c r="M28" s="103"/>
      <c r="N28" s="103"/>
      <c r="O28" s="103"/>
      <c r="P28" s="104"/>
      <c r="Q28" s="24"/>
      <c r="R28" s="26"/>
    </row>
    <row r="29" spans="1:19" s="124" customFormat="1" ht="15" x14ac:dyDescent="0.25">
      <c r="A29" s="50" t="s">
        <v>97</v>
      </c>
      <c r="B29" s="93"/>
      <c r="C29" s="94"/>
      <c r="D29" s="95"/>
      <c r="E29" s="96"/>
      <c r="F29" s="95"/>
      <c r="G29" s="94"/>
      <c r="H29" s="97"/>
      <c r="I29" s="24"/>
      <c r="J29" s="24"/>
      <c r="K29" s="24"/>
      <c r="L29" s="24"/>
      <c r="M29" s="24"/>
      <c r="N29" s="24"/>
      <c r="O29" s="24"/>
      <c r="P29" s="105"/>
      <c r="Q29" s="24"/>
      <c r="R29" s="26"/>
    </row>
    <row r="30" spans="1:19" s="124" customFormat="1" ht="15" x14ac:dyDescent="0.25">
      <c r="A30" s="147"/>
      <c r="B30" s="53"/>
      <c r="C30" s="53"/>
      <c r="D30" s="53"/>
      <c r="E30" s="53"/>
      <c r="F30" s="53"/>
      <c r="G30" s="53"/>
      <c r="H30" s="59"/>
      <c r="I30" s="24"/>
      <c r="J30" s="24"/>
      <c r="K30" s="24"/>
      <c r="L30" s="24"/>
      <c r="M30" s="24"/>
      <c r="N30" s="24"/>
      <c r="O30" s="24"/>
      <c r="P30" s="105"/>
      <c r="Q30" s="24"/>
      <c r="R30" s="26"/>
    </row>
    <row r="31" spans="1:19" s="124" customFormat="1" ht="15" x14ac:dyDescent="0.25">
      <c r="A31" s="147"/>
      <c r="B31" s="24"/>
      <c r="C31" s="148"/>
      <c r="D31" s="24"/>
      <c r="E31" s="24"/>
      <c r="F31" s="53"/>
      <c r="G31" s="24"/>
      <c r="H31" s="53"/>
      <c r="I31" s="24"/>
      <c r="J31" s="24"/>
      <c r="K31" s="225"/>
      <c r="L31" s="225"/>
      <c r="M31" s="225"/>
      <c r="N31" s="225"/>
      <c r="O31" s="24"/>
      <c r="P31" s="54"/>
      <c r="Q31" s="24"/>
      <c r="R31" s="26"/>
    </row>
    <row r="32" spans="1:19" s="124" customFormat="1" ht="15" x14ac:dyDescent="0.25">
      <c r="A32" s="149"/>
      <c r="B32" s="24"/>
      <c r="C32" s="53"/>
      <c r="D32" s="24"/>
      <c r="E32" s="24"/>
      <c r="F32" s="459" t="s">
        <v>98</v>
      </c>
      <c r="G32" s="459"/>
      <c r="H32" s="459"/>
      <c r="I32" s="459"/>
      <c r="J32" s="225"/>
      <c r="K32" s="225"/>
      <c r="L32" s="225"/>
      <c r="M32" s="225"/>
      <c r="N32" s="225"/>
      <c r="O32" s="24"/>
      <c r="P32" s="54"/>
      <c r="Q32" s="24"/>
      <c r="R32" s="24"/>
      <c r="S32" s="24"/>
    </row>
    <row r="33" spans="1:19" s="124" customFormat="1" ht="39" customHeight="1" x14ac:dyDescent="0.25">
      <c r="A33" s="24"/>
      <c r="B33" s="177" t="s">
        <v>90</v>
      </c>
      <c r="C33" s="177" t="s">
        <v>99</v>
      </c>
      <c r="D33" s="177" t="s">
        <v>100</v>
      </c>
      <c r="E33" s="177" t="s">
        <v>101</v>
      </c>
      <c r="F33" s="177" t="s">
        <v>102</v>
      </c>
      <c r="G33" s="177" t="s">
        <v>103</v>
      </c>
      <c r="H33" s="177" t="s">
        <v>104</v>
      </c>
      <c r="I33" s="322" t="s">
        <v>78</v>
      </c>
      <c r="J33" s="24"/>
      <c r="K33" s="24"/>
      <c r="L33" s="24"/>
      <c r="M33" s="24"/>
      <c r="N33" s="24"/>
      <c r="O33" s="24"/>
      <c r="P33" s="105"/>
      <c r="Q33" s="26"/>
      <c r="R33" s="24" t="s">
        <v>105</v>
      </c>
      <c r="S33" s="24"/>
    </row>
    <row r="34" spans="1:19" s="124" customFormat="1" ht="15" x14ac:dyDescent="0.25">
      <c r="A34" s="24"/>
      <c r="B34" s="319"/>
      <c r="C34" s="221"/>
      <c r="D34" s="223"/>
      <c r="E34" s="223"/>
      <c r="F34" s="223"/>
      <c r="G34" s="223"/>
      <c r="H34" s="347"/>
      <c r="I34" s="323"/>
      <c r="J34" s="24"/>
      <c r="K34" s="24"/>
      <c r="L34" s="24"/>
      <c r="M34" s="24"/>
      <c r="N34" s="24"/>
      <c r="O34" s="24"/>
      <c r="P34" s="105"/>
      <c r="Q34" s="26"/>
      <c r="R34" s="150">
        <f>E34-F34-G34-H34</f>
        <v>0</v>
      </c>
      <c r="S34" s="24"/>
    </row>
    <row r="35" spans="1:19" s="124" customFormat="1" ht="15" x14ac:dyDescent="0.25">
      <c r="A35" s="24"/>
      <c r="B35" s="320"/>
      <c r="C35" s="151"/>
      <c r="D35" s="179"/>
      <c r="E35" s="179"/>
      <c r="F35" s="179"/>
      <c r="G35" s="179"/>
      <c r="H35" s="348"/>
      <c r="I35" s="324"/>
      <c r="J35" s="24"/>
      <c r="K35" s="24"/>
      <c r="L35" s="24"/>
      <c r="M35" s="24"/>
      <c r="N35" s="24"/>
      <c r="O35" s="24"/>
      <c r="P35" s="105"/>
      <c r="Q35" s="26"/>
      <c r="R35" s="150">
        <f>E35-F35-G35-H35</f>
        <v>0</v>
      </c>
      <c r="S35" s="24"/>
    </row>
    <row r="36" spans="1:19" s="124" customFormat="1" ht="15" x14ac:dyDescent="0.25">
      <c r="A36" s="24"/>
      <c r="B36" s="320"/>
      <c r="C36" s="151"/>
      <c r="D36" s="179"/>
      <c r="E36" s="179"/>
      <c r="F36" s="179"/>
      <c r="G36" s="179"/>
      <c r="H36" s="348"/>
      <c r="I36" s="324"/>
      <c r="J36" s="24"/>
      <c r="K36" s="24"/>
      <c r="L36" s="24"/>
      <c r="M36" s="24"/>
      <c r="N36" s="24"/>
      <c r="O36" s="24"/>
      <c r="P36" s="105"/>
      <c r="Q36" s="26"/>
      <c r="R36" s="150">
        <f>E36-F36-G36-H36</f>
        <v>0</v>
      </c>
      <c r="S36" s="24"/>
    </row>
    <row r="37" spans="1:19" s="124" customFormat="1" ht="15" x14ac:dyDescent="0.25">
      <c r="A37" s="24"/>
      <c r="B37" s="321"/>
      <c r="C37" s="152"/>
      <c r="D37" s="180"/>
      <c r="E37" s="180"/>
      <c r="F37" s="180"/>
      <c r="G37" s="180"/>
      <c r="H37" s="349"/>
      <c r="I37" s="325"/>
      <c r="J37" s="24"/>
      <c r="K37" s="24"/>
      <c r="L37" s="24"/>
      <c r="M37" s="24"/>
      <c r="N37" s="24"/>
      <c r="O37" s="24"/>
      <c r="P37" s="105"/>
      <c r="Q37" s="26"/>
      <c r="R37" s="150">
        <f>E37-F37-G37-H37</f>
        <v>0</v>
      </c>
      <c r="S37" s="24"/>
    </row>
    <row r="38" spans="1:19" s="124" customFormat="1" ht="15" x14ac:dyDescent="0.25">
      <c r="A38" s="153"/>
      <c r="B38" s="24"/>
      <c r="C38" s="222" t="s">
        <v>96</v>
      </c>
      <c r="D38" s="224">
        <f>+SUM(D34:D37)</f>
        <v>0</v>
      </c>
      <c r="E38" s="224">
        <f>+SUM(E34:E37)</f>
        <v>0</v>
      </c>
      <c r="F38" s="224">
        <f>+SUM(F34:F37)</f>
        <v>0</v>
      </c>
      <c r="G38" s="224">
        <f>+SUM(G34:G37)</f>
        <v>0</v>
      </c>
      <c r="H38" s="224">
        <f>+SUM(H34:H37)</f>
        <v>0</v>
      </c>
      <c r="I38" s="326"/>
      <c r="J38" s="24"/>
      <c r="K38" s="24"/>
      <c r="L38" s="24"/>
      <c r="M38" s="24"/>
      <c r="N38" s="24"/>
      <c r="O38" s="24"/>
      <c r="P38" s="105"/>
      <c r="Q38" s="26"/>
      <c r="R38" s="24"/>
      <c r="S38" s="24"/>
    </row>
    <row r="39" spans="1:19" s="124" customFormat="1" thickBot="1" x14ac:dyDescent="0.3">
      <c r="A39" s="154"/>
      <c r="B39" s="155"/>
      <c r="C39" s="127"/>
      <c r="D39" s="156"/>
      <c r="E39" s="156"/>
      <c r="F39" s="156"/>
      <c r="G39" s="157"/>
      <c r="H39" s="111"/>
      <c r="I39" s="112"/>
      <c r="J39" s="112"/>
      <c r="K39" s="112"/>
      <c r="L39" s="112"/>
      <c r="M39" s="112"/>
      <c r="N39" s="112"/>
      <c r="O39" s="112"/>
      <c r="P39" s="113"/>
      <c r="Q39" s="24"/>
      <c r="R39" s="26"/>
      <c r="S39" s="24"/>
    </row>
    <row r="40" spans="1:19" s="124" customFormat="1" thickBot="1" x14ac:dyDescent="0.3">
      <c r="A40" s="153"/>
      <c r="B40" s="158"/>
      <c r="C40" s="125"/>
      <c r="D40" s="159"/>
      <c r="E40" s="159"/>
      <c r="F40" s="159"/>
      <c r="G40" s="160"/>
      <c r="H40" s="59"/>
      <c r="I40" s="24"/>
      <c r="J40" s="24"/>
      <c r="K40" s="24"/>
      <c r="L40" s="24"/>
      <c r="M40" s="24"/>
      <c r="N40" s="24"/>
      <c r="O40" s="24"/>
      <c r="P40" s="24"/>
      <c r="Q40" s="24"/>
      <c r="R40" s="26"/>
      <c r="S40" s="24"/>
    </row>
    <row r="41" spans="1:19" s="124" customFormat="1" ht="15" x14ac:dyDescent="0.25">
      <c r="A41" s="161"/>
      <c r="B41" s="162"/>
      <c r="C41" s="131"/>
      <c r="D41" s="163"/>
      <c r="E41" s="163"/>
      <c r="F41" s="163"/>
      <c r="G41" s="164"/>
      <c r="H41" s="82"/>
      <c r="I41" s="103"/>
      <c r="J41" s="103"/>
      <c r="K41" s="103"/>
      <c r="L41" s="103"/>
      <c r="M41" s="103"/>
      <c r="N41" s="103"/>
      <c r="O41" s="103"/>
      <c r="P41" s="104"/>
      <c r="Q41" s="24"/>
      <c r="R41" s="26"/>
      <c r="S41" s="24"/>
    </row>
    <row r="42" spans="1:19" s="124" customFormat="1" ht="15" x14ac:dyDescent="0.25">
      <c r="A42" s="50" t="s">
        <v>106</v>
      </c>
      <c r="B42" s="158"/>
      <c r="C42" s="125"/>
      <c r="D42" s="159"/>
      <c r="E42" s="159"/>
      <c r="F42" s="159"/>
      <c r="G42" s="160"/>
      <c r="H42" s="59"/>
      <c r="I42" s="24"/>
      <c r="J42" s="24"/>
      <c r="K42" s="24"/>
      <c r="L42" s="24"/>
      <c r="M42" s="24"/>
      <c r="N42" s="24"/>
      <c r="O42" s="24"/>
      <c r="P42" s="105"/>
      <c r="Q42" s="24"/>
      <c r="R42" s="26"/>
      <c r="S42" s="24"/>
    </row>
    <row r="43" spans="1:19" s="124" customFormat="1" ht="15" x14ac:dyDescent="0.25">
      <c r="A43" s="55"/>
      <c r="B43" s="158"/>
      <c r="C43" s="125"/>
      <c r="D43" s="159"/>
      <c r="E43" s="159"/>
      <c r="F43" s="159"/>
      <c r="G43" s="160"/>
      <c r="H43" s="59"/>
      <c r="I43" s="24"/>
      <c r="J43" s="24"/>
      <c r="K43" s="24"/>
      <c r="L43" s="24"/>
      <c r="M43" s="24"/>
      <c r="N43" s="24"/>
      <c r="O43" s="24"/>
      <c r="P43" s="105"/>
      <c r="Q43" s="24"/>
      <c r="R43" s="26"/>
      <c r="S43" s="24"/>
    </row>
    <row r="44" spans="1:19" s="124" customFormat="1" ht="52.5" customHeight="1" x14ac:dyDescent="0.25">
      <c r="A44" s="24"/>
      <c r="B44" s="177" t="s">
        <v>83</v>
      </c>
      <c r="C44" s="178" t="s">
        <v>100</v>
      </c>
      <c r="D44" s="177" t="s">
        <v>107</v>
      </c>
      <c r="E44" s="177" t="s">
        <v>108</v>
      </c>
      <c r="F44" s="178" t="s">
        <v>109</v>
      </c>
      <c r="G44" s="178" t="s">
        <v>86</v>
      </c>
      <c r="H44" s="322" t="s">
        <v>110</v>
      </c>
      <c r="I44" s="24"/>
      <c r="J44" s="26"/>
      <c r="K44" s="24"/>
      <c r="L44" s="24"/>
      <c r="M44" s="24"/>
      <c r="N44" s="24"/>
      <c r="O44" s="24"/>
      <c r="P44" s="105"/>
      <c r="Q44" s="24"/>
      <c r="R44" s="24"/>
      <c r="S44" s="24"/>
    </row>
    <row r="45" spans="1:19" s="124" customFormat="1" ht="15" x14ac:dyDescent="0.25">
      <c r="A45" s="24"/>
      <c r="B45" s="327"/>
      <c r="C45" s="226"/>
      <c r="D45" s="128"/>
      <c r="E45" s="165"/>
      <c r="F45" s="229"/>
      <c r="G45" s="229"/>
      <c r="H45" s="89"/>
      <c r="I45" s="24"/>
      <c r="J45" s="26"/>
      <c r="K45" s="24"/>
      <c r="L45" s="24"/>
      <c r="M45" s="24"/>
      <c r="N45" s="24"/>
      <c r="O45" s="24"/>
      <c r="P45" s="105"/>
      <c r="Q45" s="24"/>
      <c r="R45" s="24"/>
      <c r="S45" s="24"/>
    </row>
    <row r="46" spans="1:19" s="124" customFormat="1" ht="15" x14ac:dyDescent="0.25">
      <c r="A46" s="24"/>
      <c r="B46" s="328"/>
      <c r="C46" s="227"/>
      <c r="D46" s="129"/>
      <c r="E46" s="166"/>
      <c r="F46" s="230"/>
      <c r="G46" s="230"/>
      <c r="H46" s="90"/>
      <c r="I46" s="24"/>
      <c r="J46" s="26"/>
      <c r="K46" s="24"/>
      <c r="L46" s="24"/>
      <c r="M46" s="24"/>
      <c r="N46" s="24"/>
      <c r="O46" s="24"/>
      <c r="P46" s="105"/>
      <c r="Q46" s="24"/>
      <c r="R46" s="24"/>
      <c r="S46" s="24"/>
    </row>
    <row r="47" spans="1:19" s="124" customFormat="1" ht="15" x14ac:dyDescent="0.25">
      <c r="A47" s="24"/>
      <c r="B47" s="328"/>
      <c r="C47" s="227"/>
      <c r="D47" s="129"/>
      <c r="E47" s="166"/>
      <c r="F47" s="230"/>
      <c r="G47" s="230"/>
      <c r="H47" s="90"/>
      <c r="I47" s="24"/>
      <c r="J47" s="26"/>
      <c r="K47" s="24"/>
      <c r="L47" s="24"/>
      <c r="M47" s="24"/>
      <c r="N47" s="24"/>
      <c r="O47" s="24"/>
      <c r="P47" s="105"/>
      <c r="Q47" s="24"/>
      <c r="R47" s="24"/>
      <c r="S47" s="24"/>
    </row>
    <row r="48" spans="1:19" s="124" customFormat="1" ht="15" x14ac:dyDescent="0.25">
      <c r="A48" s="24"/>
      <c r="B48" s="329"/>
      <c r="C48" s="228"/>
      <c r="D48" s="130"/>
      <c r="E48" s="167"/>
      <c r="F48" s="231"/>
      <c r="G48" s="231"/>
      <c r="H48" s="91"/>
      <c r="I48" s="24"/>
      <c r="J48" s="26"/>
      <c r="K48" s="24"/>
      <c r="L48" s="24"/>
      <c r="M48" s="24"/>
      <c r="N48" s="24"/>
      <c r="O48" s="24"/>
      <c r="P48" s="105"/>
      <c r="Q48" s="24"/>
      <c r="R48" s="24"/>
    </row>
    <row r="49" spans="1:18" s="124" customFormat="1" thickBot="1" x14ac:dyDescent="0.3">
      <c r="A49" s="154"/>
      <c r="B49" s="155"/>
      <c r="C49" s="127"/>
      <c r="D49" s="156"/>
      <c r="E49" s="156"/>
      <c r="F49" s="168"/>
      <c r="G49" s="168"/>
      <c r="H49" s="111"/>
      <c r="I49" s="112"/>
      <c r="J49" s="112"/>
      <c r="K49" s="112"/>
      <c r="L49" s="112"/>
      <c r="M49" s="112"/>
      <c r="N49" s="112"/>
      <c r="O49" s="112"/>
      <c r="P49" s="113"/>
      <c r="Q49" s="24"/>
      <c r="R49" s="26"/>
    </row>
    <row r="50" spans="1:18" s="124" customFormat="1" thickBot="1" x14ac:dyDescent="0.3">
      <c r="A50" s="153"/>
      <c r="B50" s="158"/>
      <c r="C50" s="125"/>
      <c r="D50" s="159"/>
      <c r="E50" s="159"/>
      <c r="F50" s="159"/>
      <c r="G50" s="160"/>
      <c r="H50" s="59"/>
      <c r="I50" s="24"/>
      <c r="J50" s="24"/>
      <c r="K50" s="24"/>
      <c r="L50" s="24"/>
      <c r="M50" s="24"/>
      <c r="N50" s="24"/>
      <c r="O50" s="24"/>
      <c r="P50" s="24"/>
      <c r="Q50" s="24"/>
      <c r="R50" s="26"/>
    </row>
    <row r="51" spans="1:18" s="124" customFormat="1" ht="15" x14ac:dyDescent="0.25">
      <c r="A51" s="161"/>
      <c r="B51" s="162"/>
      <c r="C51" s="131"/>
      <c r="D51" s="163"/>
      <c r="E51" s="163"/>
      <c r="F51" s="163"/>
      <c r="G51" s="164"/>
      <c r="H51" s="82"/>
      <c r="I51" s="103"/>
      <c r="J51" s="103"/>
      <c r="K51" s="103"/>
      <c r="L51" s="103"/>
      <c r="M51" s="103"/>
      <c r="N51" s="103"/>
      <c r="O51" s="103"/>
      <c r="P51" s="104"/>
      <c r="Q51" s="24"/>
      <c r="R51" s="26"/>
    </row>
    <row r="52" spans="1:18" s="124" customFormat="1" ht="15" x14ac:dyDescent="0.25">
      <c r="A52" s="133" t="s">
        <v>111</v>
      </c>
      <c r="B52" s="158"/>
      <c r="C52" s="125"/>
      <c r="D52" s="159"/>
      <c r="E52" s="159"/>
      <c r="F52" s="159"/>
      <c r="G52" s="160"/>
      <c r="H52" s="59"/>
      <c r="I52" s="24"/>
      <c r="J52" s="24"/>
      <c r="K52" s="24"/>
      <c r="L52" s="24"/>
      <c r="M52" s="24"/>
      <c r="N52" s="24"/>
      <c r="O52" s="24"/>
      <c r="P52" s="105"/>
      <c r="Q52" s="24"/>
      <c r="R52" s="26"/>
    </row>
    <row r="53" spans="1:18" s="124" customFormat="1" ht="15" x14ac:dyDescent="0.25">
      <c r="A53" s="73"/>
      <c r="B53" s="53"/>
      <c r="C53" s="53"/>
      <c r="D53" s="53"/>
      <c r="E53" s="53"/>
      <c r="F53" s="53"/>
      <c r="G53" s="53"/>
      <c r="H53" s="59"/>
      <c r="I53" s="24"/>
      <c r="J53" s="24"/>
      <c r="K53" s="24"/>
      <c r="L53" s="24"/>
      <c r="M53" s="24"/>
      <c r="N53" s="24"/>
      <c r="O53" s="24"/>
      <c r="P53" s="105"/>
      <c r="Q53" s="24"/>
      <c r="R53" s="26"/>
    </row>
    <row r="54" spans="1:18" s="124" customFormat="1" ht="39" customHeight="1" x14ac:dyDescent="0.25">
      <c r="A54" s="106"/>
      <c r="B54" s="24"/>
      <c r="C54" s="169"/>
      <c r="D54" s="24"/>
      <c r="E54" s="24"/>
      <c r="F54" s="24"/>
      <c r="G54" s="182" t="s">
        <v>112</v>
      </c>
      <c r="H54" s="182" t="s">
        <v>113</v>
      </c>
      <c r="I54" s="181" t="s">
        <v>114</v>
      </c>
      <c r="J54" s="24"/>
      <c r="K54" s="24"/>
      <c r="L54" s="24"/>
      <c r="M54" s="24"/>
      <c r="N54" s="24"/>
      <c r="O54" s="26"/>
      <c r="P54" s="105"/>
      <c r="Q54" s="24"/>
      <c r="R54" s="24"/>
    </row>
    <row r="55" spans="1:18" s="124" customFormat="1" ht="15" x14ac:dyDescent="0.25">
      <c r="A55" s="106"/>
      <c r="B55" s="24"/>
      <c r="C55" s="456" t="s">
        <v>115</v>
      </c>
      <c r="D55" s="457"/>
      <c r="E55" s="457"/>
      <c r="F55" s="458"/>
      <c r="G55" s="203">
        <f>H56</f>
        <v>0</v>
      </c>
      <c r="H55" s="232"/>
      <c r="I55" s="203">
        <f>G55-H55</f>
        <v>0</v>
      </c>
      <c r="J55" s="24"/>
      <c r="K55" s="24"/>
      <c r="L55" s="24"/>
      <c r="M55" s="24"/>
      <c r="N55" s="24"/>
      <c r="O55" s="26"/>
      <c r="P55" s="105"/>
      <c r="Q55" s="24"/>
      <c r="R55" s="24"/>
    </row>
    <row r="56" spans="1:18" s="124" customFormat="1" ht="15" x14ac:dyDescent="0.25">
      <c r="A56" s="106"/>
      <c r="B56" s="24"/>
      <c r="C56" s="456" t="s">
        <v>116</v>
      </c>
      <c r="D56" s="457"/>
      <c r="E56" s="457"/>
      <c r="F56" s="458"/>
      <c r="G56" s="232"/>
      <c r="H56" s="232"/>
      <c r="I56" s="203">
        <f>G56-H56</f>
        <v>0</v>
      </c>
      <c r="J56" s="24"/>
      <c r="K56" s="24"/>
      <c r="L56" s="24"/>
      <c r="M56" s="24"/>
      <c r="N56" s="24"/>
      <c r="O56" s="26"/>
      <c r="P56" s="105"/>
      <c r="Q56" s="24"/>
      <c r="R56" s="24"/>
    </row>
    <row r="57" spans="1:18" s="124" customFormat="1" ht="15" x14ac:dyDescent="0.25">
      <c r="A57" s="106"/>
      <c r="B57" s="24"/>
      <c r="C57" s="456" t="s">
        <v>117</v>
      </c>
      <c r="D57" s="457"/>
      <c r="E57" s="457"/>
      <c r="F57" s="458"/>
      <c r="G57" s="203">
        <f>(G55+G56)/2</f>
        <v>0</v>
      </c>
      <c r="H57" s="203">
        <f>(H55+H56)/2</f>
        <v>0</v>
      </c>
      <c r="I57" s="203">
        <f>G57-H57</f>
        <v>0</v>
      </c>
      <c r="J57" s="24"/>
      <c r="K57" s="24"/>
      <c r="L57" s="24"/>
      <c r="M57" s="24"/>
      <c r="N57" s="24"/>
      <c r="O57" s="26"/>
      <c r="P57" s="105"/>
      <c r="Q57" s="24"/>
      <c r="R57" s="24"/>
    </row>
    <row r="58" spans="1:18" s="124" customFormat="1" ht="15" x14ac:dyDescent="0.25">
      <c r="A58" s="106"/>
      <c r="B58" s="24"/>
      <c r="C58" s="278"/>
      <c r="D58" s="140"/>
      <c r="E58" s="140"/>
      <c r="F58" s="140"/>
      <c r="G58" s="233"/>
      <c r="H58" s="233"/>
      <c r="I58" s="233"/>
      <c r="J58" s="24"/>
      <c r="K58" s="24"/>
      <c r="L58" s="24"/>
      <c r="M58" s="24"/>
      <c r="N58" s="24"/>
      <c r="O58" s="26"/>
      <c r="P58" s="105"/>
      <c r="Q58" s="24"/>
      <c r="R58" s="24"/>
    </row>
    <row r="59" spans="1:18" s="124" customFormat="1" ht="15" x14ac:dyDescent="0.25">
      <c r="A59" s="106"/>
      <c r="B59" s="24"/>
      <c r="C59" s="447" t="s">
        <v>118</v>
      </c>
      <c r="D59" s="447"/>
      <c r="E59" s="447"/>
      <c r="F59" s="447"/>
      <c r="G59" s="232"/>
      <c r="H59" s="232"/>
      <c r="I59" s="203">
        <f>G59-H59</f>
        <v>0</v>
      </c>
      <c r="J59" s="24"/>
      <c r="K59" s="24"/>
      <c r="L59" s="24"/>
      <c r="M59" s="24"/>
      <c r="N59" s="24"/>
      <c r="O59" s="26"/>
      <c r="P59" s="105"/>
      <c r="Q59" s="24"/>
      <c r="R59" s="24"/>
    </row>
    <row r="60" spans="1:18" s="124" customFormat="1" ht="15" x14ac:dyDescent="0.25">
      <c r="A60" s="106"/>
      <c r="B60" s="24"/>
      <c r="C60" s="278"/>
      <c r="D60" s="140"/>
      <c r="E60" s="140"/>
      <c r="F60" s="140"/>
      <c r="G60" s="233"/>
      <c r="H60" s="233"/>
      <c r="I60" s="233"/>
      <c r="J60" s="24"/>
      <c r="K60" s="24"/>
      <c r="L60" s="24"/>
      <c r="M60" s="24"/>
      <c r="N60" s="24"/>
      <c r="O60" s="26"/>
      <c r="P60" s="105"/>
      <c r="Q60" s="24"/>
      <c r="R60" s="24"/>
    </row>
    <row r="61" spans="1:18" s="124" customFormat="1" ht="15" x14ac:dyDescent="0.25">
      <c r="A61" s="106"/>
      <c r="B61" s="24"/>
      <c r="C61" s="446" t="s">
        <v>119</v>
      </c>
      <c r="D61" s="446"/>
      <c r="E61" s="446"/>
      <c r="F61" s="446"/>
      <c r="G61" s="234" t="e">
        <f>G59/G57</f>
        <v>#DIV/0!</v>
      </c>
      <c r="H61" s="234" t="e">
        <f>H59/H57</f>
        <v>#DIV/0!</v>
      </c>
      <c r="I61" s="234" t="e">
        <f>H61-G61</f>
        <v>#DIV/0!</v>
      </c>
      <c r="J61" s="24"/>
      <c r="K61" s="24"/>
      <c r="L61" s="24"/>
      <c r="M61" s="24"/>
      <c r="N61" s="24"/>
      <c r="O61" s="26"/>
      <c r="P61" s="105"/>
      <c r="Q61" s="24"/>
      <c r="R61" s="24"/>
    </row>
    <row r="62" spans="1:18" s="124" customFormat="1" ht="15" x14ac:dyDescent="0.25">
      <c r="A62" s="106"/>
      <c r="B62" s="24"/>
      <c r="C62" s="59"/>
      <c r="D62" s="24"/>
      <c r="E62" s="24"/>
      <c r="F62" s="24"/>
      <c r="G62" s="132"/>
      <c r="H62" s="170"/>
      <c r="I62" s="132"/>
      <c r="J62" s="170"/>
      <c r="K62" s="171"/>
      <c r="L62" s="170"/>
      <c r="M62" s="24"/>
      <c r="N62" s="24"/>
      <c r="O62" s="24"/>
      <c r="P62" s="105"/>
      <c r="Q62" s="24"/>
      <c r="R62" s="26"/>
    </row>
    <row r="63" spans="1:18" s="124" customFormat="1" ht="15" x14ac:dyDescent="0.25">
      <c r="A63" s="106"/>
      <c r="B63" s="24"/>
      <c r="C63" s="59"/>
      <c r="D63" s="24"/>
      <c r="E63" s="24"/>
      <c r="F63" s="24"/>
      <c r="G63" s="448" t="s">
        <v>120</v>
      </c>
      <c r="H63" s="449"/>
      <c r="I63" s="235" t="e">
        <f>I61*G57</f>
        <v>#DIV/0!</v>
      </c>
      <c r="J63" s="172"/>
      <c r="K63" s="170"/>
      <c r="L63" s="24"/>
      <c r="M63" s="24"/>
      <c r="N63" s="24"/>
      <c r="O63" s="24"/>
      <c r="P63" s="105"/>
      <c r="Q63" s="26"/>
      <c r="R63" s="24"/>
    </row>
    <row r="64" spans="1:18" s="124" customFormat="1" ht="15" x14ac:dyDescent="0.25">
      <c r="A64" s="56"/>
      <c r="B64" s="59"/>
      <c r="C64" s="173"/>
      <c r="D64" s="173"/>
      <c r="E64" s="53"/>
      <c r="F64" s="53"/>
      <c r="G64" s="53"/>
      <c r="H64" s="59"/>
      <c r="I64" s="24"/>
      <c r="J64" s="24"/>
      <c r="K64" s="24"/>
      <c r="L64" s="24"/>
      <c r="M64" s="24"/>
      <c r="N64" s="24"/>
      <c r="O64" s="24"/>
      <c r="P64" s="105"/>
      <c r="Q64" s="24"/>
      <c r="R64" s="26"/>
    </row>
    <row r="65" spans="1:18" s="124" customFormat="1" ht="15" x14ac:dyDescent="0.25">
      <c r="A65" s="56"/>
      <c r="B65" s="59"/>
      <c r="C65" s="173"/>
      <c r="D65" s="173"/>
      <c r="E65" s="53"/>
      <c r="F65" s="53"/>
      <c r="G65" s="53"/>
      <c r="H65" s="59"/>
      <c r="I65" s="24"/>
      <c r="J65" s="24"/>
      <c r="K65" s="24"/>
      <c r="L65" s="24"/>
      <c r="M65" s="24"/>
      <c r="N65" s="24"/>
      <c r="O65" s="24"/>
      <c r="P65" s="105"/>
      <c r="Q65" s="24"/>
      <c r="R65" s="26"/>
    </row>
    <row r="66" spans="1:18" s="24" customFormat="1" ht="75" customHeight="1" x14ac:dyDescent="0.2">
      <c r="A66" s="450" t="s">
        <v>121</v>
      </c>
      <c r="B66" s="451"/>
      <c r="C66" s="451"/>
      <c r="D66" s="451"/>
      <c r="E66" s="451"/>
      <c r="F66" s="451"/>
      <c r="G66" s="451"/>
      <c r="H66" s="451"/>
      <c r="I66" s="451"/>
      <c r="J66" s="451"/>
      <c r="K66" s="451"/>
      <c r="L66" s="451"/>
      <c r="M66" s="451"/>
      <c r="N66" s="451"/>
      <c r="O66" s="451"/>
      <c r="P66" s="452"/>
    </row>
    <row r="67" spans="1:18" ht="16.5" thickBot="1" x14ac:dyDescent="0.3">
      <c r="A67" s="27"/>
      <c r="B67" s="28"/>
      <c r="C67" s="28"/>
      <c r="D67" s="28"/>
      <c r="E67" s="28"/>
      <c r="F67" s="28"/>
      <c r="G67" s="28"/>
      <c r="H67" s="28"/>
      <c r="I67" s="28"/>
      <c r="J67" s="28"/>
      <c r="K67" s="28"/>
      <c r="L67" s="28"/>
      <c r="M67" s="28"/>
      <c r="N67" s="28"/>
      <c r="O67" s="28"/>
      <c r="P67" s="29"/>
      <c r="Q67" s="5"/>
      <c r="R67" s="25"/>
    </row>
  </sheetData>
  <sheetProtection formatCells="0" formatColumns="0" formatRows="0" insertColumns="0" insertRows="0" insertHyperlinks="0" deleteColumns="0" deleteRows="0" sort="0" autoFilter="0" pivotTables="0"/>
  <mergeCells count="25">
    <mergeCell ref="C61:F61"/>
    <mergeCell ref="C59:F59"/>
    <mergeCell ref="G63:H63"/>
    <mergeCell ref="A66:P66"/>
    <mergeCell ref="A13:P13"/>
    <mergeCell ref="A14:P14"/>
    <mergeCell ref="C56:F56"/>
    <mergeCell ref="C57:F57"/>
    <mergeCell ref="C55:F55"/>
    <mergeCell ref="F32:I32"/>
    <mergeCell ref="A11:P11"/>
    <mergeCell ref="O8:P8"/>
    <mergeCell ref="O9:P9"/>
    <mergeCell ref="D1:M2"/>
    <mergeCell ref="A3:P5"/>
    <mergeCell ref="E6:L7"/>
    <mergeCell ref="M6:N6"/>
    <mergeCell ref="O6:P6"/>
    <mergeCell ref="M7:N7"/>
    <mergeCell ref="O7:P7"/>
    <mergeCell ref="A9:C9"/>
    <mergeCell ref="D9:E9"/>
    <mergeCell ref="F9:I9"/>
    <mergeCell ref="J9:K9"/>
    <mergeCell ref="L9:N9"/>
  </mergeCells>
  <dataValidations count="2">
    <dataValidation type="list" showInputMessage="1" showErrorMessage="1" sqref="D9:E9" xr:uid="{00000000-0002-0000-0600-000000000000}">
      <formula1>$R$4:$R$6</formula1>
    </dataValidation>
    <dataValidation type="list" allowBlank="1" showInputMessage="1" showErrorMessage="1" sqref="O9:P9" xr:uid="{00000000-0002-0000-0600-000001000000}">
      <formula1>$R$7:$R$9</formula1>
    </dataValidation>
  </dataValidations>
  <hyperlinks>
    <hyperlink ref="O8:P8" location="'F Synthèse'!A1" display="F Synthèse" xr:uid="{00000000-0004-0000-06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G61 H61"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U16"/>
  <sheetViews>
    <sheetView showGridLines="0" zoomScale="90" zoomScaleNormal="90" zoomScaleSheetLayoutView="85" workbookViewId="0"/>
  </sheetViews>
  <sheetFormatPr baseColWidth="10" defaultColWidth="11.42578125" defaultRowHeight="15.75" x14ac:dyDescent="0.25"/>
  <cols>
    <col min="1" max="16" width="14.140625" style="44" customWidth="1"/>
    <col min="17" max="17" width="11.42578125" style="44"/>
    <col min="18" max="18" width="11.42578125" style="47" hidden="1" customWidth="1"/>
    <col min="19" max="16384" width="11.42578125" style="44"/>
  </cols>
  <sheetData>
    <row r="1" spans="1:21" ht="15" customHeight="1" x14ac:dyDescent="0.2">
      <c r="A1" s="2"/>
      <c r="B1" s="3"/>
      <c r="C1" s="3"/>
      <c r="D1" s="411" t="str">
        <f>'F Synthèse'!D1:M2</f>
        <v>#NomClient</v>
      </c>
      <c r="E1" s="412"/>
      <c r="F1" s="412"/>
      <c r="G1" s="412"/>
      <c r="H1" s="412"/>
      <c r="I1" s="412"/>
      <c r="J1" s="412"/>
      <c r="K1" s="412"/>
      <c r="L1" s="412"/>
      <c r="M1" s="413"/>
      <c r="N1" s="3"/>
      <c r="O1" s="3"/>
      <c r="P1" s="4"/>
      <c r="Q1" s="5"/>
      <c r="R1" s="6" t="s">
        <v>67</v>
      </c>
      <c r="S1" s="5"/>
      <c r="T1" s="5"/>
      <c r="U1" s="5"/>
    </row>
    <row r="2" spans="1:21" ht="15" customHeight="1" thickBot="1" x14ac:dyDescent="0.25">
      <c r="A2" s="7"/>
      <c r="B2" s="8"/>
      <c r="C2" s="8"/>
      <c r="D2" s="414"/>
      <c r="E2" s="415"/>
      <c r="F2" s="415"/>
      <c r="G2" s="415"/>
      <c r="H2" s="415"/>
      <c r="I2" s="415"/>
      <c r="J2" s="415"/>
      <c r="K2" s="415"/>
      <c r="L2" s="415"/>
      <c r="M2" s="416"/>
      <c r="N2" s="8"/>
      <c r="O2" s="8"/>
      <c r="P2" s="9"/>
      <c r="Q2" s="5"/>
      <c r="R2" s="6" t="s">
        <v>68</v>
      </c>
      <c r="S2" s="5"/>
      <c r="T2" s="5"/>
      <c r="U2" s="5"/>
    </row>
    <row r="3" spans="1:21" ht="15" customHeight="1" x14ac:dyDescent="0.25">
      <c r="A3" s="394" t="s">
        <v>3</v>
      </c>
      <c r="B3" s="395"/>
      <c r="C3" s="395"/>
      <c r="D3" s="395"/>
      <c r="E3" s="395"/>
      <c r="F3" s="395"/>
      <c r="G3" s="395"/>
      <c r="H3" s="395"/>
      <c r="I3" s="395"/>
      <c r="J3" s="395"/>
      <c r="K3" s="395"/>
      <c r="L3" s="395"/>
      <c r="M3" s="395"/>
      <c r="N3" s="395"/>
      <c r="O3" s="395"/>
      <c r="P3" s="396"/>
      <c r="Q3" s="5"/>
      <c r="R3" s="10"/>
      <c r="S3" s="5"/>
      <c r="T3" s="11"/>
      <c r="U3" s="12"/>
    </row>
    <row r="4" spans="1:21" ht="15" customHeight="1" x14ac:dyDescent="0.2">
      <c r="A4" s="394"/>
      <c r="B4" s="395"/>
      <c r="C4" s="395"/>
      <c r="D4" s="395"/>
      <c r="E4" s="395"/>
      <c r="F4" s="395"/>
      <c r="G4" s="395"/>
      <c r="H4" s="395"/>
      <c r="I4" s="395"/>
      <c r="J4" s="395"/>
      <c r="K4" s="395"/>
      <c r="L4" s="395"/>
      <c r="M4" s="395"/>
      <c r="N4" s="395"/>
      <c r="O4" s="395"/>
      <c r="P4" s="396"/>
      <c r="Q4" s="5"/>
      <c r="R4" s="6" t="s">
        <v>4</v>
      </c>
      <c r="S4" s="5"/>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50</v>
      </c>
      <c r="F6" s="401"/>
      <c r="G6" s="401"/>
      <c r="H6" s="401"/>
      <c r="I6" s="401"/>
      <c r="J6" s="401"/>
      <c r="K6" s="401"/>
      <c r="L6" s="402"/>
      <c r="M6" s="417" t="s">
        <v>9</v>
      </c>
      <c r="N6" s="418"/>
      <c r="O6" s="406" t="s">
        <v>10</v>
      </c>
      <c r="P6" s="407"/>
      <c r="Q6" s="5"/>
      <c r="R6" s="10" t="s">
        <v>11</v>
      </c>
      <c r="S6" s="5"/>
      <c r="T6" s="5"/>
      <c r="U6" s="5"/>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49</v>
      </c>
      <c r="P7" s="409"/>
      <c r="Q7" s="5"/>
      <c r="R7" s="6" t="s">
        <v>15</v>
      </c>
      <c r="S7" s="5"/>
      <c r="T7" s="5"/>
      <c r="U7" s="5"/>
    </row>
    <row r="8" spans="1:21" ht="21" customHeight="1" thickBot="1" x14ac:dyDescent="0.25">
      <c r="A8" s="17"/>
      <c r="B8" s="18"/>
      <c r="C8" s="19"/>
      <c r="D8" s="19"/>
      <c r="E8" s="20"/>
      <c r="F8" s="20"/>
      <c r="G8" s="20"/>
      <c r="H8" s="20"/>
      <c r="I8" s="20"/>
      <c r="J8" s="20"/>
      <c r="K8" s="20"/>
      <c r="L8" s="20"/>
      <c r="M8" s="21"/>
      <c r="N8" s="19"/>
      <c r="O8" s="410" t="s">
        <v>66</v>
      </c>
      <c r="P8" s="410"/>
      <c r="Q8" s="5"/>
      <c r="R8" s="6" t="s">
        <v>16</v>
      </c>
      <c r="S8" s="5"/>
      <c r="T8" s="5"/>
      <c r="U8" s="5"/>
    </row>
    <row r="9" spans="1:21" s="45"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Q9" s="19"/>
      <c r="R9" s="10" t="s">
        <v>20</v>
      </c>
      <c r="S9" s="19"/>
      <c r="T9" s="19"/>
      <c r="U9" s="19"/>
    </row>
    <row r="10" spans="1:21" s="45" customFormat="1" ht="21" customHeight="1" thickBot="1" x14ac:dyDescent="0.25">
      <c r="A10" s="22"/>
      <c r="B10" s="22"/>
      <c r="C10" s="22"/>
      <c r="D10" s="22"/>
      <c r="E10" s="22"/>
      <c r="F10" s="22"/>
      <c r="G10" s="22"/>
      <c r="H10" s="22"/>
      <c r="I10" s="22"/>
      <c r="J10" s="22"/>
      <c r="K10" s="22"/>
      <c r="L10" s="22"/>
      <c r="M10" s="22"/>
      <c r="N10" s="22"/>
      <c r="O10" s="22"/>
      <c r="P10" s="22"/>
      <c r="Q10" s="19"/>
      <c r="R10" s="23"/>
      <c r="S10" s="19"/>
      <c r="T10" s="19"/>
      <c r="U10" s="19"/>
    </row>
    <row r="11" spans="1:21" s="46" customFormat="1" ht="201" customHeight="1" thickBot="1" x14ac:dyDescent="0.3">
      <c r="A11" s="423" t="s">
        <v>122</v>
      </c>
      <c r="B11" s="424"/>
      <c r="C11" s="424"/>
      <c r="D11" s="424"/>
      <c r="E11" s="424"/>
      <c r="F11" s="424"/>
      <c r="G11" s="424"/>
      <c r="H11" s="424"/>
      <c r="I11" s="424"/>
      <c r="J11" s="424"/>
      <c r="K11" s="424"/>
      <c r="L11" s="424"/>
      <c r="M11" s="424"/>
      <c r="N11" s="424"/>
      <c r="O11" s="424"/>
      <c r="P11" s="425"/>
      <c r="Q11" s="24"/>
      <c r="R11" s="25"/>
      <c r="S11" s="24"/>
      <c r="T11" s="24"/>
      <c r="U11" s="24"/>
    </row>
    <row r="12" spans="1:21" s="46" customFormat="1" ht="9" customHeight="1" thickBot="1" x14ac:dyDescent="0.25">
      <c r="A12" s="24"/>
      <c r="B12" s="24"/>
      <c r="C12" s="24"/>
      <c r="D12" s="24"/>
      <c r="E12" s="24"/>
      <c r="F12" s="24"/>
      <c r="G12" s="24"/>
      <c r="H12" s="24"/>
      <c r="I12" s="24"/>
      <c r="J12" s="24"/>
      <c r="K12" s="24"/>
      <c r="L12" s="24"/>
      <c r="M12" s="24"/>
      <c r="N12" s="24"/>
      <c r="O12" s="24"/>
      <c r="P12" s="24"/>
      <c r="Q12" s="24"/>
      <c r="R12" s="5"/>
      <c r="S12" s="24"/>
      <c r="T12" s="24"/>
      <c r="U12" s="24"/>
    </row>
    <row r="13" spans="1:21" s="46" customFormat="1" x14ac:dyDescent="0.2">
      <c r="A13" s="436" t="s">
        <v>73</v>
      </c>
      <c r="B13" s="437"/>
      <c r="C13" s="437"/>
      <c r="D13" s="437"/>
      <c r="E13" s="437"/>
      <c r="F13" s="437"/>
      <c r="G13" s="437"/>
      <c r="H13" s="437"/>
      <c r="I13" s="437"/>
      <c r="J13" s="437"/>
      <c r="K13" s="437"/>
      <c r="L13" s="437"/>
      <c r="M13" s="437"/>
      <c r="N13" s="437"/>
      <c r="O13" s="437"/>
      <c r="P13" s="438"/>
      <c r="Q13" s="24"/>
      <c r="R13" s="5"/>
      <c r="S13" s="24"/>
      <c r="T13" s="24"/>
      <c r="U13" s="24"/>
    </row>
    <row r="14" spans="1:21" s="46" customFormat="1" ht="93" customHeight="1" thickBot="1" x14ac:dyDescent="0.25">
      <c r="A14" s="429"/>
      <c r="B14" s="430"/>
      <c r="C14" s="430"/>
      <c r="D14" s="430"/>
      <c r="E14" s="430"/>
      <c r="F14" s="430"/>
      <c r="G14" s="430"/>
      <c r="H14" s="430"/>
      <c r="I14" s="430"/>
      <c r="J14" s="430"/>
      <c r="K14" s="430"/>
      <c r="L14" s="430"/>
      <c r="M14" s="430"/>
      <c r="N14" s="430"/>
      <c r="O14" s="430"/>
      <c r="P14" s="431"/>
      <c r="Q14" s="24"/>
      <c r="R14" s="5"/>
      <c r="S14" s="24"/>
      <c r="T14" s="24"/>
      <c r="U14" s="24"/>
    </row>
    <row r="15" spans="1:21" s="46" customFormat="1" ht="21" customHeight="1" x14ac:dyDescent="0.2">
      <c r="A15" s="24"/>
      <c r="B15" s="24"/>
      <c r="C15" s="24"/>
      <c r="D15" s="24"/>
      <c r="E15" s="24"/>
      <c r="F15" s="24"/>
      <c r="G15" s="24"/>
      <c r="H15" s="24"/>
      <c r="I15" s="24"/>
      <c r="J15" s="24"/>
      <c r="K15" s="24"/>
      <c r="L15" s="24"/>
      <c r="M15" s="24"/>
      <c r="N15" s="24"/>
      <c r="O15" s="24"/>
      <c r="P15" s="24"/>
      <c r="Q15" s="24"/>
      <c r="R15" s="5"/>
      <c r="S15" s="24"/>
      <c r="T15" s="24"/>
      <c r="U15" s="24"/>
    </row>
    <row r="16" spans="1:21" x14ac:dyDescent="0.25">
      <c r="A16" s="5"/>
      <c r="B16" s="5"/>
      <c r="C16" s="5"/>
      <c r="D16" s="5"/>
      <c r="E16" s="5"/>
      <c r="F16" s="5"/>
      <c r="G16" s="5"/>
      <c r="H16" s="5"/>
      <c r="I16" s="5"/>
      <c r="J16" s="5"/>
      <c r="K16" s="5"/>
      <c r="L16" s="5"/>
      <c r="M16" s="5"/>
      <c r="N16" s="5"/>
      <c r="O16" s="5"/>
      <c r="P16" s="5"/>
      <c r="Q16" s="5"/>
      <c r="R16" s="26"/>
      <c r="S16" s="5"/>
      <c r="T16" s="5"/>
      <c r="U16" s="5"/>
    </row>
  </sheetData>
  <sheetProtection formatCells="0" formatColumns="0" formatRows="0" insertColumns="0" insertRows="0" insertHyperlinks="0" deleteColumns="0" deleteRows="0" sort="0" autoFilter="0" pivotTables="0"/>
  <mergeCells count="17">
    <mergeCell ref="A11:P11"/>
    <mergeCell ref="A13:P13"/>
    <mergeCell ref="A14:P14"/>
    <mergeCell ref="A9:C9"/>
    <mergeCell ref="D9:E9"/>
    <mergeCell ref="F9:I9"/>
    <mergeCell ref="J9:K9"/>
    <mergeCell ref="L9:N9"/>
    <mergeCell ref="O9:P9"/>
    <mergeCell ref="O8:P8"/>
    <mergeCell ref="D1:M2"/>
    <mergeCell ref="A3:P5"/>
    <mergeCell ref="E6:L7"/>
    <mergeCell ref="M6:N6"/>
    <mergeCell ref="O6:P6"/>
    <mergeCell ref="M7:N7"/>
    <mergeCell ref="O7:P7"/>
  </mergeCells>
  <dataValidations count="2">
    <dataValidation type="list" allowBlank="1" showInputMessage="1" showErrorMessage="1" sqref="O9:P9" xr:uid="{00000000-0002-0000-0700-000000000000}">
      <formula1>$R$7:$R$9</formula1>
    </dataValidation>
    <dataValidation type="list" showInputMessage="1" showErrorMessage="1" sqref="D9:E9" xr:uid="{00000000-0002-0000-0700-000001000000}">
      <formula1>$R$4:$R$6</formula1>
    </dataValidation>
  </dataValidations>
  <hyperlinks>
    <hyperlink ref="O8:P8" location="'F Synthèse'!A1" display="F Synthèse" xr:uid="{00000000-0004-0000-07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U44"/>
  <sheetViews>
    <sheetView showGridLines="0" topLeftCell="A15" zoomScale="90" zoomScaleNormal="90" zoomScaleSheetLayoutView="85" workbookViewId="0">
      <selection activeCell="A2" sqref="A2"/>
    </sheetView>
  </sheetViews>
  <sheetFormatPr baseColWidth="10" defaultColWidth="11.42578125" defaultRowHeight="15.75" x14ac:dyDescent="0.25"/>
  <cols>
    <col min="1" max="12" width="14.7109375" style="5" customWidth="1"/>
    <col min="13" max="16" width="12.7109375"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55</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54</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110.25" customHeight="1" thickBot="1" x14ac:dyDescent="0.3">
      <c r="A11" s="423" t="s">
        <v>177</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436" t="s">
        <v>73</v>
      </c>
      <c r="B13" s="437"/>
      <c r="C13" s="437"/>
      <c r="D13" s="437"/>
      <c r="E13" s="437"/>
      <c r="F13" s="437"/>
      <c r="G13" s="437"/>
      <c r="H13" s="437"/>
      <c r="I13" s="437"/>
      <c r="J13" s="437"/>
      <c r="K13" s="437"/>
      <c r="L13" s="437"/>
      <c r="M13" s="437"/>
      <c r="N13" s="437"/>
      <c r="O13" s="437"/>
      <c r="P13" s="438"/>
      <c r="R13" s="5"/>
    </row>
    <row r="14" spans="1:21" s="24" customFormat="1" ht="60" customHeight="1" thickBot="1" x14ac:dyDescent="0.25">
      <c r="A14" s="429"/>
      <c r="B14" s="430"/>
      <c r="C14" s="430"/>
      <c r="D14" s="430"/>
      <c r="E14" s="430"/>
      <c r="F14" s="430"/>
      <c r="G14" s="430"/>
      <c r="H14" s="430"/>
      <c r="I14" s="430"/>
      <c r="J14" s="430"/>
      <c r="K14" s="430"/>
      <c r="L14" s="430"/>
      <c r="M14" s="430"/>
      <c r="N14" s="430"/>
      <c r="O14" s="430"/>
      <c r="P14" s="431"/>
      <c r="R14" s="5"/>
    </row>
    <row r="15" spans="1:21" x14ac:dyDescent="0.25">
      <c r="A15" s="50" t="s">
        <v>178</v>
      </c>
      <c r="B15" s="59"/>
      <c r="C15" s="59"/>
      <c r="D15" s="59"/>
      <c r="E15" s="59"/>
      <c r="F15" s="59"/>
      <c r="G15" s="59"/>
      <c r="P15" s="75"/>
    </row>
    <row r="16" spans="1:21" s="24" customFormat="1" ht="9.9499999999999993" customHeight="1" x14ac:dyDescent="0.2">
      <c r="A16" s="462"/>
      <c r="B16" s="463"/>
      <c r="C16" s="463"/>
      <c r="D16" s="463"/>
      <c r="E16" s="463"/>
      <c r="F16" s="463"/>
      <c r="G16" s="463"/>
      <c r="H16" s="463"/>
      <c r="I16" s="463"/>
      <c r="J16" s="463"/>
      <c r="K16" s="463"/>
      <c r="L16" s="463"/>
      <c r="M16" s="463"/>
      <c r="N16" s="463"/>
      <c r="O16" s="463"/>
      <c r="P16" s="464"/>
      <c r="R16" s="5"/>
    </row>
    <row r="17" spans="1:18" s="24" customFormat="1" ht="9.9499999999999993" customHeight="1" x14ac:dyDescent="0.2">
      <c r="A17" s="462"/>
      <c r="B17" s="463"/>
      <c r="C17" s="463"/>
      <c r="D17" s="463"/>
      <c r="E17" s="463"/>
      <c r="F17" s="463"/>
      <c r="G17" s="463"/>
      <c r="H17" s="463"/>
      <c r="I17" s="463"/>
      <c r="J17" s="463"/>
      <c r="K17" s="463"/>
      <c r="L17" s="463"/>
      <c r="M17" s="463"/>
      <c r="N17" s="463"/>
      <c r="O17" s="463"/>
      <c r="P17" s="464"/>
      <c r="R17" s="5"/>
    </row>
    <row r="18" spans="1:18" s="24" customFormat="1" ht="9.9499999999999993" customHeight="1" x14ac:dyDescent="0.2">
      <c r="A18" s="462"/>
      <c r="B18" s="463"/>
      <c r="C18" s="463"/>
      <c r="D18" s="463"/>
      <c r="E18" s="463"/>
      <c r="F18" s="463"/>
      <c r="G18" s="463"/>
      <c r="H18" s="463"/>
      <c r="I18" s="463"/>
      <c r="J18" s="463"/>
      <c r="K18" s="463"/>
      <c r="L18" s="463"/>
      <c r="M18" s="463"/>
      <c r="N18" s="463"/>
      <c r="O18" s="463"/>
      <c r="P18" s="464"/>
      <c r="R18" s="5"/>
    </row>
    <row r="19" spans="1:18" s="24" customFormat="1" ht="9.9499999999999993" customHeight="1" x14ac:dyDescent="0.2">
      <c r="A19" s="462"/>
      <c r="B19" s="463"/>
      <c r="C19" s="463"/>
      <c r="D19" s="463"/>
      <c r="E19" s="463"/>
      <c r="F19" s="463"/>
      <c r="G19" s="463"/>
      <c r="H19" s="463"/>
      <c r="I19" s="463"/>
      <c r="J19" s="463"/>
      <c r="K19" s="463"/>
      <c r="L19" s="463"/>
      <c r="M19" s="463"/>
      <c r="N19" s="463"/>
      <c r="O19" s="463"/>
      <c r="P19" s="464"/>
      <c r="R19" s="5"/>
    </row>
    <row r="20" spans="1:18" s="24" customFormat="1" ht="9.9499999999999993" customHeight="1" x14ac:dyDescent="0.2">
      <c r="A20" s="462"/>
      <c r="B20" s="463"/>
      <c r="C20" s="463"/>
      <c r="D20" s="463"/>
      <c r="E20" s="463"/>
      <c r="F20" s="463"/>
      <c r="G20" s="463"/>
      <c r="H20" s="463"/>
      <c r="I20" s="463"/>
      <c r="J20" s="463"/>
      <c r="K20" s="463"/>
      <c r="L20" s="463"/>
      <c r="M20" s="463"/>
      <c r="N20" s="463"/>
      <c r="O20" s="463"/>
      <c r="P20" s="464"/>
      <c r="R20" s="5"/>
    </row>
    <row r="21" spans="1:18" s="24" customFormat="1" ht="9.9499999999999993" customHeight="1" x14ac:dyDescent="0.2">
      <c r="A21" s="462"/>
      <c r="B21" s="463"/>
      <c r="C21" s="463"/>
      <c r="D21" s="463"/>
      <c r="E21" s="463"/>
      <c r="F21" s="463"/>
      <c r="G21" s="463"/>
      <c r="H21" s="463"/>
      <c r="I21" s="463"/>
      <c r="J21" s="463"/>
      <c r="K21" s="463"/>
      <c r="L21" s="463"/>
      <c r="M21" s="463"/>
      <c r="N21" s="463"/>
      <c r="O21" s="463"/>
      <c r="P21" s="464"/>
      <c r="R21" s="5"/>
    </row>
    <row r="22" spans="1:18" s="24" customFormat="1" ht="9.9499999999999993" customHeight="1" x14ac:dyDescent="0.2">
      <c r="A22" s="462"/>
      <c r="B22" s="463"/>
      <c r="C22" s="463"/>
      <c r="D22" s="463"/>
      <c r="E22" s="463"/>
      <c r="F22" s="463"/>
      <c r="G22" s="463"/>
      <c r="H22" s="463"/>
      <c r="I22" s="463"/>
      <c r="J22" s="463"/>
      <c r="K22" s="463"/>
      <c r="L22" s="463"/>
      <c r="M22" s="463"/>
      <c r="N22" s="463"/>
      <c r="O22" s="463"/>
      <c r="P22" s="464"/>
      <c r="R22" s="5"/>
    </row>
    <row r="23" spans="1:18" s="24" customFormat="1" ht="9.9499999999999993" customHeight="1" x14ac:dyDescent="0.2">
      <c r="A23" s="462"/>
      <c r="B23" s="463"/>
      <c r="C23" s="463"/>
      <c r="D23" s="463"/>
      <c r="E23" s="463"/>
      <c r="F23" s="463"/>
      <c r="G23" s="463"/>
      <c r="H23" s="463"/>
      <c r="I23" s="463"/>
      <c r="J23" s="463"/>
      <c r="K23" s="463"/>
      <c r="L23" s="463"/>
      <c r="M23" s="463"/>
      <c r="N23" s="463"/>
      <c r="O23" s="463"/>
      <c r="P23" s="464"/>
      <c r="R23" s="5"/>
    </row>
    <row r="24" spans="1:18" s="24" customFormat="1" ht="9.9499999999999993" customHeight="1" x14ac:dyDescent="0.2">
      <c r="A24" s="462"/>
      <c r="B24" s="463"/>
      <c r="C24" s="463"/>
      <c r="D24" s="463"/>
      <c r="E24" s="463"/>
      <c r="F24" s="463"/>
      <c r="G24" s="463"/>
      <c r="H24" s="463"/>
      <c r="I24" s="463"/>
      <c r="J24" s="463"/>
      <c r="K24" s="463"/>
      <c r="L24" s="463"/>
      <c r="M24" s="463"/>
      <c r="N24" s="463"/>
      <c r="O24" s="463"/>
      <c r="P24" s="464"/>
      <c r="R24" s="5"/>
    </row>
    <row r="25" spans="1:18" s="24" customFormat="1" ht="9.9499999999999993" customHeight="1" x14ac:dyDescent="0.2">
      <c r="A25" s="462"/>
      <c r="B25" s="463"/>
      <c r="C25" s="463"/>
      <c r="D25" s="463"/>
      <c r="E25" s="463"/>
      <c r="F25" s="463"/>
      <c r="G25" s="463"/>
      <c r="H25" s="463"/>
      <c r="I25" s="463"/>
      <c r="J25" s="463"/>
      <c r="K25" s="463"/>
      <c r="L25" s="463"/>
      <c r="M25" s="463"/>
      <c r="N25" s="463"/>
      <c r="O25" s="463"/>
      <c r="P25" s="464"/>
      <c r="R25" s="5"/>
    </row>
    <row r="26" spans="1:18" s="24" customFormat="1" ht="9.9499999999999993" customHeight="1" x14ac:dyDescent="0.2">
      <c r="A26" s="462"/>
      <c r="B26" s="463"/>
      <c r="C26" s="463"/>
      <c r="D26" s="463"/>
      <c r="E26" s="463"/>
      <c r="F26" s="463"/>
      <c r="G26" s="463"/>
      <c r="H26" s="463"/>
      <c r="I26" s="463"/>
      <c r="J26" s="463"/>
      <c r="K26" s="463"/>
      <c r="L26" s="463"/>
      <c r="M26" s="463"/>
      <c r="N26" s="463"/>
      <c r="O26" s="463"/>
      <c r="P26" s="464"/>
      <c r="R26" s="5"/>
    </row>
    <row r="27" spans="1:18" s="24" customFormat="1" ht="9.9499999999999993" customHeight="1" x14ac:dyDescent="0.2">
      <c r="A27" s="462"/>
      <c r="B27" s="463"/>
      <c r="C27" s="463"/>
      <c r="D27" s="463"/>
      <c r="E27" s="463"/>
      <c r="F27" s="463"/>
      <c r="G27" s="463"/>
      <c r="H27" s="463"/>
      <c r="I27" s="463"/>
      <c r="J27" s="463"/>
      <c r="K27" s="463"/>
      <c r="L27" s="463"/>
      <c r="M27" s="463"/>
      <c r="N27" s="463"/>
      <c r="O27" s="463"/>
      <c r="P27" s="464"/>
      <c r="R27" s="5"/>
    </row>
    <row r="28" spans="1:18" s="24" customFormat="1" ht="9.9499999999999993" customHeight="1" x14ac:dyDescent="0.2">
      <c r="A28" s="462"/>
      <c r="B28" s="463"/>
      <c r="C28" s="463"/>
      <c r="D28" s="463"/>
      <c r="E28" s="463"/>
      <c r="F28" s="463"/>
      <c r="G28" s="463"/>
      <c r="H28" s="463"/>
      <c r="I28" s="463"/>
      <c r="J28" s="463"/>
      <c r="K28" s="463"/>
      <c r="L28" s="463"/>
      <c r="M28" s="463"/>
      <c r="N28" s="463"/>
      <c r="O28" s="463"/>
      <c r="P28" s="464"/>
      <c r="R28" s="5"/>
    </row>
    <row r="29" spans="1:18" ht="17.25" thickBot="1" x14ac:dyDescent="0.35">
      <c r="A29" s="345"/>
      <c r="B29" s="346"/>
      <c r="C29" s="346"/>
      <c r="D29" s="346"/>
      <c r="E29" s="346"/>
      <c r="F29" s="346"/>
      <c r="G29" s="346"/>
      <c r="H29" s="28"/>
      <c r="I29" s="28"/>
      <c r="J29" s="28"/>
      <c r="K29" s="28"/>
      <c r="L29" s="28"/>
      <c r="M29" s="28"/>
      <c r="N29" s="28"/>
      <c r="O29" s="28"/>
      <c r="P29" s="29"/>
    </row>
    <row r="30" spans="1:18" x14ac:dyDescent="0.25">
      <c r="A30" s="50" t="s">
        <v>123</v>
      </c>
      <c r="B30" s="59"/>
      <c r="C30" s="59"/>
      <c r="D30" s="59"/>
      <c r="E30" s="59"/>
      <c r="F30" s="59"/>
      <c r="G30" s="59"/>
      <c r="P30" s="75"/>
    </row>
    <row r="31" spans="1:18" x14ac:dyDescent="0.25">
      <c r="A31" s="69"/>
      <c r="B31" s="59"/>
      <c r="C31" s="59"/>
      <c r="D31" s="59"/>
      <c r="E31" s="59"/>
      <c r="F31" s="59"/>
      <c r="G31" s="59"/>
      <c r="P31" s="75"/>
    </row>
    <row r="32" spans="1:18" s="134" customFormat="1" ht="55.5" customHeight="1" x14ac:dyDescent="0.2">
      <c r="A32" s="343"/>
      <c r="B32" s="337" t="s">
        <v>124</v>
      </c>
      <c r="C32" s="337" t="s">
        <v>125</v>
      </c>
      <c r="D32" s="337" t="s">
        <v>126</v>
      </c>
      <c r="E32" s="330" t="s">
        <v>127</v>
      </c>
      <c r="F32" s="337" t="s">
        <v>128</v>
      </c>
      <c r="G32" s="337" t="s">
        <v>129</v>
      </c>
      <c r="H32" s="337" t="s">
        <v>130</v>
      </c>
      <c r="I32" s="461" t="s">
        <v>121</v>
      </c>
      <c r="J32" s="461"/>
      <c r="K32" s="461"/>
      <c r="L32" s="337" t="s">
        <v>131</v>
      </c>
      <c r="P32" s="344"/>
    </row>
    <row r="33" spans="1:18" x14ac:dyDescent="0.25">
      <c r="A33" s="76"/>
      <c r="B33" s="331"/>
      <c r="C33" s="138"/>
      <c r="D33" s="236"/>
      <c r="E33" s="139"/>
      <c r="F33" s="237">
        <f>D33*C33</f>
        <v>0</v>
      </c>
      <c r="G33" s="236"/>
      <c r="H33" s="237">
        <f t="shared" ref="H33:H40" si="0">G33-F33</f>
        <v>0</v>
      </c>
      <c r="I33" s="460"/>
      <c r="J33" s="460"/>
      <c r="K33" s="460"/>
      <c r="L33" s="332"/>
      <c r="P33" s="75"/>
      <c r="R33" s="5"/>
    </row>
    <row r="34" spans="1:18" x14ac:dyDescent="0.25">
      <c r="A34" s="76"/>
      <c r="B34" s="331"/>
      <c r="C34" s="138"/>
      <c r="D34" s="236"/>
      <c r="E34" s="139"/>
      <c r="F34" s="237">
        <f t="shared" ref="F34:F39" si="1">D34*C34</f>
        <v>0</v>
      </c>
      <c r="G34" s="236"/>
      <c r="H34" s="237">
        <f t="shared" si="0"/>
        <v>0</v>
      </c>
      <c r="I34" s="460"/>
      <c r="J34" s="460"/>
      <c r="K34" s="460"/>
      <c r="L34" s="332"/>
      <c r="P34" s="75"/>
      <c r="R34" s="5"/>
    </row>
    <row r="35" spans="1:18" x14ac:dyDescent="0.25">
      <c r="A35" s="76"/>
      <c r="B35" s="331"/>
      <c r="C35" s="138"/>
      <c r="D35" s="236"/>
      <c r="E35" s="139"/>
      <c r="F35" s="237">
        <f t="shared" si="1"/>
        <v>0</v>
      </c>
      <c r="G35" s="236"/>
      <c r="H35" s="237">
        <f t="shared" si="0"/>
        <v>0</v>
      </c>
      <c r="I35" s="460"/>
      <c r="J35" s="460"/>
      <c r="K35" s="460"/>
      <c r="L35" s="332"/>
      <c r="P35" s="75"/>
      <c r="R35" s="5"/>
    </row>
    <row r="36" spans="1:18" x14ac:dyDescent="0.25">
      <c r="A36" s="76"/>
      <c r="B36" s="331"/>
      <c r="C36" s="138"/>
      <c r="D36" s="236"/>
      <c r="E36" s="139"/>
      <c r="F36" s="237">
        <f t="shared" si="1"/>
        <v>0</v>
      </c>
      <c r="G36" s="236"/>
      <c r="H36" s="237">
        <f t="shared" si="0"/>
        <v>0</v>
      </c>
      <c r="I36" s="460"/>
      <c r="J36" s="460"/>
      <c r="K36" s="460"/>
      <c r="L36" s="332"/>
      <c r="P36" s="75"/>
      <c r="R36" s="5"/>
    </row>
    <row r="37" spans="1:18" x14ac:dyDescent="0.25">
      <c r="A37" s="76"/>
      <c r="B37" s="331"/>
      <c r="C37" s="138"/>
      <c r="D37" s="236"/>
      <c r="E37" s="139"/>
      <c r="F37" s="237">
        <f t="shared" si="1"/>
        <v>0</v>
      </c>
      <c r="G37" s="236"/>
      <c r="H37" s="237">
        <f t="shared" si="0"/>
        <v>0</v>
      </c>
      <c r="I37" s="460"/>
      <c r="J37" s="460"/>
      <c r="K37" s="460"/>
      <c r="L37" s="332"/>
      <c r="P37" s="75"/>
      <c r="R37" s="5"/>
    </row>
    <row r="38" spans="1:18" x14ac:dyDescent="0.25">
      <c r="A38" s="76"/>
      <c r="B38" s="331"/>
      <c r="C38" s="138"/>
      <c r="D38" s="236"/>
      <c r="E38" s="139"/>
      <c r="F38" s="237">
        <f t="shared" si="1"/>
        <v>0</v>
      </c>
      <c r="G38" s="236"/>
      <c r="H38" s="237">
        <f t="shared" si="0"/>
        <v>0</v>
      </c>
      <c r="I38" s="460"/>
      <c r="J38" s="460"/>
      <c r="K38" s="460"/>
      <c r="L38" s="332"/>
      <c r="P38" s="75"/>
      <c r="R38" s="5"/>
    </row>
    <row r="39" spans="1:18" x14ac:dyDescent="0.25">
      <c r="A39" s="76"/>
      <c r="B39" s="331"/>
      <c r="C39" s="138"/>
      <c r="D39" s="236"/>
      <c r="E39" s="139"/>
      <c r="F39" s="237">
        <f t="shared" si="1"/>
        <v>0</v>
      </c>
      <c r="G39" s="236"/>
      <c r="H39" s="237">
        <f t="shared" si="0"/>
        <v>0</v>
      </c>
      <c r="I39" s="460"/>
      <c r="J39" s="460"/>
      <c r="K39" s="460"/>
      <c r="L39" s="332"/>
      <c r="P39" s="75"/>
      <c r="R39" s="5"/>
    </row>
    <row r="40" spans="1:18" x14ac:dyDescent="0.25">
      <c r="A40" s="76"/>
      <c r="B40" s="333" t="s">
        <v>96</v>
      </c>
      <c r="C40" s="336"/>
      <c r="D40" s="334">
        <f>SUM(D33:D39)</f>
        <v>0</v>
      </c>
      <c r="E40" s="335"/>
      <c r="F40" s="334">
        <f>SUM(F33:F39)</f>
        <v>0</v>
      </c>
      <c r="G40" s="334">
        <f>SUM(G33:G39)</f>
        <v>0</v>
      </c>
      <c r="H40" s="334">
        <f t="shared" si="0"/>
        <v>0</v>
      </c>
      <c r="I40" s="465"/>
      <c r="J40" s="465"/>
      <c r="K40" s="465"/>
      <c r="L40" s="336"/>
      <c r="P40" s="75"/>
      <c r="R40" s="5"/>
    </row>
    <row r="41" spans="1:18" ht="16.5" thickBot="1" x14ac:dyDescent="0.3">
      <c r="A41" s="135"/>
      <c r="B41" s="111"/>
      <c r="C41" s="111"/>
      <c r="D41" s="111"/>
      <c r="E41" s="111"/>
      <c r="F41" s="111"/>
      <c r="G41" s="111"/>
      <c r="H41" s="28"/>
      <c r="I41" s="28"/>
      <c r="J41" s="28"/>
      <c r="K41" s="28"/>
      <c r="L41" s="28"/>
      <c r="M41" s="28"/>
      <c r="N41" s="28"/>
      <c r="O41" s="28"/>
      <c r="P41" s="29"/>
    </row>
    <row r="42" spans="1:18" x14ac:dyDescent="0.25">
      <c r="A42" s="69"/>
      <c r="B42" s="59"/>
      <c r="C42" s="59"/>
      <c r="D42" s="59"/>
      <c r="E42" s="59"/>
      <c r="F42" s="59"/>
      <c r="G42" s="59"/>
    </row>
    <row r="43" spans="1:18" x14ac:dyDescent="0.25">
      <c r="A43" s="55"/>
      <c r="B43" s="59"/>
      <c r="C43" s="59"/>
      <c r="D43" s="59"/>
      <c r="E43" s="59"/>
      <c r="F43" s="59"/>
      <c r="G43" s="59"/>
    </row>
    <row r="44" spans="1:18" ht="16.5" x14ac:dyDescent="0.3">
      <c r="A44" s="40"/>
      <c r="B44" s="39"/>
      <c r="C44" s="39"/>
      <c r="D44" s="48"/>
      <c r="E44" s="49"/>
      <c r="F44" s="39"/>
      <c r="G44" s="39"/>
    </row>
  </sheetData>
  <sheetProtection formatCells="0" formatColumns="0" formatRows="0" insertColumns="0" insertRows="0" insertHyperlinks="0" deleteColumns="0" deleteRows="0" sort="0" autoFilter="0" pivotTables="0"/>
  <mergeCells count="27">
    <mergeCell ref="I39:K39"/>
    <mergeCell ref="I40:K40"/>
    <mergeCell ref="I34:K34"/>
    <mergeCell ref="I35:K35"/>
    <mergeCell ref="I36:K36"/>
    <mergeCell ref="I37:K37"/>
    <mergeCell ref="I38:K38"/>
    <mergeCell ref="L9:N9"/>
    <mergeCell ref="O8:P8"/>
    <mergeCell ref="O9:P9"/>
    <mergeCell ref="I33:K33"/>
    <mergeCell ref="I32:K32"/>
    <mergeCell ref="A16:P28"/>
    <mergeCell ref="A11:P11"/>
    <mergeCell ref="A13:P13"/>
    <mergeCell ref="A14:P14"/>
    <mergeCell ref="A9:C9"/>
    <mergeCell ref="D9:E9"/>
    <mergeCell ref="F9:I9"/>
    <mergeCell ref="J9:K9"/>
    <mergeCell ref="D1:M2"/>
    <mergeCell ref="A3:P5"/>
    <mergeCell ref="E6:L7"/>
    <mergeCell ref="M6:N6"/>
    <mergeCell ref="O6:P6"/>
    <mergeCell ref="M7:N7"/>
    <mergeCell ref="O7:P7"/>
  </mergeCells>
  <dataValidations count="2">
    <dataValidation type="list" showInputMessage="1" showErrorMessage="1" sqref="D9:E9" xr:uid="{00000000-0002-0000-0800-000000000000}">
      <formula1>$R$4:$R$6</formula1>
    </dataValidation>
    <dataValidation type="list" allowBlank="1" showInputMessage="1" showErrorMessage="1" sqref="O9:P9" xr:uid="{00000000-0002-0000-0800-000001000000}">
      <formula1>$R$7:$R$9</formula1>
    </dataValidation>
  </dataValidations>
  <hyperlinks>
    <hyperlink ref="O8:P8" location="'F Synthèse'!A1" display="F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U67"/>
  <sheetViews>
    <sheetView showGridLines="0" zoomScale="90" zoomScaleNormal="90" zoomScaleSheetLayoutView="85" workbookViewId="0"/>
  </sheetViews>
  <sheetFormatPr baseColWidth="10" defaultColWidth="11.42578125" defaultRowHeight="15.75" x14ac:dyDescent="0.25"/>
  <cols>
    <col min="1" max="10" width="14.7109375" style="5" customWidth="1"/>
    <col min="11" max="16" width="13.42578125"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59</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58</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156" customHeight="1" thickBot="1" x14ac:dyDescent="0.3">
      <c r="A11" s="423" t="s">
        <v>132</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436" t="s">
        <v>73</v>
      </c>
      <c r="B13" s="437"/>
      <c r="C13" s="437"/>
      <c r="D13" s="437"/>
      <c r="E13" s="437"/>
      <c r="F13" s="437"/>
      <c r="G13" s="437"/>
      <c r="H13" s="437"/>
      <c r="I13" s="437"/>
      <c r="J13" s="437"/>
      <c r="K13" s="437"/>
      <c r="L13" s="437"/>
      <c r="M13" s="437"/>
      <c r="N13" s="437"/>
      <c r="O13" s="437"/>
      <c r="P13" s="438"/>
      <c r="R13" s="5"/>
    </row>
    <row r="14" spans="1:21" s="24" customFormat="1" ht="122.25" customHeight="1" thickBot="1" x14ac:dyDescent="0.25">
      <c r="A14" s="429"/>
      <c r="B14" s="430"/>
      <c r="C14" s="430"/>
      <c r="D14" s="430"/>
      <c r="E14" s="430"/>
      <c r="F14" s="430"/>
      <c r="G14" s="430"/>
      <c r="H14" s="430"/>
      <c r="I14" s="430"/>
      <c r="J14" s="430"/>
      <c r="K14" s="430"/>
      <c r="L14" s="430"/>
      <c r="M14" s="430"/>
      <c r="N14" s="430"/>
      <c r="O14" s="430"/>
      <c r="P14" s="431"/>
      <c r="R14" s="5"/>
    </row>
    <row r="15" spans="1:21" s="24" customFormat="1" ht="21" customHeight="1" thickBot="1" x14ac:dyDescent="0.25">
      <c r="R15" s="5"/>
    </row>
    <row r="16" spans="1:21" x14ac:dyDescent="0.25">
      <c r="A16" s="41"/>
      <c r="B16" s="42"/>
      <c r="C16" s="42"/>
      <c r="D16" s="42"/>
      <c r="E16" s="42"/>
      <c r="F16" s="42"/>
      <c r="G16" s="42"/>
      <c r="H16" s="42"/>
      <c r="I16" s="42"/>
      <c r="J16" s="42"/>
      <c r="K16" s="42"/>
      <c r="L16" s="42"/>
      <c r="M16" s="42"/>
      <c r="N16" s="42"/>
      <c r="O16" s="42"/>
      <c r="P16" s="43"/>
      <c r="R16" s="26"/>
    </row>
    <row r="17" spans="1:18" x14ac:dyDescent="0.25">
      <c r="A17" s="50" t="s">
        <v>133</v>
      </c>
      <c r="B17" s="51"/>
      <c r="C17" s="52"/>
      <c r="D17" s="53"/>
      <c r="E17" s="53"/>
      <c r="F17" s="53"/>
      <c r="G17" s="53"/>
      <c r="H17" s="59"/>
      <c r="P17" s="75"/>
    </row>
    <row r="18" spans="1:18" x14ac:dyDescent="0.25">
      <c r="A18" s="55"/>
      <c r="B18" s="51"/>
      <c r="C18" s="52"/>
      <c r="D18" s="53"/>
      <c r="E18" s="53"/>
      <c r="F18" s="53"/>
      <c r="G18" s="53"/>
      <c r="P18" s="75"/>
    </row>
    <row r="19" spans="1:18" ht="39" customHeight="1" x14ac:dyDescent="0.25">
      <c r="B19" s="238"/>
      <c r="C19" s="255" t="s">
        <v>134</v>
      </c>
      <c r="D19" s="190" t="s">
        <v>135</v>
      </c>
      <c r="E19" s="190" t="s">
        <v>136</v>
      </c>
      <c r="F19" s="190" t="s">
        <v>137</v>
      </c>
      <c r="G19" s="189" t="s">
        <v>138</v>
      </c>
      <c r="H19" s="189" t="s">
        <v>139</v>
      </c>
      <c r="I19" s="189" t="s">
        <v>140</v>
      </c>
      <c r="J19" s="84" t="s">
        <v>87</v>
      </c>
      <c r="L19" s="25"/>
      <c r="P19" s="75"/>
      <c r="R19" s="5"/>
    </row>
    <row r="20" spans="1:18" x14ac:dyDescent="0.25">
      <c r="B20" s="239"/>
      <c r="C20" s="240"/>
      <c r="D20" s="198"/>
      <c r="E20" s="245"/>
      <c r="F20" s="245"/>
      <c r="G20" s="248">
        <f>F20-E20</f>
        <v>0</v>
      </c>
      <c r="H20" s="250"/>
      <c r="I20" s="251">
        <f>IF(G20&gt;0,"RAS",G20)</f>
        <v>0</v>
      </c>
      <c r="J20" s="85"/>
      <c r="L20" s="25"/>
      <c r="P20" s="75"/>
      <c r="R20" s="5"/>
    </row>
    <row r="21" spans="1:18" x14ac:dyDescent="0.25">
      <c r="B21" s="239"/>
      <c r="C21" s="241"/>
      <c r="D21" s="197"/>
      <c r="E21" s="244"/>
      <c r="F21" s="244"/>
      <c r="G21" s="247">
        <f>F21-E21</f>
        <v>0</v>
      </c>
      <c r="H21" s="249"/>
      <c r="I21" s="252">
        <f>IF(G21&gt;0,"RAS",G21)</f>
        <v>0</v>
      </c>
      <c r="J21" s="86"/>
      <c r="L21" s="25"/>
      <c r="P21" s="75"/>
      <c r="R21" s="5"/>
    </row>
    <row r="22" spans="1:18" x14ac:dyDescent="0.25">
      <c r="B22" s="239"/>
      <c r="C22" s="241"/>
      <c r="D22" s="197"/>
      <c r="E22" s="244"/>
      <c r="F22" s="244"/>
      <c r="G22" s="247">
        <f>F22-E22</f>
        <v>0</v>
      </c>
      <c r="H22" s="249"/>
      <c r="I22" s="252">
        <f>IF(G22&gt;0,"RAS",G22)</f>
        <v>0</v>
      </c>
      <c r="J22" s="86"/>
      <c r="L22" s="25"/>
      <c r="P22" s="75"/>
      <c r="R22" s="5"/>
    </row>
    <row r="23" spans="1:18" x14ac:dyDescent="0.25">
      <c r="B23" s="239"/>
      <c r="C23" s="241"/>
      <c r="D23" s="197"/>
      <c r="E23" s="244"/>
      <c r="F23" s="244"/>
      <c r="G23" s="247">
        <f>F23-E23</f>
        <v>0</v>
      </c>
      <c r="H23" s="249"/>
      <c r="I23" s="252">
        <f>IF(G23&gt;0,"RAS",G23)</f>
        <v>0</v>
      </c>
      <c r="J23" s="86"/>
      <c r="L23" s="25"/>
      <c r="P23" s="75"/>
      <c r="R23" s="5"/>
    </row>
    <row r="24" spans="1:18" x14ac:dyDescent="0.25">
      <c r="B24" s="239"/>
      <c r="C24" s="242"/>
      <c r="D24" s="196"/>
      <c r="E24" s="243"/>
      <c r="F24" s="243"/>
      <c r="G24" s="246">
        <f>F24-E24</f>
        <v>0</v>
      </c>
      <c r="H24" s="253"/>
      <c r="I24" s="254">
        <f>IF(G24&gt;0,"RAS",G24)</f>
        <v>0</v>
      </c>
      <c r="J24" s="87"/>
      <c r="L24" s="25"/>
      <c r="P24" s="75"/>
      <c r="R24" s="5"/>
    </row>
    <row r="25" spans="1:18" x14ac:dyDescent="0.25">
      <c r="A25" s="56"/>
      <c r="D25" s="57"/>
      <c r="H25" s="256" t="s">
        <v>141</v>
      </c>
      <c r="I25" s="257">
        <f>SUM(I20:I24)</f>
        <v>0</v>
      </c>
      <c r="P25" s="75"/>
      <c r="R25" s="5"/>
    </row>
    <row r="26" spans="1:18" ht="9" customHeight="1" x14ac:dyDescent="0.25">
      <c r="A26" s="56"/>
      <c r="D26" s="57"/>
      <c r="H26" s="60"/>
      <c r="I26" s="60"/>
      <c r="P26" s="75"/>
      <c r="R26" s="5"/>
    </row>
    <row r="27" spans="1:18" x14ac:dyDescent="0.25">
      <c r="A27" s="56"/>
      <c r="D27" s="57"/>
      <c r="H27" s="256" t="s">
        <v>142</v>
      </c>
      <c r="I27" s="202"/>
      <c r="P27" s="75"/>
      <c r="R27" s="5"/>
    </row>
    <row r="28" spans="1:18" ht="9" customHeight="1" x14ac:dyDescent="0.25">
      <c r="A28" s="56"/>
      <c r="D28" s="57"/>
      <c r="H28" s="53"/>
      <c r="I28" s="53"/>
      <c r="P28" s="75"/>
      <c r="R28" s="5"/>
    </row>
    <row r="29" spans="1:18" x14ac:dyDescent="0.25">
      <c r="A29" s="56"/>
      <c r="D29" s="57"/>
      <c r="H29" s="256" t="s">
        <v>143</v>
      </c>
      <c r="I29" s="257">
        <f>I25-I27</f>
        <v>0</v>
      </c>
      <c r="P29" s="75"/>
      <c r="R29" s="5"/>
    </row>
    <row r="30" spans="1:18" x14ac:dyDescent="0.25">
      <c r="A30" s="56"/>
      <c r="B30" s="57"/>
      <c r="C30" s="61"/>
      <c r="D30" s="61"/>
      <c r="E30" s="62"/>
      <c r="F30" s="53"/>
      <c r="G30" s="53"/>
      <c r="H30" s="59"/>
      <c r="P30" s="75"/>
    </row>
    <row r="31" spans="1:18" x14ac:dyDescent="0.2">
      <c r="A31" s="76"/>
      <c r="P31" s="75"/>
      <c r="R31" s="5"/>
    </row>
    <row r="32" spans="1:18" ht="75" customHeight="1" x14ac:dyDescent="0.2">
      <c r="A32" s="466" t="s">
        <v>121</v>
      </c>
      <c r="B32" s="467"/>
      <c r="C32" s="467"/>
      <c r="D32" s="467"/>
      <c r="E32" s="467"/>
      <c r="F32" s="467"/>
      <c r="G32" s="467"/>
      <c r="H32" s="467"/>
      <c r="I32" s="467"/>
      <c r="J32" s="467"/>
      <c r="K32" s="467"/>
      <c r="L32" s="467"/>
      <c r="M32" s="467"/>
      <c r="N32" s="467"/>
      <c r="O32" s="467"/>
      <c r="P32" s="468"/>
      <c r="R32" s="5"/>
    </row>
    <row r="33" spans="1:18" ht="16.5" thickBot="1" x14ac:dyDescent="0.25">
      <c r="A33" s="27"/>
      <c r="B33" s="28"/>
      <c r="C33" s="28"/>
      <c r="D33" s="28"/>
      <c r="E33" s="28"/>
      <c r="F33" s="28"/>
      <c r="G33" s="28"/>
      <c r="H33" s="28"/>
      <c r="I33" s="28"/>
      <c r="J33" s="28"/>
      <c r="K33" s="28"/>
      <c r="L33" s="28"/>
      <c r="M33" s="28"/>
      <c r="N33" s="28"/>
      <c r="O33" s="28"/>
      <c r="P33" s="29"/>
      <c r="R33" s="5"/>
    </row>
    <row r="34" spans="1:18" x14ac:dyDescent="0.2">
      <c r="R34" s="5"/>
    </row>
    <row r="35" spans="1:18" ht="16.5" thickBot="1" x14ac:dyDescent="0.25">
      <c r="R35" s="5"/>
    </row>
    <row r="36" spans="1:18" x14ac:dyDescent="0.25">
      <c r="A36" s="78"/>
      <c r="B36" s="79"/>
      <c r="C36" s="80"/>
      <c r="D36" s="81"/>
      <c r="E36" s="81"/>
      <c r="F36" s="81"/>
      <c r="G36" s="81"/>
      <c r="H36" s="82"/>
      <c r="I36" s="42"/>
      <c r="J36" s="42"/>
      <c r="K36" s="83"/>
      <c r="L36" s="42"/>
      <c r="M36" s="42"/>
      <c r="N36" s="42"/>
      <c r="O36" s="42"/>
      <c r="P36" s="43"/>
    </row>
    <row r="37" spans="1:18" x14ac:dyDescent="0.25">
      <c r="A37" s="50" t="s">
        <v>144</v>
      </c>
      <c r="B37" s="61"/>
      <c r="C37" s="64"/>
      <c r="D37" s="53"/>
      <c r="E37" s="53"/>
      <c r="F37" s="53"/>
      <c r="G37" s="53"/>
      <c r="H37" s="59"/>
      <c r="P37" s="75"/>
    </row>
    <row r="38" spans="1:18" x14ac:dyDescent="0.25">
      <c r="A38" s="55"/>
      <c r="B38" s="61"/>
      <c r="C38" s="64"/>
      <c r="D38" s="53"/>
      <c r="E38" s="53"/>
      <c r="F38" s="53"/>
      <c r="G38" s="53"/>
      <c r="H38" s="59"/>
      <c r="P38" s="75"/>
    </row>
    <row r="39" spans="1:18" x14ac:dyDescent="0.25">
      <c r="A39" s="469" t="s">
        <v>145</v>
      </c>
      <c r="B39" s="470"/>
      <c r="C39" s="470"/>
      <c r="D39" s="470"/>
      <c r="E39" s="65"/>
      <c r="F39" s="65"/>
      <c r="G39" s="65"/>
      <c r="H39" s="74"/>
      <c r="P39" s="75"/>
    </row>
    <row r="40" spans="1:18" x14ac:dyDescent="0.25">
      <c r="A40" s="66"/>
      <c r="B40" s="61"/>
      <c r="C40" s="64"/>
      <c r="D40" s="53"/>
      <c r="E40" s="53"/>
      <c r="F40" s="53"/>
      <c r="G40" s="53"/>
      <c r="H40" s="59"/>
      <c r="P40" s="75"/>
    </row>
    <row r="41" spans="1:18" ht="39" customHeight="1" x14ac:dyDescent="0.25">
      <c r="A41" s="76"/>
      <c r="B41" s="277" t="s">
        <v>146</v>
      </c>
      <c r="C41" s="277" t="s">
        <v>147</v>
      </c>
      <c r="D41" s="277" t="s">
        <v>148</v>
      </c>
      <c r="E41" s="277" t="s">
        <v>96</v>
      </c>
      <c r="F41" s="88" t="s">
        <v>87</v>
      </c>
      <c r="L41" s="25"/>
      <c r="P41" s="75"/>
      <c r="R41" s="5"/>
    </row>
    <row r="42" spans="1:18" x14ac:dyDescent="0.25">
      <c r="A42" s="76"/>
      <c r="B42" s="240"/>
      <c r="C42" s="259"/>
      <c r="D42" s="259"/>
      <c r="E42" s="264">
        <f>C42*D42</f>
        <v>0</v>
      </c>
      <c r="F42" s="89"/>
      <c r="L42" s="25"/>
      <c r="P42" s="75"/>
      <c r="R42" s="5"/>
    </row>
    <row r="43" spans="1:18" x14ac:dyDescent="0.25">
      <c r="A43" s="76"/>
      <c r="B43" s="241"/>
      <c r="C43" s="260"/>
      <c r="D43" s="260"/>
      <c r="E43" s="204">
        <f>C43*D43</f>
        <v>0</v>
      </c>
      <c r="F43" s="90"/>
      <c r="L43" s="25"/>
      <c r="P43" s="75"/>
      <c r="R43" s="5"/>
    </row>
    <row r="44" spans="1:18" x14ac:dyDescent="0.25">
      <c r="A44" s="76"/>
      <c r="B44" s="242"/>
      <c r="C44" s="258"/>
      <c r="D44" s="258"/>
      <c r="E44" s="263">
        <f>C44*D44</f>
        <v>0</v>
      </c>
      <c r="F44" s="91"/>
      <c r="L44" s="25"/>
      <c r="P44" s="75"/>
      <c r="R44" s="5"/>
    </row>
    <row r="45" spans="1:18" x14ac:dyDescent="0.25">
      <c r="A45" s="76"/>
      <c r="B45" s="77"/>
      <c r="C45" s="70"/>
      <c r="D45" s="261" t="s">
        <v>149</v>
      </c>
      <c r="E45" s="203">
        <f>SUM(E42:E44)</f>
        <v>0</v>
      </c>
      <c r="F45" s="68"/>
      <c r="L45" s="25"/>
      <c r="P45" s="75"/>
      <c r="R45" s="5"/>
    </row>
    <row r="46" spans="1:18" ht="9" customHeight="1" x14ac:dyDescent="0.25">
      <c r="A46" s="76"/>
      <c r="B46" s="77"/>
      <c r="C46" s="70"/>
      <c r="D46" s="71"/>
      <c r="E46" s="70"/>
      <c r="F46" s="68"/>
      <c r="L46" s="25"/>
      <c r="P46" s="75"/>
      <c r="R46" s="5"/>
    </row>
    <row r="47" spans="1:18" x14ac:dyDescent="0.25">
      <c r="A47" s="76"/>
      <c r="B47" s="77"/>
      <c r="C47" s="70"/>
      <c r="D47" s="262" t="s">
        <v>150</v>
      </c>
      <c r="E47" s="202"/>
      <c r="F47" s="68"/>
      <c r="L47" s="25"/>
      <c r="P47" s="75"/>
      <c r="R47" s="5"/>
    </row>
    <row r="48" spans="1:18" ht="9" customHeight="1" x14ac:dyDescent="0.25">
      <c r="A48" s="76"/>
      <c r="B48" s="77"/>
      <c r="C48" s="70"/>
      <c r="D48" s="71"/>
      <c r="E48" s="70"/>
      <c r="F48" s="68"/>
      <c r="L48" s="25"/>
      <c r="P48" s="75"/>
      <c r="R48" s="5"/>
    </row>
    <row r="49" spans="1:18" x14ac:dyDescent="0.25">
      <c r="A49" s="76"/>
      <c r="B49" s="77"/>
      <c r="C49" s="70"/>
      <c r="D49" s="262" t="s">
        <v>151</v>
      </c>
      <c r="E49" s="203" t="e">
        <f>E45/E47</f>
        <v>#DIV/0!</v>
      </c>
      <c r="F49" s="68"/>
      <c r="L49" s="25"/>
      <c r="P49" s="75"/>
      <c r="R49" s="5"/>
    </row>
    <row r="50" spans="1:18" x14ac:dyDescent="0.25">
      <c r="A50" s="69"/>
      <c r="B50" s="72"/>
      <c r="C50" s="68"/>
      <c r="D50" s="68"/>
      <c r="E50" s="68"/>
      <c r="F50" s="67"/>
      <c r="G50" s="68"/>
      <c r="H50" s="68"/>
      <c r="P50" s="75"/>
    </row>
    <row r="51" spans="1:18" x14ac:dyDescent="0.25">
      <c r="A51" s="469" t="s">
        <v>152</v>
      </c>
      <c r="B51" s="470"/>
      <c r="C51" s="470"/>
      <c r="D51" s="470"/>
      <c r="E51" s="68"/>
      <c r="F51" s="67"/>
      <c r="G51" s="68"/>
      <c r="H51" s="68"/>
      <c r="P51" s="75"/>
    </row>
    <row r="52" spans="1:18" x14ac:dyDescent="0.25">
      <c r="A52" s="69"/>
      <c r="B52" s="72"/>
      <c r="C52" s="68"/>
      <c r="D52" s="68"/>
      <c r="E52" s="68"/>
      <c r="F52" s="67"/>
      <c r="G52" s="68"/>
      <c r="H52" s="68"/>
      <c r="P52" s="75"/>
    </row>
    <row r="53" spans="1:18" ht="39" customHeight="1" x14ac:dyDescent="0.25">
      <c r="A53" s="76"/>
      <c r="B53" s="188" t="s">
        <v>146</v>
      </c>
      <c r="C53" s="188" t="s">
        <v>147</v>
      </c>
      <c r="D53" s="188" t="s">
        <v>148</v>
      </c>
      <c r="E53" s="188" t="s">
        <v>153</v>
      </c>
      <c r="F53" s="187" t="s">
        <v>154</v>
      </c>
      <c r="G53" s="92" t="s">
        <v>87</v>
      </c>
      <c r="K53" s="25"/>
      <c r="P53" s="75"/>
      <c r="R53" s="5"/>
    </row>
    <row r="54" spans="1:18" x14ac:dyDescent="0.25">
      <c r="A54" s="76"/>
      <c r="B54" s="267"/>
      <c r="C54" s="186"/>
      <c r="D54" s="186"/>
      <c r="E54" s="186"/>
      <c r="F54" s="185">
        <f>D54-E54</f>
        <v>0</v>
      </c>
      <c r="G54" s="89"/>
      <c r="K54" s="25"/>
      <c r="P54" s="75"/>
      <c r="R54" s="5"/>
    </row>
    <row r="55" spans="1:18" x14ac:dyDescent="0.25">
      <c r="A55" s="76"/>
      <c r="B55" s="241"/>
      <c r="C55" s="260"/>
      <c r="D55" s="260"/>
      <c r="E55" s="260"/>
      <c r="F55" s="266">
        <f>D55-E55</f>
        <v>0</v>
      </c>
      <c r="G55" s="90"/>
      <c r="K55" s="25"/>
      <c r="P55" s="75"/>
      <c r="R55" s="5"/>
    </row>
    <row r="56" spans="1:18" x14ac:dyDescent="0.25">
      <c r="A56" s="76"/>
      <c r="B56" s="242"/>
      <c r="C56" s="258"/>
      <c r="D56" s="258"/>
      <c r="E56" s="258"/>
      <c r="F56" s="263">
        <f>D56-E56</f>
        <v>0</v>
      </c>
      <c r="G56" s="91"/>
      <c r="K56" s="25"/>
      <c r="P56" s="75"/>
      <c r="R56" s="5"/>
    </row>
    <row r="57" spans="1:18" x14ac:dyDescent="0.25">
      <c r="A57" s="76"/>
      <c r="B57" s="77"/>
      <c r="C57" s="70"/>
      <c r="D57" s="218" t="s">
        <v>141</v>
      </c>
      <c r="E57" s="183" t="s">
        <v>155</v>
      </c>
      <c r="F57" s="202"/>
      <c r="G57" s="68"/>
      <c r="K57" s="25"/>
      <c r="P57" s="75"/>
      <c r="R57" s="5"/>
    </row>
    <row r="58" spans="1:18" x14ac:dyDescent="0.25">
      <c r="A58" s="76"/>
      <c r="B58" s="53"/>
      <c r="C58" s="53"/>
      <c r="D58" s="218"/>
      <c r="E58" s="184" t="s">
        <v>156</v>
      </c>
      <c r="F58" s="202"/>
      <c r="G58" s="53"/>
      <c r="K58" s="25"/>
      <c r="P58" s="75"/>
      <c r="R58" s="5"/>
    </row>
    <row r="59" spans="1:18" x14ac:dyDescent="0.25">
      <c r="A59" s="76"/>
      <c r="B59" s="53"/>
      <c r="C59" s="53"/>
      <c r="D59" s="262" t="s">
        <v>149</v>
      </c>
      <c r="E59" s="203">
        <f>SUM(E54:E56)</f>
        <v>0</v>
      </c>
      <c r="H59" s="53"/>
      <c r="L59" s="25"/>
      <c r="P59" s="75"/>
      <c r="R59" s="5"/>
    </row>
    <row r="60" spans="1:18" ht="9" customHeight="1" x14ac:dyDescent="0.25">
      <c r="A60" s="76"/>
      <c r="B60" s="53"/>
      <c r="C60" s="53"/>
      <c r="D60" s="71"/>
      <c r="E60" s="70"/>
      <c r="G60" s="53"/>
      <c r="L60" s="25"/>
      <c r="P60" s="75"/>
      <c r="R60" s="5"/>
    </row>
    <row r="61" spans="1:18" x14ac:dyDescent="0.25">
      <c r="A61" s="76"/>
      <c r="B61" s="53"/>
      <c r="C61" s="53"/>
      <c r="D61" s="262" t="s">
        <v>157</v>
      </c>
      <c r="E61" s="202"/>
      <c r="G61" s="53"/>
      <c r="L61" s="25"/>
      <c r="P61" s="75"/>
      <c r="R61" s="5"/>
    </row>
    <row r="62" spans="1:18" ht="9" customHeight="1" x14ac:dyDescent="0.25">
      <c r="A62" s="76"/>
      <c r="B62" s="53"/>
      <c r="C62" s="53"/>
      <c r="D62" s="71"/>
      <c r="E62" s="70"/>
      <c r="G62" s="53"/>
      <c r="L62" s="25"/>
      <c r="P62" s="75"/>
      <c r="R62" s="5"/>
    </row>
    <row r="63" spans="1:18" x14ac:dyDescent="0.25">
      <c r="A63" s="76"/>
      <c r="B63" s="53"/>
      <c r="C63" s="53"/>
      <c r="D63" s="262" t="s">
        <v>151</v>
      </c>
      <c r="E63" s="265" t="e">
        <f>E59/E61</f>
        <v>#DIV/0!</v>
      </c>
      <c r="G63" s="53"/>
      <c r="L63" s="25"/>
      <c r="P63" s="75"/>
      <c r="R63" s="5"/>
    </row>
    <row r="64" spans="1:18" x14ac:dyDescent="0.25">
      <c r="A64" s="73"/>
      <c r="B64" s="53"/>
      <c r="C64" s="53"/>
      <c r="D64" s="53"/>
      <c r="E64" s="53"/>
      <c r="O64" s="25"/>
      <c r="P64" s="75"/>
      <c r="R64" s="5"/>
    </row>
    <row r="65" spans="1:18" x14ac:dyDescent="0.25">
      <c r="A65" s="73"/>
      <c r="B65" s="53"/>
      <c r="C65" s="53"/>
      <c r="D65" s="53"/>
      <c r="E65" s="53"/>
      <c r="F65" s="53"/>
      <c r="G65" s="53"/>
      <c r="H65" s="59"/>
      <c r="P65" s="75"/>
    </row>
    <row r="66" spans="1:18" ht="75" customHeight="1" x14ac:dyDescent="0.2">
      <c r="A66" s="466" t="s">
        <v>121</v>
      </c>
      <c r="B66" s="467"/>
      <c r="C66" s="467"/>
      <c r="D66" s="467"/>
      <c r="E66" s="467"/>
      <c r="F66" s="467"/>
      <c r="G66" s="467"/>
      <c r="H66" s="467"/>
      <c r="I66" s="467"/>
      <c r="J66" s="467"/>
      <c r="K66" s="467"/>
      <c r="L66" s="467"/>
      <c r="M66" s="467"/>
      <c r="N66" s="467"/>
      <c r="O66" s="467"/>
      <c r="P66" s="468"/>
      <c r="R66" s="5"/>
    </row>
    <row r="67" spans="1:18" ht="16.5" thickBot="1" x14ac:dyDescent="0.3">
      <c r="A67" s="27"/>
      <c r="B67" s="28"/>
      <c r="C67" s="28"/>
      <c r="D67" s="28"/>
      <c r="E67" s="28"/>
      <c r="F67" s="28"/>
      <c r="G67" s="28"/>
      <c r="H67" s="28"/>
      <c r="I67" s="28"/>
      <c r="J67" s="28"/>
      <c r="K67" s="28"/>
      <c r="L67" s="28"/>
      <c r="M67" s="28"/>
      <c r="N67" s="28"/>
      <c r="O67" s="28"/>
      <c r="P67" s="29"/>
    </row>
  </sheetData>
  <sheetProtection formatCells="0" formatColumns="0" formatRows="0" insertColumns="0" insertRows="0" insertHyperlinks="0" deleteColumns="0" deleteRows="0" sort="0" autoFilter="0" pivotTables="0"/>
  <mergeCells count="21">
    <mergeCell ref="D1:M2"/>
    <mergeCell ref="A3:P5"/>
    <mergeCell ref="E6:L7"/>
    <mergeCell ref="M6:N6"/>
    <mergeCell ref="O6:P6"/>
    <mergeCell ref="M7:N7"/>
    <mergeCell ref="O7:P7"/>
    <mergeCell ref="O8:P8"/>
    <mergeCell ref="A66:P66"/>
    <mergeCell ref="A51:D51"/>
    <mergeCell ref="A32:P32"/>
    <mergeCell ref="A39:D39"/>
    <mergeCell ref="O9:P9"/>
    <mergeCell ref="A9:C9"/>
    <mergeCell ref="D9:E9"/>
    <mergeCell ref="F9:I9"/>
    <mergeCell ref="J9:K9"/>
    <mergeCell ref="L9:N9"/>
    <mergeCell ref="A11:P11"/>
    <mergeCell ref="A13:P13"/>
    <mergeCell ref="A14:P14"/>
  </mergeCells>
  <dataValidations count="2">
    <dataValidation type="list" showInputMessage="1" showErrorMessage="1" sqref="D9:E9" xr:uid="{00000000-0002-0000-0900-000000000000}">
      <formula1>$R$4:$R$6</formula1>
    </dataValidation>
    <dataValidation type="list" allowBlank="1" showInputMessage="1" showErrorMessage="1" sqref="O9:P9" xr:uid="{00000000-0002-0000-0900-000001000000}">
      <formula1>$R$7:$R$9</formula1>
    </dataValidation>
  </dataValidations>
  <hyperlinks>
    <hyperlink ref="O8:P8" location="'F Synthèse'!A1" display="F Synthèse" xr:uid="{00000000-0004-0000-09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U43"/>
  <sheetViews>
    <sheetView showGridLines="0" zoomScale="90" zoomScaleNormal="90" zoomScaleSheetLayoutView="85" workbookViewId="0"/>
  </sheetViews>
  <sheetFormatPr baseColWidth="10" defaultColWidth="11.42578125" defaultRowHeight="15.75" x14ac:dyDescent="0.25"/>
  <cols>
    <col min="1" max="8" width="14.7109375" style="5" customWidth="1"/>
    <col min="9" max="16" width="13.28515625" style="5" customWidth="1"/>
    <col min="17" max="17" width="11.42578125" style="5"/>
    <col min="18" max="18" width="11.42578125" style="25" hidden="1" customWidth="1"/>
    <col min="19" max="16384" width="11.42578125" style="5"/>
  </cols>
  <sheetData>
    <row r="1" spans="1:21" ht="15" customHeight="1" x14ac:dyDescent="0.2">
      <c r="A1" s="2"/>
      <c r="B1" s="3"/>
      <c r="C1" s="3"/>
      <c r="D1" s="411" t="str">
        <f>'F Synthèse'!D1:M2</f>
        <v>#NomClient</v>
      </c>
      <c r="E1" s="412"/>
      <c r="F1" s="412"/>
      <c r="G1" s="412"/>
      <c r="H1" s="412"/>
      <c r="I1" s="412"/>
      <c r="J1" s="412"/>
      <c r="K1" s="412"/>
      <c r="L1" s="412"/>
      <c r="M1" s="413"/>
      <c r="N1" s="3"/>
      <c r="O1" s="3"/>
      <c r="P1" s="4"/>
      <c r="R1" s="6" t="s">
        <v>67</v>
      </c>
    </row>
    <row r="2" spans="1:21" ht="15" customHeight="1" thickBot="1" x14ac:dyDescent="0.25">
      <c r="A2" s="7"/>
      <c r="B2" s="8"/>
      <c r="C2" s="8"/>
      <c r="D2" s="414"/>
      <c r="E2" s="415"/>
      <c r="F2" s="415"/>
      <c r="G2" s="415"/>
      <c r="H2" s="415"/>
      <c r="I2" s="415"/>
      <c r="J2" s="415"/>
      <c r="K2" s="415"/>
      <c r="L2" s="415"/>
      <c r="M2" s="416"/>
      <c r="N2" s="8"/>
      <c r="O2" s="8"/>
      <c r="P2" s="9"/>
      <c r="R2" s="6" t="s">
        <v>68</v>
      </c>
    </row>
    <row r="3" spans="1:21" ht="15" customHeight="1" x14ac:dyDescent="0.25">
      <c r="A3" s="394" t="s">
        <v>3</v>
      </c>
      <c r="B3" s="395"/>
      <c r="C3" s="395"/>
      <c r="D3" s="395"/>
      <c r="E3" s="395"/>
      <c r="F3" s="395"/>
      <c r="G3" s="395"/>
      <c r="H3" s="395"/>
      <c r="I3" s="395"/>
      <c r="J3" s="395"/>
      <c r="K3" s="395"/>
      <c r="L3" s="395"/>
      <c r="M3" s="395"/>
      <c r="N3" s="395"/>
      <c r="O3" s="395"/>
      <c r="P3" s="396"/>
      <c r="R3" s="10"/>
      <c r="T3" s="11"/>
      <c r="U3" s="12"/>
    </row>
    <row r="4" spans="1:21" ht="15" customHeight="1" x14ac:dyDescent="0.2">
      <c r="A4" s="394"/>
      <c r="B4" s="395"/>
      <c r="C4" s="395"/>
      <c r="D4" s="395"/>
      <c r="E4" s="395"/>
      <c r="F4" s="395"/>
      <c r="G4" s="395"/>
      <c r="H4" s="395"/>
      <c r="I4" s="395"/>
      <c r="J4" s="395"/>
      <c r="K4" s="395"/>
      <c r="L4" s="395"/>
      <c r="M4" s="395"/>
      <c r="N4" s="395"/>
      <c r="O4" s="395"/>
      <c r="P4" s="396"/>
      <c r="R4" s="6" t="s">
        <v>4</v>
      </c>
      <c r="T4" s="11"/>
      <c r="U4" s="12"/>
    </row>
    <row r="5" spans="1:21" ht="15" customHeight="1" thickBot="1" x14ac:dyDescent="0.25">
      <c r="A5" s="397"/>
      <c r="B5" s="398"/>
      <c r="C5" s="398"/>
      <c r="D5" s="398"/>
      <c r="E5" s="398"/>
      <c r="F5" s="398"/>
      <c r="G5" s="398"/>
      <c r="H5" s="398"/>
      <c r="I5" s="398"/>
      <c r="J5" s="398"/>
      <c r="K5" s="398"/>
      <c r="L5" s="398"/>
      <c r="M5" s="398"/>
      <c r="N5" s="398"/>
      <c r="O5" s="398"/>
      <c r="P5" s="399"/>
      <c r="Q5" s="13"/>
      <c r="R5" s="6" t="s">
        <v>5</v>
      </c>
      <c r="S5" s="14"/>
      <c r="T5" s="14"/>
      <c r="U5" s="14"/>
    </row>
    <row r="6" spans="1:21" ht="15" customHeight="1" x14ac:dyDescent="0.25">
      <c r="A6" s="15" t="s">
        <v>6</v>
      </c>
      <c r="B6" s="136" t="str">
        <f>'F Synthèse'!B6</f>
        <v>BRA</v>
      </c>
      <c r="C6" s="15" t="s">
        <v>7</v>
      </c>
      <c r="D6" s="136">
        <f>'F Synthèse'!D6</f>
        <v>0</v>
      </c>
      <c r="E6" s="400" t="s">
        <v>62</v>
      </c>
      <c r="F6" s="401"/>
      <c r="G6" s="401"/>
      <c r="H6" s="401"/>
      <c r="I6" s="401"/>
      <c r="J6" s="401"/>
      <c r="K6" s="401"/>
      <c r="L6" s="402"/>
      <c r="M6" s="417" t="s">
        <v>9</v>
      </c>
      <c r="N6" s="418"/>
      <c r="O6" s="406" t="s">
        <v>10</v>
      </c>
      <c r="P6" s="407"/>
      <c r="R6" s="10" t="s">
        <v>11</v>
      </c>
    </row>
    <row r="7" spans="1:21" ht="15" customHeight="1" thickBot="1" x14ac:dyDescent="0.25">
      <c r="A7" s="16" t="s">
        <v>12</v>
      </c>
      <c r="B7" s="137">
        <f>'F Synthèse'!B7</f>
        <v>0</v>
      </c>
      <c r="C7" s="16" t="s">
        <v>12</v>
      </c>
      <c r="D7" s="137">
        <f>'F Synthèse'!D7</f>
        <v>0</v>
      </c>
      <c r="E7" s="403"/>
      <c r="F7" s="404"/>
      <c r="G7" s="404"/>
      <c r="H7" s="404"/>
      <c r="I7" s="404"/>
      <c r="J7" s="404"/>
      <c r="K7" s="404"/>
      <c r="L7" s="405"/>
      <c r="M7" s="419" t="str">
        <f>'F Synthèse'!M7:M7</f>
        <v>#DateClôture</v>
      </c>
      <c r="N7" s="420"/>
      <c r="O7" s="408" t="s">
        <v>61</v>
      </c>
      <c r="P7" s="409"/>
      <c r="R7" s="6" t="s">
        <v>15</v>
      </c>
    </row>
    <row r="8" spans="1:21" ht="21" customHeight="1" thickBot="1" x14ac:dyDescent="0.25">
      <c r="A8" s="17"/>
      <c r="B8" s="18"/>
      <c r="C8" s="19"/>
      <c r="D8" s="19"/>
      <c r="E8" s="20"/>
      <c r="F8" s="20"/>
      <c r="G8" s="20"/>
      <c r="H8" s="20"/>
      <c r="I8" s="20"/>
      <c r="J8" s="20"/>
      <c r="K8" s="20"/>
      <c r="L8" s="20"/>
      <c r="M8" s="21"/>
      <c r="N8" s="19"/>
      <c r="O8" s="410" t="s">
        <v>66</v>
      </c>
      <c r="P8" s="410"/>
      <c r="R8" s="6" t="s">
        <v>16</v>
      </c>
    </row>
    <row r="9" spans="1:21" s="19" customFormat="1" ht="31.5" customHeight="1" thickBot="1" x14ac:dyDescent="0.3">
      <c r="A9" s="434" t="s">
        <v>17</v>
      </c>
      <c r="B9" s="435"/>
      <c r="C9" s="435"/>
      <c r="D9" s="432" t="str">
        <f>'F Synthèse'!D9:E9</f>
        <v>Modéré</v>
      </c>
      <c r="E9" s="433"/>
      <c r="F9" s="381" t="s">
        <v>18</v>
      </c>
      <c r="G9" s="382"/>
      <c r="H9" s="382"/>
      <c r="I9" s="382"/>
      <c r="J9" s="421">
        <f>'F Synthèse'!J9:K9</f>
        <v>0</v>
      </c>
      <c r="K9" s="422"/>
      <c r="L9" s="381" t="s">
        <v>19</v>
      </c>
      <c r="M9" s="382"/>
      <c r="N9" s="382"/>
      <c r="O9" s="432" t="str">
        <f>'F Synthèse'!N9</f>
        <v>PE</v>
      </c>
      <c r="P9" s="433"/>
      <c r="R9" s="10" t="s">
        <v>20</v>
      </c>
    </row>
    <row r="10" spans="1:21" s="19" customFormat="1" ht="21" customHeight="1" thickBot="1" x14ac:dyDescent="0.25">
      <c r="A10" s="22"/>
      <c r="B10" s="22"/>
      <c r="C10" s="22"/>
      <c r="D10" s="22"/>
      <c r="E10" s="22"/>
      <c r="F10" s="22"/>
      <c r="G10" s="22"/>
      <c r="H10" s="22"/>
      <c r="I10" s="22"/>
      <c r="J10" s="22"/>
      <c r="K10" s="22"/>
      <c r="L10" s="22"/>
      <c r="M10" s="22"/>
      <c r="N10" s="22"/>
      <c r="O10" s="22"/>
      <c r="P10" s="22"/>
      <c r="R10" s="23"/>
    </row>
    <row r="11" spans="1:21" s="24" customFormat="1" ht="110.25" customHeight="1" thickBot="1" x14ac:dyDescent="0.3">
      <c r="A11" s="423" t="s">
        <v>158</v>
      </c>
      <c r="B11" s="424"/>
      <c r="C11" s="424"/>
      <c r="D11" s="424"/>
      <c r="E11" s="424"/>
      <c r="F11" s="424"/>
      <c r="G11" s="424"/>
      <c r="H11" s="424"/>
      <c r="I11" s="424"/>
      <c r="J11" s="424"/>
      <c r="K11" s="424"/>
      <c r="L11" s="424"/>
      <c r="M11" s="424"/>
      <c r="N11" s="424"/>
      <c r="O11" s="424"/>
      <c r="P11" s="425"/>
      <c r="R11" s="25"/>
    </row>
    <row r="12" spans="1:21" s="24" customFormat="1" ht="9" customHeight="1" thickBot="1" x14ac:dyDescent="0.25">
      <c r="R12" s="5"/>
    </row>
    <row r="13" spans="1:21" s="24" customFormat="1" x14ac:dyDescent="0.2">
      <c r="A13" s="436" t="s">
        <v>73</v>
      </c>
      <c r="B13" s="437"/>
      <c r="C13" s="437"/>
      <c r="D13" s="437"/>
      <c r="E13" s="437"/>
      <c r="F13" s="437"/>
      <c r="G13" s="437"/>
      <c r="H13" s="437"/>
      <c r="I13" s="437"/>
      <c r="J13" s="437"/>
      <c r="K13" s="437"/>
      <c r="L13" s="437"/>
      <c r="M13" s="437"/>
      <c r="N13" s="437"/>
      <c r="O13" s="437"/>
      <c r="P13" s="438"/>
      <c r="R13" s="5"/>
    </row>
    <row r="14" spans="1:21" s="24" customFormat="1" ht="60" customHeight="1" thickBot="1" x14ac:dyDescent="0.25">
      <c r="A14" s="429"/>
      <c r="B14" s="430"/>
      <c r="C14" s="430"/>
      <c r="D14" s="430"/>
      <c r="E14" s="430"/>
      <c r="F14" s="430"/>
      <c r="G14" s="430"/>
      <c r="H14" s="430"/>
      <c r="I14" s="430"/>
      <c r="J14" s="430"/>
      <c r="K14" s="430"/>
      <c r="L14" s="430"/>
      <c r="M14" s="430"/>
      <c r="N14" s="430"/>
      <c r="O14" s="430"/>
      <c r="P14" s="431"/>
      <c r="R14" s="5"/>
    </row>
    <row r="15" spans="1:21" s="24" customFormat="1" ht="21" customHeight="1" thickBot="1" x14ac:dyDescent="0.25">
      <c r="R15" s="5"/>
    </row>
    <row r="16" spans="1:21" s="24" customFormat="1" ht="15" x14ac:dyDescent="0.25">
      <c r="A16" s="102"/>
      <c r="B16" s="103"/>
      <c r="C16" s="103"/>
      <c r="D16" s="103"/>
      <c r="E16" s="103"/>
      <c r="F16" s="103"/>
      <c r="G16" s="103"/>
      <c r="H16" s="103"/>
      <c r="I16" s="103"/>
      <c r="J16" s="103"/>
      <c r="K16" s="103"/>
      <c r="L16" s="103"/>
      <c r="M16" s="103"/>
      <c r="N16" s="103"/>
      <c r="O16" s="103"/>
      <c r="P16" s="104"/>
      <c r="R16" s="26"/>
    </row>
    <row r="17" spans="1:18" s="24" customFormat="1" ht="15" x14ac:dyDescent="0.25">
      <c r="A17" s="50" t="s">
        <v>159</v>
      </c>
      <c r="B17" s="93"/>
      <c r="C17" s="94"/>
      <c r="D17" s="95"/>
      <c r="E17" s="96"/>
      <c r="F17" s="95"/>
      <c r="G17" s="94"/>
      <c r="H17" s="97"/>
      <c r="P17" s="105"/>
      <c r="R17" s="26"/>
    </row>
    <row r="18" spans="1:18" s="24" customFormat="1" ht="15" x14ac:dyDescent="0.25">
      <c r="A18" s="56"/>
      <c r="B18" s="53"/>
      <c r="C18" s="53"/>
      <c r="D18" s="53"/>
      <c r="E18" s="53"/>
      <c r="F18" s="53"/>
      <c r="G18" s="53"/>
      <c r="H18" s="59"/>
      <c r="P18" s="105"/>
      <c r="R18" s="26"/>
    </row>
    <row r="19" spans="1:18" s="24" customFormat="1" ht="39" customHeight="1" x14ac:dyDescent="0.25">
      <c r="A19" s="106"/>
      <c r="B19" s="192" t="s">
        <v>90</v>
      </c>
      <c r="C19" s="192" t="s">
        <v>135</v>
      </c>
      <c r="D19" s="192" t="s">
        <v>160</v>
      </c>
      <c r="E19" s="192" t="s">
        <v>136</v>
      </c>
      <c r="F19" s="192" t="s">
        <v>161</v>
      </c>
      <c r="G19" s="192" t="s">
        <v>143</v>
      </c>
      <c r="H19" s="98" t="s">
        <v>78</v>
      </c>
      <c r="K19" s="26"/>
      <c r="P19" s="105"/>
    </row>
    <row r="20" spans="1:18" s="24" customFormat="1" ht="15" x14ac:dyDescent="0.25">
      <c r="A20" s="106"/>
      <c r="B20" s="198"/>
      <c r="C20" s="198"/>
      <c r="D20" s="198"/>
      <c r="E20" s="245"/>
      <c r="F20" s="245"/>
      <c r="G20" s="201">
        <f t="shared" ref="G20:G25" si="0">E20-F20</f>
        <v>0</v>
      </c>
      <c r="H20" s="99"/>
      <c r="K20" s="26"/>
      <c r="P20" s="105"/>
    </row>
    <row r="21" spans="1:18" s="24" customFormat="1" ht="15" x14ac:dyDescent="0.25">
      <c r="A21" s="106"/>
      <c r="B21" s="197"/>
      <c r="C21" s="197"/>
      <c r="D21" s="197"/>
      <c r="E21" s="244"/>
      <c r="F21" s="244"/>
      <c r="G21" s="200">
        <f t="shared" si="0"/>
        <v>0</v>
      </c>
      <c r="H21" s="100"/>
      <c r="K21" s="26"/>
      <c r="P21" s="105"/>
    </row>
    <row r="22" spans="1:18" s="24" customFormat="1" ht="15" x14ac:dyDescent="0.25">
      <c r="A22" s="106"/>
      <c r="B22" s="197"/>
      <c r="C22" s="197"/>
      <c r="D22" s="197"/>
      <c r="E22" s="244"/>
      <c r="F22" s="244"/>
      <c r="G22" s="200">
        <f t="shared" si="0"/>
        <v>0</v>
      </c>
      <c r="H22" s="100"/>
      <c r="K22" s="26"/>
      <c r="P22" s="105"/>
    </row>
    <row r="23" spans="1:18" s="24" customFormat="1" ht="15" x14ac:dyDescent="0.25">
      <c r="A23" s="106"/>
      <c r="B23" s="197"/>
      <c r="C23" s="197"/>
      <c r="D23" s="197"/>
      <c r="E23" s="244"/>
      <c r="F23" s="244"/>
      <c r="G23" s="200">
        <f t="shared" si="0"/>
        <v>0</v>
      </c>
      <c r="H23" s="100"/>
      <c r="K23" s="26"/>
      <c r="P23" s="105"/>
    </row>
    <row r="24" spans="1:18" s="24" customFormat="1" ht="15" x14ac:dyDescent="0.25">
      <c r="A24" s="106"/>
      <c r="B24" s="196"/>
      <c r="C24" s="196"/>
      <c r="D24" s="196"/>
      <c r="E24" s="243"/>
      <c r="F24" s="243"/>
      <c r="G24" s="199">
        <f t="shared" si="0"/>
        <v>0</v>
      </c>
      <c r="H24" s="101"/>
      <c r="K24" s="26"/>
      <c r="P24" s="105"/>
    </row>
    <row r="25" spans="1:18" s="24" customFormat="1" ht="15" x14ac:dyDescent="0.25">
      <c r="A25" s="56"/>
      <c r="B25" s="57"/>
      <c r="C25" s="61"/>
      <c r="D25" s="116" t="s">
        <v>162</v>
      </c>
      <c r="E25" s="268">
        <f>SUM(E20:E24)</f>
        <v>0</v>
      </c>
      <c r="F25" s="268">
        <f>SUM(F20:F24)</f>
        <v>0</v>
      </c>
      <c r="G25" s="220">
        <f t="shared" si="0"/>
        <v>0</v>
      </c>
      <c r="O25" s="26"/>
      <c r="P25" s="105"/>
    </row>
    <row r="26" spans="1:18" s="24" customFormat="1" ht="15" x14ac:dyDescent="0.25">
      <c r="A26" s="63"/>
      <c r="B26" s="61"/>
      <c r="C26" s="64"/>
      <c r="D26" s="53"/>
      <c r="E26" s="53"/>
      <c r="F26" s="53"/>
      <c r="G26" s="53"/>
      <c r="H26" s="59"/>
      <c r="P26" s="105"/>
      <c r="R26" s="26"/>
    </row>
    <row r="27" spans="1:18" s="24" customFormat="1" ht="75" customHeight="1" x14ac:dyDescent="0.2">
      <c r="A27" s="450" t="s">
        <v>121</v>
      </c>
      <c r="B27" s="451"/>
      <c r="C27" s="451"/>
      <c r="D27" s="451"/>
      <c r="E27" s="451"/>
      <c r="F27" s="451"/>
      <c r="G27" s="451"/>
      <c r="H27" s="451"/>
      <c r="I27" s="451"/>
      <c r="J27" s="451"/>
      <c r="K27" s="451"/>
      <c r="L27" s="451"/>
      <c r="M27" s="451"/>
      <c r="N27" s="451"/>
      <c r="O27" s="451"/>
      <c r="P27" s="452"/>
    </row>
    <row r="28" spans="1:18" s="24" customFormat="1" thickBot="1" x14ac:dyDescent="0.3">
      <c r="A28" s="107"/>
      <c r="B28" s="108"/>
      <c r="C28" s="109"/>
      <c r="D28" s="110"/>
      <c r="E28" s="110"/>
      <c r="F28" s="110"/>
      <c r="G28" s="110"/>
      <c r="H28" s="111"/>
      <c r="I28" s="112"/>
      <c r="J28" s="112"/>
      <c r="K28" s="112"/>
      <c r="L28" s="112"/>
      <c r="M28" s="112"/>
      <c r="N28" s="112"/>
      <c r="O28" s="112"/>
      <c r="P28" s="113"/>
      <c r="R28" s="26"/>
    </row>
    <row r="29" spans="1:18" s="24" customFormat="1" thickBot="1" x14ac:dyDescent="0.3">
      <c r="A29" s="63"/>
      <c r="B29" s="61"/>
      <c r="C29" s="64"/>
      <c r="D29" s="53"/>
      <c r="E29" s="53"/>
      <c r="F29" s="53"/>
      <c r="G29" s="53"/>
      <c r="H29" s="59"/>
      <c r="R29" s="26"/>
    </row>
    <row r="30" spans="1:18" s="24" customFormat="1" ht="15" x14ac:dyDescent="0.25">
      <c r="A30" s="78"/>
      <c r="B30" s="79"/>
      <c r="C30" s="80"/>
      <c r="D30" s="81"/>
      <c r="E30" s="81"/>
      <c r="F30" s="81"/>
      <c r="G30" s="81"/>
      <c r="H30" s="82"/>
      <c r="I30" s="103"/>
      <c r="J30" s="103"/>
      <c r="K30" s="103"/>
      <c r="L30" s="103"/>
      <c r="M30" s="103"/>
      <c r="N30" s="103"/>
      <c r="O30" s="103"/>
      <c r="P30" s="104"/>
      <c r="R30" s="26"/>
    </row>
    <row r="31" spans="1:18" s="24" customFormat="1" ht="15" x14ac:dyDescent="0.25">
      <c r="A31" s="50" t="s">
        <v>163</v>
      </c>
      <c r="B31" s="93"/>
      <c r="C31" s="94"/>
      <c r="D31" s="95"/>
      <c r="E31" s="96"/>
      <c r="F31" s="95"/>
      <c r="G31" s="53"/>
      <c r="H31" s="59"/>
      <c r="P31" s="105"/>
      <c r="R31" s="26"/>
    </row>
    <row r="32" spans="1:18" s="24" customFormat="1" ht="15" x14ac:dyDescent="0.25">
      <c r="A32" s="56"/>
      <c r="B32" s="53"/>
      <c r="C32" s="53"/>
      <c r="D32" s="53"/>
      <c r="E32" s="53"/>
      <c r="F32" s="53"/>
      <c r="G32" s="53"/>
      <c r="H32" s="59"/>
      <c r="P32" s="105"/>
      <c r="R32" s="26"/>
    </row>
    <row r="33" spans="1:18" s="24" customFormat="1" ht="47.25" customHeight="1" x14ac:dyDescent="0.25">
      <c r="A33" s="106"/>
      <c r="C33" s="192" t="s">
        <v>90</v>
      </c>
      <c r="D33" s="175" t="s">
        <v>135</v>
      </c>
      <c r="E33" s="175" t="s">
        <v>164</v>
      </c>
      <c r="F33" s="175" t="s">
        <v>165</v>
      </c>
      <c r="G33" s="191" t="s">
        <v>143</v>
      </c>
      <c r="H33" s="115" t="s">
        <v>78</v>
      </c>
      <c r="M33" s="26"/>
      <c r="P33" s="105"/>
    </row>
    <row r="34" spans="1:18" s="24" customFormat="1" ht="15" x14ac:dyDescent="0.25">
      <c r="A34" s="106"/>
      <c r="C34" s="198"/>
      <c r="D34" s="198"/>
      <c r="E34" s="269"/>
      <c r="F34" s="269"/>
      <c r="G34" s="272">
        <f t="shared" ref="G34:G39" si="1">E34-F34</f>
        <v>0</v>
      </c>
      <c r="H34" s="99"/>
      <c r="M34" s="26"/>
      <c r="P34" s="105"/>
    </row>
    <row r="35" spans="1:18" s="24" customFormat="1" ht="15" x14ac:dyDescent="0.25">
      <c r="A35" s="106"/>
      <c r="C35" s="197"/>
      <c r="D35" s="197"/>
      <c r="E35" s="271"/>
      <c r="F35" s="271"/>
      <c r="G35" s="274">
        <f t="shared" si="1"/>
        <v>0</v>
      </c>
      <c r="H35" s="100"/>
      <c r="M35" s="26"/>
      <c r="P35" s="105"/>
    </row>
    <row r="36" spans="1:18" s="24" customFormat="1" ht="15" x14ac:dyDescent="0.25">
      <c r="A36" s="106"/>
      <c r="C36" s="197"/>
      <c r="D36" s="197"/>
      <c r="E36" s="271"/>
      <c r="F36" s="271"/>
      <c r="G36" s="274">
        <f t="shared" si="1"/>
        <v>0</v>
      </c>
      <c r="H36" s="100"/>
      <c r="M36" s="26"/>
      <c r="P36" s="105"/>
    </row>
    <row r="37" spans="1:18" s="24" customFormat="1" ht="15" x14ac:dyDescent="0.25">
      <c r="A37" s="106"/>
      <c r="C37" s="197"/>
      <c r="D37" s="197"/>
      <c r="E37" s="271"/>
      <c r="F37" s="271"/>
      <c r="G37" s="274">
        <f t="shared" si="1"/>
        <v>0</v>
      </c>
      <c r="H37" s="100"/>
      <c r="M37" s="26"/>
      <c r="P37" s="105"/>
    </row>
    <row r="38" spans="1:18" s="24" customFormat="1" ht="15" x14ac:dyDescent="0.25">
      <c r="A38" s="106"/>
      <c r="C38" s="196"/>
      <c r="D38" s="196"/>
      <c r="E38" s="270"/>
      <c r="F38" s="270"/>
      <c r="G38" s="273">
        <f t="shared" si="1"/>
        <v>0</v>
      </c>
      <c r="H38" s="101"/>
      <c r="M38" s="26"/>
      <c r="P38" s="105"/>
    </row>
    <row r="39" spans="1:18" s="24" customFormat="1" ht="15" x14ac:dyDescent="0.25">
      <c r="A39" s="56"/>
      <c r="B39" s="57"/>
      <c r="C39" s="58"/>
      <c r="D39" s="116" t="s">
        <v>162</v>
      </c>
      <c r="E39" s="268">
        <f>SUM(E34:E38)</f>
        <v>0</v>
      </c>
      <c r="F39" s="268">
        <f>SUM(F34:F38)</f>
        <v>0</v>
      </c>
      <c r="G39" s="220">
        <f t="shared" si="1"/>
        <v>0</v>
      </c>
      <c r="M39" s="26"/>
      <c r="P39" s="105"/>
    </row>
    <row r="40" spans="1:18" s="24" customFormat="1" ht="15" x14ac:dyDescent="0.25">
      <c r="A40" s="56"/>
      <c r="B40" s="57"/>
      <c r="C40" s="58"/>
      <c r="D40" s="58"/>
      <c r="E40" s="60"/>
      <c r="F40" s="58"/>
      <c r="G40" s="53"/>
      <c r="H40" s="59"/>
      <c r="P40" s="105"/>
      <c r="R40" s="26"/>
    </row>
    <row r="41" spans="1:18" s="24" customFormat="1" ht="75" customHeight="1" x14ac:dyDescent="0.2">
      <c r="A41" s="450" t="s">
        <v>121</v>
      </c>
      <c r="B41" s="451"/>
      <c r="C41" s="451"/>
      <c r="D41" s="451"/>
      <c r="E41" s="451"/>
      <c r="F41" s="451"/>
      <c r="G41" s="451"/>
      <c r="H41" s="451"/>
      <c r="I41" s="451"/>
      <c r="J41" s="451"/>
      <c r="K41" s="451"/>
      <c r="L41" s="451"/>
      <c r="M41" s="451"/>
      <c r="N41" s="451"/>
      <c r="O41" s="451"/>
      <c r="P41" s="452"/>
    </row>
    <row r="42" spans="1:18" s="24" customFormat="1" thickBot="1" x14ac:dyDescent="0.3">
      <c r="A42" s="114"/>
      <c r="B42" s="112"/>
      <c r="C42" s="112"/>
      <c r="D42" s="112"/>
      <c r="E42" s="112"/>
      <c r="F42" s="112"/>
      <c r="G42" s="112"/>
      <c r="H42" s="112"/>
      <c r="I42" s="112"/>
      <c r="J42" s="112"/>
      <c r="K42" s="112"/>
      <c r="L42" s="112"/>
      <c r="M42" s="112"/>
      <c r="N42" s="112"/>
      <c r="O42" s="112"/>
      <c r="P42" s="113"/>
      <c r="R42" s="26"/>
    </row>
    <row r="43" spans="1:18" s="24" customFormat="1" ht="15" x14ac:dyDescent="0.25">
      <c r="R43" s="26"/>
    </row>
  </sheetData>
  <sheetProtection formatCells="0" formatColumns="0" formatRows="0" insertColumns="0" insertRows="0" insertHyperlinks="0" deleteColumns="0" deleteRows="0" sort="0" autoFilter="0" pivotTables="0"/>
  <mergeCells count="19">
    <mergeCell ref="A11:P11"/>
    <mergeCell ref="A13:P13"/>
    <mergeCell ref="A14:P14"/>
    <mergeCell ref="A41:P41"/>
    <mergeCell ref="A27:P27"/>
    <mergeCell ref="O9:P9"/>
    <mergeCell ref="D1:M2"/>
    <mergeCell ref="A3:P5"/>
    <mergeCell ref="E6:L7"/>
    <mergeCell ref="M6:N6"/>
    <mergeCell ref="O6:P6"/>
    <mergeCell ref="M7:N7"/>
    <mergeCell ref="O7:P7"/>
    <mergeCell ref="A9:C9"/>
    <mergeCell ref="D9:E9"/>
    <mergeCell ref="F9:I9"/>
    <mergeCell ref="J9:K9"/>
    <mergeCell ref="L9:N9"/>
    <mergeCell ref="O8:P8"/>
  </mergeCells>
  <dataValidations count="2">
    <dataValidation type="list" allowBlank="1" showInputMessage="1" showErrorMessage="1" sqref="O9:P9" xr:uid="{00000000-0002-0000-0A00-000000000000}">
      <formula1>$R$7:$R$9</formula1>
    </dataValidation>
    <dataValidation type="list" showInputMessage="1" showErrorMessage="1" sqref="D9:E9" xr:uid="{00000000-0002-0000-0A00-000001000000}">
      <formula1>$R$4:$R$6</formula1>
    </dataValidation>
  </dataValidations>
  <hyperlinks>
    <hyperlink ref="O8:P8" location="'F Synthèse'!A1" display="F Synthèse" xr:uid="{00000000-0004-0000-0A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a1e612abde7994f04a20992d1f580c2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c4aa46a3384ff861a570c8849968e95"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C1C4A2-C0BF-45A4-AD31-EBBB06F85641}">
  <ds:schemaRefs>
    <ds:schemaRef ds:uri="http://schemas.microsoft.com/sharepoint/v3/contenttype/forms"/>
  </ds:schemaRefs>
</ds:datastoreItem>
</file>

<file path=customXml/itemProps2.xml><?xml version="1.0" encoding="utf-8"?>
<ds:datastoreItem xmlns:ds="http://schemas.openxmlformats.org/officeDocument/2006/customXml" ds:itemID="{F4580572-5770-4846-9827-3D3EC15229A8}">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d7aee5f-c6d7-4567-bea9-00a4b0c47d6f"/>
    <ds:schemaRef ds:uri="aed0d0bd-a659-4dbf-bbaa-a56f4efa3b0c"/>
    <ds:schemaRef ds:uri="http://www.w3.org/XML/1998/namespace"/>
    <ds:schemaRef ds:uri="http://purl.org/dc/dcmitype/"/>
  </ds:schemaRefs>
</ds:datastoreItem>
</file>

<file path=customXml/itemProps3.xml><?xml version="1.0" encoding="utf-8"?>
<ds:datastoreItem xmlns:ds="http://schemas.openxmlformats.org/officeDocument/2006/customXml" ds:itemID="{614A9AFF-08C9-419F-9623-0B3A6018893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10</vt:i4>
      </vt:variant>
      <vt:variant>
        <vt:lpstr>Plages nommées</vt:lpstr>
      </vt:variant>
      <vt:variant>
        <vt:i4>13</vt:i4>
      </vt:variant>
    </vt:vector>
  </HeadingPairs>
  <TitlesOfParts>
    <vt:vector size="23" baseType="lpstr">
      <vt:lpstr>F Synthèse</vt:lpstr>
      <vt:lpstr>F100 Etat de rappro bancaire</vt:lpstr>
      <vt:lpstr>F200 Caisse</vt:lpstr>
      <vt:lpstr>F300 Décaissement post-clôture</vt:lpstr>
      <vt:lpstr>F400 Circularisations</vt:lpstr>
      <vt:lpstr>F500 Emprunts</vt:lpstr>
      <vt:lpstr>F600 Comptes courants</vt:lpstr>
      <vt:lpstr>F700 Résultat financier</vt:lpstr>
      <vt:lpstr>F800 VMP</vt:lpstr>
      <vt:lpstr>F900 Comptes à terme</vt:lpstr>
      <vt:lpstr>'F Synthèse'!Diligences</vt:lpstr>
      <vt:lpstr>'F Synthèse'!Etat</vt:lpstr>
      <vt:lpstr>'F Synthèse'!RAS</vt:lpstr>
      <vt:lpstr>'F Synthèse'!Zone_d_impression</vt:lpstr>
      <vt:lpstr>'F100 Etat de rappro bancaire'!Zone_d_impression</vt:lpstr>
      <vt:lpstr>'F200 Caisse'!Zone_d_impression</vt:lpstr>
      <vt:lpstr>'F300 Décaissement post-clôture'!Zone_d_impression</vt:lpstr>
      <vt:lpstr>'F400 Circularisations'!Zone_d_impression</vt:lpstr>
      <vt:lpstr>'F500 Emprunts'!Zone_d_impression</vt:lpstr>
      <vt:lpstr>'F600 Comptes courants'!Zone_d_impression</vt:lpstr>
      <vt:lpstr>'F700 Résultat financier'!Zone_d_impression</vt:lpstr>
      <vt:lpstr>'F800 VMP'!Zone_d_impression</vt:lpstr>
      <vt:lpstr>'F900 Comptes à terme'!Zone_d_impression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CHA. ARNAUD</dc:creator>
  <cp:keywords/>
  <dc:description/>
  <cp:lastModifiedBy>BRIAN BRY. RAULY</cp:lastModifiedBy>
  <cp:revision/>
  <dcterms:created xsi:type="dcterms:W3CDTF">2017-10-16T12:39:08Z</dcterms:created>
  <dcterms:modified xsi:type="dcterms:W3CDTF">2024-07-08T07:25:21Z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ies>
</file>