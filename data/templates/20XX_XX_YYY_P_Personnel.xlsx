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7"/>
  <workbookPr codeName="ThisWorkbook" defaultThemeVersion="166925"/>
  <mc:AlternateContent xmlns:mc="http://schemas.openxmlformats.org/markup-compatibility/2006">
    <mc:Choice Requires="x15">
      <x15ac:absPath xmlns:x15ac="http://schemas.microsoft.com/office/spreadsheetml/2010/11/ac" url="\\Srvdcvil\collaborateurs\2-COLLABORATEURS\Brian\Modèles\Dossier annuel\P- Personnel\"/>
    </mc:Choice>
  </mc:AlternateContent>
  <xr:revisionPtr revIDLastSave="1" documentId="13_ncr:1_{8B2B6376-3433-489C-B34F-265BE0BCD9FB}" xr6:coauthVersionLast="47" xr6:coauthVersionMax="47" xr10:uidLastSave="{31A2CBCD-B29F-473A-9B21-189EA94C965D}"/>
  <bookViews>
    <workbookView xWindow="-28920" yWindow="-120" windowWidth="29040" windowHeight="15720" tabRatio="728" activeTab="3" xr2:uid="{00000000-000D-0000-FFFF-FFFF00000000}"/>
  </bookViews>
  <sheets>
    <sheet name="P Synthèse" sheetId="1" r:id="rId1"/>
    <sheet name="P100 Rappro DSN-Paie-Compta" sheetId="11" r:id="rId2"/>
    <sheet name="P200 Revue ana charges perso" sheetId="14" state="hidden" r:id="rId3"/>
    <sheet name="P300 Provision CP-RTT" sheetId="34" r:id="rId4"/>
    <sheet name="P400 Provision Primes - autres" sheetId="15" state="hidden" r:id="rId5"/>
    <sheet name="P500 RA créances - dettes socia" sheetId="16" state="hidden" r:id="rId6"/>
    <sheet name="P710 Participation" sheetId="18" state="hidden" r:id="rId7"/>
    <sheet name="P720 Intéressement" sheetId="35" state="hidden" r:id="rId8"/>
    <sheet name="P800 IDR" sheetId="36" state="hidden" r:id="rId9"/>
    <sheet name="P910 Rému dirigeants" sheetId="39" state="hidden" r:id="rId10"/>
  </sheets>
  <externalReferences>
    <externalReference r:id="rId11"/>
    <externalReference r:id="rId12"/>
  </externalReferences>
  <definedNames>
    <definedName name="ça">"$#REF !.$B$508:$R$508"</definedName>
    <definedName name="CA_N">[1]SIG!$B$8</definedName>
    <definedName name="CA_N_1">[1]SIG!$D$8</definedName>
    <definedName name="çb">"$#REF !.$A$48:$K$48"</definedName>
    <definedName name="çi">"$#REF !.$R$11:$R$508"</definedName>
    <definedName name="cloture">"$#REF !.$G$9"</definedName>
    <definedName name="çp">"$#REF !.$B$44:$F$44"</definedName>
    <definedName name="çr">"$#REF !.$B$62:$H$62"</definedName>
    <definedName name="çs">"$#REF !.$B$161:$L$161"</definedName>
    <definedName name="dateCloture" localSheetId="1">#REF!</definedName>
    <definedName name="dateCloture" localSheetId="2">#REF!</definedName>
    <definedName name="dateCloture" localSheetId="3">#REF!</definedName>
    <definedName name="dateCloture" localSheetId="4">#REF!</definedName>
    <definedName name="dateCloture" localSheetId="5">#REF!</definedName>
    <definedName name="dateCloture" localSheetId="6">#REF!</definedName>
    <definedName name="dateCloture" localSheetId="7">#REF!</definedName>
    <definedName name="dateCloture" localSheetId="8">#REF!</definedName>
    <definedName name="dateCloture" localSheetId="9">#REF!</definedName>
    <definedName name="dateCloture">#REF!</definedName>
    <definedName name="DatesCloture">"$#REF !.$F$9:$#REF !.$M$9"</definedName>
    <definedName name="Diligences" localSheetId="1">'P100 Rappro DSN-Paie-Compta'!#REF!</definedName>
    <definedName name="Diligences" localSheetId="2">'P200 Revue ana charges perso'!#REF!</definedName>
    <definedName name="Diligences" localSheetId="3">'P300 Provision CP-RTT'!#REF!</definedName>
    <definedName name="Diligences" localSheetId="4">'P400 Provision Primes - autres'!#REF!</definedName>
    <definedName name="Diligences" localSheetId="5">'P500 RA créances - dettes socia'!#REF!</definedName>
    <definedName name="Diligences" localSheetId="6">'P710 Participation'!#REF!</definedName>
    <definedName name="Diligences" localSheetId="7">'P720 Intéressement'!#REF!</definedName>
    <definedName name="Diligences" localSheetId="8">'P800 IDR'!#REF!</definedName>
    <definedName name="Diligences" localSheetId="9">'P910 Rému dirigeants'!#REF!</definedName>
    <definedName name="Diligences">'P Synthèse'!$Q$7:$Q$9</definedName>
    <definedName name="Etat" localSheetId="1">'P100 Rappro DSN-Paie-Compta'!#REF!</definedName>
    <definedName name="Etat" localSheetId="2">'P200 Revue ana charges perso'!#REF!</definedName>
    <definedName name="Etat" localSheetId="3">'P300 Provision CP-RTT'!#REF!</definedName>
    <definedName name="Etat" localSheetId="4">'P400 Provision Primes - autres'!#REF!</definedName>
    <definedName name="Etat" localSheetId="5">'P500 RA créances - dettes socia'!#REF!</definedName>
    <definedName name="Etat" localSheetId="6">'P710 Participation'!#REF!</definedName>
    <definedName name="Etat" localSheetId="7">'P720 Intéressement'!#REF!</definedName>
    <definedName name="Etat" localSheetId="8">'P800 IDR'!#REF!</definedName>
    <definedName name="Etat" localSheetId="9">'P910 Rému dirigeants'!#REF!</definedName>
    <definedName name="Etat">'P Synthèse'!$Q$1:$Q$3</definedName>
    <definedName name="NomDossier">"$#REF !.$E$1"</definedName>
    <definedName name="RAS" localSheetId="1">'P100 Rappro DSN-Paie-Compta'!#REF!</definedName>
    <definedName name="RAS" localSheetId="2">'P200 Revue ana charges perso'!#REF!</definedName>
    <definedName name="RAS" localSheetId="3">'P300 Provision CP-RTT'!#REF!</definedName>
    <definedName name="RAS" localSheetId="4">'P400 Provision Primes - autres'!#REF!</definedName>
    <definedName name="RAS" localSheetId="5">'P500 RA créances - dettes socia'!#REF!</definedName>
    <definedName name="RAS" localSheetId="6">'P710 Participation'!#REF!</definedName>
    <definedName name="RAS" localSheetId="7">'P720 Intéressement'!#REF!</definedName>
    <definedName name="RAS" localSheetId="8">'P800 IDR'!#REF!</definedName>
    <definedName name="RAS" localSheetId="9">'P910 Rému dirigeants'!#REF!</definedName>
    <definedName name="RAS">'P Synthèse'!$Q$4:$Q$6</definedName>
    <definedName name="referenceDossier" localSheetId="1">#REF!</definedName>
    <definedName name="referenceDossier" localSheetId="2">#REF!</definedName>
    <definedName name="referenceDossier" localSheetId="3">#REF!</definedName>
    <definedName name="referenceDossier" localSheetId="4">#REF!</definedName>
    <definedName name="referenceDossier" localSheetId="5">#REF!</definedName>
    <definedName name="referenceDossier" localSheetId="6">#REF!</definedName>
    <definedName name="referenceDossier" localSheetId="7">#REF!</definedName>
    <definedName name="referenceDossier" localSheetId="8">#REF!</definedName>
    <definedName name="referenceDossier" localSheetId="9">#REF!</definedName>
    <definedName name="referenceDossier">#REF!</definedName>
    <definedName name="sold6037">"$#REF !.$A$85:$I$85"</definedName>
    <definedName name="sold607">"$#REF !.$A$84:$I$84"</definedName>
    <definedName name="sold701">"$#REF !.$A$73:$I$73"</definedName>
    <definedName name="sold706">"$#REF !.$A$74:$I$74"</definedName>
    <definedName name="sold707">"$#REF !.$A$72:$I$72"</definedName>
    <definedName name="sold71">"$#REF !.$A$75:$I$75"</definedName>
    <definedName name="sold781">"$#REF !.$A$151:$I$151"</definedName>
    <definedName name="sold791">"$#REF !.$A$82:$I$82"</definedName>
    <definedName name="soldesCapitaux">"$#REF !.$A$55:$J$66"</definedName>
    <definedName name="start_toc" localSheetId="1">#REF!</definedName>
    <definedName name="start_toc" localSheetId="2">#REF!</definedName>
    <definedName name="start_toc" localSheetId="3">#REF!</definedName>
    <definedName name="start_toc" localSheetId="4">#REF!</definedName>
    <definedName name="start_toc" localSheetId="5">#REF!</definedName>
    <definedName name="start_toc" localSheetId="6">#REF!</definedName>
    <definedName name="start_toc" localSheetId="7">#REF!</definedName>
    <definedName name="start_toc" localSheetId="8">#REF!</definedName>
    <definedName name="start_toc" localSheetId="9">#REF!</definedName>
    <definedName name="start_toc">#REF!</definedName>
    <definedName name="TOTAL1_N">'[1]BILAN PASSIF'!$F$24</definedName>
    <definedName name="TOTAL1_N_1">'[1]BILAN PASSIF'!$H$24</definedName>
    <definedName name="TOTAL2_N">'[1]BILAN PASSIF'!$F$29</definedName>
    <definedName name="TOTAL2_N_1">'[1]BILAN PASSIF'!$H$29</definedName>
    <definedName name="TOTAL3_N">'[1]BILAN PASSIF'!$F$34</definedName>
    <definedName name="TOTAL3_N_1">'[1]BILAN PASSIF'!$H$34</definedName>
    <definedName name="TOTAL4_N">'[1]BILAN PASSIF'!$F$54</definedName>
    <definedName name="TOTAL4_N_1">'[1]BILAN PASSIF'!$H$54</definedName>
    <definedName name="TOTAL5_N">'[1]BILAN PASSIF'!$F$56</definedName>
    <definedName name="TOTAL5_N_1">'[1]BILAN PASSIF'!$H$56</definedName>
    <definedName name="TOTALGEN_N">'[1]BILAN PASSIF'!$F$58</definedName>
    <definedName name="TOTALGEN_N_1">'[1]BILAN PASSIF'!$H$58</definedName>
    <definedName name="uniteMonetaire" localSheetId="1">#REF!</definedName>
    <definedName name="uniteMonetaire" localSheetId="2">#REF!</definedName>
    <definedName name="uniteMonetaire" localSheetId="3">#REF!</definedName>
    <definedName name="uniteMonetaire" localSheetId="4">#REF!</definedName>
    <definedName name="uniteMonetaire" localSheetId="5">#REF!</definedName>
    <definedName name="uniteMonetaire" localSheetId="6">#REF!</definedName>
    <definedName name="uniteMonetaire" localSheetId="7">#REF!</definedName>
    <definedName name="uniteMonetaire" localSheetId="8">#REF!</definedName>
    <definedName name="uniteMonetaire" localSheetId="9">#REF!</definedName>
    <definedName name="uniteMonetaire">#REF!</definedName>
    <definedName name="ValeurAjoutee" localSheetId="7">'P200 Revue ana charges perso'!#REF!</definedName>
    <definedName name="ValeurAjoutee" localSheetId="8">'P200 Revue ana charges perso'!#REF!</definedName>
    <definedName name="ValeurAjoutee" localSheetId="9">'P200 Revue ana charges perso'!#REF!</definedName>
    <definedName name="ValeurAjoutee">'P200 Revue ana charges perso'!#REF!</definedName>
    <definedName name="Z_11CE3843_8765_4D4C_AA39_79A83C002DF6_.wvu.PrintArea" localSheetId="0" hidden="1">'P Synthèse'!$A$1:$O$16</definedName>
    <definedName name="Z_11CE3843_8765_4D4C_AA39_79A83C002DF6_.wvu.PrintArea" localSheetId="1" hidden="1">'P100 Rappro DSN-Paie-Compta'!$A$1:$P$10</definedName>
    <definedName name="Z_11CE3843_8765_4D4C_AA39_79A83C002DF6_.wvu.PrintArea" localSheetId="2" hidden="1">'P200 Revue ana charges perso'!$A$1:$P$10</definedName>
    <definedName name="Z_11CE3843_8765_4D4C_AA39_79A83C002DF6_.wvu.PrintArea" localSheetId="3" hidden="1">'P300 Provision CP-RTT'!$A$1:$P$10</definedName>
    <definedName name="Z_11CE3843_8765_4D4C_AA39_79A83C002DF6_.wvu.PrintArea" localSheetId="4" hidden="1">'P400 Provision Primes - autres'!$A$1:$P$10</definedName>
    <definedName name="Z_11CE3843_8765_4D4C_AA39_79A83C002DF6_.wvu.PrintArea" localSheetId="5" hidden="1">'P500 RA créances - dettes socia'!$A$1:$P$10</definedName>
    <definedName name="Z_11CE3843_8765_4D4C_AA39_79A83C002DF6_.wvu.PrintArea" localSheetId="6" hidden="1">'P710 Participation'!$A$1:$P$10</definedName>
    <definedName name="Z_11CE3843_8765_4D4C_AA39_79A83C002DF6_.wvu.PrintArea" localSheetId="7" hidden="1">'P720 Intéressement'!$A$1:$P$10</definedName>
    <definedName name="Z_11CE3843_8765_4D4C_AA39_79A83C002DF6_.wvu.PrintArea" localSheetId="8" hidden="1">'P800 IDR'!$A$1:$P$10</definedName>
    <definedName name="Z_11CE3843_8765_4D4C_AA39_79A83C002DF6_.wvu.PrintArea" localSheetId="9" hidden="1">'P910 Rému dirigeants'!$A$1:$P$10</definedName>
    <definedName name="Z_3BBE5D10_E029_4BF5_BC04_29D3FAA5A0EB_.wvu.PrintArea" localSheetId="0" hidden="1">'P Synthèse'!$A$1:$O$16</definedName>
    <definedName name="Z_3BBE5D10_E029_4BF5_BC04_29D3FAA5A0EB_.wvu.PrintArea" localSheetId="1" hidden="1">'P100 Rappro DSN-Paie-Compta'!$A$1:$P$10</definedName>
    <definedName name="Z_3BBE5D10_E029_4BF5_BC04_29D3FAA5A0EB_.wvu.PrintArea" localSheetId="2" hidden="1">'P200 Revue ana charges perso'!$A$1:$P$10</definedName>
    <definedName name="Z_3BBE5D10_E029_4BF5_BC04_29D3FAA5A0EB_.wvu.PrintArea" localSheetId="3" hidden="1">'P300 Provision CP-RTT'!$A$1:$P$10</definedName>
    <definedName name="Z_3BBE5D10_E029_4BF5_BC04_29D3FAA5A0EB_.wvu.PrintArea" localSheetId="4" hidden="1">'P400 Provision Primes - autres'!$A$1:$P$10</definedName>
    <definedName name="Z_3BBE5D10_E029_4BF5_BC04_29D3FAA5A0EB_.wvu.PrintArea" localSheetId="5" hidden="1">'P500 RA créances - dettes socia'!$A$1:$P$10</definedName>
    <definedName name="Z_3BBE5D10_E029_4BF5_BC04_29D3FAA5A0EB_.wvu.PrintArea" localSheetId="6" hidden="1">'P710 Participation'!$A$1:$P$10</definedName>
    <definedName name="Z_3BBE5D10_E029_4BF5_BC04_29D3FAA5A0EB_.wvu.PrintArea" localSheetId="7" hidden="1">'P720 Intéressement'!$A$1:$P$10</definedName>
    <definedName name="Z_3BBE5D10_E029_4BF5_BC04_29D3FAA5A0EB_.wvu.PrintArea" localSheetId="8" hidden="1">'P800 IDR'!$A$1:$P$10</definedName>
    <definedName name="Z_3BBE5D10_E029_4BF5_BC04_29D3FAA5A0EB_.wvu.PrintArea" localSheetId="9" hidden="1">'P910 Rému dirigeants'!$A$1:$P$10</definedName>
    <definedName name="_xlnm.Print_Area" localSheetId="0">'P Synthèse'!$A$1:$O$34</definedName>
    <definedName name="_xlnm.Print_Area" localSheetId="1">'P100 Rappro DSN-Paie-Compta'!$A$1:$P$14</definedName>
    <definedName name="_xlnm.Print_Area" localSheetId="2">'P200 Revue ana charges perso'!$A$1:$P$14</definedName>
    <definedName name="_xlnm.Print_Area" localSheetId="3">'P300 Provision CP-RTT'!$A$1:$P$14</definedName>
    <definedName name="_xlnm.Print_Area" localSheetId="4">'P400 Provision Primes - autres'!$A$1:$P$14</definedName>
    <definedName name="_xlnm.Print_Area" localSheetId="5">'P500 RA créances - dettes socia'!$A$1:$P$14</definedName>
    <definedName name="_xlnm.Print_Area" localSheetId="6">'P710 Participation'!$A$1:$P$14</definedName>
    <definedName name="_xlnm.Print_Area" localSheetId="7">'P720 Intéressement'!$A$1:$P$14</definedName>
    <definedName name="_xlnm.Print_Area" localSheetId="8">'P800 IDR'!$A$1:$P$14</definedName>
    <definedName name="_xlnm.Print_Area" localSheetId="9">'P910 Rému dirigeants'!$A$1:$P$14</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2" i="34" l="1"/>
  <c r="F58" i="11"/>
  <c r="G58" i="11"/>
  <c r="E55" i="11"/>
  <c r="O9" i="16"/>
  <c r="O9" i="36"/>
  <c r="O9" i="39"/>
  <c r="O9" i="35"/>
  <c r="O9" i="18"/>
  <c r="O9" i="15"/>
  <c r="O9" i="34"/>
  <c r="O9" i="14"/>
  <c r="O9" i="11"/>
  <c r="H69" i="34" l="1"/>
  <c r="G69" i="34"/>
  <c r="F46" i="34"/>
  <c r="F28" i="11" l="1"/>
  <c r="H30" i="11" s="1"/>
  <c r="F38" i="11" s="1"/>
  <c r="G38" i="11" s="1"/>
  <c r="K69" i="15" l="1"/>
  <c r="D1" i="39" l="1"/>
  <c r="J9" i="39"/>
  <c r="D9" i="39"/>
  <c r="D7" i="39"/>
  <c r="B7" i="39"/>
  <c r="D6" i="39"/>
  <c r="B6" i="39"/>
  <c r="D1" i="36" l="1"/>
  <c r="D1" i="35"/>
  <c r="O36" i="18"/>
  <c r="O33" i="18"/>
  <c r="O24" i="18"/>
  <c r="G45" i="18"/>
  <c r="G36" i="18"/>
  <c r="G33" i="18"/>
  <c r="G24" i="18"/>
  <c r="G25" i="18" s="1"/>
  <c r="G26" i="18" s="1"/>
  <c r="O25" i="18" l="1"/>
  <c r="O26" i="18" s="1"/>
  <c r="G48" i="18"/>
  <c r="G50" i="18" s="1"/>
  <c r="O45" i="18" s="1"/>
  <c r="O48" i="18" l="1"/>
  <c r="O50" i="18" s="1"/>
  <c r="D1" i="18"/>
  <c r="D1" i="16"/>
  <c r="M7" i="15"/>
  <c r="D7" i="15"/>
  <c r="B7" i="15"/>
  <c r="D6" i="15"/>
  <c r="B6" i="15"/>
  <c r="D1" i="15"/>
  <c r="E40" i="15"/>
  <c r="D1" i="34"/>
  <c r="D1" i="14"/>
  <c r="D1" i="11"/>
  <c r="D7" i="14"/>
  <c r="B7" i="14"/>
  <c r="D6" i="14"/>
  <c r="B6" i="14"/>
  <c r="D7" i="34"/>
  <c r="B7" i="34"/>
  <c r="D6" i="34"/>
  <c r="B6" i="34"/>
  <c r="D7" i="16"/>
  <c r="B7" i="16"/>
  <c r="D6" i="16"/>
  <c r="B6" i="16"/>
  <c r="D7" i="18"/>
  <c r="B7" i="18"/>
  <c r="D6" i="18"/>
  <c r="B6" i="18"/>
  <c r="D7" i="35"/>
  <c r="B7" i="35"/>
  <c r="D6" i="35"/>
  <c r="B6" i="35"/>
  <c r="D7" i="36"/>
  <c r="B7" i="36"/>
  <c r="D6" i="36"/>
  <c r="B6" i="36"/>
  <c r="D7" i="11"/>
  <c r="B7" i="11"/>
  <c r="D6" i="11"/>
  <c r="B6" i="11"/>
  <c r="D39" i="16" l="1"/>
  <c r="D43" i="16" s="1"/>
  <c r="G37" i="16"/>
  <c r="H37" i="16" s="1"/>
  <c r="G36" i="16"/>
  <c r="H36" i="16" s="1"/>
  <c r="G35" i="16"/>
  <c r="H35" i="16" s="1"/>
  <c r="G34" i="16"/>
  <c r="H34" i="16" s="1"/>
  <c r="G33" i="16"/>
  <c r="H33" i="16" s="1"/>
  <c r="G32" i="16"/>
  <c r="D25" i="16"/>
  <c r="D29" i="16" s="1"/>
  <c r="G23" i="16"/>
  <c r="H23" i="16" s="1"/>
  <c r="G22" i="16"/>
  <c r="H22" i="16" s="1"/>
  <c r="G21" i="16"/>
  <c r="H21" i="16" s="1"/>
  <c r="G20" i="16"/>
  <c r="H20" i="16" s="1"/>
  <c r="G19" i="16"/>
  <c r="H19" i="16" s="1"/>
  <c r="G18" i="16"/>
  <c r="J9" i="36"/>
  <c r="D9" i="36"/>
  <c r="J9" i="35"/>
  <c r="D9" i="35"/>
  <c r="G39" i="16" l="1"/>
  <c r="H39" i="16" s="1"/>
  <c r="G25" i="16"/>
  <c r="H25" i="16" s="1"/>
  <c r="H18" i="16"/>
  <c r="H32" i="16"/>
  <c r="E69" i="15"/>
  <c r="E61" i="15"/>
  <c r="E45" i="15"/>
  <c r="F32" i="15"/>
  <c r="F29" i="15"/>
  <c r="G29" i="15" s="1"/>
  <c r="E106" i="34"/>
  <c r="G106" i="34" s="1"/>
  <c r="E105" i="34"/>
  <c r="G105" i="34" s="1"/>
  <c r="E104" i="34"/>
  <c r="G104" i="34" s="1"/>
  <c r="E103" i="34"/>
  <c r="G103" i="34" s="1"/>
  <c r="G102" i="34"/>
  <c r="D93" i="34"/>
  <c r="H65" i="34"/>
  <c r="H67" i="34" s="1"/>
  <c r="G65" i="34"/>
  <c r="G67" i="34" s="1"/>
  <c r="G72" i="34" s="1"/>
  <c r="F37" i="34"/>
  <c r="F41" i="34" s="1"/>
  <c r="F51" i="34"/>
  <c r="F30" i="34"/>
  <c r="G30" i="34" s="1"/>
  <c r="H21" i="14"/>
  <c r="H22" i="14"/>
  <c r="H23" i="14"/>
  <c r="H24" i="14"/>
  <c r="H25" i="14"/>
  <c r="H20" i="14"/>
  <c r="F21" i="14"/>
  <c r="F22" i="14"/>
  <c r="F23" i="14"/>
  <c r="F24" i="14"/>
  <c r="F25" i="14"/>
  <c r="F20" i="14"/>
  <c r="E49" i="14"/>
  <c r="D49" i="14"/>
  <c r="D57" i="14" s="1"/>
  <c r="F47" i="14"/>
  <c r="G47" i="14" s="1"/>
  <c r="F46" i="14"/>
  <c r="G46" i="14" s="1"/>
  <c r="G26" i="14"/>
  <c r="G31" i="14" s="1"/>
  <c r="G34" i="14" s="1"/>
  <c r="E26" i="14"/>
  <c r="E31" i="14" s="1"/>
  <c r="G32" i="15" l="1"/>
  <c r="F36" i="15"/>
  <c r="F49" i="14"/>
  <c r="D58" i="14" s="1"/>
  <c r="D59" i="14" s="1"/>
  <c r="I23" i="14"/>
  <c r="I22" i="14"/>
  <c r="I24" i="14"/>
  <c r="H72" i="34"/>
  <c r="F34" i="34"/>
  <c r="G37" i="34"/>
  <c r="I25" i="14"/>
  <c r="I21" i="14"/>
  <c r="I20" i="14"/>
  <c r="I31" i="14"/>
  <c r="E34" i="14"/>
  <c r="B31" i="36" s="1"/>
  <c r="I34" i="14" l="1"/>
  <c r="E41" i="15"/>
  <c r="E43" i="15" s="1"/>
  <c r="E47" i="15" s="1"/>
  <c r="F47" i="34"/>
  <c r="F49" i="34" s="1"/>
  <c r="F53" i="34" s="1"/>
  <c r="I72" i="34"/>
  <c r="I76" i="34" s="1"/>
  <c r="G49" i="14"/>
  <c r="M7" i="14" l="1"/>
  <c r="M7" i="34"/>
  <c r="M7" i="16"/>
  <c r="M7" i="11"/>
  <c r="J9" i="14" l="1"/>
  <c r="D9" i="14"/>
  <c r="J9" i="34"/>
  <c r="D9" i="34"/>
  <c r="J9" i="15"/>
  <c r="D9" i="15"/>
  <c r="J9" i="16"/>
  <c r="D9" i="16"/>
  <c r="J9" i="18"/>
  <c r="D9" i="18"/>
  <c r="J9" i="11"/>
  <c r="D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KPMG</author>
  </authors>
  <commentList>
    <comment ref="E100" authorId="0" shapeId="0" xr:uid="{00000000-0006-0000-0400-000001000000}">
      <text>
        <r>
          <rPr>
            <sz val="8"/>
            <color indexed="81"/>
            <rFont val="Tahoma"/>
            <family val="2"/>
          </rPr>
          <t>Sur la base de 365 jours.
Prorata éventuel si le salarié n'a pas été présent toute l'année</t>
        </r>
      </text>
    </comment>
  </commentList>
</comments>
</file>

<file path=xl/sharedStrings.xml><?xml version="1.0" encoding="utf-8"?>
<sst xmlns="http://schemas.openxmlformats.org/spreadsheetml/2006/main" count="521" uniqueCount="284">
  <si>
    <t>#NomClient</t>
  </si>
  <si>
    <t>OUI</t>
  </si>
  <si>
    <t>NON</t>
  </si>
  <si>
    <t>PERSONNEL</t>
  </si>
  <si>
    <t>Faible</t>
  </si>
  <si>
    <t>Modéré</t>
  </si>
  <si>
    <t>Fait par :</t>
  </si>
  <si>
    <t>BRA</t>
  </si>
  <si>
    <t>Revu par :</t>
  </si>
  <si>
    <t>Synthèse du cycle</t>
  </si>
  <si>
    <t>Date Clôture</t>
  </si>
  <si>
    <t>XRef</t>
  </si>
  <si>
    <t>Elevé</t>
  </si>
  <si>
    <t>Le :</t>
  </si>
  <si>
    <t>#date de clôture</t>
  </si>
  <si>
    <t>P</t>
  </si>
  <si>
    <t>PB</t>
  </si>
  <si>
    <t>PE</t>
  </si>
  <si>
    <t>Risque d'anomalies significatives</t>
  </si>
  <si>
    <t>Seuil d'investigation</t>
  </si>
  <si>
    <t>Niveau de diligences</t>
  </si>
  <si>
    <t>PE + VP</t>
  </si>
  <si>
    <t>Xref</t>
  </si>
  <si>
    <t>Contrôles</t>
  </si>
  <si>
    <t>Diligences à tester</t>
  </si>
  <si>
    <t>Liens</t>
  </si>
  <si>
    <t>P100</t>
  </si>
  <si>
    <t>Rapprochement DADS-Paie-Compta</t>
  </si>
  <si>
    <t>P100 Rappro DADS-Paie-Compta</t>
  </si>
  <si>
    <t>P0</t>
  </si>
  <si>
    <t>Revue analytique charges de personnel</t>
  </si>
  <si>
    <t>P300</t>
  </si>
  <si>
    <t>Provision CP-RTT</t>
  </si>
  <si>
    <t>P300 Provision CP-RTT</t>
  </si>
  <si>
    <t>Provision pour primes - autres</t>
  </si>
  <si>
    <t>Revue des créances et dettes sociales</t>
  </si>
  <si>
    <t>P500 RA créances - dettes socia</t>
  </si>
  <si>
    <t>Participation</t>
  </si>
  <si>
    <t>P710 Participation</t>
  </si>
  <si>
    <t>Intéressement</t>
  </si>
  <si>
    <t>P720 Intéressement</t>
  </si>
  <si>
    <t>Provision IDR</t>
  </si>
  <si>
    <t>P800 IDR</t>
  </si>
  <si>
    <t>Rémunération des dirigeants</t>
  </si>
  <si>
    <t>P910 Rému dirigeants</t>
  </si>
  <si>
    <t xml:space="preserve">Revue analytique </t>
  </si>
  <si>
    <t>Cf. P0</t>
  </si>
  <si>
    <t>CONCLUSION</t>
  </si>
  <si>
    <t>Rapprochement DSN-Paie-Compta</t>
  </si>
  <si>
    <t>P Synthèse</t>
  </si>
  <si>
    <r>
      <t>Objectif :</t>
    </r>
    <r>
      <rPr>
        <b/>
        <sz val="11"/>
        <rFont val="Calibri"/>
        <family val="2"/>
        <scheme val="minor"/>
      </rPr>
      <t xml:space="preserve"> </t>
    </r>
    <r>
      <rPr>
        <sz val="11"/>
        <rFont val="Calibri"/>
        <family val="2"/>
        <scheme val="minor"/>
      </rPr>
      <t xml:space="preserve">
Exhaustivité des rémunérations comptabilisées
Exhaustivité des bases déclarées aux organismes sociaux
</t>
    </r>
    <r>
      <rPr>
        <b/>
        <u/>
        <sz val="11"/>
        <rFont val="Calibri"/>
        <family val="2"/>
        <scheme val="minor"/>
      </rPr>
      <t>Travail effectué</t>
    </r>
    <r>
      <rPr>
        <sz val="11"/>
        <rFont val="Calibri"/>
        <family val="2"/>
        <scheme val="minor"/>
      </rPr>
      <t xml:space="preserve">
Identification des comptes de rémunérations soumises aux charges sociales (# 641xxx)
Rapprochement aux données issues du livre de paie sur la période
Rapprochement à la DSN (*)
Analyse des écarts (apprentis, stagiaires, contrats spéciaux,etc.)</t>
    </r>
  </si>
  <si>
    <t>Conclusion sur le contrôle</t>
  </si>
  <si>
    <t>COMPTABILITE</t>
  </si>
  <si>
    <t>Montant</t>
  </si>
  <si>
    <t>X-Réf</t>
  </si>
  <si>
    <t xml:space="preserve">Total charges de personnel </t>
  </si>
  <si>
    <t>Charges non soumises à cotisation :</t>
  </si>
  <si>
    <t>Numéro de compte</t>
  </si>
  <si>
    <t>Libellé</t>
  </si>
  <si>
    <t>6412xx</t>
  </si>
  <si>
    <t>Provision pour CP</t>
  </si>
  <si>
    <t>6414xx</t>
  </si>
  <si>
    <t>Indemnités de licenciement non soumises</t>
  </si>
  <si>
    <t>641xxx</t>
  </si>
  <si>
    <t>Autres</t>
  </si>
  <si>
    <t xml:space="preserve">Sous - total </t>
  </si>
  <si>
    <t>TOTAL charges comptabilisées soumises à cotisations</t>
  </si>
  <si>
    <t>LIVRE DE PAIE</t>
  </si>
  <si>
    <t>Rubrique</t>
  </si>
  <si>
    <t>Période</t>
  </si>
  <si>
    <t>Total brut</t>
  </si>
  <si>
    <t>Exercice comptable</t>
  </si>
  <si>
    <t>ECART comptabilité - livre de paie</t>
  </si>
  <si>
    <t>DSN</t>
  </si>
  <si>
    <t>M1</t>
  </si>
  <si>
    <t>M2</t>
  </si>
  <si>
    <t>M3</t>
  </si>
  <si>
    <t>M4</t>
  </si>
  <si>
    <t>M5</t>
  </si>
  <si>
    <t>M6</t>
  </si>
  <si>
    <t>M7</t>
  </si>
  <si>
    <t>M8</t>
  </si>
  <si>
    <t>M9</t>
  </si>
  <si>
    <t>M10</t>
  </si>
  <si>
    <t>M11</t>
  </si>
  <si>
    <t>M12</t>
  </si>
  <si>
    <t>ECART comptabilité - DSN</t>
  </si>
  <si>
    <t>P200</t>
  </si>
  <si>
    <r>
      <t>Objectif</t>
    </r>
    <r>
      <rPr>
        <sz val="11"/>
        <rFont val="Calibri"/>
        <family val="2"/>
        <scheme val="minor"/>
      </rPr>
      <t xml:space="preserve">
Mesure et exhaustivité des charges sociales comptabilisées
Revue analytique du salaire moyen
</t>
    </r>
    <r>
      <rPr>
        <b/>
        <u/>
        <sz val="11"/>
        <rFont val="Calibri"/>
        <family val="2"/>
        <scheme val="minor"/>
      </rPr>
      <t>Travail effectué</t>
    </r>
    <r>
      <rPr>
        <sz val="11"/>
        <rFont val="Calibri"/>
        <family val="2"/>
        <scheme val="minor"/>
      </rPr>
      <t xml:space="preserve">
Contrôle incidiaire : calcul du taux de charges sociales par organisme et en globalité, pour N et N-1
Analyse des variations significatives (à documenter le cas échéant)
Effectif moyen : analyser les variations de personnel sur l'exercice (obtenir pour cela le détail des entrées et sorties)
Concernant l'évolution des effectifs, obtenir le détail des entrées et sorties, notamment par nature (fin CDD, démission, licenciement, départ à la retraite…). Par entretien avec le responsable du personnel, se renseigner notamment sur les licenciements et risques prud'hommes éventuels.
Si l'effectif moyen est proche de 50 salariés, vérifier si la société est soumise au calcul de la participation (prise en compte des interimaires)
Revue des indemnités et avantages divers : obtenir le détail (grand livre) des comptes #641400 et analyser les montants significatifs. Pour les indemnités transactionnelles versées au cours de l'exercice, obtenir la transaction signée (vérifier notamment la date et le montant). S'assurer de l'absence de montant de transaction ou d'indemnité de licenciement versé post-clôture et qui aurait dû faire l'objet d'une provision au 31.12.N.</t>
    </r>
  </si>
  <si>
    <t>1° Calcul du taux de charges sociales moyen</t>
  </si>
  <si>
    <t>Organisme social</t>
  </si>
  <si>
    <t>Montant N</t>
  </si>
  <si>
    <t>%</t>
  </si>
  <si>
    <t>Montant N-1</t>
  </si>
  <si>
    <t>Var (points)</t>
  </si>
  <si>
    <t>TOTAL des charges sociales</t>
  </si>
  <si>
    <t>X Ref</t>
  </si>
  <si>
    <t>Base brute DADS DSN</t>
  </si>
  <si>
    <t>Taux de charges sociales hors TASS</t>
  </si>
  <si>
    <t>TAUX DE CHARGES SOCIALES MOYEN</t>
  </si>
  <si>
    <t>Commentaire</t>
  </si>
  <si>
    <t>2° Calcul du salaire moyen</t>
  </si>
  <si>
    <t>N</t>
  </si>
  <si>
    <t>N-1</t>
  </si>
  <si>
    <t>Var (K€)</t>
  </si>
  <si>
    <t>Var. %</t>
  </si>
  <si>
    <r>
      <t>Rémunérations base DADS</t>
    </r>
    <r>
      <rPr>
        <b/>
        <sz val="11"/>
        <rFont val="Calibri"/>
        <family val="2"/>
        <scheme val="minor"/>
      </rPr>
      <t xml:space="preserve"> </t>
    </r>
    <r>
      <rPr>
        <b/>
        <i/>
        <sz val="11"/>
        <rFont val="Calibri"/>
        <family val="2"/>
        <scheme val="minor"/>
      </rPr>
      <t>(1)</t>
    </r>
  </si>
  <si>
    <t>Effectif moyen</t>
  </si>
  <si>
    <t>Salaire moyen mensuel / salarié</t>
  </si>
  <si>
    <r>
      <t>(1)</t>
    </r>
    <r>
      <rPr>
        <i/>
        <sz val="11"/>
        <rFont val="Calibri"/>
        <family val="2"/>
        <scheme val="minor"/>
      </rPr>
      <t xml:space="preserve"> En cas d'exercice avec clôture décalée, prendre la base brute issue du livre de paie </t>
    </r>
  </si>
  <si>
    <t>Rationalisation de l'évolution des rémunérations</t>
  </si>
  <si>
    <t>Effet effectif</t>
  </si>
  <si>
    <t>Effet salaires</t>
  </si>
  <si>
    <t>Analyse de l'évolution</t>
  </si>
  <si>
    <t>a) Effet effectif</t>
  </si>
  <si>
    <t>Commentaire: Impact des entrées, impact des sorties, etc.</t>
  </si>
  <si>
    <t>b) Effet salaires</t>
  </si>
  <si>
    <t>Commentaire : Entrées dans les effectifs de personnes à salaires importants, sorties de personnes à salaires importants, politique d'augmentation des salaires, etc.</t>
  </si>
  <si>
    <t>3° Indemnités et avantages divers :</t>
  </si>
  <si>
    <t xml:space="preserve">Analyse du grand livre #641 4 : </t>
  </si>
  <si>
    <t>Pour les indemnités transactionnelles versées au cours de l'exercice, obtenir la transaction signée (vérifier notamment la date et le montant). S'assurer par entretien avec le responsable RH de l'absence de risque prud'hommal lié à ces départs.</t>
  </si>
  <si>
    <r>
      <t>Objectif</t>
    </r>
    <r>
      <rPr>
        <sz val="11"/>
        <rFont val="Calibri"/>
        <family val="2"/>
        <scheme val="minor"/>
      </rPr>
      <t xml:space="preserve">
Mesure de la provision pour congés payés
</t>
    </r>
    <r>
      <rPr>
        <b/>
        <u/>
        <sz val="11"/>
        <rFont val="Calibri"/>
        <family val="2"/>
        <scheme val="minor"/>
      </rPr>
      <t>Travail effectué</t>
    </r>
    <r>
      <rPr>
        <sz val="11"/>
        <rFont val="Calibri"/>
        <family val="2"/>
        <scheme val="minor"/>
      </rPr>
      <t xml:space="preserve">
Prise de connaissance de la politique d'obtention de jours de congés (jours ouvrés/ouvrable, RTT, congés complémentaires)
Revue analytique de la provision pour CP. Contrôle des dotations aux provisions pour CP et charges sociales liées comptabilisées.
Obtenir le détail nominatif par salarié de la provision pour congés payés, rapprocher ce détail de la comptabilité et effectuer les contrôles arithmétiques nécessaires. S'assurer que les dirigeants ne sont pas inclus dans la provision
Obtenir le détail de la provision pour RTT, rapprocher ce détail de la comptabilité et effectuer les contrôles arithmétiques nécessaires.
Si nécessaire (cf. approche d'audit retenue sur le dossier), effectuer un calcul de cohérence de la provision pour congés payés
Si nécessaire (cf. approche d'audit retenue sur le dossier), réaliser un test de détail : sélection aléatoire de salariés, obtention des bulletins de paie du dernier mois de l'exercice. Vérification du solde de CP mentionnés sur le bulletin de paie comparativement au détail en comptabilité, et calcul de cohérence de la valorisation de la provision (selon le salaire figurant sur le bulletin de paie).</t>
    </r>
  </si>
  <si>
    <t xml:space="preserve">1° Prise de connaissance du système d'obtention de jours de congés </t>
  </si>
  <si>
    <t>Entretien avec la direction</t>
  </si>
  <si>
    <t>Prise de connaissance de la convention collective et des accords d'entreprise (congés d'ancienneté?).</t>
  </si>
  <si>
    <t>Prise de connaissance de la politique de gestion des reliquats des jours de congés non pris à la clôture</t>
  </si>
  <si>
    <t>2° Revue analytique provision pour CP et revue des dotations</t>
  </si>
  <si>
    <t>Var. K€</t>
  </si>
  <si>
    <t>Var.%</t>
  </si>
  <si>
    <t>Commentaires</t>
  </si>
  <si>
    <t>Provision pour CP comptabilisée</t>
  </si>
  <si>
    <t>Dotation/reprise comptabilisée</t>
  </si>
  <si>
    <t>ECART</t>
  </si>
  <si>
    <t>Provision CS sur CP</t>
  </si>
  <si>
    <t>Calcul de la provison CS sur CP théorique :</t>
  </si>
  <si>
    <t>Taux de charges sociales moyen</t>
  </si>
  <si>
    <t>Provision CS sur CP théorique</t>
  </si>
  <si>
    <t>Provision CS sur CP comptabilisée</t>
  </si>
  <si>
    <t>3° Contrôle de cohérence dotation CP, congés d'ancienneté et congés supplémentaires</t>
  </si>
  <si>
    <t>Effectif réel (à la clôture)</t>
  </si>
  <si>
    <t>Salaire Brut total mensuel du mois de clôture</t>
  </si>
  <si>
    <t>Brut moyen/personne/mois</t>
  </si>
  <si>
    <t>Nombre de jours travaillés / mois</t>
  </si>
  <si>
    <t>Rq 1</t>
  </si>
  <si>
    <t>Brut moyen/personne/jours</t>
  </si>
  <si>
    <t>CP acquis et/ou restant à prendre à la clôture</t>
  </si>
  <si>
    <t>CP acquis et/ou restant à prendre par personne à la clôture</t>
  </si>
  <si>
    <t>Rq 2</t>
  </si>
  <si>
    <t>RTT restant à prendre/personnes</t>
  </si>
  <si>
    <t>Provision CP théorique</t>
  </si>
  <si>
    <t>Provision Compta</t>
  </si>
  <si>
    <r>
      <rPr>
        <b/>
        <u/>
        <sz val="11"/>
        <color rgb="FFFF0000"/>
        <rFont val="Calibri"/>
        <family val="2"/>
        <scheme val="minor"/>
      </rPr>
      <t>Rq 1</t>
    </r>
    <r>
      <rPr>
        <b/>
        <sz val="11"/>
        <color rgb="FFFF0000"/>
        <rFont val="Calibri"/>
        <family val="2"/>
        <scheme val="minor"/>
      </rPr>
      <t xml:space="preserve"> </t>
    </r>
    <r>
      <rPr>
        <sz val="11"/>
        <rFont val="Calibri"/>
        <family val="2"/>
        <scheme val="minor"/>
      </rPr>
      <t>: les salariés obtiennent 2,08 jours de CP/mois ou 2,5 mois selon le régime; le salaire mensuel est soit fixé en jours ouvrés (cad sur 21.67 j/mois) ou soit en jours ouvrables (cad 26 j / mois)</t>
    </r>
  </si>
  <si>
    <r>
      <rPr>
        <b/>
        <u/>
        <sz val="11"/>
        <color rgb="FFFF0000"/>
        <rFont val="Calibri"/>
        <family val="2"/>
        <scheme val="minor"/>
      </rPr>
      <t>Rq 2</t>
    </r>
    <r>
      <rPr>
        <sz val="11"/>
        <rFont val="Calibri"/>
        <family val="2"/>
        <scheme val="minor"/>
      </rPr>
      <t xml:space="preserve"> : nous avons considéré que les salariés avaient en moyenne encore XX jours de CP relatifs à 2016 restant à prendre au 31.12.N-1.</t>
    </r>
  </si>
  <si>
    <t>4/ Test de détail provision pour congés payés</t>
  </si>
  <si>
    <t>Tableau des CP</t>
  </si>
  <si>
    <t>Provision CP compta</t>
  </si>
  <si>
    <t xml:space="preserve">Ecart </t>
  </si>
  <si>
    <t>A partir du détail nominatif de la provision pour CP, nous avons sélectionné XX salariés.</t>
  </si>
  <si>
    <t>Nous avons demandé le bulletin de paie du mois de xx (mois de clôture) afin de nous assurer de :</t>
  </si>
  <si>
    <t>- l'exactitude du nombre de CP pris sur l'exercice et par conséquent le solde de CP à provisionner</t>
  </si>
  <si>
    <t>- la correcte valorisation de ce solde de CP (à partir du salaire annuel mentionné sur le bulletin de paie).</t>
  </si>
  <si>
    <t>Nom
(ou n° matricule)</t>
  </si>
  <si>
    <t>Solde CP sur bulletin paie
(acquis+en cours)</t>
  </si>
  <si>
    <t>Salaire annuel</t>
  </si>
  <si>
    <t>Provision théorique</t>
  </si>
  <si>
    <t>Provision comptabilisée</t>
  </si>
  <si>
    <t>Ecart</t>
  </si>
  <si>
    <t>bulletin paie</t>
  </si>
  <si>
    <t>détail nominatif prov CP</t>
  </si>
  <si>
    <t>M X</t>
  </si>
  <si>
    <t>P400</t>
  </si>
  <si>
    <r>
      <t>Objectif</t>
    </r>
    <r>
      <rPr>
        <sz val="11"/>
        <rFont val="Calibri"/>
        <family val="2"/>
        <scheme val="minor"/>
      </rPr>
      <t xml:space="preserve">
Mesure des primes à payer et respect du principe de séparation des exercices
</t>
    </r>
    <r>
      <rPr>
        <b/>
        <u/>
        <sz val="11"/>
        <rFont val="Calibri"/>
        <family val="2"/>
        <scheme val="minor"/>
      </rPr>
      <t>Travail effectué</t>
    </r>
    <r>
      <rPr>
        <sz val="11"/>
        <rFont val="Calibri"/>
        <family val="2"/>
        <scheme val="minor"/>
      </rPr>
      <t xml:space="preserve">
Prise de connaissance des différentes primes versées (salariés concernés, méthode de calcul, politique de versement)
Revue analytique des primes à verser. Contrôle des dotations aux provisions sur primes à payer et charges sociales liées comptabilisées.
Tests de détail : contrôle arithmétique du fichier de calcul des primes à payer - rapprochement à la comptabilité - contrôle apurement des primes provisionnées en N-1 sur N + des primes provisionnées en N sur N+1 (si versées)
</t>
    </r>
  </si>
  <si>
    <t>1° Prise de connaissance des primes versées</t>
  </si>
  <si>
    <t>Prise de connaissance de la convention collective et des accords d'entreprise.</t>
  </si>
  <si>
    <t>2° Revue analytique primes à payer et revue des dotations</t>
  </si>
  <si>
    <t>Var. (K€)</t>
  </si>
  <si>
    <t>Var. (%)</t>
  </si>
  <si>
    <t>Provision sur primes</t>
  </si>
  <si>
    <t>Provision CS sur primes à payer</t>
  </si>
  <si>
    <t>Calcul de la provison CS sur primes théorique :</t>
  </si>
  <si>
    <t xml:space="preserve">Montant </t>
  </si>
  <si>
    <t>Provision pour primes à verser comptabilisée</t>
  </si>
  <si>
    <t>Provision CS sur primes à verser théorique</t>
  </si>
  <si>
    <t>Provision CS sur primes à verser comptabilisée</t>
  </si>
  <si>
    <t>3/ Tests de détail</t>
  </si>
  <si>
    <t>a) Rapprochement tableau des primes / comptabilité</t>
  </si>
  <si>
    <t>Tableau des primes</t>
  </si>
  <si>
    <t>Provision primes compta</t>
  </si>
  <si>
    <t>b) Apurement des primes provisionnées en N-1 sur N</t>
  </si>
  <si>
    <t>c) Apurement des primes provisionnées en N sur N+1 si versées</t>
  </si>
  <si>
    <t>Primes provisionnées en N-1</t>
  </si>
  <si>
    <t>Primes provisionnées en N</t>
  </si>
  <si>
    <t>Primes versées sur N relatives à N-1</t>
  </si>
  <si>
    <t>Primes versées sur N+1 relatives à N</t>
  </si>
  <si>
    <t>% d'apurement</t>
  </si>
  <si>
    <t>P500</t>
  </si>
  <si>
    <r>
      <t>Objectif</t>
    </r>
    <r>
      <rPr>
        <sz val="11"/>
        <rFont val="Calibri"/>
        <family val="2"/>
        <scheme val="minor"/>
      </rPr>
      <t xml:space="preserve">
Réalité des créances et exhaustivité des dettes sociales comptabilisées (organismes sociaux et personnel)
</t>
    </r>
    <r>
      <rPr>
        <b/>
        <u/>
        <sz val="11"/>
        <rFont val="Calibri"/>
        <family val="2"/>
        <scheme val="minor"/>
      </rPr>
      <t>Travail effectué</t>
    </r>
    <r>
      <rPr>
        <sz val="11"/>
        <rFont val="Calibri"/>
        <family val="2"/>
        <scheme val="minor"/>
      </rPr>
      <t xml:space="preserve">
Rapprochement des dettes sociales comptabilisées aux bordereaux de cotisations
Rapprochement des créances sociales (prêts au personnel…) aux pièces justificatives (contrat de prêt, état de suivi…)</t>
    </r>
  </si>
  <si>
    <t>Dettes sociales</t>
  </si>
  <si>
    <t>Montant N compta.</t>
  </si>
  <si>
    <t>Bordereaux de cotisations</t>
  </si>
  <si>
    <t>X-réf</t>
  </si>
  <si>
    <t>Ecart K€</t>
  </si>
  <si>
    <t>Ecart %</t>
  </si>
  <si>
    <t>Total contrôlé</t>
  </si>
  <si>
    <t>ECART TOTAL</t>
  </si>
  <si>
    <t>Total des dettes sociales</t>
  </si>
  <si>
    <t>Scope</t>
  </si>
  <si>
    <t>Créances sociales</t>
  </si>
  <si>
    <t>Justificatifs</t>
  </si>
  <si>
    <t>Total des créances sociales</t>
  </si>
  <si>
    <t>Commentaire : Analyse de la recouvrabilité des créances sociales</t>
  </si>
  <si>
    <t>#DateClôture</t>
  </si>
  <si>
    <t>P710</t>
  </si>
  <si>
    <r>
      <t xml:space="preserve">Objectif 
</t>
    </r>
    <r>
      <rPr>
        <sz val="11"/>
        <rFont val="Calibri"/>
        <family val="2"/>
        <scheme val="minor"/>
      </rPr>
      <t xml:space="preserve">Exhaustivité et mesure de la participation
</t>
    </r>
    <r>
      <rPr>
        <b/>
        <u/>
        <sz val="11"/>
        <rFont val="Calibri"/>
        <family val="2"/>
        <scheme val="minor"/>
      </rPr>
      <t>Travail effectué</t>
    </r>
    <r>
      <rPr>
        <sz val="11"/>
        <rFont val="Calibri"/>
        <family val="2"/>
        <scheme val="minor"/>
      </rPr>
      <t xml:space="preserve">
1/ Récupérer l'accord de participation signé par l'entreprise
2/ Contrôler le calcul de la participation : correspond-il à la base légale ou s'agit il d'une formule dérogatoire (la formule dérogatoire doit toujours  être plus favorable).
3/ L'accord prévoit il une attestation du CAC ?
4/ Procéder au calcul théorique de la participation (cf onglets suivants pour les cas où la participation est calculée sur la base légale).
5/ Analyse de l'écart avec la participation comptabilisée</t>
    </r>
  </si>
  <si>
    <t>Calcul de la participation</t>
  </si>
  <si>
    <t>Calcul V1</t>
  </si>
  <si>
    <t>Calcul V Def</t>
  </si>
  <si>
    <t>Bénéfice net</t>
  </si>
  <si>
    <t xml:space="preserve">+ Bénéfice fiscal </t>
  </si>
  <si>
    <t>Bénéfice avant impôt</t>
  </si>
  <si>
    <t>- IS 33,33%</t>
  </si>
  <si>
    <t>Capitaux propres</t>
  </si>
  <si>
    <t>+ capital social</t>
  </si>
  <si>
    <t>+ prime d'émission</t>
  </si>
  <si>
    <t>+ réserves</t>
  </si>
  <si>
    <t>+ amortissements derogatoires</t>
  </si>
  <si>
    <t>Salaires DADS</t>
  </si>
  <si>
    <t>Salaires  DADS bruts</t>
  </si>
  <si>
    <t>Valeur ajoutée BIC</t>
  </si>
  <si>
    <t>+ charges de personnel</t>
  </si>
  <si>
    <t>(1)</t>
  </si>
  <si>
    <t>+ impôts et taxes</t>
  </si>
  <si>
    <t>+ charges financières</t>
  </si>
  <si>
    <t>+ dap amortissement</t>
  </si>
  <si>
    <t>+ dap provisions (sauf exceptionnel)</t>
  </si>
  <si>
    <t>+ résultat courant avant impôt</t>
  </si>
  <si>
    <t>Valeur ajoutée</t>
  </si>
  <si>
    <t>RSP</t>
  </si>
  <si>
    <t xml:space="preserve"> = 1/2 x (B - 5C/100) x S/VA</t>
  </si>
  <si>
    <t>Forfait social</t>
  </si>
  <si>
    <t>20%</t>
  </si>
  <si>
    <t>Penser à soustraire le forfait social déjà pris en compte dans les charges de personnel pour le recalcul de la participation</t>
  </si>
  <si>
    <t>P720</t>
  </si>
  <si>
    <r>
      <t xml:space="preserve">Objectif 
</t>
    </r>
    <r>
      <rPr>
        <sz val="11"/>
        <rFont val="Calibri"/>
        <family val="2"/>
        <scheme val="minor"/>
      </rPr>
      <t xml:space="preserve">Exhaustivité et mesure de l'intéressement
</t>
    </r>
    <r>
      <rPr>
        <b/>
        <u/>
        <sz val="11"/>
        <rFont val="Calibri"/>
        <family val="2"/>
        <scheme val="minor"/>
      </rPr>
      <t>Travail effectué</t>
    </r>
    <r>
      <rPr>
        <sz val="11"/>
        <rFont val="Calibri"/>
        <family val="2"/>
        <scheme val="minor"/>
      </rPr>
      <t xml:space="preserve">
1/ Se renseigner sur l'existence d'un contrat d'intéressement signé par la société. Le cas échéant, récupérer ce contrat.
2/ Contrôler les dates de validité du contrat et le mode de calcul.
3/ Procéder au calcul théorique de l'intéressement.
4/ Analyse de l'écart avec l'intéressement comptabilisé.
5/ Vérifier la permanence des méthodes de comptabilisation de l'intéressement.
6/ S'assurer que le forfait social sur intéressement a été provisionné</t>
    </r>
  </si>
  <si>
    <t>Commentaires sur l'intéressement et analyse de l'écart entre nos calculs et la comptabilité, le cas échéant</t>
  </si>
  <si>
    <t>P800</t>
  </si>
  <si>
    <r>
      <t xml:space="preserve">Objectif 
</t>
    </r>
    <r>
      <rPr>
        <sz val="11"/>
        <rFont val="Calibri"/>
        <family val="2"/>
        <scheme val="minor"/>
      </rPr>
      <t xml:space="preserve">Exhaustivité et mesure de la provision des indemnités de départ à la retraite.
Permanence des méthodes de calcul des IDR
</t>
    </r>
    <r>
      <rPr>
        <b/>
        <u/>
        <sz val="11"/>
        <rFont val="Calibri"/>
        <family val="2"/>
        <scheme val="minor"/>
      </rPr>
      <t>Travail effectué</t>
    </r>
    <r>
      <rPr>
        <sz val="11"/>
        <rFont val="Calibri"/>
        <family val="2"/>
        <scheme val="minor"/>
      </rPr>
      <t xml:space="preserve">
</t>
    </r>
  </si>
  <si>
    <t>Rappel des hypothèses retenues à titre indicatif</t>
  </si>
  <si>
    <t xml:space="preserve">Hypothèses générales : </t>
  </si>
  <si>
    <t>Table de mortalité :</t>
  </si>
  <si>
    <t>TG 05</t>
  </si>
  <si>
    <t>Taux d'actualisation :</t>
  </si>
  <si>
    <t>(https://www.towerswatson.com/fr-FR/Insights/Newsletters/Europe/Blog-Towers-Watson-France/2016/Taux-dactualisation-IAS-19-au-30-juin-2016)</t>
  </si>
  <si>
    <t>Initiative du départ :</t>
  </si>
  <si>
    <t>Salarié</t>
  </si>
  <si>
    <t>Méthode :</t>
  </si>
  <si>
    <t>Rétrospective Prorata Temporis</t>
  </si>
  <si>
    <t xml:space="preserve">Hypothèses concernant les salariés : </t>
  </si>
  <si>
    <t>Table de progression du salaire :</t>
  </si>
  <si>
    <t>1% constant</t>
  </si>
  <si>
    <t>A adapter</t>
  </si>
  <si>
    <t>Table de rotation du personnel :</t>
  </si>
  <si>
    <t>5% constant</t>
  </si>
  <si>
    <t>Age de départ :</t>
  </si>
  <si>
    <t>Taux de charges patronales :</t>
  </si>
  <si>
    <t>1/ Contrôler l'évaluation des indemnités de départ à la retraite réalisée par le client</t>
  </si>
  <si>
    <t xml:space="preserve"> - L'exactitude des calculs arithmétiques;</t>
  </si>
  <si>
    <t xml:space="preserve"> - La base brute utilisée avec la DADS ou le livre de paie;</t>
  </si>
  <si>
    <t xml:space="preserve"> - Les hypothèses retenues, à savoir table de mortalité, taux d'actualisation, initiative du départ, méthode utilisée;</t>
  </si>
  <si>
    <t xml:space="preserve"> - Les hypothèses retenues au niveau des catégories de salariés (cadres, ETAM, employés), à savoir taux de progression du salaire, 
taux de rotation du personnel, âge de départ à la retraite, taux de charges patronales utilisé, convention collective de référence.</t>
  </si>
  <si>
    <t xml:space="preserve"> - La conformité avec les principes définis dans la recommandation de l'ANC du 7 novembre 2013.</t>
  </si>
  <si>
    <t>P910</t>
  </si>
  <si>
    <r>
      <t xml:space="preserve">Objectif 
</t>
    </r>
    <r>
      <rPr>
        <sz val="11"/>
        <rFont val="Calibri"/>
        <family val="2"/>
        <scheme val="minor"/>
      </rPr>
      <t>Contrôler la réalité et la correcte évaluation des rémunarations des dirigeants</t>
    </r>
    <r>
      <rPr>
        <b/>
        <u/>
        <sz val="11"/>
        <rFont val="Calibri"/>
        <family val="2"/>
        <scheme val="minor"/>
      </rPr>
      <t xml:space="preserve">
Travail effectué
</t>
    </r>
    <r>
      <rPr>
        <sz val="11"/>
        <rFont val="Calibri"/>
        <family val="2"/>
        <scheme val="minor"/>
      </rPr>
      <t xml:space="preserve">1/ Lister l'ensemble des rémunérations versées aux dirigeants
2/ En fonction du type de société, s'assurer que les rémunérations versées respectent les droits et obligations qui y sont liées.
3/ S'assurer que les obligations du CAC (contrôle des conventions réglementées, du rapport de gestion, …) sont respectées, ou que nous avons obtenu les informations en vue de leur réalisation, si ces documents n'ont pas encore été établis à la date de notre intervention. </t>
    </r>
  </si>
  <si>
    <t>Rappel des différentes formes de statut des dirigeants et des modes de rémunartion liés</t>
  </si>
  <si>
    <r>
      <rPr>
        <i/>
        <u/>
        <sz val="11"/>
        <rFont val="Arial Narrow"/>
        <family val="2"/>
      </rPr>
      <t xml:space="preserve">Statut des dirigeants dans la société : </t>
    </r>
    <r>
      <rPr>
        <sz val="11"/>
        <rFont val="Arial Narrow"/>
        <family val="2"/>
      </rPr>
      <t xml:space="preserve">
Les dirigeants de sociétés sont des mandataires sociaux et non des salariés au sens du Code du travail.
Certains d'entre eux sont toutefois assimilés à des salariés au regard de la législation de la sécurité sociale et de la législation fiscale.
Par ailleurs, les dirigeants de sociétés peuvent également être titulaires d'un contrat de travail au titre des fonctions techniques rémunérées qu'ils exercent dans la société concurremment à leur mandat social.</t>
    </r>
  </si>
  <si>
    <r>
      <rPr>
        <i/>
        <u/>
        <sz val="11"/>
        <rFont val="Arial Narrow"/>
        <family val="2"/>
      </rPr>
      <t xml:space="preserve">Mandataires sociaux : </t>
    </r>
    <r>
      <rPr>
        <sz val="11"/>
        <rFont val="Arial Narrow"/>
        <family val="2"/>
      </rPr>
      <t xml:space="preserve">
Les dirigeants de sociétés ont la qualité de mandataire social et non celle de salarié. Ainsi, même s'ils peuvent être assimilés à des salariés au regard de la législation de la sécurité sociale ou de la législation fiscale, ils ne bénéficient pas des règles protectrices prévues par le Code du travail ou par les conventions et accords collectifs de travail, notamment en ce qui concerne les salaires, la durée du travail, les congés, l'indemnité de licenciement, le régime d'assurance chômage géré par l'Assédic etc.
De même, dans le domaine de l'épargne salariale, l'exercice d'un mandat social n'ouvre pas droit au régime de la participation aux résultats et ne permet pas, non plus, de participer aux plans d'épargne salariale ni de bénéficier de l'intéressement, sous réserve d'exceptions (n° 7784, 8153 et 8013). Certains dirigeants ont en revanche accès au système d'options sur actions (n° 8300), à celui des attributions d'actions gratuites (n° 8355 s.) et à celui des bons de souscription des parts de créateurs d'entreprises (n° 8363).
La </t>
    </r>
    <r>
      <rPr>
        <b/>
        <sz val="11"/>
        <rFont val="Arial Narrow"/>
        <family val="2"/>
      </rPr>
      <t>rémunération</t>
    </r>
    <r>
      <rPr>
        <sz val="11"/>
        <rFont val="Arial Narrow"/>
        <family val="2"/>
      </rPr>
      <t xml:space="preserve"> du mandat social n'est pas soumise à la réglementation du Smic, le mandat social pouvant même être gratuit. Elle est fixée par les associés selon les règles propres à chaque type de société.</t>
    </r>
  </si>
  <si>
    <r>
      <rPr>
        <i/>
        <u/>
        <sz val="11"/>
        <rFont val="Arial Narrow"/>
        <family val="2"/>
      </rPr>
      <t xml:space="preserve">Dirigeants salariés : </t>
    </r>
    <r>
      <rPr>
        <sz val="11"/>
        <rFont val="Arial Narrow"/>
        <family val="2"/>
      </rPr>
      <t xml:space="preserve">
A côté de leur mandat social, certains dirigeants (présidents, présidents-directeurs généraux, directeurs généraux, membres du directoire ou du conseil de surveillance d'une société anonyme, présidents de SAS, gérants minoritaires de SARL, etc.) peuvent être liés à la société par un contrat de travail pour l'exercice de fonctions techniques distinctes du mandat social, exercées dans un lien de subordination vis-à-vis de la société et donnant lieu à une rémunération propre.
Lorsqu'il en est ainsi, les intéressés bénéficient, au titre de ce contrat de travail, des dispositions du Code du travail et des conventions et accords collectifs de travail, notamment en ce qui concerne les salaires, la durée du travail (sauf s'il s'agit de cadres dirigeants), les congés, l'indemnité de licenciement, les régimes de participation financière (n° 7781) ou d'intéressement (n° 8012), les plans d'épargne salariale (n° 8150), etc. Ils relèvent du régime d'assurance chômage géré par l'Assedic (n° 14440 s.). L'application de l'ensemble de ces dispositions ne concerne toutefois que les fonctions techniques exercées dans le cadre du contrat de travail et ne s'étend pas au mandat social, celui-ci restant régi par les règles qui lui sont propres (n° 14315 s.).
La </t>
    </r>
    <r>
      <rPr>
        <b/>
        <sz val="11"/>
        <rFont val="Arial Narrow"/>
        <family val="2"/>
      </rPr>
      <t>rémunération</t>
    </r>
    <r>
      <rPr>
        <sz val="11"/>
        <rFont val="Arial Narrow"/>
        <family val="2"/>
      </rPr>
      <t xml:space="preserve"> perçue par le dirigeant au titre de son contrat de travail constitue un salaire au sens du Code du travail. Elle doit donc respecter la législation sur le Smic et, le cas échéant, les minima prévus par les conventions ou accords collectifs applicables dans l'entreprise.
Elle est soumise à l'ensemble des règles applicables au salaire en ce qui concerne notamment la périodicité de paiement, la remise d'un bulletin de paie, le régime de la saisie et de la cession, la prescription applicable, etc.
La modification de la rémunération sera soumise, dans certains cas, à la procédure applicable aux conventions passées entre la société et ses gérants, administrateurs, directeurs généraux, membres du directoire ou du conseil de surveillance.
</t>
    </r>
  </si>
  <si>
    <t>Rappel des différentes formes de rémunération des dirigeants en fonction du statut de la société</t>
  </si>
  <si>
    <r>
      <rPr>
        <i/>
        <u/>
        <sz val="11"/>
        <rFont val="Arial Narrow"/>
        <family val="2"/>
      </rPr>
      <t xml:space="preserve">Dirigeant d'une EURL ou d'une société de personnes soumise à l'IS / exploitation individuelle / Gérant majoritaire d'une SARL soumise à l'IS : </t>
    </r>
    <r>
      <rPr>
        <sz val="11"/>
        <rFont val="Arial Narrow"/>
        <family val="2"/>
      </rPr>
      <t xml:space="preserve">
rémunération = bénéfice imposable (ou quote-part de bénéfices qui vous attribuée en fonction du % de détention).</t>
    </r>
  </si>
  <si>
    <r>
      <rPr>
        <i/>
        <u/>
        <sz val="11"/>
        <rFont val="Arial Narrow"/>
        <family val="2"/>
      </rPr>
      <t xml:space="preserve">Gérant non majoritaire de SARL : </t>
    </r>
    <r>
      <rPr>
        <sz val="11"/>
        <rFont val="Arial Narrow"/>
        <family val="2"/>
      </rPr>
      <t xml:space="preserve">
Le gérant non majoritaire d'une SARL est assimilé à un salarié. La rémunération d'un gérant de SARL peut être fixée directement par les statuts ou par décision des associés réunis en assemblée générale.
La fixation par les statuts contraint à modifier ceux-ci en fonction de l'évolution de la rémunération.
Par ailleurs, la rémunération peut être fixe, proportionnelle au chiffre d'affaires ou aux bénéfices, ou à la fois fixe et proportionnelle. La proportionnalité au chiffre d'affaires ne pose en général pas de problème, ce qui n'est pas le cas des rémunérations proportionnelles au bénéfice : si la notion de bénéfice n'est pas clairement définie (s'agit-il, par exemple, du bénéfice brut ou du bénéfice net ?), les associés pourront contester la rémunération de calcul. Indépendamment de rémunération proprement dite, le dirigeant pourra également percevoir d'autres avantages : des remboursements de frais, des gratifications diverses... Souvent, les gérants perçoivent même une indemnité spéciale de départ en retraite, voire une retraite complémentaire allouée par la société en fonction des services rendus. Tous ces éléments rémunération peuvent être fixés librement. La seule limite est celle des rémunérations excessives .
En effet, le fait pour un gérant de SARL de s'attribuer une rémunération trop importante par rapport aux ressources de la société peut constituer un délit d'abus de biens sociaux.</t>
    </r>
  </si>
  <si>
    <r>
      <rPr>
        <i/>
        <u/>
        <sz val="11"/>
        <rFont val="Arial Narrow"/>
        <family val="2"/>
      </rPr>
      <t xml:space="preserve">Cas des SA : </t>
    </r>
    <r>
      <rPr>
        <sz val="11"/>
        <rFont val="Arial Narrow"/>
        <family val="2"/>
      </rPr>
      <t xml:space="preserve">
Les Présidents, DG, DGD ou membre du directoire d'une société anonyme sont assimilés à des salariés et peuvent ainsi percevoir un salaire. 
En application des articles L.225-47 al.1 et L.225-53 al.3 du Code de commerce, le Conseil d'administration est seul compétent pour décider de la rémunération du président, du directeur général et des directeurs généraux délégués.
Cette rémunération a un caractère institutionnel, c'est-à-dire que la procédure d'autorisation des conventions réglementées n'a pas à être appliquée.
Toutefois, cette procédure de contrôle trouve notamment à s'appliquer à toute rémunération exceptionnelle ou prime de départ à la retraite attribuée au dirigeant..
La loi NRE du 15 mai 2001 a introduit une obligation supplémentaire relative aux rémunérations versées à chaque mandataire social, c'est-à-dire, les administrateurs, le directeur général, les directeurs généraux délégués ainsi que les membres du directoire et ceux du conseil de surveillance.
Ainsi, chaque année, le rapport de gestion, présenté à l'assemblée générale, doit rendre compte de la rémunération totale et des avantages de toute nature versés durant l'exercice social à chaque mandataire social.
Sont notamment visés les salaires, les jetons de présence, les compléments de retraite, et les sommes proportionnelles au chiffre d'affaires.
Cette information doit être individuelle et nominative.
De même, le rapport doit indiquer le montant des rémunérations et des avantages de toute nature que chaque mandataire a reçu de la part des sociétés contrôlées.
Ce rapport doit être déposé au greffe du Tribunal de commerce.
Dans ces conditions, l'information est accessible aux tiers et communiquée au comité d'entreprise.
Une exception importante à cette règle, cependant : les clauses dites de "parachute" prévoyant le versement d'une indemnité exceptionnelle aux dirigeants quittant la société doivent être soumises ultérieurement, après décision du conseil, à l'assemblée des actionnaires.
Dans les sociétés anonymes, le conseil d'administration ou de surveillance peut éventuellement modifier votre traitement de PDG, ou répartir différemment les jetons de présence auxquels ont droit tous les membres du conseil. Les décisions sont prises ici à la majorité des membres présents ou représentés, le président de séance ayant voix prépondérante en cas de partage des voix.
A noter enfin que le fait, pour un PDG de SA, de s'attribuer une rémunération trop importante par rapport aux ressources de la société peut constituer un délit d'abus de biens sociaux.</t>
    </r>
  </si>
  <si>
    <t>Dirigant d'une SAS : 
Le dirigeant d'une SAS est assimilé à un salarié. 
La rémunération du président et de chacun des dirigeants de la SAS est déterminée dans les conditions fixées par les statuts.
Contrairement à la rémunération des dirigeants de SA, qui a un caractère institutionnel, celle des dirigeants de SAS a un caractère purement contractuel, ce qui implique que sa fixation est soumise à la procédure de contrôle des conventions réglementées.
Cette procédure implique que le Commissaire aux Comptes établisse et présente à l'assemblée générale un rapport sur la convention soumise à contrôle.
En outre, à la différence de la SA, l'obligation d'établir un rapport annuel sur le montant des rémunérations des dirigeants n'est pas applicable à la SAS.</t>
  </si>
  <si>
    <r>
      <rPr>
        <i/>
        <u/>
        <sz val="11"/>
        <rFont val="Arial Narrow"/>
        <family val="2"/>
      </rPr>
      <t xml:space="preserve">Notion de rémunération exagérée : </t>
    </r>
    <r>
      <rPr>
        <sz val="11"/>
        <rFont val="Arial Narrow"/>
        <family val="2"/>
      </rPr>
      <t xml:space="preserve">
 - Pour que la rémunération ne soit pas contestée ou remise en cause par le fisc, elle ne doit pas être excessive. Il n'y a pas de critère unique pour savoir si une rémunération est normale ou excessive : le fisc et les tribunaux se fondent sur divers éléments tels que l'importance de l'activité déployée, le niveau et l'évolution du chiffre d'affaires et du bénéfice de la société, les rémunérations pratiquées dans des entreprises comparables, etc. 
 - Afin de juger si la rémunération est excessive, le fisc prend également en compte tous les éléments qui la composent : salaires ou appointements, mais aussi remboursements de frais, allocations diverses, avantages en nature... 
 - Une rémunération trop importante peut entraîner deux types de conséquences. Tout d'abord, elle n'est pas déductible pour la fraction jugée exagérée : en cas de contrôle fiscal, le risque est donc que cette fraction soit réintégrée dans le bénéfice de la société. De plus, elle sera imposée non plus dans la catégorie des rémunérations de gérants et associés, mais en tant que revenu mobilier.</t>
    </r>
  </si>
  <si>
    <r>
      <rPr>
        <b/>
        <u/>
        <sz val="11"/>
        <rFont val="Arial Narrow"/>
        <family val="2"/>
      </rPr>
      <t>NB :</t>
    </r>
    <r>
      <rPr>
        <sz val="11"/>
        <rFont val="Arial Narrow"/>
        <family val="2"/>
      </rPr>
      <t xml:space="preserve"> Quel que soit le régime fiscal de la société, chaque dirigeant peut bénéficier également d'une rémunération du capital sous forme de distributions de dividendes, et d'autres éléments de rémunération tels que des avantages en nature (voiture, téléphone, logement, ...) ou d'une formule d'épargne salariale.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</si>
</sst>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 _€_-;\-* #,##0.00\ _€_-;_-* &quot;-&quot;??\ _€_-;_-@_-"/>
    <numFmt numFmtId="165" formatCode="_-* #,##0\ _€_-;\-* #,##0\ _€_-;_-* &quot;-&quot;??\ _€_-;_-@_-"/>
    <numFmt numFmtId="166" formatCode="#,##0.0"/>
    <numFmt numFmtId="167" formatCode="#,##0,"/>
    <numFmt numFmtId="168" formatCode="0.0%"/>
    <numFmt numFmtId="169" formatCode="0.0"/>
    <numFmt numFmtId="170" formatCode="_(* #,##0.00_);_(* \(#,##0.00\);_(* &quot;-&quot;??_);_(@_)"/>
    <numFmt numFmtId="171" formatCode="_-* #,##0.0\ _€_-;\-* #,##0.0\ _€_-;_-* &quot;-&quot;??\ _€_-;_-@_-"/>
    <numFmt numFmtId="172" formatCode="_-* #,##0\ [$€-40C]_-;\-* #,##0\ [$€-40C]_-;_-* &quot;-&quot;??\ [$€-40C]_-;_-@_-"/>
  </numFmts>
  <fonts count="56">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Calibri"/>
      <family val="2"/>
      <scheme val="minor"/>
    </font>
    <font>
      <b/>
      <sz val="12"/>
      <name val="Calibri"/>
      <family val="2"/>
      <scheme val="minor"/>
    </font>
    <font>
      <u/>
      <sz val="12"/>
      <name val="Calibri"/>
      <family val="2"/>
      <scheme val="minor"/>
    </font>
    <font>
      <b/>
      <sz val="11"/>
      <name val="Calibri"/>
      <family val="2"/>
      <scheme val="minor"/>
    </font>
    <font>
      <sz val="8"/>
      <name val="Calibri"/>
      <family val="2"/>
      <scheme val="minor"/>
    </font>
    <font>
      <b/>
      <sz val="14"/>
      <name val="Calibri"/>
      <family val="2"/>
      <scheme val="minor"/>
    </font>
    <font>
      <sz val="14"/>
      <name val="Calibri"/>
      <family val="2"/>
      <scheme val="minor"/>
    </font>
    <font>
      <sz val="11"/>
      <name val="Calibri"/>
      <family val="2"/>
      <scheme val="minor"/>
    </font>
    <font>
      <sz val="9"/>
      <name val="Calibri"/>
      <family val="2"/>
      <scheme val="minor"/>
    </font>
    <font>
      <b/>
      <sz val="12"/>
      <color rgb="FFFF0000"/>
      <name val="Calibri"/>
      <family val="2"/>
      <scheme val="minor"/>
    </font>
    <font>
      <b/>
      <i/>
      <sz val="13"/>
      <name val="Calibri"/>
      <family val="2"/>
      <scheme val="minor"/>
    </font>
    <font>
      <b/>
      <sz val="17"/>
      <name val="Calibri"/>
      <family val="2"/>
      <scheme val="minor"/>
    </font>
    <font>
      <b/>
      <sz val="11"/>
      <color rgb="FFFF0000"/>
      <name val="Calibri"/>
      <family val="2"/>
      <scheme val="minor"/>
    </font>
    <font>
      <sz val="13"/>
      <name val="Calibri"/>
      <family val="2"/>
      <scheme val="minor"/>
    </font>
    <font>
      <i/>
      <sz val="11"/>
      <name val="Calibri"/>
      <family val="2"/>
      <scheme val="minor"/>
    </font>
    <font>
      <b/>
      <u/>
      <sz val="11"/>
      <name val="Calibri"/>
      <family val="2"/>
      <scheme val="minor"/>
    </font>
    <font>
      <sz val="11"/>
      <name val="Arial Narrow"/>
      <family val="2"/>
    </font>
    <font>
      <b/>
      <i/>
      <sz val="11"/>
      <name val="Calibri"/>
      <family val="2"/>
      <scheme val="minor"/>
    </font>
    <font>
      <u/>
      <sz val="8"/>
      <color theme="10"/>
      <name val="Trebuchet MS"/>
      <family val="2"/>
    </font>
    <font>
      <b/>
      <sz val="11"/>
      <color indexed="10"/>
      <name val="Calibri"/>
      <family val="2"/>
      <scheme val="minor"/>
    </font>
    <font>
      <u/>
      <sz val="11"/>
      <name val="Calibri"/>
      <family val="2"/>
      <scheme val="minor"/>
    </font>
    <font>
      <sz val="11"/>
      <name val="Calibri"/>
      <family val="2"/>
      <scheme val="minor"/>
    </font>
    <font>
      <sz val="10"/>
      <name val="Trebuchet MS"/>
      <family val="2"/>
    </font>
    <font>
      <b/>
      <sz val="11"/>
      <color rgb="FF0070C0"/>
      <name val="Calibri"/>
      <family val="2"/>
      <scheme val="minor"/>
    </font>
    <font>
      <sz val="10"/>
      <name val="Times New Roman"/>
      <family val="1"/>
    </font>
    <font>
      <sz val="8"/>
      <color indexed="81"/>
      <name val="Tahoma"/>
      <family val="2"/>
    </font>
    <font>
      <b/>
      <sz val="11"/>
      <color theme="1"/>
      <name val="Calibri"/>
      <family val="2"/>
      <scheme val="minor"/>
    </font>
    <font>
      <b/>
      <sz val="11"/>
      <name val="Arial Narrow"/>
      <family val="2"/>
    </font>
    <font>
      <u/>
      <sz val="11"/>
      <color theme="10"/>
      <name val="Calibri"/>
      <family val="2"/>
      <scheme val="minor"/>
    </font>
    <font>
      <i/>
      <sz val="11"/>
      <color theme="1"/>
      <name val="Calibri"/>
      <family val="2"/>
      <scheme val="minor"/>
    </font>
    <font>
      <b/>
      <u/>
      <sz val="11"/>
      <color rgb="FFFF0000"/>
      <name val="Calibri"/>
      <family val="2"/>
      <scheme val="minor"/>
    </font>
    <font>
      <b/>
      <i/>
      <sz val="11"/>
      <name val="Arial Narrow"/>
      <family val="2"/>
    </font>
    <font>
      <sz val="11"/>
      <name val="Times New Roman"/>
      <family val="1"/>
    </font>
    <font>
      <i/>
      <u/>
      <sz val="11"/>
      <name val="Calibri"/>
      <family val="2"/>
      <scheme val="minor"/>
    </font>
    <font>
      <i/>
      <u/>
      <sz val="11"/>
      <name val="Arial Narrow"/>
      <family val="2"/>
    </font>
    <font>
      <sz val="11"/>
      <color rgb="FFFF0000"/>
      <name val="Calibri"/>
      <family val="2"/>
      <scheme val="minor"/>
    </font>
    <font>
      <b/>
      <u/>
      <sz val="11"/>
      <color indexed="60"/>
      <name val="Calibri"/>
      <family val="2"/>
      <scheme val="minor"/>
    </font>
    <font>
      <i/>
      <sz val="11"/>
      <name val="Arial Narrow"/>
      <family val="2"/>
    </font>
    <font>
      <sz val="10"/>
      <name val="Geneva"/>
    </font>
    <font>
      <b/>
      <i/>
      <sz val="11"/>
      <color rgb="FFFF0000"/>
      <name val="Arial Narrow"/>
      <family val="2"/>
    </font>
    <font>
      <u/>
      <sz val="8"/>
      <color theme="10"/>
      <name val="Arial"/>
      <family val="2"/>
    </font>
    <font>
      <b/>
      <i/>
      <sz val="11"/>
      <color rgb="FF0070C0"/>
      <name val="Arial Narrow"/>
      <family val="2"/>
    </font>
    <font>
      <b/>
      <u/>
      <sz val="11"/>
      <name val="Arial Narrow"/>
      <family val="2"/>
    </font>
    <font>
      <u/>
      <sz val="10"/>
      <color theme="10"/>
      <name val="Calibri"/>
      <family val="2"/>
      <scheme val="minor"/>
    </font>
    <font>
      <u/>
      <sz val="10"/>
      <color indexed="12"/>
      <name val="Garamond"/>
      <family val="1"/>
    </font>
    <font>
      <b/>
      <sz val="11"/>
      <color rgb="FFFF0000"/>
      <name val="Wingdings 2"/>
      <family val="1"/>
      <charset val="2"/>
    </font>
    <font>
      <b/>
      <sz val="11"/>
      <color rgb="FFFF0000"/>
      <name val="Wingdings"/>
      <charset val="2"/>
    </font>
    <font>
      <b/>
      <sz val="11"/>
      <color rgb="FFFF0000"/>
      <name val="Calibri"/>
      <family val="2"/>
    </font>
    <font>
      <b/>
      <sz val="11"/>
      <color rgb="FFFF0000"/>
      <name val="Wingdings 3"/>
      <family val="1"/>
      <charset val="2"/>
    </font>
    <font>
      <sz val="8"/>
      <name val="Arial"/>
      <family val="2"/>
    </font>
  </fonts>
  <fills count="7">
    <fill>
      <patternFill patternType="none"/>
    </fill>
    <fill>
      <patternFill patternType="gray125"/>
    </fill>
    <fill>
      <patternFill patternType="solid">
        <fgColor indexed="27"/>
        <bgColor indexed="41"/>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rgb="FF002060"/>
        <bgColor indexed="64"/>
      </patternFill>
    </fill>
  </fills>
  <borders count="62">
    <border>
      <left/>
      <right/>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dotted">
        <color indexed="64"/>
      </left>
      <right/>
      <top style="medium">
        <color indexed="64"/>
      </top>
      <bottom style="medium">
        <color indexed="64"/>
      </bottom>
      <diagonal/>
    </border>
    <border>
      <left style="thin">
        <color indexed="64"/>
      </left>
      <right style="thin">
        <color indexed="64"/>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indexed="64"/>
      </right>
      <top style="medium">
        <color auto="1"/>
      </top>
      <bottom style="thin">
        <color auto="1"/>
      </bottom>
      <diagonal/>
    </border>
    <border>
      <left style="medium">
        <color auto="1"/>
      </left>
      <right/>
      <top style="thin">
        <color auto="1"/>
      </top>
      <bottom style="thin">
        <color auto="1"/>
      </bottom>
      <diagonal/>
    </border>
    <border>
      <left/>
      <right style="medium">
        <color indexed="64"/>
      </right>
      <top style="thin">
        <color auto="1"/>
      </top>
      <bottom style="thin">
        <color auto="1"/>
      </bottom>
      <diagonal/>
    </border>
    <border>
      <left style="medium">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auto="1"/>
      </right>
      <top style="thin">
        <color indexed="64"/>
      </top>
      <bottom/>
      <diagonal/>
    </border>
    <border>
      <left style="thin">
        <color indexed="64"/>
      </left>
      <right style="thin">
        <color auto="1"/>
      </right>
      <top/>
      <bottom style="thin">
        <color auto="1"/>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style="hair">
        <color indexed="64"/>
      </bottom>
      <diagonal/>
    </border>
    <border>
      <left/>
      <right/>
      <top style="hair">
        <color indexed="64"/>
      </top>
      <bottom style="thin">
        <color indexed="64"/>
      </bottom>
      <diagonal/>
    </border>
    <border>
      <left style="dashed">
        <color auto="1"/>
      </left>
      <right style="medium">
        <color auto="1"/>
      </right>
      <top style="medium">
        <color auto="1"/>
      </top>
      <bottom/>
      <diagonal/>
    </border>
    <border>
      <left style="dashed">
        <color auto="1"/>
      </left>
      <right style="medium">
        <color auto="1"/>
      </right>
      <top/>
      <bottom style="medium">
        <color auto="1"/>
      </bottom>
      <diagonal/>
    </border>
    <border>
      <left/>
      <right style="thin">
        <color indexed="64"/>
      </right>
      <top style="hair">
        <color indexed="64"/>
      </top>
      <bottom/>
      <diagonal/>
    </border>
    <border>
      <left/>
      <right/>
      <top style="hair">
        <color indexed="64"/>
      </top>
      <bottom style="hair">
        <color indexed="64"/>
      </bottom>
      <diagonal/>
    </border>
    <border>
      <left style="thin">
        <color indexed="64"/>
      </left>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auto="1"/>
      </bottom>
      <diagonal/>
    </border>
    <border>
      <left style="medium">
        <color indexed="64"/>
      </left>
      <right style="medium">
        <color indexed="64"/>
      </right>
      <top style="thin">
        <color indexed="64"/>
      </top>
      <bottom style="thin">
        <color indexed="64"/>
      </bottom>
      <diagonal/>
    </border>
  </borders>
  <cellStyleXfs count="25">
    <xf numFmtId="0" fontId="0" fillId="0" borderId="0"/>
    <xf numFmtId="0" fontId="30" fillId="0" borderId="0"/>
    <xf numFmtId="164" fontId="4" fillId="0" borderId="0" applyFont="0" applyFill="0" applyBorder="0" applyAlignment="0" applyProtection="0"/>
    <xf numFmtId="9" fontId="5" fillId="0" borderId="0" applyFont="0" applyFill="0" applyBorder="0" applyAlignment="0" applyProtection="0"/>
    <xf numFmtId="0" fontId="5" fillId="0" borderId="0"/>
    <xf numFmtId="49" fontId="5" fillId="2" borderId="0" applyFont="0" applyBorder="0" applyProtection="0">
      <alignment vertical="center" readingOrder="1"/>
    </xf>
    <xf numFmtId="0" fontId="24" fillId="0" borderId="0" applyNumberFormat="0" applyFill="0" applyBorder="0" applyAlignment="0" applyProtection="0">
      <alignment vertical="top"/>
      <protection locked="0"/>
    </xf>
    <xf numFmtId="0" fontId="5" fillId="0" borderId="0"/>
    <xf numFmtId="9" fontId="5" fillId="0" borderId="0" applyFont="0" applyFill="0" applyBorder="0" applyAlignment="0" applyProtection="0"/>
    <xf numFmtId="0" fontId="28" fillId="0" borderId="0"/>
    <xf numFmtId="164" fontId="3" fillId="0" borderId="0" applyFont="0" applyFill="0" applyBorder="0" applyAlignment="0" applyProtection="0"/>
    <xf numFmtId="0" fontId="28" fillId="0" borderId="0"/>
    <xf numFmtId="9" fontId="5" fillId="0" borderId="0" applyFont="0" applyFill="0" applyBorder="0" applyAlignment="0" applyProtection="0"/>
    <xf numFmtId="0" fontId="30" fillId="0" borderId="0"/>
    <xf numFmtId="0" fontId="38" fillId="0" borderId="0"/>
    <xf numFmtId="0" fontId="44" fillId="0" borderId="0"/>
    <xf numFmtId="164" fontId="2" fillId="0" borderId="0" applyFont="0" applyFill="0" applyBorder="0" applyAlignment="0" applyProtection="0"/>
    <xf numFmtId="0" fontId="46" fillId="0" borderId="0" applyNumberFormat="0" applyFill="0" applyBorder="0" applyAlignment="0" applyProtection="0">
      <alignment vertical="top"/>
      <protection locked="0"/>
    </xf>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50" fillId="0" borderId="0" applyNumberFormat="0" applyFill="0" applyBorder="0" applyAlignment="0" applyProtection="0">
      <alignment vertical="top"/>
      <protection locked="0"/>
    </xf>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625">
    <xf numFmtId="0" fontId="0" fillId="0" borderId="0" xfId="0"/>
    <xf numFmtId="14" fontId="16" fillId="0" borderId="16" xfId="0" applyNumberFormat="1" applyFont="1" applyBorder="1" applyAlignment="1" applyProtection="1">
      <alignment horizontal="center" vertical="center"/>
      <protection locked="0"/>
    </xf>
    <xf numFmtId="0" fontId="6" fillId="0" borderId="0" xfId="0" applyFont="1" applyAlignment="1" applyProtection="1">
      <alignment vertical="center"/>
      <protection locked="0"/>
    </xf>
    <xf numFmtId="0" fontId="8" fillId="0" borderId="0" xfId="0" applyFont="1" applyProtection="1">
      <protection locked="0"/>
    </xf>
    <xf numFmtId="49" fontId="9" fillId="0" borderId="0" xfId="0" applyNumberFormat="1" applyFont="1" applyAlignment="1" applyProtection="1">
      <alignment horizontal="right"/>
      <protection locked="0"/>
    </xf>
    <xf numFmtId="49" fontId="6" fillId="0" borderId="0" xfId="0" applyNumberFormat="1" applyFont="1" applyAlignment="1" applyProtection="1">
      <alignment horizontal="right"/>
      <protection locked="0"/>
    </xf>
    <xf numFmtId="0" fontId="9" fillId="0" borderId="0" xfId="0" applyFont="1" applyAlignment="1" applyProtection="1">
      <alignment horizontal="left"/>
      <protection locked="0"/>
    </xf>
    <xf numFmtId="0" fontId="7" fillId="0" borderId="0" xfId="0" applyFont="1" applyAlignment="1" applyProtection="1">
      <alignment horizontal="left"/>
      <protection locked="0"/>
    </xf>
    <xf numFmtId="0" fontId="6" fillId="0" borderId="0" xfId="0" applyFont="1" applyProtection="1">
      <protection locked="0"/>
    </xf>
    <xf numFmtId="49" fontId="7" fillId="0" borderId="0" xfId="0" applyNumberFormat="1" applyFont="1" applyAlignment="1" applyProtection="1">
      <alignment horizontal="right"/>
      <protection locked="0"/>
    </xf>
    <xf numFmtId="0" fontId="8" fillId="0" borderId="0" xfId="0" applyFont="1" applyAlignment="1" applyProtection="1">
      <alignment vertical="center"/>
      <protection locked="0"/>
    </xf>
    <xf numFmtId="14" fontId="11" fillId="0" borderId="13" xfId="0" applyNumberFormat="1" applyFont="1" applyBorder="1" applyAlignment="1" applyProtection="1">
      <alignment vertical="center"/>
      <protection locked="0"/>
    </xf>
    <xf numFmtId="14" fontId="11" fillId="0" borderId="14" xfId="0" applyNumberFormat="1" applyFont="1" applyBorder="1" applyAlignment="1" applyProtection="1">
      <alignment vertical="center"/>
      <protection locked="0"/>
    </xf>
    <xf numFmtId="14" fontId="11" fillId="0" borderId="15" xfId="0" applyNumberFormat="1" applyFont="1" applyBorder="1" applyAlignment="1" applyProtection="1">
      <alignment vertical="center"/>
      <protection locked="0"/>
    </xf>
    <xf numFmtId="14" fontId="11" fillId="0" borderId="16" xfId="0" applyNumberFormat="1" applyFont="1" applyBorder="1" applyAlignment="1" applyProtection="1">
      <alignment vertical="center"/>
      <protection locked="0"/>
    </xf>
    <xf numFmtId="14" fontId="11" fillId="0" borderId="0" xfId="0" applyNumberFormat="1" applyFont="1" applyAlignment="1" applyProtection="1">
      <alignment vertical="center"/>
      <protection locked="0"/>
    </xf>
    <xf numFmtId="14" fontId="11" fillId="0" borderId="17" xfId="0" applyNumberFormat="1" applyFont="1" applyBorder="1" applyAlignment="1" applyProtection="1">
      <alignment vertical="center"/>
      <protection locked="0"/>
    </xf>
    <xf numFmtId="14" fontId="14" fillId="0" borderId="0" xfId="0" applyNumberFormat="1" applyFont="1" applyAlignment="1" applyProtection="1">
      <alignment vertical="center"/>
      <protection locked="0"/>
    </xf>
    <xf numFmtId="0" fontId="9" fillId="0" borderId="13" xfId="0" applyFont="1" applyBorder="1" applyAlignment="1" applyProtection="1">
      <alignment vertical="center"/>
      <protection locked="0"/>
    </xf>
    <xf numFmtId="0" fontId="9" fillId="0" borderId="18" xfId="0" applyFont="1" applyBorder="1" applyAlignment="1" applyProtection="1">
      <alignment vertical="center"/>
      <protection locked="0"/>
    </xf>
    <xf numFmtId="0" fontId="9" fillId="0" borderId="0" xfId="0" applyFont="1" applyAlignment="1" applyProtection="1">
      <alignment vertical="center"/>
      <protection locked="0"/>
    </xf>
    <xf numFmtId="0" fontId="13" fillId="0" borderId="0" xfId="0" applyFont="1" applyAlignment="1" applyProtection="1">
      <alignment horizontal="center" vertical="center"/>
      <protection locked="0"/>
    </xf>
    <xf numFmtId="49" fontId="12" fillId="0" borderId="0" xfId="0" applyNumberFormat="1" applyFont="1" applyAlignment="1" applyProtection="1">
      <alignment horizontal="center" vertical="center"/>
      <protection locked="0"/>
    </xf>
    <xf numFmtId="14" fontId="13" fillId="0" borderId="0" xfId="0" applyNumberFormat="1" applyFont="1" applyAlignment="1" applyProtection="1">
      <alignment horizontal="center" vertical="center"/>
      <protection locked="0"/>
    </xf>
    <xf numFmtId="0" fontId="15" fillId="0" borderId="0" xfId="0" applyFont="1" applyAlignment="1" applyProtection="1">
      <alignment horizontal="center" vertical="center"/>
      <protection locked="0"/>
    </xf>
    <xf numFmtId="0" fontId="6" fillId="0" borderId="0" xfId="0" applyFont="1" applyAlignment="1" applyProtection="1">
      <alignment horizontal="left"/>
      <protection locked="0"/>
    </xf>
    <xf numFmtId="0" fontId="9" fillId="0" borderId="14" xfId="0" applyFont="1" applyBorder="1" applyAlignment="1" applyProtection="1">
      <alignment vertical="center" wrapText="1"/>
      <protection locked="0"/>
    </xf>
    <xf numFmtId="0" fontId="13" fillId="0" borderId="0" xfId="0" applyFont="1" applyProtection="1">
      <protection locked="0"/>
    </xf>
    <xf numFmtId="0" fontId="10" fillId="0" borderId="0" xfId="0" applyFont="1" applyAlignment="1" applyProtection="1">
      <alignment horizontal="center" vertical="center"/>
      <protection locked="0"/>
    </xf>
    <xf numFmtId="0" fontId="6" fillId="0" borderId="0" xfId="0" applyFont="1" applyAlignment="1">
      <alignment vertical="center"/>
    </xf>
    <xf numFmtId="0" fontId="6" fillId="0" borderId="0" xfId="0" applyFont="1"/>
    <xf numFmtId="0" fontId="13" fillId="0" borderId="0" xfId="0" applyFont="1"/>
    <xf numFmtId="0" fontId="13" fillId="0" borderId="0" xfId="0" applyFont="1" applyAlignment="1" applyProtection="1">
      <alignment vertical="center"/>
      <protection locked="0"/>
    </xf>
    <xf numFmtId="49" fontId="13" fillId="0" borderId="0" xfId="0" applyNumberFormat="1" applyFont="1" applyAlignment="1" applyProtection="1">
      <alignment horizontal="right"/>
      <protection locked="0"/>
    </xf>
    <xf numFmtId="0" fontId="13" fillId="0" borderId="0" xfId="0" applyFont="1" applyAlignment="1" applyProtection="1">
      <alignment horizontal="left"/>
      <protection locked="0"/>
    </xf>
    <xf numFmtId="14" fontId="13" fillId="0" borderId="0" xfId="0" applyNumberFormat="1" applyFont="1" applyAlignment="1" applyProtection="1">
      <alignment vertical="center"/>
      <protection locked="0"/>
    </xf>
    <xf numFmtId="49" fontId="13" fillId="0" borderId="0" xfId="0" applyNumberFormat="1" applyFont="1" applyAlignment="1" applyProtection="1">
      <alignment horizontal="center" vertical="center"/>
      <protection locked="0"/>
    </xf>
    <xf numFmtId="0" fontId="13" fillId="0" borderId="16" xfId="0" applyFont="1" applyBorder="1"/>
    <xf numFmtId="0" fontId="13" fillId="0" borderId="13" xfId="0" applyFont="1" applyBorder="1"/>
    <xf numFmtId="165" fontId="13" fillId="0" borderId="0" xfId="2" applyNumberFormat="1" applyFont="1" applyBorder="1"/>
    <xf numFmtId="0" fontId="13" fillId="0" borderId="13" xfId="0" applyFont="1" applyBorder="1" applyProtection="1">
      <protection locked="0"/>
    </xf>
    <xf numFmtId="0" fontId="13" fillId="0" borderId="14" xfId="0" applyFont="1" applyBorder="1" applyProtection="1">
      <protection locked="0"/>
    </xf>
    <xf numFmtId="0" fontId="13" fillId="0" borderId="15" xfId="0" applyFont="1" applyBorder="1" applyProtection="1">
      <protection locked="0"/>
    </xf>
    <xf numFmtId="4" fontId="13" fillId="0" borderId="14" xfId="0" applyNumberFormat="1" applyFont="1" applyBorder="1"/>
    <xf numFmtId="0" fontId="13" fillId="0" borderId="14" xfId="0" applyFont="1" applyBorder="1"/>
    <xf numFmtId="0" fontId="6" fillId="0" borderId="13" xfId="0" applyFont="1" applyBorder="1" applyProtection="1">
      <protection locked="0"/>
    </xf>
    <xf numFmtId="0" fontId="6" fillId="0" borderId="14" xfId="0" applyFont="1" applyBorder="1" applyProtection="1">
      <protection locked="0"/>
    </xf>
    <xf numFmtId="0" fontId="6" fillId="0" borderId="15" xfId="0" applyFont="1" applyBorder="1" applyProtection="1">
      <protection locked="0"/>
    </xf>
    <xf numFmtId="0" fontId="27" fillId="0" borderId="0" xfId="0" applyFont="1" applyProtection="1">
      <protection locked="0"/>
    </xf>
    <xf numFmtId="0" fontId="29" fillId="0" borderId="16" xfId="0" applyFont="1" applyBorder="1" applyAlignment="1">
      <alignment horizontal="left"/>
    </xf>
    <xf numFmtId="0" fontId="13" fillId="0" borderId="17" xfId="0" applyFont="1" applyBorder="1" applyProtection="1">
      <protection locked="0"/>
    </xf>
    <xf numFmtId="0" fontId="23" fillId="0" borderId="16" xfId="0" applyFont="1" applyBorder="1" applyAlignment="1">
      <alignment horizontal="left"/>
    </xf>
    <xf numFmtId="0" fontId="20" fillId="0" borderId="0" xfId="1" applyFont="1" applyAlignment="1">
      <alignment horizontal="centerContinuous"/>
    </xf>
    <xf numFmtId="0" fontId="20" fillId="0" borderId="0" xfId="1" applyFont="1"/>
    <xf numFmtId="0" fontId="26" fillId="0" borderId="16" xfId="0" applyFont="1" applyBorder="1" applyAlignment="1">
      <alignment horizontal="left"/>
    </xf>
    <xf numFmtId="0" fontId="13" fillId="0" borderId="17" xfId="0" applyFont="1" applyBorder="1"/>
    <xf numFmtId="165" fontId="13" fillId="0" borderId="0" xfId="2" applyNumberFormat="1" applyFont="1" applyBorder="1" applyAlignment="1">
      <alignment horizontal="right"/>
    </xf>
    <xf numFmtId="0" fontId="21" fillId="0" borderId="16" xfId="0" applyFont="1" applyBorder="1" applyAlignment="1">
      <alignment horizontal="left"/>
    </xf>
    <xf numFmtId="0" fontId="18" fillId="0" borderId="0" xfId="0" applyFont="1" applyAlignment="1">
      <alignment horizontal="center" vertical="center"/>
    </xf>
    <xf numFmtId="0" fontId="9" fillId="3" borderId="6" xfId="0" applyFont="1" applyFill="1" applyBorder="1" applyAlignment="1">
      <alignment horizontal="center"/>
    </xf>
    <xf numFmtId="0" fontId="9" fillId="3" borderId="7" xfId="0" applyFont="1" applyFill="1" applyBorder="1" applyAlignment="1">
      <alignment horizontal="center"/>
    </xf>
    <xf numFmtId="0" fontId="9" fillId="3" borderId="8" xfId="0" applyFont="1" applyFill="1" applyBorder="1" applyAlignment="1">
      <alignment horizontal="center"/>
    </xf>
    <xf numFmtId="4" fontId="22" fillId="0" borderId="0" xfId="0" applyNumberFormat="1" applyFont="1"/>
    <xf numFmtId="0" fontId="9" fillId="0" borderId="16" xfId="13" applyFont="1" applyBorder="1" applyAlignment="1">
      <alignment horizontal="left"/>
    </xf>
    <xf numFmtId="0" fontId="21" fillId="0" borderId="0" xfId="13" applyFont="1" applyAlignment="1">
      <alignment horizontal="center"/>
    </xf>
    <xf numFmtId="0" fontId="9" fillId="3" borderId="9" xfId="13" applyFont="1" applyFill="1" applyBorder="1" applyAlignment="1">
      <alignment horizontal="center"/>
    </xf>
    <xf numFmtId="0" fontId="18" fillId="3" borderId="9" xfId="13" applyFont="1" applyFill="1" applyBorder="1" applyAlignment="1">
      <alignment horizontal="center"/>
    </xf>
    <xf numFmtId="0" fontId="13" fillId="0" borderId="0" xfId="13" applyFont="1" applyAlignment="1">
      <alignment horizontal="center"/>
    </xf>
    <xf numFmtId="4" fontId="13" fillId="0" borderId="16" xfId="0" applyNumberFormat="1" applyFont="1" applyBorder="1"/>
    <xf numFmtId="167" fontId="13" fillId="0" borderId="0" xfId="2" applyNumberFormat="1" applyFont="1" applyBorder="1" applyAlignment="1"/>
    <xf numFmtId="4" fontId="13" fillId="0" borderId="0" xfId="0" applyNumberFormat="1" applyFont="1"/>
    <xf numFmtId="9" fontId="13" fillId="0" borderId="0" xfId="3" applyFont="1" applyBorder="1" applyAlignment="1">
      <alignment horizontal="center"/>
    </xf>
    <xf numFmtId="4" fontId="9" fillId="0" borderId="16" xfId="0" applyNumberFormat="1" applyFont="1" applyBorder="1"/>
    <xf numFmtId="0" fontId="9" fillId="3" borderId="6" xfId="13" applyFont="1" applyFill="1" applyBorder="1" applyAlignment="1">
      <alignment horizontal="center"/>
    </xf>
    <xf numFmtId="0" fontId="13" fillId="0" borderId="0" xfId="0" applyFont="1" applyAlignment="1">
      <alignment horizontal="left" vertical="center"/>
    </xf>
    <xf numFmtId="4" fontId="9" fillId="0" borderId="0" xfId="0" applyNumberFormat="1" applyFont="1"/>
    <xf numFmtId="164" fontId="9" fillId="0" borderId="0" xfId="13" applyNumberFormat="1" applyFont="1" applyAlignment="1">
      <alignment horizontal="center"/>
    </xf>
    <xf numFmtId="166" fontId="9" fillId="0" borderId="0" xfId="0" applyNumberFormat="1" applyFont="1" applyAlignment="1">
      <alignment horizontal="center"/>
    </xf>
    <xf numFmtId="4" fontId="13" fillId="0" borderId="0" xfId="0" applyNumberFormat="1" applyFont="1" applyAlignment="1">
      <alignment horizontal="left"/>
    </xf>
    <xf numFmtId="168" fontId="13" fillId="0" borderId="0" xfId="0" applyNumberFormat="1" applyFont="1"/>
    <xf numFmtId="168" fontId="13" fillId="0" borderId="7" xfId="3" applyNumberFormat="1" applyFont="1" applyBorder="1" applyAlignment="1">
      <alignment horizontal="right"/>
    </xf>
    <xf numFmtId="168" fontId="13" fillId="0" borderId="0" xfId="0" applyNumberFormat="1" applyFont="1" applyAlignment="1">
      <alignment horizontal="right"/>
    </xf>
    <xf numFmtId="0" fontId="13" fillId="0" borderId="0" xfId="0" applyFont="1" applyAlignment="1">
      <alignment horizontal="left"/>
    </xf>
    <xf numFmtId="3" fontId="13" fillId="0" borderId="0" xfId="0" applyNumberFormat="1" applyFont="1" applyAlignment="1">
      <alignment horizontal="right" indent="2"/>
    </xf>
    <xf numFmtId="9" fontId="34" fillId="0" borderId="0" xfId="3" quotePrefix="1" applyFont="1" applyBorder="1" applyAlignment="1" applyProtection="1">
      <alignment horizontal="left"/>
    </xf>
    <xf numFmtId="9" fontId="13" fillId="0" borderId="0" xfId="3" applyFont="1" applyBorder="1" applyAlignment="1">
      <alignment horizontal="left"/>
    </xf>
    <xf numFmtId="0" fontId="9" fillId="0" borderId="16" xfId="0" applyFont="1" applyBorder="1" applyAlignment="1">
      <alignment horizontal="left" vertical="center"/>
    </xf>
    <xf numFmtId="167" fontId="9" fillId="0" borderId="0" xfId="2" applyNumberFormat="1" applyFont="1" applyBorder="1" applyAlignment="1">
      <alignment horizontal="center"/>
    </xf>
    <xf numFmtId="167" fontId="32" fillId="0" borderId="0" xfId="2" applyNumberFormat="1" applyFont="1" applyBorder="1" applyAlignment="1">
      <alignment horizontal="center"/>
    </xf>
    <xf numFmtId="168" fontId="13" fillId="0" borderId="0" xfId="3" applyNumberFormat="1" applyFont="1" applyBorder="1" applyAlignment="1">
      <alignment horizontal="center"/>
    </xf>
    <xf numFmtId="0" fontId="13" fillId="0" borderId="5" xfId="0" applyFont="1" applyBorder="1"/>
    <xf numFmtId="0" fontId="9" fillId="0" borderId="0" xfId="0" applyFont="1" applyAlignment="1">
      <alignment horizontal="right" vertical="center"/>
    </xf>
    <xf numFmtId="168" fontId="35" fillId="0" borderId="0" xfId="3" applyNumberFormat="1" applyFont="1" applyBorder="1"/>
    <xf numFmtId="1" fontId="9" fillId="0" borderId="0" xfId="0" applyNumberFormat="1" applyFont="1" applyAlignment="1">
      <alignment horizontal="center"/>
    </xf>
    <xf numFmtId="1" fontId="13" fillId="0" borderId="0" xfId="0" applyNumberFormat="1" applyFont="1" applyAlignment="1">
      <alignment horizontal="left"/>
    </xf>
    <xf numFmtId="165" fontId="13" fillId="0" borderId="7" xfId="2" applyNumberFormat="1" applyFont="1" applyFill="1" applyBorder="1"/>
    <xf numFmtId="165" fontId="32" fillId="0" borderId="8" xfId="2" applyNumberFormat="1" applyFont="1" applyFill="1" applyBorder="1"/>
    <xf numFmtId="14" fontId="9" fillId="3" borderId="9" xfId="0" applyNumberFormat="1" applyFont="1" applyFill="1" applyBorder="1" applyAlignment="1">
      <alignment horizontal="center"/>
    </xf>
    <xf numFmtId="14" fontId="9" fillId="3" borderId="8" xfId="13" applyNumberFormat="1" applyFont="1" applyFill="1" applyBorder="1" applyAlignment="1">
      <alignment horizontal="center" vertical="center"/>
    </xf>
    <xf numFmtId="168" fontId="20" fillId="3" borderId="22" xfId="3" applyNumberFormat="1" applyFont="1" applyFill="1" applyBorder="1" applyAlignment="1">
      <alignment horizontal="center" vertical="center"/>
    </xf>
    <xf numFmtId="169" fontId="13" fillId="3" borderId="22" xfId="3" applyNumberFormat="1" applyFont="1" applyFill="1" applyBorder="1" applyAlignment="1">
      <alignment horizontal="right" vertical="center" indent="2"/>
    </xf>
    <xf numFmtId="168" fontId="13" fillId="3" borderId="8" xfId="3" applyNumberFormat="1" applyFont="1" applyFill="1" applyBorder="1" applyAlignment="1">
      <alignment horizontal="right" vertical="center"/>
    </xf>
    <xf numFmtId="168" fontId="13" fillId="3" borderId="7" xfId="3" applyNumberFormat="1" applyFont="1" applyFill="1" applyBorder="1" applyAlignment="1">
      <alignment horizontal="right" vertical="center"/>
    </xf>
    <xf numFmtId="169" fontId="13" fillId="3" borderId="0" xfId="3" applyNumberFormat="1" applyFont="1" applyFill="1" applyBorder="1" applyAlignment="1">
      <alignment horizontal="center" vertical="center"/>
    </xf>
    <xf numFmtId="168" fontId="13" fillId="3" borderId="7" xfId="3" applyNumberFormat="1" applyFont="1" applyFill="1" applyBorder="1" applyAlignment="1">
      <alignment horizontal="right"/>
    </xf>
    <xf numFmtId="4" fontId="26" fillId="0" borderId="16" xfId="0" applyNumberFormat="1" applyFont="1" applyBorder="1"/>
    <xf numFmtId="168" fontId="9" fillId="3" borderId="7" xfId="3" applyNumberFormat="1" applyFont="1" applyFill="1" applyBorder="1" applyAlignment="1">
      <alignment horizontal="right" vertical="center"/>
    </xf>
    <xf numFmtId="168" fontId="9" fillId="3" borderId="8" xfId="3" applyNumberFormat="1" applyFont="1" applyFill="1" applyBorder="1" applyAlignment="1">
      <alignment horizontal="right" vertical="center"/>
    </xf>
    <xf numFmtId="0" fontId="9" fillId="3" borderId="7" xfId="13" applyFont="1" applyFill="1" applyBorder="1" applyAlignment="1">
      <alignment horizontal="center"/>
    </xf>
    <xf numFmtId="0" fontId="9" fillId="3" borderId="8" xfId="13" applyFont="1" applyFill="1" applyBorder="1" applyAlignment="1">
      <alignment horizontal="center"/>
    </xf>
    <xf numFmtId="9" fontId="13" fillId="3" borderId="0" xfId="3" applyFont="1" applyFill="1" applyBorder="1" applyAlignment="1">
      <alignment horizontal="center"/>
    </xf>
    <xf numFmtId="0" fontId="13" fillId="3" borderId="7" xfId="0" applyFont="1" applyFill="1" applyBorder="1"/>
    <xf numFmtId="3" fontId="9" fillId="3" borderId="7" xfId="2" applyNumberFormat="1" applyFont="1" applyFill="1" applyBorder="1" applyAlignment="1">
      <alignment horizontal="right" indent="2"/>
    </xf>
    <xf numFmtId="9" fontId="13" fillId="3" borderId="8" xfId="3" applyFont="1" applyFill="1" applyBorder="1" applyAlignment="1">
      <alignment horizontal="center"/>
    </xf>
    <xf numFmtId="0" fontId="18" fillId="0" borderId="0" xfId="0" applyFont="1" applyAlignment="1">
      <alignment horizontal="center"/>
    </xf>
    <xf numFmtId="3" fontId="9" fillId="3" borderId="0" xfId="2" applyNumberFormat="1" applyFont="1" applyFill="1" applyBorder="1" applyAlignment="1">
      <alignment horizontal="right" indent="2"/>
    </xf>
    <xf numFmtId="3" fontId="9" fillId="3" borderId="5" xfId="2" applyNumberFormat="1" applyFont="1" applyFill="1" applyBorder="1" applyAlignment="1">
      <alignment horizontal="right" indent="2"/>
    </xf>
    <xf numFmtId="0" fontId="22" fillId="0" borderId="0" xfId="0" applyFont="1"/>
    <xf numFmtId="0" fontId="9" fillId="0" borderId="16" xfId="0" applyFont="1" applyBorder="1" applyAlignment="1">
      <alignment horizontal="left"/>
    </xf>
    <xf numFmtId="3" fontId="13" fillId="0" borderId="6" xfId="0" applyNumberFormat="1" applyFont="1" applyBorder="1" applyAlignment="1">
      <alignment horizontal="right" indent="2"/>
    </xf>
    <xf numFmtId="3" fontId="13" fillId="0" borderId="7" xfId="0" applyNumberFormat="1" applyFont="1" applyBorder="1" applyAlignment="1">
      <alignment horizontal="right" indent="2"/>
    </xf>
    <xf numFmtId="3" fontId="13" fillId="3" borderId="7" xfId="2" applyNumberFormat="1" applyFont="1" applyFill="1" applyBorder="1" applyAlignment="1">
      <alignment horizontal="center"/>
    </xf>
    <xf numFmtId="9" fontId="13" fillId="3" borderId="8" xfId="3" applyFont="1" applyFill="1" applyBorder="1" applyAlignment="1">
      <alignment horizontal="right" indent="1"/>
    </xf>
    <xf numFmtId="9" fontId="13" fillId="0" borderId="0" xfId="3" applyFont="1" applyBorder="1" applyAlignment="1">
      <alignment horizontal="right" indent="2"/>
    </xf>
    <xf numFmtId="165" fontId="9" fillId="0" borderId="0" xfId="2" applyNumberFormat="1" applyFont="1" applyBorder="1" applyAlignment="1">
      <alignment horizontal="right"/>
    </xf>
    <xf numFmtId="3" fontId="13" fillId="0" borderId="0" xfId="2" applyNumberFormat="1" applyFont="1" applyBorder="1" applyAlignment="1">
      <alignment horizontal="right" indent="2"/>
    </xf>
    <xf numFmtId="1" fontId="13" fillId="0" borderId="0" xfId="2" applyNumberFormat="1" applyFont="1" applyBorder="1"/>
    <xf numFmtId="0" fontId="26" fillId="0" borderId="0" xfId="0" applyFont="1" applyAlignment="1">
      <alignment horizontal="left"/>
    </xf>
    <xf numFmtId="0" fontId="9" fillId="3" borderId="9" xfId="0" applyFont="1" applyFill="1" applyBorder="1" applyAlignment="1">
      <alignment horizontal="center"/>
    </xf>
    <xf numFmtId="3" fontId="13" fillId="3" borderId="38" xfId="0" applyNumberFormat="1" applyFont="1" applyFill="1" applyBorder="1" applyAlignment="1">
      <alignment horizontal="right" indent="2"/>
    </xf>
    <xf numFmtId="9" fontId="13" fillId="0" borderId="48" xfId="3" applyFont="1" applyBorder="1" applyAlignment="1">
      <alignment horizontal="right" indent="2"/>
    </xf>
    <xf numFmtId="3" fontId="9" fillId="3" borderId="0" xfId="0" applyNumberFormat="1" applyFont="1" applyFill="1" applyAlignment="1">
      <alignment horizontal="right" indent="2"/>
    </xf>
    <xf numFmtId="3" fontId="9" fillId="0" borderId="0" xfId="0" applyNumberFormat="1" applyFont="1" applyAlignment="1">
      <alignment horizontal="right" indent="2"/>
    </xf>
    <xf numFmtId="1" fontId="13" fillId="0" borderId="0" xfId="0" applyNumberFormat="1" applyFont="1"/>
    <xf numFmtId="164" fontId="13" fillId="0" borderId="0" xfId="2" applyFont="1" applyBorder="1"/>
    <xf numFmtId="2" fontId="13" fillId="0" borderId="16" xfId="0" applyNumberFormat="1" applyFont="1" applyBorder="1" applyAlignment="1">
      <alignment horizontal="left" vertical="center"/>
    </xf>
    <xf numFmtId="0" fontId="34" fillId="0" borderId="0" xfId="6" quotePrefix="1" applyFont="1" applyBorder="1" applyAlignment="1" applyProtection="1">
      <alignment horizontal="center"/>
    </xf>
    <xf numFmtId="0" fontId="18" fillId="0" borderId="36" xfId="0" applyFont="1" applyBorder="1" applyAlignment="1">
      <alignment horizontal="left"/>
    </xf>
    <xf numFmtId="0" fontId="20" fillId="0" borderId="0" xfId="0" applyFont="1" applyAlignment="1">
      <alignment horizontal="center"/>
    </xf>
    <xf numFmtId="165" fontId="9" fillId="0" borderId="0" xfId="2" applyNumberFormat="1" applyFont="1" applyFill="1" applyBorder="1" applyAlignment="1">
      <alignment horizontal="right"/>
    </xf>
    <xf numFmtId="0" fontId="13" fillId="0" borderId="16" xfId="0" applyFont="1" applyBorder="1" applyAlignment="1">
      <alignment vertical="top" wrapText="1"/>
    </xf>
    <xf numFmtId="0" fontId="13" fillId="0" borderId="0" xfId="0" applyFont="1" applyAlignment="1">
      <alignment vertical="top" wrapText="1"/>
    </xf>
    <xf numFmtId="4" fontId="26" fillId="0" borderId="16" xfId="0" applyNumberFormat="1" applyFont="1" applyBorder="1" applyAlignment="1">
      <alignment horizontal="left" wrapText="1"/>
    </xf>
    <xf numFmtId="4" fontId="26" fillId="0" borderId="0" xfId="0" applyNumberFormat="1" applyFont="1" applyAlignment="1">
      <alignment horizontal="left" wrapText="1"/>
    </xf>
    <xf numFmtId="4" fontId="13" fillId="0" borderId="9" xfId="0" applyNumberFormat="1" applyFont="1" applyBorder="1" applyAlignment="1">
      <alignment wrapText="1"/>
    </xf>
    <xf numFmtId="165" fontId="13" fillId="3" borderId="9" xfId="2" applyNumberFormat="1" applyFont="1" applyFill="1" applyBorder="1" applyAlignment="1">
      <alignment wrapText="1"/>
    </xf>
    <xf numFmtId="0" fontId="25" fillId="0" borderId="22" xfId="0" applyFont="1" applyBorder="1" applyAlignment="1">
      <alignment horizontal="center" vertical="center" wrapText="1"/>
    </xf>
    <xf numFmtId="0" fontId="9" fillId="3" borderId="2" xfId="0" applyFont="1" applyFill="1" applyBorder="1" applyAlignment="1">
      <alignment horizontal="center" vertical="center"/>
    </xf>
    <xf numFmtId="0" fontId="9" fillId="3" borderId="1" xfId="0" applyFont="1" applyFill="1" applyBorder="1" applyAlignment="1">
      <alignment horizontal="center" vertical="center"/>
    </xf>
    <xf numFmtId="3" fontId="13" fillId="3" borderId="9" xfId="0" applyNumberFormat="1" applyFont="1" applyFill="1" applyBorder="1" applyAlignment="1">
      <alignment horizontal="right" indent="2"/>
    </xf>
    <xf numFmtId="9" fontId="13" fillId="3" borderId="9" xfId="3" applyFont="1" applyFill="1" applyBorder="1" applyAlignment="1">
      <alignment horizontal="right" indent="1"/>
    </xf>
    <xf numFmtId="3" fontId="13" fillId="0" borderId="2" xfId="2" applyNumberFormat="1" applyFont="1" applyFill="1" applyBorder="1" applyAlignment="1">
      <alignment horizontal="right" indent="2"/>
    </xf>
    <xf numFmtId="9" fontId="13" fillId="0" borderId="2" xfId="3" applyFont="1" applyFill="1" applyBorder="1" applyAlignment="1">
      <alignment horizontal="right" indent="1"/>
    </xf>
    <xf numFmtId="0" fontId="13" fillId="0" borderId="16" xfId="0" applyFont="1" applyBorder="1" applyAlignment="1">
      <alignment horizontal="left"/>
    </xf>
    <xf numFmtId="9" fontId="13" fillId="0" borderId="0" xfId="3" applyFont="1" applyFill="1" applyBorder="1" applyAlignment="1">
      <alignment horizontal="right" indent="1"/>
    </xf>
    <xf numFmtId="9" fontId="13" fillId="0" borderId="0" xfId="3" applyFont="1" applyBorder="1"/>
    <xf numFmtId="0" fontId="9" fillId="0" borderId="0" xfId="0" applyFont="1" applyAlignment="1">
      <alignment horizontal="center"/>
    </xf>
    <xf numFmtId="9" fontId="13" fillId="0" borderId="48" xfId="3" applyFont="1" applyBorder="1" applyAlignment="1">
      <alignment horizontal="right" indent="1"/>
    </xf>
    <xf numFmtId="9" fontId="13" fillId="0" borderId="0" xfId="3" applyFont="1" applyBorder="1" applyAlignment="1">
      <alignment horizontal="right" indent="1"/>
    </xf>
    <xf numFmtId="0" fontId="9" fillId="0" borderId="0" xfId="0" applyFont="1" applyAlignment="1">
      <alignment horizontal="right"/>
    </xf>
    <xf numFmtId="4" fontId="26" fillId="0" borderId="16" xfId="0" applyNumberFormat="1" applyFont="1" applyBorder="1" applyAlignment="1">
      <alignment horizontal="left" vertical="top"/>
    </xf>
    <xf numFmtId="4" fontId="26" fillId="0" borderId="0" xfId="0" applyNumberFormat="1" applyFont="1" applyAlignment="1">
      <alignment horizontal="left" vertical="top"/>
    </xf>
    <xf numFmtId="4" fontId="26" fillId="0" borderId="0" xfId="0" quotePrefix="1" applyNumberFormat="1" applyFont="1" applyAlignment="1">
      <alignment horizontal="left" vertical="top"/>
    </xf>
    <xf numFmtId="4" fontId="9" fillId="3" borderId="9" xfId="0" applyNumberFormat="1" applyFont="1" applyFill="1" applyBorder="1" applyAlignment="1">
      <alignment horizontal="right" vertical="top"/>
    </xf>
    <xf numFmtId="3" fontId="13" fillId="0" borderId="41" xfId="0" quotePrefix="1" applyNumberFormat="1" applyFont="1" applyBorder="1" applyAlignment="1">
      <alignment horizontal="right" vertical="top" indent="2"/>
    </xf>
    <xf numFmtId="3" fontId="13" fillId="0" borderId="47" xfId="0" quotePrefix="1" applyNumberFormat="1" applyFont="1" applyBorder="1" applyAlignment="1">
      <alignment horizontal="right" vertical="top" indent="2"/>
    </xf>
    <xf numFmtId="3" fontId="13" fillId="0" borderId="0" xfId="0" quotePrefix="1" applyNumberFormat="1" applyFont="1" applyAlignment="1">
      <alignment horizontal="right" vertical="top" indent="2"/>
    </xf>
    <xf numFmtId="4" fontId="13" fillId="0" borderId="0" xfId="0" applyNumberFormat="1" applyFont="1" applyAlignment="1">
      <alignment horizontal="left" vertical="top"/>
    </xf>
    <xf numFmtId="3" fontId="13" fillId="0" borderId="2" xfId="0" quotePrefix="1" applyNumberFormat="1" applyFont="1" applyBorder="1" applyAlignment="1">
      <alignment horizontal="right" vertical="top" indent="2"/>
    </xf>
    <xf numFmtId="4" fontId="9" fillId="0" borderId="16" xfId="0" applyNumberFormat="1" applyFont="1" applyBorder="1" applyAlignment="1">
      <alignment horizontal="right" vertical="top"/>
    </xf>
    <xf numFmtId="9" fontId="9" fillId="3" borderId="0" xfId="3" applyFont="1" applyFill="1" applyBorder="1" applyAlignment="1">
      <alignment horizontal="right" vertical="top" indent="1"/>
    </xf>
    <xf numFmtId="9" fontId="9" fillId="0" borderId="0" xfId="3" applyFont="1" applyFill="1" applyBorder="1" applyAlignment="1">
      <alignment horizontal="right" vertical="top" indent="1"/>
    </xf>
    <xf numFmtId="4" fontId="9" fillId="0" borderId="0" xfId="0" applyNumberFormat="1" applyFont="1" applyAlignment="1">
      <alignment horizontal="right" vertical="top"/>
    </xf>
    <xf numFmtId="1" fontId="13" fillId="0" borderId="0" xfId="3" applyNumberFormat="1" applyFont="1" applyBorder="1"/>
    <xf numFmtId="9" fontId="20" fillId="0" borderId="0" xfId="3" applyFont="1" applyBorder="1" applyAlignment="1">
      <alignment horizontal="right" indent="1"/>
    </xf>
    <xf numFmtId="170" fontId="13" fillId="0" borderId="0" xfId="2" applyNumberFormat="1" applyFont="1" applyBorder="1"/>
    <xf numFmtId="0" fontId="26" fillId="0" borderId="0" xfId="6" quotePrefix="1" applyFont="1" applyBorder="1" applyAlignment="1" applyProtection="1">
      <alignment horizontal="left"/>
    </xf>
    <xf numFmtId="165" fontId="9" fillId="0" borderId="0" xfId="2" applyNumberFormat="1" applyFont="1" applyBorder="1"/>
    <xf numFmtId="14" fontId="9" fillId="3" borderId="9" xfId="0" applyNumberFormat="1" applyFont="1" applyFill="1" applyBorder="1" applyAlignment="1">
      <alignment horizontal="center" vertical="center" wrapText="1"/>
    </xf>
    <xf numFmtId="9" fontId="20" fillId="3" borderId="0" xfId="3" applyFont="1" applyFill="1" applyBorder="1" applyAlignment="1">
      <alignment horizontal="right" indent="1"/>
    </xf>
    <xf numFmtId="168" fontId="13" fillId="0" borderId="0" xfId="3" applyNumberFormat="1" applyFont="1" applyBorder="1"/>
    <xf numFmtId="4" fontId="13" fillId="0" borderId="0" xfId="0" applyNumberFormat="1" applyFont="1" applyAlignment="1">
      <alignment vertical="top" wrapText="1"/>
    </xf>
    <xf numFmtId="3" fontId="22" fillId="0" borderId="0" xfId="4" applyNumberFormat="1" applyFont="1"/>
    <xf numFmtId="0" fontId="22" fillId="0" borderId="0" xfId="4" applyFont="1"/>
    <xf numFmtId="14" fontId="14" fillId="0" borderId="53" xfId="0" applyNumberFormat="1" applyFont="1" applyBorder="1" applyAlignment="1" applyProtection="1">
      <alignment horizontal="left" vertical="center"/>
      <protection locked="0"/>
    </xf>
    <xf numFmtId="0" fontId="13" fillId="0" borderId="5" xfId="13" applyFont="1" applyBorder="1" applyAlignment="1">
      <alignment horizontal="left"/>
    </xf>
    <xf numFmtId="0" fontId="9" fillId="3" borderId="5" xfId="13" applyFont="1" applyFill="1" applyBorder="1" applyAlignment="1">
      <alignment horizontal="left"/>
    </xf>
    <xf numFmtId="0" fontId="13" fillId="0" borderId="2" xfId="13" applyFont="1" applyBorder="1" applyAlignment="1">
      <alignment horizontal="left"/>
    </xf>
    <xf numFmtId="0" fontId="13" fillId="0" borderId="16" xfId="0" applyFont="1" applyBorder="1" applyProtection="1">
      <protection locked="0"/>
    </xf>
    <xf numFmtId="0" fontId="13" fillId="0" borderId="18" xfId="0" applyFont="1" applyBorder="1" applyProtection="1">
      <protection locked="0"/>
    </xf>
    <xf numFmtId="0" fontId="13" fillId="0" borderId="19" xfId="0" applyFont="1" applyBorder="1" applyProtection="1">
      <protection locked="0"/>
    </xf>
    <xf numFmtId="0" fontId="13" fillId="0" borderId="20" xfId="0" applyFont="1" applyBorder="1" applyProtection="1">
      <protection locked="0"/>
    </xf>
    <xf numFmtId="0" fontId="14" fillId="0" borderId="52" xfId="0" applyFont="1" applyBorder="1" applyAlignment="1" applyProtection="1">
      <alignment horizontal="left" vertical="center"/>
      <protection locked="0"/>
    </xf>
    <xf numFmtId="0" fontId="9" fillId="3" borderId="39" xfId="13" applyFont="1" applyFill="1" applyBorder="1" applyAlignment="1">
      <alignment horizontal="left"/>
    </xf>
    <xf numFmtId="0" fontId="20" fillId="0" borderId="16" xfId="0" applyFont="1" applyBorder="1"/>
    <xf numFmtId="165" fontId="9" fillId="3" borderId="5" xfId="2" applyNumberFormat="1" applyFont="1" applyFill="1" applyBorder="1" applyAlignment="1">
      <alignment horizontal="right" indent="1"/>
    </xf>
    <xf numFmtId="165" fontId="9" fillId="3" borderId="5" xfId="2" applyNumberFormat="1" applyFont="1" applyFill="1" applyBorder="1"/>
    <xf numFmtId="165" fontId="32" fillId="3" borderId="4" xfId="2" applyNumberFormat="1" applyFont="1" applyFill="1" applyBorder="1" applyAlignment="1">
      <alignment horizontal="right" indent="1"/>
    </xf>
    <xf numFmtId="168" fontId="35" fillId="0" borderId="36" xfId="3" applyNumberFormat="1" applyFont="1" applyFill="1" applyBorder="1"/>
    <xf numFmtId="168" fontId="20" fillId="3" borderId="39" xfId="3" applyNumberFormat="1" applyFont="1" applyFill="1" applyBorder="1" applyAlignment="1">
      <alignment horizontal="center" vertical="center"/>
    </xf>
    <xf numFmtId="169" fontId="13" fillId="3" borderId="39" xfId="3" applyNumberFormat="1" applyFont="1" applyFill="1" applyBorder="1" applyAlignment="1">
      <alignment horizontal="right" vertical="center" indent="2"/>
    </xf>
    <xf numFmtId="165" fontId="9" fillId="0" borderId="8" xfId="2" applyNumberFormat="1" applyFont="1" applyFill="1" applyBorder="1"/>
    <xf numFmtId="14" fontId="9" fillId="3" borderId="8" xfId="0" applyNumberFormat="1" applyFont="1" applyFill="1" applyBorder="1" applyAlignment="1">
      <alignment horizontal="center" vertical="center"/>
    </xf>
    <xf numFmtId="165" fontId="13" fillId="0" borderId="37" xfId="2" applyNumberFormat="1" applyFont="1" applyBorder="1" applyAlignment="1">
      <alignment horizontal="right" indent="1"/>
    </xf>
    <xf numFmtId="165" fontId="13" fillId="0" borderId="4" xfId="2" applyNumberFormat="1" applyFont="1" applyBorder="1" applyAlignment="1">
      <alignment horizontal="right" indent="1"/>
    </xf>
    <xf numFmtId="0" fontId="9" fillId="0" borderId="0" xfId="0" applyFont="1" applyAlignment="1">
      <alignment horizontal="left" vertical="center"/>
    </xf>
    <xf numFmtId="0" fontId="23" fillId="0" borderId="0" xfId="0" quotePrefix="1" applyFont="1" applyAlignment="1">
      <alignment horizontal="left" vertical="center"/>
    </xf>
    <xf numFmtId="0" fontId="13" fillId="0" borderId="0" xfId="0" applyFont="1" applyAlignment="1">
      <alignment horizontal="center" vertical="center"/>
    </xf>
    <xf numFmtId="0" fontId="26" fillId="0" borderId="5" xfId="0" applyFont="1" applyBorder="1" applyAlignment="1">
      <alignment horizontal="left" vertical="center"/>
    </xf>
    <xf numFmtId="4" fontId="26" fillId="0" borderId="0" xfId="0" applyNumberFormat="1" applyFont="1"/>
    <xf numFmtId="0" fontId="9" fillId="3" borderId="6" xfId="0" applyFont="1" applyFill="1" applyBorder="1" applyAlignment="1">
      <alignment horizontal="left" vertical="center"/>
    </xf>
    <xf numFmtId="0" fontId="21" fillId="0" borderId="0" xfId="0" applyFont="1" applyAlignment="1">
      <alignment horizontal="left"/>
    </xf>
    <xf numFmtId="0" fontId="42" fillId="0" borderId="16" xfId="0" applyFont="1" applyBorder="1" applyAlignment="1">
      <alignment horizontal="left"/>
    </xf>
    <xf numFmtId="0" fontId="20" fillId="0" borderId="16" xfId="0" applyFont="1" applyBorder="1" applyProtection="1">
      <protection locked="0"/>
    </xf>
    <xf numFmtId="0" fontId="9" fillId="0" borderId="0" xfId="0" applyFont="1" applyAlignment="1">
      <alignment horizontal="left"/>
    </xf>
    <xf numFmtId="3" fontId="9" fillId="0" borderId="9" xfId="2" applyNumberFormat="1" applyFont="1" applyBorder="1" applyAlignment="1">
      <alignment horizontal="right" indent="2"/>
    </xf>
    <xf numFmtId="3" fontId="9" fillId="3" borderId="9" xfId="2" applyNumberFormat="1" applyFont="1" applyFill="1" applyBorder="1" applyAlignment="1">
      <alignment horizontal="right" indent="2"/>
    </xf>
    <xf numFmtId="0" fontId="18" fillId="0" borderId="0" xfId="0" applyFont="1"/>
    <xf numFmtId="3" fontId="9" fillId="3" borderId="8" xfId="0" applyNumberFormat="1" applyFont="1" applyFill="1" applyBorder="1" applyAlignment="1">
      <alignment horizontal="right" indent="2"/>
    </xf>
    <xf numFmtId="3" fontId="13" fillId="0" borderId="0" xfId="2" applyNumberFormat="1" applyFont="1" applyFill="1" applyBorder="1" applyAlignment="1">
      <alignment horizontal="right" vertical="center" indent="2"/>
    </xf>
    <xf numFmtId="3" fontId="9" fillId="0" borderId="9" xfId="0" applyNumberFormat="1" applyFont="1" applyBorder="1" applyAlignment="1">
      <alignment horizontal="right" indent="2"/>
    </xf>
    <xf numFmtId="4" fontId="26" fillId="0" borderId="16" xfId="0" applyNumberFormat="1" applyFont="1" applyBorder="1" applyAlignment="1">
      <alignment wrapText="1"/>
    </xf>
    <xf numFmtId="4" fontId="26" fillId="0" borderId="0" xfId="0" applyNumberFormat="1" applyFont="1" applyAlignment="1">
      <alignment wrapText="1"/>
    </xf>
    <xf numFmtId="0" fontId="9" fillId="3" borderId="9" xfId="0" applyFont="1" applyFill="1" applyBorder="1" applyAlignment="1">
      <alignment horizontal="center" vertical="center" wrapText="1"/>
    </xf>
    <xf numFmtId="0" fontId="20" fillId="0" borderId="0" xfId="0" applyFont="1" applyAlignment="1">
      <alignment horizontal="right"/>
    </xf>
    <xf numFmtId="0" fontId="18" fillId="0" borderId="0" xfId="0" applyFont="1" applyProtection="1">
      <protection locked="0"/>
    </xf>
    <xf numFmtId="0" fontId="20" fillId="3" borderId="0" xfId="0" applyFont="1" applyFill="1" applyAlignment="1">
      <alignment horizontal="right"/>
    </xf>
    <xf numFmtId="0" fontId="13" fillId="0" borderId="16" xfId="14" applyFont="1" applyBorder="1"/>
    <xf numFmtId="0" fontId="13" fillId="0" borderId="16" xfId="14" quotePrefix="1" applyFont="1" applyBorder="1"/>
    <xf numFmtId="165" fontId="13" fillId="0" borderId="49" xfId="2" applyNumberFormat="1" applyFont="1" applyBorder="1" applyAlignment="1">
      <alignment horizontal="center"/>
    </xf>
    <xf numFmtId="165" fontId="13" fillId="3" borderId="49" xfId="2" applyNumberFormat="1" applyFont="1" applyFill="1" applyBorder="1" applyAlignment="1">
      <alignment horizontal="center"/>
    </xf>
    <xf numFmtId="165" fontId="13" fillId="0" borderId="22" xfId="2" applyNumberFormat="1" applyFont="1" applyBorder="1" applyAlignment="1">
      <alignment horizontal="center"/>
    </xf>
    <xf numFmtId="165" fontId="13" fillId="3" borderId="22" xfId="2" applyNumberFormat="1" applyFont="1" applyFill="1" applyBorder="1" applyAlignment="1">
      <alignment horizontal="center"/>
    </xf>
    <xf numFmtId="165" fontId="13" fillId="0" borderId="39" xfId="2" applyNumberFormat="1" applyFont="1" applyBorder="1" applyAlignment="1">
      <alignment horizontal="center"/>
    </xf>
    <xf numFmtId="165" fontId="13" fillId="3" borderId="39" xfId="2" applyNumberFormat="1" applyFont="1" applyFill="1" applyBorder="1" applyAlignment="1">
      <alignment horizontal="center"/>
    </xf>
    <xf numFmtId="4" fontId="20" fillId="0" borderId="16" xfId="0" applyNumberFormat="1" applyFont="1" applyBorder="1"/>
    <xf numFmtId="0" fontId="6" fillId="0" borderId="17" xfId="0" applyFont="1" applyBorder="1" applyProtection="1">
      <protection locked="0"/>
    </xf>
    <xf numFmtId="4" fontId="26" fillId="0" borderId="18" xfId="0" applyNumberFormat="1" applyFont="1" applyBorder="1"/>
    <xf numFmtId="0" fontId="13" fillId="0" borderId="19" xfId="0" applyFont="1" applyBorder="1"/>
    <xf numFmtId="4" fontId="13" fillId="0" borderId="19" xfId="0" applyNumberFormat="1" applyFont="1" applyBorder="1"/>
    <xf numFmtId="0" fontId="9" fillId="0" borderId="0" xfId="0" applyFont="1" applyAlignment="1">
      <alignment horizontal="center" vertical="center"/>
    </xf>
    <xf numFmtId="4" fontId="13" fillId="0" borderId="0" xfId="0" applyNumberFormat="1" applyFont="1" applyAlignment="1">
      <alignment horizontal="center"/>
    </xf>
    <xf numFmtId="3" fontId="13" fillId="3" borderId="8" xfId="0" applyNumberFormat="1" applyFont="1" applyFill="1" applyBorder="1" applyAlignment="1">
      <alignment horizontal="right" indent="2"/>
    </xf>
    <xf numFmtId="4" fontId="26" fillId="0" borderId="13" xfId="0" applyNumberFormat="1" applyFont="1" applyBorder="1"/>
    <xf numFmtId="165" fontId="9" fillId="3" borderId="9" xfId="2" applyNumberFormat="1" applyFont="1" applyFill="1" applyBorder="1" applyAlignment="1">
      <alignment wrapText="1"/>
    </xf>
    <xf numFmtId="4" fontId="9" fillId="0" borderId="0" xfId="0" applyNumberFormat="1" applyFont="1" applyAlignment="1">
      <alignment vertical="top"/>
    </xf>
    <xf numFmtId="4" fontId="26" fillId="0" borderId="0" xfId="0" quotePrefix="1" applyNumberFormat="1" applyFont="1" applyAlignment="1">
      <alignment vertical="top"/>
    </xf>
    <xf numFmtId="4" fontId="26" fillId="0" borderId="0" xfId="0" applyNumberFormat="1" applyFont="1" applyAlignment="1">
      <alignment vertical="top"/>
    </xf>
    <xf numFmtId="4" fontId="9" fillId="3" borderId="38" xfId="0" applyNumberFormat="1" applyFont="1" applyFill="1" applyBorder="1" applyAlignment="1">
      <alignment horizontal="right" vertical="top"/>
    </xf>
    <xf numFmtId="3" fontId="13" fillId="0" borderId="42" xfId="0" quotePrefix="1" applyNumberFormat="1" applyFont="1" applyBorder="1" applyAlignment="1">
      <alignment horizontal="right" vertical="top" indent="2"/>
    </xf>
    <xf numFmtId="3" fontId="13" fillId="0" borderId="48" xfId="0" quotePrefix="1" applyNumberFormat="1" applyFont="1" applyBorder="1" applyAlignment="1">
      <alignment horizontal="right" vertical="top" indent="2"/>
    </xf>
    <xf numFmtId="4" fontId="26" fillId="0" borderId="0" xfId="0" applyNumberFormat="1" applyFont="1" applyAlignment="1">
      <alignment horizontal="left"/>
    </xf>
    <xf numFmtId="0" fontId="6" fillId="0" borderId="18" xfId="0" applyFont="1" applyBorder="1" applyProtection="1">
      <protection locked="0"/>
    </xf>
    <xf numFmtId="0" fontId="6" fillId="0" borderId="19" xfId="0" applyFont="1" applyBorder="1" applyProtection="1">
      <protection locked="0"/>
    </xf>
    <xf numFmtId="0" fontId="6" fillId="0" borderId="20" xfId="0" applyFont="1" applyBorder="1" applyProtection="1">
      <protection locked="0"/>
    </xf>
    <xf numFmtId="0" fontId="9" fillId="3" borderId="9" xfId="13" applyFont="1" applyFill="1" applyBorder="1" applyAlignment="1">
      <alignment horizontal="center" vertical="center" wrapText="1"/>
    </xf>
    <xf numFmtId="14" fontId="18" fillId="3" borderId="9" xfId="0" applyNumberFormat="1" applyFont="1" applyFill="1" applyBorder="1" applyAlignment="1">
      <alignment horizontal="center" vertical="center" wrapText="1"/>
    </xf>
    <xf numFmtId="14" fontId="9" fillId="3" borderId="9" xfId="13" applyNumberFormat="1" applyFont="1" applyFill="1" applyBorder="1" applyAlignment="1">
      <alignment horizontal="center" vertical="center" wrapText="1"/>
    </xf>
    <xf numFmtId="0" fontId="9" fillId="3" borderId="8" xfId="13" applyFont="1" applyFill="1" applyBorder="1" applyAlignment="1">
      <alignment horizontal="center" vertical="center" wrapText="1"/>
    </xf>
    <xf numFmtId="3" fontId="13" fillId="0" borderId="42" xfId="2" applyNumberFormat="1" applyFont="1" applyBorder="1" applyAlignment="1">
      <alignment horizontal="right" indent="2"/>
    </xf>
    <xf numFmtId="3" fontId="13" fillId="0" borderId="42" xfId="3" applyNumberFormat="1" applyFont="1" applyBorder="1" applyAlignment="1">
      <alignment horizontal="right" indent="2"/>
    </xf>
    <xf numFmtId="3" fontId="13" fillId="3" borderId="42" xfId="2" applyNumberFormat="1" applyFont="1" applyFill="1" applyBorder="1" applyAlignment="1">
      <alignment horizontal="right" indent="2"/>
    </xf>
    <xf numFmtId="9" fontId="20" fillId="3" borderId="42" xfId="3" applyFont="1" applyFill="1" applyBorder="1" applyAlignment="1">
      <alignment horizontal="right" indent="1"/>
    </xf>
    <xf numFmtId="3" fontId="13" fillId="0" borderId="45" xfId="2" applyNumberFormat="1" applyFont="1" applyBorder="1" applyAlignment="1">
      <alignment horizontal="right" indent="2"/>
    </xf>
    <xf numFmtId="3" fontId="13" fillId="0" borderId="45" xfId="3" applyNumberFormat="1" applyFont="1" applyBorder="1" applyAlignment="1">
      <alignment horizontal="right" indent="2"/>
    </xf>
    <xf numFmtId="3" fontId="13" fillId="3" borderId="45" xfId="2" applyNumberFormat="1" applyFont="1" applyFill="1" applyBorder="1" applyAlignment="1">
      <alignment horizontal="right" indent="2"/>
    </xf>
    <xf numFmtId="9" fontId="20" fillId="3" borderId="45" xfId="3" applyFont="1" applyFill="1" applyBorder="1" applyAlignment="1">
      <alignment horizontal="right" indent="1"/>
    </xf>
    <xf numFmtId="3" fontId="13" fillId="0" borderId="48" xfId="2" applyNumberFormat="1" applyFont="1" applyBorder="1" applyAlignment="1">
      <alignment horizontal="right" indent="2"/>
    </xf>
    <xf numFmtId="3" fontId="13" fillId="0" borderId="48" xfId="3" applyNumberFormat="1" applyFont="1" applyBorder="1" applyAlignment="1">
      <alignment horizontal="right" indent="2"/>
    </xf>
    <xf numFmtId="3" fontId="13" fillId="3" borderId="48" xfId="2" applyNumberFormat="1" applyFont="1" applyFill="1" applyBorder="1" applyAlignment="1">
      <alignment horizontal="right" indent="2"/>
    </xf>
    <xf numFmtId="9" fontId="20" fillId="3" borderId="48" xfId="3" applyFont="1" applyFill="1" applyBorder="1" applyAlignment="1">
      <alignment horizontal="right" indent="1"/>
    </xf>
    <xf numFmtId="0" fontId="13" fillId="0" borderId="0" xfId="0" applyFont="1" applyAlignment="1" applyProtection="1">
      <alignment vertical="center" wrapText="1"/>
      <protection locked="0"/>
    </xf>
    <xf numFmtId="0" fontId="13" fillId="0" borderId="0" xfId="0" applyFont="1" applyAlignment="1">
      <alignment horizontal="right"/>
    </xf>
    <xf numFmtId="4" fontId="20" fillId="0" borderId="0" xfId="0" applyNumberFormat="1" applyFont="1" applyAlignment="1">
      <alignment horizontal="right"/>
    </xf>
    <xf numFmtId="0" fontId="13" fillId="0" borderId="16" xfId="0" applyFont="1" applyBorder="1" applyAlignment="1" applyProtection="1">
      <alignment vertical="center" wrapText="1"/>
      <protection locked="0"/>
    </xf>
    <xf numFmtId="0" fontId="13" fillId="0" borderId="17" xfId="0" applyFont="1" applyBorder="1" applyAlignment="1" applyProtection="1">
      <alignment vertical="center" wrapText="1"/>
      <protection locked="0"/>
    </xf>
    <xf numFmtId="1" fontId="41" fillId="0" borderId="42" xfId="3" applyNumberFormat="1" applyFont="1" applyBorder="1" applyAlignment="1">
      <alignment horizontal="center" vertical="center"/>
    </xf>
    <xf numFmtId="1" fontId="41" fillId="0" borderId="45" xfId="3" applyNumberFormat="1" applyFont="1" applyBorder="1" applyAlignment="1">
      <alignment horizontal="center" vertical="center"/>
    </xf>
    <xf numFmtId="1" fontId="41" fillId="0" borderId="48" xfId="3" applyNumberFormat="1" applyFont="1" applyBorder="1" applyAlignment="1">
      <alignment horizontal="center" vertical="center"/>
    </xf>
    <xf numFmtId="0" fontId="13" fillId="0" borderId="7" xfId="0" applyFont="1" applyBorder="1" applyProtection="1">
      <protection locked="0"/>
    </xf>
    <xf numFmtId="0" fontId="13" fillId="0" borderId="2" xfId="0" applyFont="1" applyBorder="1" applyProtection="1">
      <protection locked="0"/>
    </xf>
    <xf numFmtId="0" fontId="13" fillId="0" borderId="7" xfId="15" applyFont="1" applyBorder="1"/>
    <xf numFmtId="0" fontId="13" fillId="0" borderId="8" xfId="0" applyFont="1" applyBorder="1" applyProtection="1">
      <protection locked="0"/>
    </xf>
    <xf numFmtId="0" fontId="23" fillId="0" borderId="6" xfId="15" applyFont="1" applyBorder="1"/>
    <xf numFmtId="3" fontId="13" fillId="0" borderId="0" xfId="15" applyNumberFormat="1" applyFont="1"/>
    <xf numFmtId="49" fontId="13" fillId="0" borderId="36" xfId="15" applyNumberFormat="1" applyFont="1" applyBorder="1"/>
    <xf numFmtId="0" fontId="13" fillId="0" borderId="0" xfId="15" applyFont="1"/>
    <xf numFmtId="0" fontId="41" fillId="0" borderId="0" xfId="15" applyFont="1" applyAlignment="1">
      <alignment horizontal="center"/>
    </xf>
    <xf numFmtId="49" fontId="9" fillId="0" borderId="36" xfId="15" applyNumberFormat="1" applyFont="1" applyBorder="1" applyAlignment="1">
      <alignment horizontal="right"/>
    </xf>
    <xf numFmtId="172" fontId="9" fillId="3" borderId="0" xfId="15" applyNumberFormat="1" applyFont="1" applyFill="1"/>
    <xf numFmtId="0" fontId="13" fillId="0" borderId="36" xfId="15" applyFont="1" applyBorder="1"/>
    <xf numFmtId="3" fontId="13" fillId="3" borderId="0" xfId="15" applyNumberFormat="1" applyFont="1" applyFill="1"/>
    <xf numFmtId="3" fontId="9" fillId="3" borderId="0" xfId="15" applyNumberFormat="1" applyFont="1" applyFill="1"/>
    <xf numFmtId="0" fontId="9" fillId="0" borderId="16" xfId="0" applyFont="1" applyBorder="1" applyProtection="1">
      <protection locked="0"/>
    </xf>
    <xf numFmtId="0" fontId="9" fillId="0" borderId="0" xfId="15" applyFont="1" applyAlignment="1">
      <alignment horizontal="center"/>
    </xf>
    <xf numFmtId="0" fontId="9" fillId="0" borderId="0" xfId="15" applyFont="1" applyAlignment="1">
      <alignment horizontal="center" vertical="center"/>
    </xf>
    <xf numFmtId="0" fontId="13" fillId="0" borderId="0" xfId="15" applyFont="1" applyAlignment="1">
      <alignment horizontal="centerContinuous"/>
    </xf>
    <xf numFmtId="0" fontId="18" fillId="0" borderId="0" xfId="0" quotePrefix="1" applyFont="1" applyProtection="1">
      <protection locked="0"/>
    </xf>
    <xf numFmtId="49" fontId="13" fillId="0" borderId="0" xfId="15" applyNumberFormat="1" applyFont="1"/>
    <xf numFmtId="0" fontId="6" fillId="0" borderId="16" xfId="0" applyFont="1" applyBorder="1" applyProtection="1">
      <protection locked="0"/>
    </xf>
    <xf numFmtId="0" fontId="18" fillId="0" borderId="16" xfId="0" quotePrefix="1" applyFont="1" applyBorder="1" applyAlignment="1" applyProtection="1">
      <alignment horizontal="right"/>
      <protection locked="0"/>
    </xf>
    <xf numFmtId="4" fontId="22" fillId="0" borderId="0" xfId="0" applyNumberFormat="1" applyFont="1" applyAlignment="1">
      <alignment vertical="top" wrapText="1"/>
    </xf>
    <xf numFmtId="4" fontId="23" fillId="0" borderId="16" xfId="0" applyNumberFormat="1" applyFont="1" applyBorder="1"/>
    <xf numFmtId="4" fontId="39" fillId="0" borderId="16" xfId="0" applyNumberFormat="1" applyFont="1" applyBorder="1"/>
    <xf numFmtId="168" fontId="13" fillId="0" borderId="0" xfId="3" applyNumberFormat="1" applyFont="1" applyBorder="1" applyAlignment="1">
      <alignment horizontal="left"/>
    </xf>
    <xf numFmtId="4" fontId="13" fillId="0" borderId="0" xfId="0" quotePrefix="1" applyNumberFormat="1" applyFont="1"/>
    <xf numFmtId="0" fontId="45" fillId="0" borderId="16" xfId="0" applyFont="1" applyBorder="1"/>
    <xf numFmtId="0" fontId="37" fillId="0" borderId="0" xfId="0" applyFont="1"/>
    <xf numFmtId="0" fontId="43" fillId="0" borderId="0" xfId="0" applyFont="1"/>
    <xf numFmtId="0" fontId="22" fillId="0" borderId="16" xfId="0" applyFont="1" applyBorder="1"/>
    <xf numFmtId="0" fontId="46" fillId="0" borderId="0" xfId="17" applyFill="1" applyBorder="1" applyAlignment="1" applyProtection="1"/>
    <xf numFmtId="0" fontId="47" fillId="0" borderId="16" xfId="0" applyFont="1" applyBorder="1"/>
    <xf numFmtId="0" fontId="22" fillId="0" borderId="0" xfId="0" applyFont="1" applyAlignment="1">
      <alignment horizontal="left" vertical="top" wrapText="1"/>
    </xf>
    <xf numFmtId="0" fontId="22" fillId="0" borderId="16" xfId="0" applyFont="1" applyBorder="1" applyAlignment="1">
      <alignment horizontal="left" vertical="top" wrapText="1"/>
    </xf>
    <xf numFmtId="0" fontId="18" fillId="0" borderId="41" xfId="13" applyFont="1" applyBorder="1" applyAlignment="1">
      <alignment horizontal="center"/>
    </xf>
    <xf numFmtId="0" fontId="18" fillId="0" borderId="45" xfId="13" applyFont="1" applyBorder="1" applyAlignment="1">
      <alignment horizontal="center"/>
    </xf>
    <xf numFmtId="0" fontId="18" fillId="0" borderId="48" xfId="13" applyFont="1" applyBorder="1" applyAlignment="1">
      <alignment horizontal="center"/>
    </xf>
    <xf numFmtId="0" fontId="18" fillId="0" borderId="8" xfId="6" quotePrefix="1" applyFont="1" applyBorder="1" applyAlignment="1" applyProtection="1">
      <alignment horizontal="center"/>
    </xf>
    <xf numFmtId="0" fontId="18" fillId="0" borderId="9" xfId="13" applyFont="1" applyBorder="1" applyAlignment="1">
      <alignment horizontal="center"/>
    </xf>
    <xf numFmtId="165" fontId="13" fillId="3" borderId="9" xfId="2" applyNumberFormat="1" applyFont="1" applyFill="1" applyBorder="1" applyAlignment="1">
      <alignment horizontal="right"/>
    </xf>
    <xf numFmtId="165" fontId="9" fillId="3" borderId="9" xfId="2" applyNumberFormat="1" applyFont="1" applyFill="1" applyBorder="1" applyAlignment="1">
      <alignment horizontal="right"/>
    </xf>
    <xf numFmtId="165" fontId="13" fillId="0" borderId="42" xfId="2" applyNumberFormat="1" applyFont="1" applyBorder="1" applyAlignment="1">
      <alignment horizontal="right"/>
    </xf>
    <xf numFmtId="165" fontId="13" fillId="0" borderId="45" xfId="2" applyNumberFormat="1" applyFont="1" applyBorder="1" applyAlignment="1">
      <alignment horizontal="right"/>
    </xf>
    <xf numFmtId="165" fontId="13" fillId="0" borderId="39" xfId="2" applyNumberFormat="1" applyFont="1" applyBorder="1" applyAlignment="1">
      <alignment horizontal="right"/>
    </xf>
    <xf numFmtId="165" fontId="13" fillId="0" borderId="9" xfId="2" applyNumberFormat="1" applyFont="1" applyBorder="1" applyAlignment="1">
      <alignment horizontal="right"/>
    </xf>
    <xf numFmtId="0" fontId="13" fillId="0" borderId="21" xfId="0" applyFont="1" applyBorder="1" applyAlignment="1" applyProtection="1">
      <alignment vertical="center" wrapText="1"/>
      <protection locked="0"/>
    </xf>
    <xf numFmtId="0" fontId="13" fillId="0" borderId="12" xfId="0" applyFont="1" applyBorder="1" applyAlignment="1" applyProtection="1">
      <alignment vertical="center" wrapText="1"/>
      <protection locked="0"/>
    </xf>
    <xf numFmtId="165" fontId="13" fillId="0" borderId="21" xfId="2" applyNumberFormat="1" applyFont="1" applyFill="1" applyBorder="1" applyAlignment="1" applyProtection="1">
      <alignment vertical="center" wrapText="1"/>
      <protection locked="0"/>
    </xf>
    <xf numFmtId="165" fontId="13" fillId="0" borderId="12" xfId="2" applyNumberFormat="1" applyFont="1" applyFill="1" applyBorder="1" applyAlignment="1" applyProtection="1">
      <alignment vertical="center" wrapText="1"/>
      <protection locked="0"/>
    </xf>
    <xf numFmtId="0" fontId="13" fillId="0" borderId="7" xfId="0" applyFont="1" applyBorder="1" applyAlignment="1" applyProtection="1">
      <alignment vertical="center"/>
      <protection locked="0"/>
    </xf>
    <xf numFmtId="49" fontId="13" fillId="0" borderId="24" xfId="0" applyNumberFormat="1" applyFont="1" applyBorder="1" applyAlignment="1" applyProtection="1">
      <alignment vertical="center"/>
      <protection locked="0"/>
    </xf>
    <xf numFmtId="0" fontId="13" fillId="0" borderId="24" xfId="0" applyFont="1" applyBorder="1" applyAlignment="1" applyProtection="1">
      <alignment vertical="center"/>
      <protection locked="0"/>
    </xf>
    <xf numFmtId="3" fontId="13" fillId="4" borderId="0" xfId="15" applyNumberFormat="1" applyFont="1" applyFill="1"/>
    <xf numFmtId="0" fontId="51" fillId="0" borderId="0" xfId="0" applyFont="1" applyAlignment="1" applyProtection="1">
      <alignment horizontal="center"/>
      <protection locked="0"/>
    </xf>
    <xf numFmtId="0" fontId="52" fillId="0" borderId="0" xfId="0" applyFont="1" applyAlignment="1" applyProtection="1">
      <alignment horizontal="center"/>
      <protection locked="0"/>
    </xf>
    <xf numFmtId="0" fontId="53" fillId="0" borderId="0" xfId="0" applyFont="1" applyAlignment="1" applyProtection="1">
      <alignment horizontal="center"/>
      <protection locked="0"/>
    </xf>
    <xf numFmtId="0" fontId="54" fillId="0" borderId="0" xfId="0" applyFont="1" applyAlignment="1" applyProtection="1">
      <alignment horizontal="center"/>
      <protection locked="0"/>
    </xf>
    <xf numFmtId="4" fontId="13" fillId="0" borderId="6" xfId="0" applyNumberFormat="1" applyFont="1" applyBorder="1"/>
    <xf numFmtId="4" fontId="13" fillId="0" borderId="7" xfId="0" applyNumberFormat="1" applyFont="1" applyBorder="1"/>
    <xf numFmtId="0" fontId="9" fillId="3" borderId="3" xfId="0" applyFont="1" applyFill="1" applyBorder="1"/>
    <xf numFmtId="0" fontId="9" fillId="3" borderId="5" xfId="0" applyFont="1" applyFill="1" applyBorder="1"/>
    <xf numFmtId="0" fontId="9" fillId="3" borderId="4" xfId="0" applyFont="1" applyFill="1" applyBorder="1"/>
    <xf numFmtId="0" fontId="9" fillId="3" borderId="6" xfId="0" applyFont="1" applyFill="1" applyBorder="1"/>
    <xf numFmtId="0" fontId="9" fillId="3" borderId="7" xfId="0" applyFont="1" applyFill="1" applyBorder="1"/>
    <xf numFmtId="0" fontId="13" fillId="0" borderId="43" xfId="13" applyFont="1" applyBorder="1"/>
    <xf numFmtId="0" fontId="13" fillId="0" borderId="40" xfId="13" applyFont="1" applyBorder="1"/>
    <xf numFmtId="0" fontId="13" fillId="0" borderId="46" xfId="13" applyFont="1" applyBorder="1"/>
    <xf numFmtId="0" fontId="13" fillId="0" borderId="2" xfId="13" applyFont="1" applyBorder="1"/>
    <xf numFmtId="0" fontId="13" fillId="0" borderId="35" xfId="13" applyFont="1" applyBorder="1"/>
    <xf numFmtId="0" fontId="13" fillId="0" borderId="6" xfId="13" applyFont="1" applyBorder="1"/>
    <xf numFmtId="0" fontId="9" fillId="3" borderId="8" xfId="0" applyFont="1" applyFill="1" applyBorder="1"/>
    <xf numFmtId="0" fontId="9" fillId="3" borderId="6" xfId="13" applyFont="1" applyFill="1" applyBorder="1"/>
    <xf numFmtId="0" fontId="9" fillId="3" borderId="7" xfId="13" applyFont="1" applyFill="1" applyBorder="1"/>
    <xf numFmtId="0" fontId="9" fillId="3" borderId="8" xfId="13" applyFont="1" applyFill="1" applyBorder="1"/>
    <xf numFmtId="0" fontId="9" fillId="3" borderId="8" xfId="3" applyNumberFormat="1" applyFont="1" applyFill="1" applyBorder="1" applyAlignment="1">
      <alignment horizontal="center"/>
    </xf>
    <xf numFmtId="0" fontId="13" fillId="0" borderId="36" xfId="0" applyFont="1" applyBorder="1" applyAlignment="1">
      <alignment vertical="center"/>
    </xf>
    <xf numFmtId="0" fontId="13" fillId="0" borderId="0" xfId="0" applyFont="1" applyAlignment="1">
      <alignment vertical="center"/>
    </xf>
    <xf numFmtId="0" fontId="13" fillId="0" borderId="37" xfId="0" applyFont="1" applyBorder="1" applyAlignment="1">
      <alignment vertical="center"/>
    </xf>
    <xf numFmtId="0" fontId="13" fillId="0" borderId="3" xfId="0" applyFont="1" applyBorder="1" applyAlignment="1">
      <alignment vertical="center"/>
    </xf>
    <xf numFmtId="0" fontId="13" fillId="0" borderId="5" xfId="0" applyFont="1" applyBorder="1" applyAlignment="1">
      <alignment vertical="center"/>
    </xf>
    <xf numFmtId="0" fontId="13" fillId="0" borderId="4" xfId="0" applyFont="1" applyBorder="1" applyAlignment="1">
      <alignment vertical="center"/>
    </xf>
    <xf numFmtId="2" fontId="13" fillId="0" borderId="40" xfId="0" applyNumberFormat="1" applyFont="1" applyBorder="1" applyAlignment="1">
      <alignment vertical="center"/>
    </xf>
    <xf numFmtId="2" fontId="13" fillId="0" borderId="50" xfId="0" applyNumberFormat="1" applyFont="1" applyBorder="1" applyAlignment="1">
      <alignment vertical="center"/>
    </xf>
    <xf numFmtId="2" fontId="13" fillId="0" borderId="41" xfId="0" applyNumberFormat="1" applyFont="1" applyBorder="1" applyAlignment="1">
      <alignment vertical="center"/>
    </xf>
    <xf numFmtId="2" fontId="13" fillId="0" borderId="43" xfId="0" applyNumberFormat="1" applyFont="1" applyBorder="1" applyAlignment="1">
      <alignment vertical="center"/>
    </xf>
    <xf numFmtId="2" fontId="13" fillId="0" borderId="55" xfId="0" applyNumberFormat="1" applyFont="1" applyBorder="1" applyAlignment="1">
      <alignment vertical="center"/>
    </xf>
    <xf numFmtId="2" fontId="13" fillId="0" borderId="44" xfId="0" applyNumberFormat="1" applyFont="1" applyBorder="1" applyAlignment="1">
      <alignment vertical="center"/>
    </xf>
    <xf numFmtId="2" fontId="13" fillId="0" borderId="46" xfId="0" applyNumberFormat="1" applyFont="1" applyBorder="1" applyAlignment="1">
      <alignment vertical="center"/>
    </xf>
    <xf numFmtId="2" fontId="13" fillId="0" borderId="51" xfId="0" applyNumberFormat="1" applyFont="1" applyBorder="1" applyAlignment="1">
      <alignment vertical="center"/>
    </xf>
    <xf numFmtId="2" fontId="13" fillId="0" borderId="47" xfId="0" applyNumberFormat="1" applyFont="1" applyBorder="1" applyAlignment="1">
      <alignment vertical="center"/>
    </xf>
    <xf numFmtId="2" fontId="13" fillId="0" borderId="0" xfId="0" applyNumberFormat="1" applyFont="1" applyAlignment="1">
      <alignment vertical="center"/>
    </xf>
    <xf numFmtId="2" fontId="13" fillId="0" borderId="37" xfId="0" applyNumberFormat="1" applyFont="1" applyBorder="1" applyAlignment="1">
      <alignment vertical="center"/>
    </xf>
    <xf numFmtId="2" fontId="13" fillId="0" borderId="6" xfId="0" applyNumberFormat="1" applyFont="1" applyBorder="1" applyAlignment="1">
      <alignment vertical="center"/>
    </xf>
    <xf numFmtId="2" fontId="13" fillId="0" borderId="7" xfId="0" applyNumberFormat="1" applyFont="1" applyBorder="1" applyAlignment="1">
      <alignment vertical="center"/>
    </xf>
    <xf numFmtId="2" fontId="13" fillId="0" borderId="8" xfId="0" applyNumberFormat="1" applyFont="1" applyBorder="1" applyAlignment="1">
      <alignment vertical="center"/>
    </xf>
    <xf numFmtId="165" fontId="13" fillId="0" borderId="40" xfId="2" applyNumberFormat="1" applyFont="1" applyFill="1" applyBorder="1" applyAlignment="1">
      <alignment vertical="center"/>
    </xf>
    <xf numFmtId="165" fontId="13" fillId="3" borderId="6" xfId="2" applyNumberFormat="1" applyFont="1" applyFill="1" applyBorder="1" applyAlignment="1">
      <alignment vertical="center"/>
    </xf>
    <xf numFmtId="165" fontId="13" fillId="0" borderId="6" xfId="2" applyNumberFormat="1" applyFont="1" applyBorder="1" applyAlignment="1">
      <alignment vertical="center"/>
    </xf>
    <xf numFmtId="165" fontId="18" fillId="0" borderId="36" xfId="2" applyNumberFormat="1" applyFont="1" applyBorder="1" applyAlignment="1">
      <alignment vertical="center"/>
    </xf>
    <xf numFmtId="165" fontId="13" fillId="0" borderId="46" xfId="2" applyNumberFormat="1" applyFont="1" applyBorder="1" applyAlignment="1">
      <alignment vertical="center"/>
    </xf>
    <xf numFmtId="164" fontId="13" fillId="0" borderId="43" xfId="2" applyFont="1" applyBorder="1" applyAlignment="1">
      <alignment vertical="center"/>
    </xf>
    <xf numFmtId="165" fontId="13" fillId="3" borderId="43" xfId="2" applyNumberFormat="1" applyFont="1" applyFill="1" applyBorder="1" applyAlignment="1">
      <alignment vertical="center"/>
    </xf>
    <xf numFmtId="165" fontId="13" fillId="0" borderId="43" xfId="2" applyNumberFormat="1" applyFont="1" applyBorder="1" applyAlignment="1">
      <alignment vertical="center"/>
    </xf>
    <xf numFmtId="165" fontId="13" fillId="0" borderId="42" xfId="2" applyNumberFormat="1" applyFont="1" applyFill="1" applyBorder="1" applyAlignment="1">
      <alignment vertical="center"/>
    </xf>
    <xf numFmtId="165" fontId="13" fillId="0" borderId="45" xfId="2" applyNumberFormat="1" applyFont="1" applyBorder="1" applyAlignment="1">
      <alignment vertical="center"/>
    </xf>
    <xf numFmtId="165" fontId="13" fillId="3" borderId="45" xfId="2" applyNumberFormat="1" applyFont="1" applyFill="1" applyBorder="1" applyAlignment="1">
      <alignment vertical="center"/>
    </xf>
    <xf numFmtId="164" fontId="13" fillId="0" borderId="45" xfId="2" applyFont="1" applyBorder="1" applyAlignment="1">
      <alignment vertical="center"/>
    </xf>
    <xf numFmtId="165" fontId="13" fillId="0" borderId="48" xfId="2" applyNumberFormat="1" applyFont="1" applyBorder="1" applyAlignment="1">
      <alignment vertical="center"/>
    </xf>
    <xf numFmtId="165" fontId="13" fillId="3" borderId="9" xfId="2" applyNumberFormat="1" applyFont="1" applyFill="1" applyBorder="1" applyAlignment="1">
      <alignment vertical="center"/>
    </xf>
    <xf numFmtId="165" fontId="13" fillId="0" borderId="9" xfId="2" applyNumberFormat="1" applyFont="1" applyBorder="1" applyAlignment="1">
      <alignment vertical="center"/>
    </xf>
    <xf numFmtId="0" fontId="13" fillId="0" borderId="36" xfId="0" applyFont="1" applyBorder="1"/>
    <xf numFmtId="0" fontId="13" fillId="0" borderId="3" xfId="0" applyFont="1" applyBorder="1"/>
    <xf numFmtId="0" fontId="25" fillId="0" borderId="36" xfId="0" applyFont="1" applyBorder="1" applyAlignment="1">
      <alignment vertical="center" wrapText="1"/>
    </xf>
    <xf numFmtId="0" fontId="9" fillId="3" borderId="9" xfId="0" applyFont="1" applyFill="1" applyBorder="1" applyAlignment="1">
      <alignment vertical="center" wrapText="1"/>
    </xf>
    <xf numFmtId="0" fontId="13" fillId="0" borderId="56" xfId="0" applyFont="1" applyBorder="1"/>
    <xf numFmtId="0" fontId="13" fillId="0" borderId="6" xfId="0" applyFont="1" applyBorder="1" applyProtection="1">
      <protection locked="0"/>
    </xf>
    <xf numFmtId="14" fontId="9" fillId="3" borderId="9" xfId="0" applyNumberFormat="1" applyFont="1" applyFill="1" applyBorder="1" applyAlignment="1">
      <alignment vertical="center"/>
    </xf>
    <xf numFmtId="171" fontId="13" fillId="0" borderId="9" xfId="2" applyNumberFormat="1" applyFont="1" applyBorder="1" applyAlignment="1"/>
    <xf numFmtId="165" fontId="9" fillId="0" borderId="0" xfId="2" applyNumberFormat="1" applyFont="1" applyBorder="1" applyAlignment="1">
      <alignment horizontal="center" vertical="center" wrapText="1"/>
    </xf>
    <xf numFmtId="0" fontId="13" fillId="3" borderId="9" xfId="3" applyNumberFormat="1" applyFont="1" applyFill="1" applyBorder="1" applyAlignment="1">
      <alignment horizontal="right" indent="1"/>
    </xf>
    <xf numFmtId="4" fontId="9" fillId="0" borderId="0" xfId="0" applyNumberFormat="1" applyFont="1" applyAlignment="1">
      <alignment vertical="center"/>
    </xf>
    <xf numFmtId="0" fontId="13" fillId="0" borderId="40" xfId="13" applyFont="1" applyBorder="1" applyAlignment="1">
      <alignment horizontal="left"/>
    </xf>
    <xf numFmtId="0" fontId="13" fillId="0" borderId="41" xfId="13" applyFont="1" applyBorder="1" applyAlignment="1">
      <alignment horizontal="left"/>
    </xf>
    <xf numFmtId="0" fontId="13" fillId="0" borderId="41" xfId="13" applyFont="1" applyBorder="1"/>
    <xf numFmtId="0" fontId="13" fillId="0" borderId="56" xfId="13" applyFont="1" applyBorder="1" applyAlignment="1">
      <alignment horizontal="left"/>
    </xf>
    <xf numFmtId="0" fontId="13" fillId="0" borderId="54" xfId="13" applyFont="1" applyBorder="1" applyAlignment="1">
      <alignment horizontal="left"/>
    </xf>
    <xf numFmtId="0" fontId="13" fillId="0" borderId="44" xfId="13" applyFont="1" applyBorder="1"/>
    <xf numFmtId="0" fontId="13" fillId="0" borderId="46" xfId="13" applyFont="1" applyBorder="1" applyAlignment="1">
      <alignment horizontal="left"/>
    </xf>
    <xf numFmtId="0" fontId="13" fillId="0" borderId="47" xfId="13" applyFont="1" applyBorder="1" applyAlignment="1">
      <alignment horizontal="left"/>
    </xf>
    <xf numFmtId="0" fontId="13" fillId="0" borderId="47" xfId="13" applyFont="1" applyBorder="1"/>
    <xf numFmtId="1" fontId="9" fillId="3" borderId="6" xfId="0" applyNumberFormat="1" applyFont="1" applyFill="1" applyBorder="1" applyAlignment="1">
      <alignment horizontal="center" vertical="center"/>
    </xf>
    <xf numFmtId="0" fontId="9" fillId="3" borderId="8" xfId="0" applyFont="1" applyFill="1" applyBorder="1" applyAlignment="1">
      <alignment horizontal="center" vertical="center"/>
    </xf>
    <xf numFmtId="165" fontId="13" fillId="0" borderId="35" xfId="2" applyNumberFormat="1" applyFont="1" applyBorder="1" applyAlignment="1">
      <alignment horizontal="center"/>
    </xf>
    <xf numFmtId="0" fontId="13" fillId="0" borderId="1" xfId="0" applyFont="1" applyBorder="1" applyProtection="1">
      <protection locked="0"/>
    </xf>
    <xf numFmtId="165" fontId="13" fillId="0" borderId="36" xfId="2" applyNumberFormat="1" applyFont="1" applyBorder="1" applyAlignment="1">
      <alignment horizontal="center"/>
    </xf>
    <xf numFmtId="0" fontId="13" fillId="0" borderId="37" xfId="0" applyFont="1" applyBorder="1" applyProtection="1">
      <protection locked="0"/>
    </xf>
    <xf numFmtId="165" fontId="13" fillId="0" borderId="3" xfId="2" applyNumberFormat="1" applyFont="1" applyBorder="1" applyAlignment="1">
      <alignment horizontal="center"/>
    </xf>
    <xf numFmtId="0" fontId="13" fillId="0" borderId="5" xfId="0" applyFont="1" applyBorder="1" applyProtection="1">
      <protection locked="0"/>
    </xf>
    <xf numFmtId="0" fontId="13" fillId="0" borderId="4" xfId="0" applyFont="1" applyBorder="1" applyProtection="1">
      <protection locked="0"/>
    </xf>
    <xf numFmtId="0" fontId="25" fillId="0" borderId="6" xfId="0" applyFont="1" applyBorder="1" applyAlignment="1">
      <alignment horizontal="center" vertical="center" wrapText="1"/>
    </xf>
    <xf numFmtId="0" fontId="33" fillId="0" borderId="16" xfId="4" applyFont="1" applyBorder="1"/>
    <xf numFmtId="4" fontId="13" fillId="5" borderId="0" xfId="0" applyNumberFormat="1" applyFont="1" applyFill="1" applyAlignment="1">
      <alignment horizontal="left"/>
    </xf>
    <xf numFmtId="3" fontId="13" fillId="5" borderId="0" xfId="0" applyNumberFormat="1" applyFont="1" applyFill="1" applyAlignment="1">
      <alignment horizontal="left"/>
    </xf>
    <xf numFmtId="9" fontId="13" fillId="5" borderId="0" xfId="3" applyFont="1" applyFill="1" applyBorder="1" applyAlignment="1">
      <alignment horizontal="left"/>
    </xf>
    <xf numFmtId="0" fontId="9" fillId="0" borderId="57" xfId="0" applyFont="1" applyBorder="1" applyAlignment="1" applyProtection="1">
      <alignment horizontal="center"/>
      <protection locked="0"/>
    </xf>
    <xf numFmtId="0" fontId="13" fillId="0" borderId="60" xfId="0" applyFont="1" applyBorder="1" applyAlignment="1" applyProtection="1">
      <alignment horizontal="center" vertical="center"/>
      <protection locked="0"/>
    </xf>
    <xf numFmtId="0" fontId="13" fillId="0" borderId="61" xfId="0" applyFont="1" applyBorder="1" applyAlignment="1" applyProtection="1">
      <alignment horizontal="center" vertical="center"/>
      <protection locked="0"/>
    </xf>
    <xf numFmtId="0" fontId="13" fillId="0" borderId="59" xfId="0" applyFont="1" applyBorder="1" applyAlignment="1" applyProtection="1">
      <alignment horizontal="center" vertical="center"/>
      <protection locked="0"/>
    </xf>
    <xf numFmtId="0" fontId="13" fillId="0" borderId="58" xfId="0" applyFont="1" applyBorder="1" applyAlignment="1" applyProtection="1">
      <alignment horizontal="center" vertical="center"/>
      <protection locked="0"/>
    </xf>
    <xf numFmtId="14" fontId="20" fillId="0" borderId="59" xfId="0" applyNumberFormat="1" applyFont="1" applyBorder="1" applyAlignment="1" applyProtection="1">
      <alignment horizontal="center" vertical="center"/>
      <protection locked="0"/>
    </xf>
    <xf numFmtId="165" fontId="13" fillId="0" borderId="0" xfId="2" applyNumberFormat="1" applyFont="1" applyFill="1" applyBorder="1" applyProtection="1">
      <protection locked="0"/>
    </xf>
    <xf numFmtId="0" fontId="9" fillId="0" borderId="9" xfId="13" applyFont="1" applyBorder="1" applyAlignment="1">
      <alignment horizontal="center"/>
    </xf>
    <xf numFmtId="0" fontId="13" fillId="0" borderId="6" xfId="0" applyFont="1" applyBorder="1"/>
    <xf numFmtId="0" fontId="21" fillId="0" borderId="0" xfId="13" applyFont="1" applyAlignment="1">
      <alignment horizontal="left"/>
    </xf>
    <xf numFmtId="0" fontId="13" fillId="0" borderId="0" xfId="13" applyFont="1" applyAlignment="1">
      <alignment horizontal="left"/>
    </xf>
    <xf numFmtId="1" fontId="13" fillId="0" borderId="0" xfId="13" applyNumberFormat="1" applyFont="1" applyAlignment="1">
      <alignment horizontal="center"/>
    </xf>
    <xf numFmtId="0" fontId="26" fillId="0" borderId="0" xfId="13" applyFont="1" applyAlignment="1">
      <alignment horizontal="left"/>
    </xf>
    <xf numFmtId="0" fontId="9" fillId="0" borderId="0" xfId="13" applyFont="1" applyAlignment="1">
      <alignment horizontal="left"/>
    </xf>
    <xf numFmtId="1" fontId="21" fillId="0" borderId="0" xfId="13" applyNumberFormat="1" applyFont="1" applyAlignment="1">
      <alignment horizontal="center"/>
    </xf>
    <xf numFmtId="0" fontId="0" fillId="0" borderId="0" xfId="0"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15" fillId="0" borderId="13" xfId="0" applyFont="1" applyBorder="1" applyAlignment="1" applyProtection="1">
      <alignment horizontal="left" vertical="top"/>
      <protection locked="0"/>
    </xf>
    <xf numFmtId="0" fontId="15" fillId="0" borderId="14" xfId="0" applyFont="1" applyBorder="1" applyAlignment="1" applyProtection="1">
      <alignment horizontal="left" vertical="top"/>
      <protection locked="0"/>
    </xf>
    <xf numFmtId="0" fontId="15" fillId="0" borderId="15" xfId="0" applyFont="1" applyBorder="1" applyAlignment="1" applyProtection="1">
      <alignment horizontal="left" vertical="top"/>
      <protection locked="0"/>
    </xf>
    <xf numFmtId="0" fontId="15" fillId="0" borderId="16" xfId="0" applyFont="1" applyBorder="1" applyAlignment="1" applyProtection="1">
      <alignment horizontal="left" vertical="top"/>
      <protection locked="0"/>
    </xf>
    <xf numFmtId="0" fontId="15" fillId="0" borderId="0" xfId="0" applyFont="1" applyAlignment="1" applyProtection="1">
      <alignment horizontal="left" vertical="top"/>
      <protection locked="0"/>
    </xf>
    <xf numFmtId="0" fontId="15" fillId="0" borderId="17" xfId="0" applyFont="1" applyBorder="1" applyAlignment="1" applyProtection="1">
      <alignment horizontal="left" vertical="top"/>
      <protection locked="0"/>
    </xf>
    <xf numFmtId="0" fontId="15" fillId="0" borderId="18" xfId="0" applyFont="1" applyBorder="1" applyAlignment="1" applyProtection="1">
      <alignment horizontal="left" vertical="top"/>
      <protection locked="0"/>
    </xf>
    <xf numFmtId="0" fontId="15" fillId="0" borderId="19" xfId="0" applyFont="1" applyBorder="1" applyAlignment="1" applyProtection="1">
      <alignment horizontal="left" vertical="top"/>
      <protection locked="0"/>
    </xf>
    <xf numFmtId="0" fontId="15" fillId="0" borderId="20" xfId="0" applyFont="1" applyBorder="1" applyAlignment="1" applyProtection="1">
      <alignment horizontal="left" vertical="top"/>
      <protection locked="0"/>
    </xf>
    <xf numFmtId="0" fontId="9" fillId="0" borderId="23" xfId="0" applyFont="1" applyBorder="1" applyAlignment="1" applyProtection="1">
      <alignment horizontal="left"/>
      <protection locked="0"/>
    </xf>
    <xf numFmtId="0" fontId="9" fillId="0" borderId="24" xfId="0" applyFont="1" applyBorder="1" applyAlignment="1" applyProtection="1">
      <alignment horizontal="left"/>
      <protection locked="0"/>
    </xf>
    <xf numFmtId="0" fontId="9" fillId="0" borderId="25" xfId="0" applyFont="1" applyBorder="1" applyAlignment="1" applyProtection="1">
      <alignment horizontal="left"/>
      <protection locked="0"/>
    </xf>
    <xf numFmtId="0" fontId="18" fillId="0" borderId="26" xfId="0" applyFont="1" applyBorder="1" applyAlignment="1" applyProtection="1">
      <alignment horizontal="center" vertical="center"/>
      <protection locked="0"/>
    </xf>
    <xf numFmtId="0" fontId="18" fillId="0" borderId="8" xfId="0" applyFont="1" applyBorder="1" applyAlignment="1" applyProtection="1">
      <alignment horizontal="center" vertical="center"/>
      <protection locked="0"/>
    </xf>
    <xf numFmtId="0" fontId="49" fillId="0" borderId="7" xfId="6" applyFont="1" applyFill="1" applyBorder="1" applyAlignment="1" applyProtection="1">
      <alignment horizontal="left" vertical="center"/>
      <protection locked="0"/>
    </xf>
    <xf numFmtId="0" fontId="49" fillId="0" borderId="27" xfId="6" applyFont="1" applyFill="1" applyBorder="1" applyAlignment="1" applyProtection="1">
      <alignment horizontal="left" vertical="center"/>
      <protection locked="0"/>
    </xf>
    <xf numFmtId="0" fontId="13" fillId="0" borderId="29" xfId="0" applyFont="1" applyBorder="1" applyAlignment="1" applyProtection="1">
      <alignment horizontal="left" vertical="center"/>
      <protection locked="0"/>
    </xf>
    <xf numFmtId="0" fontId="49" fillId="0" borderId="29" xfId="6" applyFont="1" applyFill="1" applyBorder="1" applyAlignment="1" applyProtection="1">
      <alignment horizontal="left" vertical="center"/>
      <protection locked="0"/>
    </xf>
    <xf numFmtId="0" fontId="49" fillId="0" borderId="30" xfId="6" applyFont="1" applyFill="1" applyBorder="1" applyAlignment="1" applyProtection="1">
      <alignment horizontal="left" vertical="center"/>
      <protection locked="0"/>
    </xf>
    <xf numFmtId="0" fontId="9" fillId="0" borderId="13" xfId="0" applyFont="1" applyBorder="1" applyAlignment="1" applyProtection="1">
      <alignment horizontal="left"/>
      <protection locked="0"/>
    </xf>
    <xf numFmtId="0" fontId="18" fillId="0" borderId="28" xfId="0" applyFont="1" applyBorder="1" applyAlignment="1" applyProtection="1">
      <alignment horizontal="center" vertical="center"/>
      <protection locked="0"/>
    </xf>
    <xf numFmtId="0" fontId="18" fillId="0" borderId="33" xfId="0" applyFont="1" applyBorder="1" applyAlignment="1" applyProtection="1">
      <alignment horizontal="center" vertical="center"/>
      <protection locked="0"/>
    </xf>
    <xf numFmtId="0" fontId="49" fillId="6" borderId="7" xfId="6" applyFont="1" applyFill="1" applyBorder="1" applyAlignment="1" applyProtection="1">
      <alignment horizontal="left" vertical="center"/>
      <protection locked="0"/>
    </xf>
    <xf numFmtId="0" fontId="49" fillId="6" borderId="27" xfId="6" applyFont="1" applyFill="1" applyBorder="1" applyAlignment="1" applyProtection="1">
      <alignment horizontal="left" vertical="center"/>
      <protection locked="0"/>
    </xf>
    <xf numFmtId="14" fontId="17" fillId="0" borderId="16" xfId="0" applyNumberFormat="1" applyFont="1" applyBorder="1" applyAlignment="1" applyProtection="1">
      <alignment horizontal="center" vertical="center"/>
      <protection locked="0"/>
    </xf>
    <xf numFmtId="14" fontId="17" fillId="0" borderId="0" xfId="0" applyNumberFormat="1" applyFont="1" applyAlignment="1" applyProtection="1">
      <alignment horizontal="center" vertical="center"/>
      <protection locked="0"/>
    </xf>
    <xf numFmtId="14" fontId="17" fillId="0" borderId="17" xfId="0" applyNumberFormat="1" applyFont="1" applyBorder="1" applyAlignment="1" applyProtection="1">
      <alignment horizontal="center" vertical="center"/>
      <protection locked="0"/>
    </xf>
    <xf numFmtId="14" fontId="17" fillId="0" borderId="18" xfId="0" applyNumberFormat="1" applyFont="1" applyBorder="1" applyAlignment="1" applyProtection="1">
      <alignment horizontal="center" vertical="center"/>
      <protection locked="0"/>
    </xf>
    <xf numFmtId="14" fontId="17" fillId="0" borderId="19" xfId="0" applyNumberFormat="1" applyFont="1" applyBorder="1" applyAlignment="1" applyProtection="1">
      <alignment horizontal="center" vertical="center"/>
      <protection locked="0"/>
    </xf>
    <xf numFmtId="14" fontId="17" fillId="0" borderId="20" xfId="0" applyNumberFormat="1" applyFont="1" applyBorder="1" applyAlignment="1" applyProtection="1">
      <alignment horizontal="center" vertical="center"/>
      <protection locked="0"/>
    </xf>
    <xf numFmtId="0" fontId="9" fillId="0" borderId="10" xfId="0" applyFont="1" applyBorder="1" applyAlignment="1" applyProtection="1">
      <alignment horizontal="center" vertical="center" wrapText="1"/>
      <protection locked="0"/>
    </xf>
    <xf numFmtId="0" fontId="9" fillId="0" borderId="11" xfId="0" applyFont="1" applyBorder="1" applyAlignment="1" applyProtection="1">
      <alignment horizontal="center" vertical="center" wrapText="1"/>
      <protection locked="0"/>
    </xf>
    <xf numFmtId="0" fontId="18" fillId="0" borderId="23" xfId="0" applyFont="1" applyBorder="1" applyAlignment="1" applyProtection="1">
      <alignment horizontal="center" vertical="center"/>
      <protection locked="0"/>
    </xf>
    <xf numFmtId="0" fontId="18" fillId="0" borderId="34" xfId="0" applyFont="1" applyBorder="1" applyAlignment="1" applyProtection="1">
      <alignment horizontal="center" vertical="center"/>
      <protection locked="0"/>
    </xf>
    <xf numFmtId="0" fontId="7" fillId="0" borderId="14" xfId="0" applyFont="1" applyBorder="1" applyAlignment="1" applyProtection="1">
      <alignment horizontal="center" vertical="center"/>
      <protection locked="0"/>
    </xf>
    <xf numFmtId="0" fontId="7" fillId="0" borderId="15" xfId="0" applyFont="1" applyBorder="1" applyAlignment="1" applyProtection="1">
      <alignment horizontal="center" vertical="center"/>
      <protection locked="0"/>
    </xf>
    <xf numFmtId="0" fontId="15" fillId="0" borderId="19" xfId="0" applyFont="1" applyBorder="1" applyAlignment="1" applyProtection="1">
      <alignment horizontal="center" vertical="center"/>
      <protection locked="0"/>
    </xf>
    <xf numFmtId="0" fontId="15" fillId="0" borderId="20" xfId="0" applyFont="1" applyBorder="1" applyAlignment="1" applyProtection="1">
      <alignment horizontal="center" vertical="center"/>
      <protection locked="0"/>
    </xf>
    <xf numFmtId="0" fontId="9" fillId="0" borderId="10" xfId="0" applyFont="1" applyBorder="1" applyAlignment="1" applyProtection="1">
      <alignment horizontal="left" vertical="center" wrapText="1" indent="2"/>
      <protection locked="0"/>
    </xf>
    <xf numFmtId="0" fontId="9" fillId="0" borderId="11" xfId="0" applyFont="1" applyBorder="1" applyAlignment="1" applyProtection="1">
      <alignment horizontal="left" vertical="center" wrapText="1" indent="2"/>
      <protection locked="0"/>
    </xf>
    <xf numFmtId="0" fontId="9" fillId="0" borderId="10" xfId="0" applyFont="1" applyBorder="1" applyAlignment="1" applyProtection="1">
      <alignment horizontal="center" vertical="center"/>
      <protection locked="0"/>
    </xf>
    <xf numFmtId="0" fontId="9" fillId="0" borderId="31" xfId="0" applyFont="1" applyBorder="1" applyAlignment="1" applyProtection="1">
      <alignment horizontal="center" vertical="center"/>
      <protection locked="0"/>
    </xf>
    <xf numFmtId="0" fontId="9" fillId="0" borderId="11" xfId="0" applyFont="1" applyBorder="1" applyAlignment="1" applyProtection="1">
      <alignment horizontal="center" wrapText="1"/>
      <protection locked="0"/>
    </xf>
    <xf numFmtId="0" fontId="9" fillId="0" borderId="12" xfId="0" applyFont="1" applyBorder="1" applyAlignment="1" applyProtection="1">
      <alignment horizontal="center" wrapText="1"/>
      <protection locked="0"/>
    </xf>
    <xf numFmtId="0" fontId="9" fillId="0" borderId="32" xfId="0" applyFont="1" applyBorder="1" applyAlignment="1" applyProtection="1">
      <alignment horizontal="center" vertical="center" wrapText="1"/>
      <protection locked="0"/>
    </xf>
    <xf numFmtId="49" fontId="19" fillId="0" borderId="13" xfId="0" applyNumberFormat="1" applyFont="1" applyBorder="1" applyAlignment="1" applyProtection="1">
      <alignment horizontal="center" vertical="center"/>
      <protection locked="0"/>
    </xf>
    <xf numFmtId="49" fontId="19" fillId="0" borderId="14" xfId="0" applyNumberFormat="1" applyFont="1" applyBorder="1" applyAlignment="1" applyProtection="1">
      <alignment horizontal="center" vertical="center"/>
      <protection locked="0"/>
    </xf>
    <xf numFmtId="49" fontId="19" fillId="0" borderId="15" xfId="0" applyNumberFormat="1" applyFont="1" applyBorder="1" applyAlignment="1" applyProtection="1">
      <alignment horizontal="center" vertical="center"/>
      <protection locked="0"/>
    </xf>
    <xf numFmtId="49" fontId="19" fillId="0" borderId="18" xfId="0" applyNumberFormat="1" applyFont="1" applyBorder="1" applyAlignment="1" applyProtection="1">
      <alignment horizontal="center" vertical="center"/>
      <protection locked="0"/>
    </xf>
    <xf numFmtId="49" fontId="19" fillId="0" borderId="19" xfId="0" applyNumberFormat="1" applyFont="1" applyBorder="1" applyAlignment="1" applyProtection="1">
      <alignment horizontal="center" vertical="center"/>
      <protection locked="0"/>
    </xf>
    <xf numFmtId="49" fontId="19" fillId="0" borderId="20" xfId="0" applyNumberFormat="1" applyFont="1" applyBorder="1" applyAlignment="1" applyProtection="1">
      <alignment horizontal="center" vertical="center"/>
      <protection locked="0"/>
    </xf>
    <xf numFmtId="0" fontId="49" fillId="0" borderId="24" xfId="6" applyFont="1" applyFill="1" applyBorder="1" applyAlignment="1" applyProtection="1">
      <alignment horizontal="left" vertical="center"/>
      <protection locked="0"/>
    </xf>
    <xf numFmtId="0" fontId="49" fillId="0" borderId="25" xfId="6" applyFont="1" applyFill="1" applyBorder="1" applyAlignment="1" applyProtection="1">
      <alignment horizontal="left" vertical="center"/>
      <protection locked="0"/>
    </xf>
    <xf numFmtId="14" fontId="16" fillId="0" borderId="13" xfId="0" applyNumberFormat="1" applyFont="1" applyBorder="1" applyAlignment="1" applyProtection="1">
      <alignment horizontal="center" vertical="center"/>
      <protection locked="0"/>
    </xf>
    <xf numFmtId="14" fontId="16" fillId="0" borderId="14" xfId="0" applyNumberFormat="1" applyFont="1" applyBorder="1" applyAlignment="1" applyProtection="1">
      <alignment horizontal="center" vertical="center"/>
      <protection locked="0"/>
    </xf>
    <xf numFmtId="14" fontId="16" fillId="0" borderId="15" xfId="0" applyNumberFormat="1" applyFont="1" applyBorder="1" applyAlignment="1" applyProtection="1">
      <alignment horizontal="center" vertical="center"/>
      <protection locked="0"/>
    </xf>
    <xf numFmtId="14" fontId="16" fillId="0" borderId="18" xfId="0" applyNumberFormat="1" applyFont="1" applyBorder="1" applyAlignment="1" applyProtection="1">
      <alignment horizontal="center" vertical="center"/>
      <protection locked="0"/>
    </xf>
    <xf numFmtId="14" fontId="16" fillId="0" borderId="19" xfId="0" applyNumberFormat="1" applyFont="1" applyBorder="1" applyAlignment="1" applyProtection="1">
      <alignment horizontal="center" vertical="center"/>
      <protection locked="0"/>
    </xf>
    <xf numFmtId="14" fontId="16" fillId="0" borderId="20" xfId="0" applyNumberFormat="1" applyFont="1" applyBorder="1" applyAlignment="1" applyProtection="1">
      <alignment horizontal="center" vertical="center"/>
      <protection locked="0"/>
    </xf>
    <xf numFmtId="0" fontId="13" fillId="0" borderId="13" xfId="0" applyFont="1" applyBorder="1" applyAlignment="1" applyProtection="1">
      <alignment horizontal="center" vertical="center"/>
      <protection locked="0"/>
    </xf>
    <xf numFmtId="0" fontId="13" fillId="0" borderId="15" xfId="0" applyFont="1" applyBorder="1" applyAlignment="1" applyProtection="1">
      <alignment horizontal="center" vertical="center"/>
      <protection locked="0"/>
    </xf>
    <xf numFmtId="14" fontId="20" fillId="0" borderId="18" xfId="0" applyNumberFormat="1" applyFont="1" applyBorder="1" applyAlignment="1" applyProtection="1">
      <alignment horizontal="center" vertical="center"/>
      <protection locked="0"/>
    </xf>
    <xf numFmtId="0" fontId="20" fillId="0" borderId="20" xfId="0" applyFont="1" applyBorder="1" applyAlignment="1" applyProtection="1">
      <alignment horizontal="center" vertical="center"/>
      <protection locked="0"/>
    </xf>
    <xf numFmtId="0" fontId="18" fillId="0" borderId="18" xfId="0" applyFont="1" applyBorder="1" applyAlignment="1" applyProtection="1">
      <alignment horizontal="left" vertical="top" wrapText="1"/>
      <protection locked="0"/>
    </xf>
    <xf numFmtId="0" fontId="18" fillId="0" borderId="19" xfId="0" applyFont="1" applyBorder="1" applyAlignment="1" applyProtection="1">
      <alignment horizontal="left" vertical="top"/>
      <protection locked="0"/>
    </xf>
    <xf numFmtId="0" fontId="18" fillId="0" borderId="20" xfId="0" applyFont="1" applyBorder="1" applyAlignment="1" applyProtection="1">
      <alignment horizontal="left" vertical="top"/>
      <protection locked="0"/>
    </xf>
    <xf numFmtId="0" fontId="9" fillId="3" borderId="6" xfId="13" applyFont="1" applyFill="1" applyBorder="1" applyAlignment="1">
      <alignment horizontal="right"/>
    </xf>
    <xf numFmtId="0" fontId="9" fillId="3" borderId="7" xfId="13" applyFont="1" applyFill="1" applyBorder="1" applyAlignment="1">
      <alignment horizontal="right"/>
    </xf>
    <xf numFmtId="0" fontId="13" fillId="0" borderId="6" xfId="13" applyFont="1" applyBorder="1" applyAlignment="1">
      <alignment horizontal="left"/>
    </xf>
    <xf numFmtId="0" fontId="13" fillId="0" borderId="7" xfId="13" applyFont="1" applyBorder="1" applyAlignment="1">
      <alignment horizontal="left"/>
    </xf>
    <xf numFmtId="0" fontId="13" fillId="0" borderId="8" xfId="13" applyFont="1" applyBorder="1" applyAlignment="1">
      <alignment horizontal="left"/>
    </xf>
    <xf numFmtId="0" fontId="34" fillId="0" borderId="11" xfId="6" applyFont="1" applyBorder="1" applyAlignment="1" applyProtection="1">
      <alignment horizontal="center" vertical="center"/>
      <protection locked="0"/>
    </xf>
    <xf numFmtId="0" fontId="21" fillId="0" borderId="10" xfId="0" applyFont="1" applyBorder="1" applyAlignment="1" applyProtection="1">
      <alignment horizontal="left" vertical="top" wrapText="1"/>
      <protection locked="0"/>
    </xf>
    <xf numFmtId="0" fontId="13" fillId="0" borderId="11" xfId="0" applyFont="1" applyBorder="1" applyAlignment="1" applyProtection="1">
      <alignment horizontal="left" vertical="top"/>
      <protection locked="0"/>
    </xf>
    <xf numFmtId="0" fontId="13" fillId="0" borderId="12" xfId="0" applyFont="1" applyBorder="1" applyAlignment="1" applyProtection="1">
      <alignment horizontal="left" vertical="top"/>
      <protection locked="0"/>
    </xf>
    <xf numFmtId="0" fontId="13" fillId="0" borderId="21" xfId="0" applyFont="1" applyBorder="1" applyAlignment="1" applyProtection="1">
      <alignment horizontal="center" vertical="center" wrapText="1"/>
      <protection locked="0"/>
    </xf>
    <xf numFmtId="0" fontId="13" fillId="0" borderId="12" xfId="0" applyFont="1" applyBorder="1" applyAlignment="1" applyProtection="1">
      <alignment horizontal="center" vertical="center" wrapText="1"/>
      <protection locked="0"/>
    </xf>
    <xf numFmtId="165" fontId="13" fillId="0" borderId="21" xfId="2" applyNumberFormat="1" applyFont="1" applyFill="1" applyBorder="1" applyAlignment="1" applyProtection="1">
      <alignment horizontal="center" vertical="center" wrapText="1"/>
      <protection locked="0"/>
    </xf>
    <xf numFmtId="165" fontId="13" fillId="0" borderId="12" xfId="2" applyNumberFormat="1" applyFont="1" applyFill="1" applyBorder="1" applyAlignment="1" applyProtection="1">
      <alignment horizontal="center" vertical="center" wrapText="1"/>
      <protection locked="0"/>
    </xf>
    <xf numFmtId="0" fontId="13" fillId="0" borderId="0" xfId="0" applyFont="1" applyAlignment="1">
      <alignment horizontal="left" vertical="center" wrapText="1"/>
    </xf>
    <xf numFmtId="0" fontId="13" fillId="0" borderId="17" xfId="0" applyFont="1" applyBorder="1" applyAlignment="1">
      <alignment horizontal="left" vertical="center" wrapText="1"/>
    </xf>
    <xf numFmtId="0" fontId="13" fillId="0" borderId="26" xfId="0" applyFont="1" applyBorder="1" applyAlignment="1" applyProtection="1">
      <alignment horizontal="left" vertical="top"/>
      <protection locked="0"/>
    </xf>
    <xf numFmtId="0" fontId="13" fillId="0" borderId="7" xfId="0" applyFont="1" applyBorder="1" applyAlignment="1" applyProtection="1">
      <alignment horizontal="left" vertical="top"/>
      <protection locked="0"/>
    </xf>
    <xf numFmtId="0" fontId="13" fillId="0" borderId="27" xfId="0" applyFont="1" applyBorder="1" applyAlignment="1" applyProtection="1">
      <alignment horizontal="left" vertical="top"/>
      <protection locked="0"/>
    </xf>
    <xf numFmtId="0" fontId="20" fillId="0" borderId="26" xfId="0" applyFont="1" applyBorder="1" applyAlignment="1" applyProtection="1">
      <alignment horizontal="left" vertical="top"/>
      <protection locked="0"/>
    </xf>
    <xf numFmtId="0" fontId="20" fillId="0" borderId="7" xfId="0" applyFont="1" applyBorder="1" applyAlignment="1" applyProtection="1">
      <alignment horizontal="left" vertical="top"/>
      <protection locked="0"/>
    </xf>
    <xf numFmtId="0" fontId="20" fillId="0" borderId="27" xfId="0" applyFont="1" applyBorder="1" applyAlignment="1" applyProtection="1">
      <alignment horizontal="left" vertical="top"/>
      <protection locked="0"/>
    </xf>
    <xf numFmtId="0" fontId="18" fillId="3" borderId="6" xfId="13" applyFont="1" applyFill="1" applyBorder="1" applyAlignment="1">
      <alignment horizontal="center"/>
    </xf>
    <xf numFmtId="0" fontId="18" fillId="3" borderId="8" xfId="13" applyFont="1" applyFill="1" applyBorder="1" applyAlignment="1">
      <alignment horizontal="center"/>
    </xf>
    <xf numFmtId="9" fontId="13" fillId="0" borderId="0" xfId="3" applyFont="1" applyBorder="1" applyAlignment="1"/>
    <xf numFmtId="9" fontId="13" fillId="0" borderId="0" xfId="3" applyFont="1" applyBorder="1" applyAlignment="1">
      <alignment horizontal="center"/>
    </xf>
    <xf numFmtId="0" fontId="13" fillId="0" borderId="18" xfId="0" applyFont="1" applyBorder="1" applyAlignment="1" applyProtection="1">
      <alignment horizontal="left" vertical="top" wrapText="1"/>
      <protection locked="0"/>
    </xf>
    <xf numFmtId="0" fontId="13" fillId="0" borderId="19" xfId="0" applyFont="1" applyBorder="1" applyAlignment="1" applyProtection="1">
      <alignment horizontal="left" vertical="top"/>
      <protection locked="0"/>
    </xf>
    <xf numFmtId="0" fontId="13" fillId="0" borderId="20" xfId="0" applyFont="1" applyBorder="1" applyAlignment="1" applyProtection="1">
      <alignment horizontal="left" vertical="top"/>
      <protection locked="0"/>
    </xf>
    <xf numFmtId="0" fontId="9" fillId="0" borderId="0" xfId="0" applyFont="1" applyAlignment="1">
      <alignment horizontal="right"/>
    </xf>
    <xf numFmtId="0" fontId="13" fillId="0" borderId="0" xfId="0" applyFont="1" applyAlignment="1">
      <alignment horizontal="right"/>
    </xf>
    <xf numFmtId="0" fontId="13" fillId="0" borderId="37" xfId="0" applyFont="1" applyBorder="1" applyAlignment="1">
      <alignment horizontal="right"/>
    </xf>
    <xf numFmtId="0" fontId="13" fillId="0" borderId="16" xfId="0" applyFont="1" applyBorder="1" applyAlignment="1">
      <alignment horizontal="right"/>
    </xf>
    <xf numFmtId="165" fontId="9" fillId="0" borderId="0" xfId="2" applyNumberFormat="1" applyFont="1" applyBorder="1" applyAlignment="1">
      <alignment horizontal="right"/>
    </xf>
    <xf numFmtId="4" fontId="9" fillId="3" borderId="6" xfId="0" applyNumberFormat="1" applyFont="1" applyFill="1" applyBorder="1" applyAlignment="1">
      <alignment horizontal="left" vertical="center"/>
    </xf>
    <xf numFmtId="4" fontId="9" fillId="3" borderId="7" xfId="0" applyNumberFormat="1" applyFont="1" applyFill="1" applyBorder="1" applyAlignment="1">
      <alignment horizontal="left" vertical="center"/>
    </xf>
    <xf numFmtId="4" fontId="9" fillId="3" borderId="8" xfId="0" applyNumberFormat="1" applyFont="1" applyFill="1" applyBorder="1" applyAlignment="1">
      <alignment horizontal="left" vertical="center"/>
    </xf>
    <xf numFmtId="0" fontId="13" fillId="0" borderId="6" xfId="0" applyFont="1" applyBorder="1" applyAlignment="1">
      <alignment horizontal="left" wrapText="1"/>
    </xf>
    <xf numFmtId="0" fontId="13" fillId="0" borderId="7" xfId="0" applyFont="1" applyBorder="1" applyAlignment="1">
      <alignment horizontal="left" wrapText="1"/>
    </xf>
    <xf numFmtId="0" fontId="13" fillId="0" borderId="8" xfId="0" applyFont="1" applyBorder="1" applyAlignment="1">
      <alignment horizontal="left" wrapText="1"/>
    </xf>
    <xf numFmtId="4" fontId="9" fillId="3" borderId="6" xfId="0" applyNumberFormat="1" applyFont="1" applyFill="1" applyBorder="1" applyAlignment="1">
      <alignment horizontal="left" vertical="center" wrapText="1"/>
    </xf>
    <xf numFmtId="4" fontId="9" fillId="3" borderId="7" xfId="0" applyNumberFormat="1" applyFont="1" applyFill="1" applyBorder="1" applyAlignment="1">
      <alignment horizontal="left" vertical="center" wrapText="1"/>
    </xf>
    <xf numFmtId="4" fontId="9" fillId="3" borderId="8" xfId="0" applyNumberFormat="1" applyFont="1" applyFill="1" applyBorder="1" applyAlignment="1">
      <alignment horizontal="left" vertical="center" wrapText="1"/>
    </xf>
    <xf numFmtId="2" fontId="13" fillId="0" borderId="0" xfId="0" applyNumberFormat="1" applyFont="1" applyAlignment="1">
      <alignment horizontal="left" vertical="center"/>
    </xf>
    <xf numFmtId="2" fontId="13" fillId="0" borderId="37" xfId="0" applyNumberFormat="1" applyFont="1" applyBorder="1" applyAlignment="1">
      <alignment horizontal="left" vertical="center"/>
    </xf>
    <xf numFmtId="0" fontId="9" fillId="3" borderId="6"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13" fillId="0" borderId="16" xfId="0" applyFont="1" applyBorder="1" applyAlignment="1">
      <alignment horizontal="left" vertical="top" wrapText="1"/>
    </xf>
    <xf numFmtId="0" fontId="13" fillId="0" borderId="0" xfId="0" applyFont="1" applyAlignment="1">
      <alignment horizontal="left" vertical="top" wrapText="1"/>
    </xf>
    <xf numFmtId="4" fontId="9" fillId="3" borderId="9" xfId="0" applyNumberFormat="1" applyFont="1" applyFill="1" applyBorder="1" applyAlignment="1">
      <alignment horizontal="left" vertical="center"/>
    </xf>
    <xf numFmtId="0" fontId="23" fillId="0" borderId="0" xfId="0" applyFont="1" applyAlignment="1">
      <alignment horizontal="right"/>
    </xf>
    <xf numFmtId="0" fontId="23" fillId="0" borderId="37" xfId="0" applyFont="1" applyBorder="1" applyAlignment="1">
      <alignment horizontal="right"/>
    </xf>
    <xf numFmtId="0" fontId="20" fillId="0" borderId="0" xfId="0" applyFont="1" applyAlignment="1">
      <alignment horizontal="right"/>
    </xf>
    <xf numFmtId="0" fontId="20" fillId="0" borderId="37" xfId="0" applyFont="1" applyBorder="1" applyAlignment="1">
      <alignment horizontal="right"/>
    </xf>
    <xf numFmtId="4" fontId="9" fillId="0" borderId="0" xfId="0" applyNumberFormat="1" applyFont="1" applyAlignment="1">
      <alignment horizontal="right" vertical="top"/>
    </xf>
    <xf numFmtId="4" fontId="13" fillId="0" borderId="0" xfId="0" applyNumberFormat="1" applyFont="1" applyAlignment="1">
      <alignment horizontal="right" vertical="top"/>
    </xf>
    <xf numFmtId="4" fontId="13" fillId="0" borderId="37" xfId="0" applyNumberFormat="1" applyFont="1" applyBorder="1" applyAlignment="1">
      <alignment horizontal="right" vertical="top"/>
    </xf>
    <xf numFmtId="4" fontId="13" fillId="0" borderId="3" xfId="0" applyNumberFormat="1" applyFont="1" applyBorder="1" applyAlignment="1">
      <alignment horizontal="left"/>
    </xf>
    <xf numFmtId="4" fontId="13" fillId="0" borderId="5" xfId="0" applyNumberFormat="1" applyFont="1" applyBorder="1" applyAlignment="1">
      <alignment horizontal="left"/>
    </xf>
    <xf numFmtId="4" fontId="13" fillId="0" borderId="4" xfId="0" applyNumberFormat="1" applyFont="1" applyBorder="1" applyAlignment="1">
      <alignment horizontal="left"/>
    </xf>
    <xf numFmtId="4" fontId="13" fillId="0" borderId="6" xfId="0" applyNumberFormat="1" applyFont="1" applyBorder="1" applyAlignment="1">
      <alignment horizontal="left"/>
    </xf>
    <xf numFmtId="4" fontId="13" fillId="0" borderId="7" xfId="0" applyNumberFormat="1" applyFont="1" applyBorder="1" applyAlignment="1">
      <alignment horizontal="left"/>
    </xf>
    <xf numFmtId="4" fontId="13" fillId="0" borderId="8" xfId="0" applyNumberFormat="1" applyFont="1" applyBorder="1" applyAlignment="1">
      <alignment horizontal="left"/>
    </xf>
    <xf numFmtId="0" fontId="9" fillId="0" borderId="0" xfId="0" applyFont="1" applyAlignment="1">
      <alignment horizontal="left"/>
    </xf>
    <xf numFmtId="0" fontId="13" fillId="0" borderId="0" xfId="0" applyFont="1" applyAlignment="1">
      <alignment horizontal="left"/>
    </xf>
    <xf numFmtId="0" fontId="13" fillId="0" borderId="37" xfId="0" applyFont="1" applyBorder="1" applyAlignment="1">
      <alignment horizontal="left"/>
    </xf>
    <xf numFmtId="0" fontId="9" fillId="3" borderId="6" xfId="13" applyFont="1" applyFill="1" applyBorder="1" applyAlignment="1">
      <alignment horizontal="center" vertical="center" wrapText="1"/>
    </xf>
    <xf numFmtId="0" fontId="9" fillId="3" borderId="7" xfId="13" applyFont="1" applyFill="1" applyBorder="1" applyAlignment="1">
      <alignment horizontal="center" vertical="center" wrapText="1"/>
    </xf>
    <xf numFmtId="0" fontId="9" fillId="3" borderId="8" xfId="13" applyFont="1" applyFill="1" applyBorder="1" applyAlignment="1">
      <alignment horizontal="center" vertical="center" wrapText="1"/>
    </xf>
    <xf numFmtId="166" fontId="9" fillId="0" borderId="40" xfId="0" applyNumberFormat="1" applyFont="1" applyBorder="1" applyAlignment="1">
      <alignment horizontal="left"/>
    </xf>
    <xf numFmtId="166" fontId="9" fillId="0" borderId="50" xfId="0" applyNumberFormat="1" applyFont="1" applyBorder="1" applyAlignment="1">
      <alignment horizontal="left"/>
    </xf>
    <xf numFmtId="166" fontId="9" fillId="0" borderId="41" xfId="0" applyNumberFormat="1" applyFont="1" applyBorder="1" applyAlignment="1">
      <alignment horizontal="left"/>
    </xf>
    <xf numFmtId="166" fontId="9" fillId="0" borderId="43" xfId="0" applyNumberFormat="1" applyFont="1" applyBorder="1" applyAlignment="1">
      <alignment horizontal="left"/>
    </xf>
    <xf numFmtId="166" fontId="9" fillId="0" borderId="55" xfId="0" applyNumberFormat="1" applyFont="1" applyBorder="1" applyAlignment="1">
      <alignment horizontal="left"/>
    </xf>
    <xf numFmtId="166" fontId="9" fillId="0" borderId="44" xfId="0" applyNumberFormat="1" applyFont="1" applyBorder="1" applyAlignment="1">
      <alignment horizontal="left"/>
    </xf>
    <xf numFmtId="166" fontId="9" fillId="0" borderId="46" xfId="0" applyNumberFormat="1" applyFont="1" applyBorder="1" applyAlignment="1">
      <alignment horizontal="left"/>
    </xf>
    <xf numFmtId="166" fontId="9" fillId="0" borderId="51" xfId="0" applyNumberFormat="1" applyFont="1" applyBorder="1" applyAlignment="1">
      <alignment horizontal="left"/>
    </xf>
    <xf numFmtId="166" fontId="9" fillId="0" borderId="47" xfId="0" applyNumberFormat="1" applyFont="1" applyBorder="1" applyAlignment="1">
      <alignment horizontal="left"/>
    </xf>
    <xf numFmtId="0" fontId="13" fillId="0" borderId="40" xfId="0" applyFont="1" applyBorder="1" applyAlignment="1">
      <alignment horizontal="left" vertical="center"/>
    </xf>
    <xf numFmtId="0" fontId="13" fillId="0" borderId="41" xfId="0" applyFont="1" applyBorder="1" applyAlignment="1">
      <alignment horizontal="left" vertical="center"/>
    </xf>
    <xf numFmtId="0" fontId="13" fillId="0" borderId="46" xfId="0" applyFont="1" applyBorder="1" applyAlignment="1">
      <alignment horizontal="left" vertical="center"/>
    </xf>
    <xf numFmtId="0" fontId="13" fillId="0" borderId="47" xfId="0" applyFont="1" applyBorder="1" applyAlignment="1">
      <alignment horizontal="left" vertical="center"/>
    </xf>
    <xf numFmtId="0" fontId="13" fillId="0" borderId="43" xfId="0" applyFont="1" applyBorder="1" applyAlignment="1">
      <alignment horizontal="left" vertical="center"/>
    </xf>
    <xf numFmtId="0" fontId="13" fillId="0" borderId="44" xfId="0" applyFont="1" applyBorder="1" applyAlignment="1">
      <alignment horizontal="left" vertical="center"/>
    </xf>
    <xf numFmtId="49" fontId="9" fillId="0" borderId="36" xfId="15" applyNumberFormat="1" applyFont="1" applyBorder="1" applyAlignment="1">
      <alignment horizontal="right"/>
    </xf>
    <xf numFmtId="49" fontId="9" fillId="0" borderId="0" xfId="15" applyNumberFormat="1" applyFont="1" applyAlignment="1">
      <alignment horizontal="right"/>
    </xf>
    <xf numFmtId="0" fontId="9" fillId="3" borderId="6" xfId="15" applyFont="1" applyFill="1" applyBorder="1" applyAlignment="1">
      <alignment horizontal="left" vertical="center"/>
    </xf>
    <xf numFmtId="0" fontId="9" fillId="3" borderId="8" xfId="15" applyFont="1" applyFill="1" applyBorder="1" applyAlignment="1">
      <alignment horizontal="left" vertical="center"/>
    </xf>
    <xf numFmtId="0" fontId="9" fillId="3" borderId="6" xfId="15" applyFont="1" applyFill="1" applyBorder="1" applyAlignment="1">
      <alignment horizontal="left"/>
    </xf>
    <xf numFmtId="0" fontId="9" fillId="3" borderId="7" xfId="15" applyFont="1" applyFill="1" applyBorder="1" applyAlignment="1">
      <alignment horizontal="left"/>
    </xf>
    <xf numFmtId="0" fontId="9" fillId="3" borderId="6" xfId="15" applyFont="1" applyFill="1" applyBorder="1" applyAlignment="1">
      <alignment horizontal="center"/>
    </xf>
    <xf numFmtId="0" fontId="9" fillId="3" borderId="7" xfId="15" applyFont="1" applyFill="1" applyBorder="1" applyAlignment="1">
      <alignment horizontal="center"/>
    </xf>
    <xf numFmtId="0" fontId="9" fillId="3" borderId="8" xfId="15" applyFont="1" applyFill="1" applyBorder="1" applyAlignment="1">
      <alignment horizontal="center"/>
    </xf>
    <xf numFmtId="49" fontId="13" fillId="0" borderId="36" xfId="15" applyNumberFormat="1" applyFont="1" applyBorder="1" applyAlignment="1">
      <alignment horizontal="left"/>
    </xf>
    <xf numFmtId="49" fontId="13" fillId="0" borderId="0" xfId="15" applyNumberFormat="1" applyFont="1" applyAlignment="1">
      <alignment horizontal="left"/>
    </xf>
    <xf numFmtId="4" fontId="13" fillId="0" borderId="16" xfId="0" applyNumberFormat="1" applyFont="1" applyBorder="1" applyAlignment="1">
      <alignment horizontal="left" vertical="top" wrapText="1"/>
    </xf>
    <xf numFmtId="4" fontId="13" fillId="0" borderId="0" xfId="0" applyNumberFormat="1" applyFont="1" applyAlignment="1">
      <alignment horizontal="left" vertical="top" wrapText="1"/>
    </xf>
    <xf numFmtId="165" fontId="13" fillId="0" borderId="21" xfId="16" applyNumberFormat="1" applyFont="1" applyFill="1" applyBorder="1" applyAlignment="1" applyProtection="1">
      <alignment horizontal="center" vertical="center" wrapText="1"/>
      <protection locked="0"/>
    </xf>
    <xf numFmtId="165" fontId="13" fillId="0" borderId="12" xfId="16" applyNumberFormat="1" applyFont="1" applyFill="1" applyBorder="1" applyAlignment="1" applyProtection="1">
      <alignment horizontal="center" vertical="center" wrapText="1"/>
      <protection locked="0"/>
    </xf>
    <xf numFmtId="0" fontId="22" fillId="0" borderId="16" xfId="0" applyFont="1" applyBorder="1" applyAlignment="1">
      <alignment horizontal="left" vertical="top" wrapText="1"/>
    </xf>
    <xf numFmtId="0" fontId="22" fillId="0" borderId="0" xfId="0" applyFont="1" applyAlignment="1">
      <alignment horizontal="left" vertical="top" wrapText="1"/>
    </xf>
    <xf numFmtId="0" fontId="22" fillId="0" borderId="17" xfId="0" applyFont="1" applyBorder="1" applyAlignment="1">
      <alignment horizontal="left" vertical="top" wrapText="1"/>
    </xf>
    <xf numFmtId="0" fontId="9" fillId="0" borderId="14" xfId="0" applyFont="1" applyBorder="1" applyAlignment="1" applyProtection="1">
      <alignment horizontal="left"/>
      <protection locked="0"/>
    </xf>
    <xf numFmtId="0" fontId="9" fillId="0" borderId="15" xfId="0" applyFont="1" applyBorder="1" applyAlignment="1" applyProtection="1">
      <alignment horizontal="left"/>
      <protection locked="0"/>
    </xf>
    <xf numFmtId="165" fontId="1" fillId="0" borderId="37" xfId="2" applyNumberFormat="1" applyFont="1" applyBorder="1" applyAlignment="1">
      <alignment horizontal="right" indent="1"/>
    </xf>
    <xf numFmtId="165" fontId="1" fillId="0" borderId="4" xfId="2" applyNumberFormat="1" applyFont="1" applyBorder="1" applyAlignment="1">
      <alignment horizontal="right" indent="1"/>
    </xf>
    <xf numFmtId="170" fontId="1" fillId="0" borderId="0" xfId="2" applyNumberFormat="1" applyFont="1" applyBorder="1"/>
    <xf numFmtId="3" fontId="1" fillId="3" borderId="0" xfId="2" applyNumberFormat="1" applyFont="1" applyFill="1" applyBorder="1" applyAlignment="1">
      <alignment horizontal="right" indent="2"/>
    </xf>
    <xf numFmtId="3" fontId="1" fillId="0" borderId="0" xfId="2" applyNumberFormat="1" applyFont="1" applyBorder="1" applyAlignment="1">
      <alignment horizontal="right" indent="2"/>
    </xf>
    <xf numFmtId="49" fontId="13" fillId="0" borderId="36" xfId="15" quotePrefix="1" applyNumberFormat="1" applyFont="1" applyBorder="1" applyAlignment="1"/>
    <xf numFmtId="49" fontId="13" fillId="0" borderId="0" xfId="15" quotePrefix="1" applyNumberFormat="1" applyFont="1" applyAlignment="1"/>
    <xf numFmtId="49" fontId="13" fillId="0" borderId="36" xfId="15" applyNumberFormat="1" applyFont="1" applyBorder="1" applyAlignment="1"/>
    <xf numFmtId="49" fontId="13" fillId="0" borderId="0" xfId="15" applyNumberFormat="1" applyFont="1" applyAlignment="1"/>
    <xf numFmtId="49" fontId="9" fillId="0" borderId="36" xfId="15" applyNumberFormat="1" applyFont="1" applyBorder="1" applyAlignment="1"/>
    <xf numFmtId="49" fontId="9" fillId="0" borderId="0" xfId="15" applyNumberFormat="1" applyFont="1" applyAlignment="1"/>
  </cellXfs>
  <cellStyles count="25">
    <cellStyle name="Lien hypertexte" xfId="6" builtinId="8"/>
    <cellStyle name="Lien hypertexte 2" xfId="17" xr:uid="{00000000-0005-0000-0000-000001000000}"/>
    <cellStyle name="Lien hypertexte 3" xfId="21" xr:uid="{00000000-0005-0000-0000-000002000000}"/>
    <cellStyle name="Milliers" xfId="2" builtinId="3"/>
    <cellStyle name="Milliers 2" xfId="10" xr:uid="{00000000-0005-0000-0000-000004000000}"/>
    <cellStyle name="Milliers 2 2" xfId="19" xr:uid="{00000000-0005-0000-0000-000005000000}"/>
    <cellStyle name="Milliers 2 3" xfId="23" xr:uid="{00000000-0005-0000-0000-000006000000}"/>
    <cellStyle name="Milliers 3" xfId="16" xr:uid="{00000000-0005-0000-0000-000007000000}"/>
    <cellStyle name="Milliers 3 2" xfId="20" xr:uid="{00000000-0005-0000-0000-000008000000}"/>
    <cellStyle name="Milliers 3 3" xfId="24" xr:uid="{00000000-0005-0000-0000-000009000000}"/>
    <cellStyle name="Milliers 4" xfId="18" xr:uid="{00000000-0005-0000-0000-00000A000000}"/>
    <cellStyle name="Milliers 5" xfId="22" xr:uid="{00000000-0005-0000-0000-00000B000000}"/>
    <cellStyle name="NiveauLigne_1" xfId="1" builtinId="1" iLevel="0"/>
    <cellStyle name="Normal" xfId="0" builtinId="0"/>
    <cellStyle name="Normal 2" xfId="4" xr:uid="{00000000-0005-0000-0000-00000E000000}"/>
    <cellStyle name="Normal 2 3 2" xfId="15" xr:uid="{00000000-0005-0000-0000-00000F000000}"/>
    <cellStyle name="Normal 3" xfId="13" xr:uid="{00000000-0005-0000-0000-000010000000}"/>
    <cellStyle name="Normal 4" xfId="7" xr:uid="{00000000-0005-0000-0000-000011000000}"/>
    <cellStyle name="Normal 5" xfId="11" xr:uid="{00000000-0005-0000-0000-000012000000}"/>
    <cellStyle name="Normal 8" xfId="9" xr:uid="{00000000-0005-0000-0000-000013000000}"/>
    <cellStyle name="Normal_SODERA - PERSONNEL - Cohérence du taux de charges sociales 30.11.2005" xfId="14" xr:uid="{00000000-0005-0000-0000-000014000000}"/>
    <cellStyle name="Pourcentage" xfId="3" builtinId="5"/>
    <cellStyle name="Pourcentage 2" xfId="12" xr:uid="{00000000-0005-0000-0000-000016000000}"/>
    <cellStyle name="Pourcentage 3" xfId="8" xr:uid="{00000000-0005-0000-0000-000017000000}"/>
    <cellStyle name="Texte de fond" xfId="5" xr:uid="{00000000-0005-0000-0000-000018000000}"/>
  </cellStyles>
  <dxfs count="0"/>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10</xdr:col>
      <xdr:colOff>0</xdr:colOff>
      <xdr:row>29</xdr:row>
      <xdr:rowOff>72231</xdr:rowOff>
    </xdr:from>
    <xdr:to>
      <xdr:col>10</xdr:col>
      <xdr:colOff>1133</xdr:colOff>
      <xdr:row>36</xdr:row>
      <xdr:rowOff>45357</xdr:rowOff>
    </xdr:to>
    <xdr:cxnSp macro="">
      <xdr:nvCxnSpPr>
        <xdr:cNvPr id="4" name="Connecteur droit 3">
          <a:extLst>
            <a:ext uri="{FF2B5EF4-FFF2-40B4-BE49-F238E27FC236}">
              <a16:creationId xmlns:a16="http://schemas.microsoft.com/office/drawing/2014/main" id="{00000000-0008-0000-0100-000004000000}"/>
            </a:ext>
          </a:extLst>
        </xdr:cNvPr>
        <xdr:cNvCxnSpPr/>
      </xdr:nvCxnSpPr>
      <xdr:spPr>
        <a:xfrm flipV="1">
          <a:off x="10849429" y="7982517"/>
          <a:ext cx="1133" cy="130662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321468</xdr:colOff>
      <xdr:row>29</xdr:row>
      <xdr:rowOff>64294</xdr:rowOff>
    </xdr:from>
    <xdr:to>
      <xdr:col>9</xdr:col>
      <xdr:colOff>642937</xdr:colOff>
      <xdr:row>29</xdr:row>
      <xdr:rowOff>64294</xdr:rowOff>
    </xdr:to>
    <xdr:cxnSp macro="">
      <xdr:nvCxnSpPr>
        <xdr:cNvPr id="5" name="Connecteur droit avec flèche 4">
          <a:extLst>
            <a:ext uri="{FF2B5EF4-FFF2-40B4-BE49-F238E27FC236}">
              <a16:creationId xmlns:a16="http://schemas.microsoft.com/office/drawing/2014/main" id="{00000000-0008-0000-0100-000005000000}"/>
            </a:ext>
          </a:extLst>
        </xdr:cNvPr>
        <xdr:cNvCxnSpPr/>
      </xdr:nvCxnSpPr>
      <xdr:spPr>
        <a:xfrm flipH="1">
          <a:off x="4245768" y="7979569"/>
          <a:ext cx="1302544"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699611</xdr:colOff>
      <xdr:row>35</xdr:row>
      <xdr:rowOff>5239</xdr:rowOff>
    </xdr:from>
    <xdr:to>
      <xdr:col>5</xdr:col>
      <xdr:colOff>699611</xdr:colOff>
      <xdr:row>36</xdr:row>
      <xdr:rowOff>52866</xdr:rowOff>
    </xdr:to>
    <xdr:cxnSp macro="">
      <xdr:nvCxnSpPr>
        <xdr:cNvPr id="6" name="Connecteur droit avec flèche 5">
          <a:extLst>
            <a:ext uri="{FF2B5EF4-FFF2-40B4-BE49-F238E27FC236}">
              <a16:creationId xmlns:a16="http://schemas.microsoft.com/office/drawing/2014/main" id="{00000000-0008-0000-0100-000006000000}"/>
            </a:ext>
          </a:extLst>
        </xdr:cNvPr>
        <xdr:cNvCxnSpPr/>
      </xdr:nvCxnSpPr>
      <xdr:spPr>
        <a:xfrm flipV="1">
          <a:off x="7130891" y="8890159"/>
          <a:ext cx="0" cy="2305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701040</xdr:colOff>
      <xdr:row>36</xdr:row>
      <xdr:rowOff>35718</xdr:rowOff>
    </xdr:from>
    <xdr:to>
      <xdr:col>9</xdr:col>
      <xdr:colOff>635794</xdr:colOff>
      <xdr:row>36</xdr:row>
      <xdr:rowOff>45720</xdr:rowOff>
    </xdr:to>
    <xdr:cxnSp macro="">
      <xdr:nvCxnSpPr>
        <xdr:cNvPr id="7" name="Connecteur droit 6">
          <a:extLst>
            <a:ext uri="{FF2B5EF4-FFF2-40B4-BE49-F238E27FC236}">
              <a16:creationId xmlns:a16="http://schemas.microsoft.com/office/drawing/2014/main" id="{00000000-0008-0000-0100-000007000000}"/>
            </a:ext>
          </a:extLst>
        </xdr:cNvPr>
        <xdr:cNvCxnSpPr/>
      </xdr:nvCxnSpPr>
      <xdr:spPr>
        <a:xfrm flipV="1">
          <a:off x="7132320" y="9103518"/>
          <a:ext cx="3958114" cy="1000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29</xdr:row>
      <xdr:rowOff>72231</xdr:rowOff>
    </xdr:from>
    <xdr:to>
      <xdr:col>10</xdr:col>
      <xdr:colOff>1133</xdr:colOff>
      <xdr:row>36</xdr:row>
      <xdr:rowOff>18143</xdr:rowOff>
    </xdr:to>
    <xdr:cxnSp macro="">
      <xdr:nvCxnSpPr>
        <xdr:cNvPr id="11" name="Connecteur droit 10">
          <a:extLst>
            <a:ext uri="{FF2B5EF4-FFF2-40B4-BE49-F238E27FC236}">
              <a16:creationId xmlns:a16="http://schemas.microsoft.com/office/drawing/2014/main" id="{00000000-0008-0000-0100-00000B000000}"/>
            </a:ext>
          </a:extLst>
        </xdr:cNvPr>
        <xdr:cNvCxnSpPr/>
      </xdr:nvCxnSpPr>
      <xdr:spPr>
        <a:xfrm flipV="1">
          <a:off x="10849429" y="7982517"/>
          <a:ext cx="1133" cy="12794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321468</xdr:colOff>
      <xdr:row>29</xdr:row>
      <xdr:rowOff>64294</xdr:rowOff>
    </xdr:from>
    <xdr:to>
      <xdr:col>9</xdr:col>
      <xdr:colOff>642937</xdr:colOff>
      <xdr:row>29</xdr:row>
      <xdr:rowOff>64294</xdr:rowOff>
    </xdr:to>
    <xdr:cxnSp macro="">
      <xdr:nvCxnSpPr>
        <xdr:cNvPr id="12" name="Connecteur droit avec flèche 11">
          <a:extLst>
            <a:ext uri="{FF2B5EF4-FFF2-40B4-BE49-F238E27FC236}">
              <a16:creationId xmlns:a16="http://schemas.microsoft.com/office/drawing/2014/main" id="{00000000-0008-0000-0100-00000C000000}"/>
            </a:ext>
          </a:extLst>
        </xdr:cNvPr>
        <xdr:cNvCxnSpPr/>
      </xdr:nvCxnSpPr>
      <xdr:spPr>
        <a:xfrm flipH="1">
          <a:off x="9703593" y="7979569"/>
          <a:ext cx="1302544"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699611</xdr:colOff>
      <xdr:row>35</xdr:row>
      <xdr:rowOff>5239</xdr:rowOff>
    </xdr:from>
    <xdr:to>
      <xdr:col>5</xdr:col>
      <xdr:colOff>699611</xdr:colOff>
      <xdr:row>36</xdr:row>
      <xdr:rowOff>52866</xdr:rowOff>
    </xdr:to>
    <xdr:cxnSp macro="">
      <xdr:nvCxnSpPr>
        <xdr:cNvPr id="13" name="Connecteur droit avec flèche 12">
          <a:extLst>
            <a:ext uri="{FF2B5EF4-FFF2-40B4-BE49-F238E27FC236}">
              <a16:creationId xmlns:a16="http://schemas.microsoft.com/office/drawing/2014/main" id="{00000000-0008-0000-0100-00000D000000}"/>
            </a:ext>
          </a:extLst>
        </xdr:cNvPr>
        <xdr:cNvCxnSpPr/>
      </xdr:nvCxnSpPr>
      <xdr:spPr>
        <a:xfrm flipV="1">
          <a:off x="7138511" y="9063514"/>
          <a:ext cx="0" cy="23812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701040</xdr:colOff>
      <xdr:row>36</xdr:row>
      <xdr:rowOff>35718</xdr:rowOff>
    </xdr:from>
    <xdr:to>
      <xdr:col>9</xdr:col>
      <xdr:colOff>635794</xdr:colOff>
      <xdr:row>36</xdr:row>
      <xdr:rowOff>45720</xdr:rowOff>
    </xdr:to>
    <xdr:cxnSp macro="">
      <xdr:nvCxnSpPr>
        <xdr:cNvPr id="14" name="Connecteur droit 13">
          <a:extLst>
            <a:ext uri="{FF2B5EF4-FFF2-40B4-BE49-F238E27FC236}">
              <a16:creationId xmlns:a16="http://schemas.microsoft.com/office/drawing/2014/main" id="{00000000-0008-0000-0100-00000E000000}"/>
            </a:ext>
          </a:extLst>
        </xdr:cNvPr>
        <xdr:cNvCxnSpPr/>
      </xdr:nvCxnSpPr>
      <xdr:spPr>
        <a:xfrm flipV="1">
          <a:off x="7139940" y="9284493"/>
          <a:ext cx="3859054" cy="1000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885827</xdr:colOff>
      <xdr:row>46</xdr:row>
      <xdr:rowOff>9527</xdr:rowOff>
    </xdr:from>
    <xdr:to>
      <xdr:col>5</xdr:col>
      <xdr:colOff>447676</xdr:colOff>
      <xdr:row>57</xdr:row>
      <xdr:rowOff>171451</xdr:rowOff>
    </xdr:to>
    <xdr:cxnSp macro="">
      <xdr:nvCxnSpPr>
        <xdr:cNvPr id="4" name="Connecteur en arc 3">
          <a:extLst>
            <a:ext uri="{FF2B5EF4-FFF2-40B4-BE49-F238E27FC236}">
              <a16:creationId xmlns:a16="http://schemas.microsoft.com/office/drawing/2014/main" id="{00000000-0008-0000-0200-000004000000}"/>
            </a:ext>
          </a:extLst>
        </xdr:cNvPr>
        <xdr:cNvCxnSpPr/>
      </xdr:nvCxnSpPr>
      <xdr:spPr>
        <a:xfrm rot="5400000" flipH="1" flipV="1">
          <a:off x="2481265" y="13368339"/>
          <a:ext cx="2257424" cy="1523999"/>
        </a:xfrm>
        <a:prstGeom prst="curvedConnector3">
          <a:avLst>
            <a:gd name="adj1" fmla="val 50000"/>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371475</xdr:colOff>
          <xdr:row>10</xdr:row>
          <xdr:rowOff>1085850</xdr:rowOff>
        </xdr:from>
        <xdr:to>
          <xdr:col>0</xdr:col>
          <xdr:colOff>1323975</xdr:colOff>
          <xdr:row>10</xdr:row>
          <xdr:rowOff>1790700</xdr:rowOff>
        </xdr:to>
        <xdr:sp macro="" textlink="">
          <xdr:nvSpPr>
            <xdr:cNvPr id="12291" name="Objet 3" hidden="1">
              <a:extLst>
                <a:ext uri="{63B3BB69-23CF-44E3-9099-C40C66FF867C}">
                  <a14:compatExt spid="_x0000_s12291"/>
                </a:ext>
                <a:ext uri="{FF2B5EF4-FFF2-40B4-BE49-F238E27FC236}">
                  <a16:creationId xmlns:a16="http://schemas.microsoft.com/office/drawing/2014/main" id="{00000000-0008-0000-0800-000003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vdclyo\Collaborateurs\CHA\CAC%20-%20Dossier%20annuel%20201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firex1.sharepoint.com/sites/fdg-group/Documents%20partages/2016/Mill&#233;sime%202016%20-%20Social/Dossier%20Annuel/Dossier%20Annuel%20GROUPE/2016_FDG_GROUP_P_Personnel%20(GROUP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de Garde"/>
      <sheetName val="Dossier Annuel"/>
      <sheetName val="Programme de travail"/>
      <sheetName val="Seuils de signification"/>
      <sheetName val="Quest Lutte contre blanchiment"/>
      <sheetName val="Quest Maintien mission"/>
      <sheetName val="Quest Fin de mission"/>
      <sheetName val="Quest Evènements post."/>
      <sheetName val="Quest Continuité exploi"/>
      <sheetName val="Quest Fraudes"/>
      <sheetName val="Quest Text légaux"/>
      <sheetName val="Quest Expert compt."/>
      <sheetName val="Quest Dirigeant"/>
      <sheetName val="Prépa. Décalration act."/>
      <sheetName val="Contrôle Annexe"/>
      <sheetName val="Contrôle Juridique (SAS)"/>
      <sheetName val="Contrôle Juridique (SA)"/>
      <sheetName val="Synthèse des ajustements"/>
      <sheetName val="B synth"/>
      <sheetName val="b10 quest"/>
      <sheetName val="B20"/>
      <sheetName val="B30"/>
      <sheetName val="B 40"/>
      <sheetName val="B 50"/>
      <sheetName val="B 60"/>
      <sheetName val="C synth"/>
      <sheetName val="C 10"/>
      <sheetName val="C 20"/>
      <sheetName val="D synth"/>
      <sheetName val="D.10 quest"/>
      <sheetName val="D15"/>
      <sheetName val="D 20"/>
      <sheetName val="D 30"/>
      <sheetName val="D 40"/>
      <sheetName val="D 50 "/>
      <sheetName val="D 55"/>
      <sheetName val="D60"/>
      <sheetName val="E synthèse"/>
      <sheetName val="E10 quest"/>
      <sheetName val="E 20"/>
      <sheetName val="E 30"/>
      <sheetName val="E 35"/>
      <sheetName val="E 40"/>
      <sheetName val="E 50"/>
      <sheetName val="E 60"/>
      <sheetName val="E 70"/>
      <sheetName val="E 75"/>
      <sheetName val="E80"/>
      <sheetName val="E85"/>
      <sheetName val="E 90"/>
      <sheetName val="F synthèse"/>
      <sheetName val="F10 quest"/>
      <sheetName val="F 20"/>
      <sheetName val="F 30"/>
      <sheetName val="F 40"/>
      <sheetName val="F50"/>
      <sheetName val="F60"/>
      <sheetName val="G synthèse"/>
      <sheetName val="H synthèse"/>
      <sheetName val="H10 quest"/>
      <sheetName val=" J synthèse"/>
      <sheetName val="K synthèse"/>
      <sheetName val="K 10"/>
      <sheetName val="L synthèse"/>
      <sheetName val="M synthèse"/>
      <sheetName val="M.10 quest"/>
      <sheetName val="M 20"/>
      <sheetName val="M 30"/>
      <sheetName val="M 35"/>
      <sheetName val="M 40"/>
      <sheetName val="M 50"/>
      <sheetName val="M 60"/>
      <sheetName val="M 65"/>
      <sheetName val="M70"/>
      <sheetName val="M75"/>
      <sheetName val="N synthèse"/>
      <sheetName val="N.10 quest"/>
      <sheetName val="N 01"/>
      <sheetName val="N 20"/>
      <sheetName val="N 30"/>
      <sheetName val="N 40"/>
      <sheetName val="N 50"/>
      <sheetName val="N 60"/>
      <sheetName val="P synth"/>
      <sheetName val="P10 quest"/>
      <sheetName val="P 20"/>
      <sheetName val="P 301"/>
      <sheetName val="P 302"/>
      <sheetName val="P 40"/>
      <sheetName val="P 50"/>
      <sheetName val="P 55"/>
      <sheetName val="P 60"/>
      <sheetName val="P 70"/>
      <sheetName val="P 80"/>
      <sheetName val="S synth"/>
      <sheetName val="T synth"/>
      <sheetName val="Tableau pour NDS"/>
      <sheetName val="BILAN ACTIF"/>
      <sheetName val="BILAN PASSIF"/>
      <sheetName val="SI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ynthèse"/>
      <sheetName val="P0"/>
      <sheetName val="P.10 quest"/>
      <sheetName val="P 01"/>
      <sheetName val="P02 Salariés 2016"/>
      <sheetName val="P03 Effectif 2016"/>
      <sheetName val="P 20"/>
      <sheetName val="P 30"/>
      <sheetName val="P 40"/>
      <sheetName val="P41"/>
      <sheetName val="P42"/>
      <sheetName val="P 50"/>
      <sheetName val="P51"/>
      <sheetName val="P51-1"/>
      <sheetName val="P51-2"/>
      <sheetName val="P52 Participation Avant réint."/>
      <sheetName val="P52 Participation Après réint."/>
      <sheetName val="P 60"/>
      <sheetName val="P61- avant ajust"/>
      <sheetName val="P62- après ajust"/>
      <sheetName val="P70 CICE"/>
      <sheetName val="Tableau pour NDS"/>
      <sheetName val="BILAN ACTIF"/>
      <sheetName val="BILAN PASSIF"/>
      <sheetName val="SIG"/>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9.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W34"/>
  <sheetViews>
    <sheetView showGridLines="0" topLeftCell="A17" zoomScale="90" zoomScaleNormal="90" workbookViewId="0">
      <selection activeCell="A35" sqref="A35"/>
    </sheetView>
  </sheetViews>
  <sheetFormatPr defaultColWidth="11.42578125" defaultRowHeight="15.75"/>
  <cols>
    <col min="1" max="12" width="14.7109375" style="8" customWidth="1"/>
    <col min="13" max="13" width="23.28515625" style="8" customWidth="1"/>
    <col min="14" max="15" width="14.7109375" style="8" customWidth="1"/>
    <col min="16" max="16" width="11.42578125" style="8"/>
    <col min="17" max="17" width="11.42578125" style="8" hidden="1" customWidth="1"/>
    <col min="18" max="16384" width="11.42578125" style="8"/>
  </cols>
  <sheetData>
    <row r="1" spans="1:23" s="2" customFormat="1" ht="15" customHeight="1">
      <c r="A1" s="11"/>
      <c r="B1" s="12"/>
      <c r="C1" s="12"/>
      <c r="D1" s="1" t="s">
        <v>0</v>
      </c>
      <c r="E1" s="439"/>
      <c r="F1" s="439"/>
      <c r="G1" s="439"/>
      <c r="H1" s="439"/>
      <c r="I1" s="439"/>
      <c r="J1" s="439"/>
      <c r="K1" s="439"/>
      <c r="L1" s="439"/>
      <c r="M1" s="440"/>
      <c r="N1" s="12"/>
      <c r="O1" s="13"/>
      <c r="Q1" s="29" t="s">
        <v>1</v>
      </c>
    </row>
    <row r="2" spans="1:23" s="2" customFormat="1" ht="15" customHeight="1" thickBot="1">
      <c r="A2" s="14"/>
      <c r="B2" s="15"/>
      <c r="C2" s="15"/>
      <c r="D2" s="441"/>
      <c r="E2" s="442"/>
      <c r="F2" s="442"/>
      <c r="G2" s="442"/>
      <c r="H2" s="442"/>
      <c r="I2" s="442"/>
      <c r="J2" s="442"/>
      <c r="K2" s="442"/>
      <c r="L2" s="442"/>
      <c r="M2" s="443"/>
      <c r="N2" s="15"/>
      <c r="O2" s="16"/>
      <c r="Q2" s="29" t="s">
        <v>2</v>
      </c>
    </row>
    <row r="3" spans="1:23" ht="15" customHeight="1">
      <c r="A3" s="468" t="s">
        <v>3</v>
      </c>
      <c r="B3" s="469"/>
      <c r="C3" s="469"/>
      <c r="D3" s="469"/>
      <c r="E3" s="469"/>
      <c r="F3" s="469"/>
      <c r="G3" s="469"/>
      <c r="H3" s="469"/>
      <c r="I3" s="469"/>
      <c r="J3" s="469"/>
      <c r="K3" s="469"/>
      <c r="L3" s="469"/>
      <c r="M3" s="469"/>
      <c r="N3" s="469"/>
      <c r="O3" s="470"/>
      <c r="Q3" s="30"/>
      <c r="T3" s="4"/>
      <c r="V3" s="6"/>
      <c r="W3" s="7"/>
    </row>
    <row r="4" spans="1:23" ht="15" customHeight="1">
      <c r="A4" s="468"/>
      <c r="B4" s="469"/>
      <c r="C4" s="469"/>
      <c r="D4" s="469"/>
      <c r="E4" s="469"/>
      <c r="F4" s="469"/>
      <c r="G4" s="469"/>
      <c r="H4" s="469"/>
      <c r="I4" s="469"/>
      <c r="J4" s="469"/>
      <c r="K4" s="469"/>
      <c r="L4" s="469"/>
      <c r="M4" s="469"/>
      <c r="N4" s="469"/>
      <c r="O4" s="470"/>
      <c r="Q4" s="29" t="s">
        <v>4</v>
      </c>
      <c r="R4" s="3"/>
      <c r="T4" s="4"/>
      <c r="V4" s="6"/>
      <c r="W4" s="7"/>
    </row>
    <row r="5" spans="1:23" ht="15" customHeight="1" thickBot="1">
      <c r="A5" s="471"/>
      <c r="B5" s="472"/>
      <c r="C5" s="472"/>
      <c r="D5" s="472"/>
      <c r="E5" s="472"/>
      <c r="F5" s="472"/>
      <c r="G5" s="472"/>
      <c r="H5" s="472"/>
      <c r="I5" s="472"/>
      <c r="J5" s="472"/>
      <c r="K5" s="472"/>
      <c r="L5" s="472"/>
      <c r="M5" s="472"/>
      <c r="N5" s="472"/>
      <c r="O5" s="473"/>
      <c r="Q5" s="29" t="s">
        <v>5</v>
      </c>
      <c r="S5" s="9"/>
      <c r="T5" s="5"/>
      <c r="U5" s="25"/>
      <c r="V5" s="25"/>
      <c r="W5" s="25"/>
    </row>
    <row r="6" spans="1:23" ht="15" customHeight="1">
      <c r="A6" s="18" t="s">
        <v>6</v>
      </c>
      <c r="B6" s="192" t="s">
        <v>7</v>
      </c>
      <c r="C6" s="18" t="s">
        <v>8</v>
      </c>
      <c r="D6" s="192"/>
      <c r="E6" s="489" t="s">
        <v>9</v>
      </c>
      <c r="F6" s="490"/>
      <c r="G6" s="490"/>
      <c r="H6" s="490"/>
      <c r="I6" s="490"/>
      <c r="J6" s="490"/>
      <c r="K6" s="490"/>
      <c r="L6" s="491"/>
      <c r="M6" s="428" t="s">
        <v>10</v>
      </c>
      <c r="N6" s="478" t="s">
        <v>11</v>
      </c>
      <c r="O6" s="479"/>
      <c r="Q6" s="30" t="s">
        <v>12</v>
      </c>
      <c r="R6" s="10"/>
      <c r="T6" s="2"/>
      <c r="U6" s="2"/>
    </row>
    <row r="7" spans="1:23" ht="15" customHeight="1" thickBot="1">
      <c r="A7" s="19" t="s">
        <v>13</v>
      </c>
      <c r="B7" s="184"/>
      <c r="C7" s="19" t="s">
        <v>13</v>
      </c>
      <c r="D7" s="184"/>
      <c r="E7" s="492"/>
      <c r="F7" s="493"/>
      <c r="G7" s="493"/>
      <c r="H7" s="493"/>
      <c r="I7" s="493"/>
      <c r="J7" s="493"/>
      <c r="K7" s="493"/>
      <c r="L7" s="494"/>
      <c r="M7" s="429" t="s">
        <v>14</v>
      </c>
      <c r="N7" s="480" t="s">
        <v>15</v>
      </c>
      <c r="O7" s="481"/>
      <c r="Q7" s="29" t="s">
        <v>16</v>
      </c>
    </row>
    <row r="8" spans="1:23" ht="21" customHeight="1" thickBot="1">
      <c r="A8" s="20"/>
      <c r="B8" s="17"/>
      <c r="C8" s="21"/>
      <c r="D8" s="21"/>
      <c r="E8" s="22"/>
      <c r="F8" s="22"/>
      <c r="G8" s="22"/>
      <c r="H8" s="22"/>
      <c r="I8" s="22"/>
      <c r="J8" s="22"/>
      <c r="K8" s="22"/>
      <c r="L8" s="22"/>
      <c r="M8" s="23"/>
      <c r="N8" s="24"/>
      <c r="O8" s="24"/>
      <c r="Q8" s="29" t="s">
        <v>17</v>
      </c>
    </row>
    <row r="9" spans="1:23" s="21" customFormat="1" ht="31.5" customHeight="1" thickBot="1">
      <c r="A9" s="482" t="s">
        <v>18</v>
      </c>
      <c r="B9" s="483"/>
      <c r="C9" s="483"/>
      <c r="D9" s="325" t="s">
        <v>4</v>
      </c>
      <c r="E9" s="326"/>
      <c r="F9" s="474" t="s">
        <v>19</v>
      </c>
      <c r="G9" s="475"/>
      <c r="H9" s="475"/>
      <c r="I9" s="475"/>
      <c r="J9" s="327"/>
      <c r="K9" s="328"/>
      <c r="L9" s="474" t="s">
        <v>20</v>
      </c>
      <c r="M9" s="475"/>
      <c r="N9" s="325" t="s">
        <v>16</v>
      </c>
      <c r="O9" s="326"/>
      <c r="Q9" s="30" t="s">
        <v>21</v>
      </c>
    </row>
    <row r="10" spans="1:23" s="28" customFormat="1" ht="21" customHeight="1" thickBot="1">
      <c r="A10" s="26"/>
      <c r="B10" s="26"/>
      <c r="C10" s="26"/>
      <c r="D10" s="26"/>
      <c r="E10" s="26"/>
      <c r="F10" s="26"/>
      <c r="G10" s="26"/>
      <c r="H10" s="26"/>
      <c r="I10" s="26"/>
      <c r="J10" s="26"/>
      <c r="K10" s="26"/>
      <c r="L10" s="26"/>
      <c r="M10" s="26"/>
      <c r="N10" s="26"/>
      <c r="O10" s="26"/>
    </row>
    <row r="11" spans="1:23" ht="15" customHeight="1" thickBot="1">
      <c r="A11" s="484" t="s">
        <v>22</v>
      </c>
      <c r="B11" s="485"/>
      <c r="C11" s="488" t="s">
        <v>23</v>
      </c>
      <c r="D11" s="475"/>
      <c r="E11" s="475"/>
      <c r="F11" s="475"/>
      <c r="G11" s="475"/>
      <c r="H11" s="475"/>
      <c r="I11" s="475"/>
      <c r="J11" s="475"/>
      <c r="K11" s="475"/>
      <c r="L11" s="475"/>
      <c r="M11" s="424" t="s">
        <v>24</v>
      </c>
      <c r="N11" s="486" t="s">
        <v>25</v>
      </c>
      <c r="O11" s="487"/>
    </row>
    <row r="12" spans="1:23" s="2" customFormat="1" ht="15" customHeight="1">
      <c r="A12" s="476" t="s">
        <v>26</v>
      </c>
      <c r="B12" s="477"/>
      <c r="C12" s="330" t="s">
        <v>27</v>
      </c>
      <c r="D12" s="331"/>
      <c r="E12" s="331"/>
      <c r="F12" s="331"/>
      <c r="G12" s="331"/>
      <c r="H12" s="331"/>
      <c r="I12" s="331"/>
      <c r="J12" s="331"/>
      <c r="K12" s="331"/>
      <c r="L12" s="331"/>
      <c r="M12" s="425" t="s">
        <v>1</v>
      </c>
      <c r="N12" s="495" t="s">
        <v>28</v>
      </c>
      <c r="O12" s="496"/>
      <c r="P12" s="333"/>
      <c r="Q12" s="8"/>
      <c r="R12" s="8"/>
      <c r="S12" s="21"/>
    </row>
    <row r="13" spans="1:23" s="2" customFormat="1" ht="15" customHeight="1">
      <c r="A13" s="456" t="s">
        <v>29</v>
      </c>
      <c r="B13" s="457"/>
      <c r="C13" s="329" t="s">
        <v>30</v>
      </c>
      <c r="D13" s="329"/>
      <c r="E13" s="329"/>
      <c r="F13" s="329"/>
      <c r="G13" s="329"/>
      <c r="H13" s="329"/>
      <c r="I13" s="329"/>
      <c r="J13" s="329"/>
      <c r="K13" s="329"/>
      <c r="L13" s="329"/>
      <c r="M13" s="426" t="s">
        <v>1</v>
      </c>
      <c r="N13" s="458"/>
      <c r="O13" s="459"/>
      <c r="P13" s="334"/>
      <c r="S13" s="28"/>
    </row>
    <row r="14" spans="1:23" s="2" customFormat="1" ht="15" customHeight="1">
      <c r="A14" s="456" t="s">
        <v>31</v>
      </c>
      <c r="B14" s="457"/>
      <c r="C14" s="329" t="s">
        <v>32</v>
      </c>
      <c r="D14" s="329"/>
      <c r="E14" s="329"/>
      <c r="F14" s="329"/>
      <c r="G14" s="329"/>
      <c r="H14" s="329"/>
      <c r="I14" s="329"/>
      <c r="J14" s="329"/>
      <c r="K14" s="329"/>
      <c r="L14" s="329"/>
      <c r="M14" s="426" t="s">
        <v>1</v>
      </c>
      <c r="N14" s="458" t="s">
        <v>33</v>
      </c>
      <c r="O14" s="459"/>
      <c r="P14" s="335"/>
      <c r="S14" s="8"/>
    </row>
    <row r="15" spans="1:23" s="2" customFormat="1" ht="15" customHeight="1">
      <c r="A15" s="456" t="s">
        <v>29</v>
      </c>
      <c r="B15" s="457"/>
      <c r="C15" s="329" t="s">
        <v>34</v>
      </c>
      <c r="D15" s="329"/>
      <c r="E15" s="329"/>
      <c r="F15" s="329"/>
      <c r="G15" s="329"/>
      <c r="H15" s="329"/>
      <c r="I15" s="329"/>
      <c r="J15" s="329"/>
      <c r="K15" s="329"/>
      <c r="L15" s="329"/>
      <c r="M15" s="426" t="s">
        <v>1</v>
      </c>
      <c r="N15" s="458"/>
      <c r="O15" s="459"/>
      <c r="P15" s="334"/>
    </row>
    <row r="16" spans="1:23" s="2" customFormat="1" ht="15" customHeight="1">
      <c r="A16" s="456" t="s">
        <v>29</v>
      </c>
      <c r="B16" s="457"/>
      <c r="C16" s="329" t="s">
        <v>35</v>
      </c>
      <c r="D16" s="329"/>
      <c r="E16" s="329"/>
      <c r="F16" s="329"/>
      <c r="G16" s="329"/>
      <c r="H16" s="329"/>
      <c r="I16" s="329"/>
      <c r="J16" s="329"/>
      <c r="K16" s="329"/>
      <c r="L16" s="329"/>
      <c r="M16" s="426" t="s">
        <v>1</v>
      </c>
      <c r="N16" s="466" t="s">
        <v>36</v>
      </c>
      <c r="O16" s="467"/>
      <c r="P16" s="336"/>
    </row>
    <row r="17" spans="1:15" s="2" customFormat="1" ht="15" customHeight="1">
      <c r="A17" s="456"/>
      <c r="B17" s="457"/>
      <c r="C17" s="329" t="s">
        <v>37</v>
      </c>
      <c r="D17" s="329"/>
      <c r="E17" s="329"/>
      <c r="F17" s="329"/>
      <c r="G17" s="329"/>
      <c r="H17" s="329"/>
      <c r="I17" s="329"/>
      <c r="J17" s="329"/>
      <c r="K17" s="329"/>
      <c r="L17" s="329"/>
      <c r="M17" s="426" t="s">
        <v>2</v>
      </c>
      <c r="N17" s="466" t="s">
        <v>38</v>
      </c>
      <c r="O17" s="467"/>
    </row>
    <row r="18" spans="1:15" s="2" customFormat="1" ht="15" customHeight="1">
      <c r="A18" s="456"/>
      <c r="B18" s="457"/>
      <c r="C18" s="329" t="s">
        <v>39</v>
      </c>
      <c r="D18" s="329"/>
      <c r="E18" s="329"/>
      <c r="F18" s="329"/>
      <c r="G18" s="329"/>
      <c r="H18" s="329"/>
      <c r="I18" s="329"/>
      <c r="J18" s="329"/>
      <c r="K18" s="329"/>
      <c r="L18" s="329"/>
      <c r="M18" s="426" t="s">
        <v>2</v>
      </c>
      <c r="N18" s="466" t="s">
        <v>40</v>
      </c>
      <c r="O18" s="467"/>
    </row>
    <row r="19" spans="1:15" s="2" customFormat="1" ht="15" customHeight="1">
      <c r="A19" s="456"/>
      <c r="B19" s="457"/>
      <c r="C19" s="329" t="s">
        <v>41</v>
      </c>
      <c r="D19" s="329"/>
      <c r="E19" s="329"/>
      <c r="F19" s="329"/>
      <c r="G19" s="329"/>
      <c r="H19" s="329"/>
      <c r="I19" s="329"/>
      <c r="J19" s="329"/>
      <c r="K19" s="329"/>
      <c r="L19" s="329"/>
      <c r="M19" s="426" t="s">
        <v>2</v>
      </c>
      <c r="N19" s="466" t="s">
        <v>42</v>
      </c>
      <c r="O19" s="467"/>
    </row>
    <row r="20" spans="1:15" s="2" customFormat="1" ht="15" customHeight="1">
      <c r="A20" s="456"/>
      <c r="B20" s="457"/>
      <c r="C20" s="329" t="s">
        <v>43</v>
      </c>
      <c r="D20" s="329"/>
      <c r="E20" s="329"/>
      <c r="F20" s="329"/>
      <c r="G20" s="329"/>
      <c r="H20" s="329"/>
      <c r="I20" s="329"/>
      <c r="J20" s="329"/>
      <c r="K20" s="329"/>
      <c r="L20" s="329"/>
      <c r="M20" s="426" t="s">
        <v>2</v>
      </c>
      <c r="N20" s="466" t="s">
        <v>44</v>
      </c>
      <c r="O20" s="467"/>
    </row>
    <row r="21" spans="1:15" s="2" customFormat="1" ht="15" customHeight="1" thickBot="1">
      <c r="A21" s="464"/>
      <c r="B21" s="465"/>
      <c r="C21" s="460"/>
      <c r="D21" s="460"/>
      <c r="E21" s="460"/>
      <c r="F21" s="460"/>
      <c r="G21" s="460"/>
      <c r="H21" s="460"/>
      <c r="I21" s="460"/>
      <c r="J21" s="460"/>
      <c r="K21" s="460"/>
      <c r="L21" s="460"/>
      <c r="M21" s="427"/>
      <c r="N21" s="461"/>
      <c r="O21" s="462"/>
    </row>
    <row r="22" spans="1:15" s="27" customFormat="1" ht="21" customHeight="1" thickBot="1"/>
    <row r="23" spans="1:15" s="48" customFormat="1" thickBot="1">
      <c r="A23" s="463" t="s">
        <v>45</v>
      </c>
      <c r="B23" s="612"/>
      <c r="C23" s="612"/>
      <c r="D23" s="612"/>
      <c r="E23" s="612"/>
      <c r="F23" s="612"/>
      <c r="G23" s="612"/>
      <c r="H23" s="612"/>
      <c r="I23" s="612"/>
      <c r="J23" s="612"/>
      <c r="K23" s="612"/>
      <c r="L23" s="612"/>
      <c r="M23" s="612"/>
      <c r="N23" s="612"/>
      <c r="O23" s="613"/>
    </row>
    <row r="24" spans="1:15" ht="9.9499999999999993" customHeight="1">
      <c r="A24" s="444" t="s">
        <v>46</v>
      </c>
      <c r="B24" s="445"/>
      <c r="C24" s="445"/>
      <c r="D24" s="445"/>
      <c r="E24" s="445"/>
      <c r="F24" s="445"/>
      <c r="G24" s="445"/>
      <c r="H24" s="445"/>
      <c r="I24" s="445"/>
      <c r="J24" s="445"/>
      <c r="K24" s="445"/>
      <c r="L24" s="445"/>
      <c r="M24" s="445"/>
      <c r="N24" s="445"/>
      <c r="O24" s="446"/>
    </row>
    <row r="25" spans="1:15" ht="9.9499999999999993" customHeight="1">
      <c r="A25" s="447"/>
      <c r="B25" s="448"/>
      <c r="C25" s="448"/>
      <c r="D25" s="448"/>
      <c r="E25" s="448"/>
      <c r="F25" s="448"/>
      <c r="G25" s="448"/>
      <c r="H25" s="448"/>
      <c r="I25" s="448"/>
      <c r="J25" s="448"/>
      <c r="K25" s="448"/>
      <c r="L25" s="448"/>
      <c r="M25" s="448"/>
      <c r="N25" s="448"/>
      <c r="O25" s="449"/>
    </row>
    <row r="26" spans="1:15" ht="9.9499999999999993" customHeight="1">
      <c r="A26" s="447"/>
      <c r="B26" s="448"/>
      <c r="C26" s="448"/>
      <c r="D26" s="448"/>
      <c r="E26" s="448"/>
      <c r="F26" s="448"/>
      <c r="G26" s="448"/>
      <c r="H26" s="448"/>
      <c r="I26" s="448"/>
      <c r="J26" s="448"/>
      <c r="K26" s="448"/>
      <c r="L26" s="448"/>
      <c r="M26" s="448"/>
      <c r="N26" s="448"/>
      <c r="O26" s="449"/>
    </row>
    <row r="27" spans="1:15" ht="9.9499999999999993" customHeight="1" thickBot="1">
      <c r="A27" s="450"/>
      <c r="B27" s="451"/>
      <c r="C27" s="451"/>
      <c r="D27" s="451"/>
      <c r="E27" s="451"/>
      <c r="F27" s="451"/>
      <c r="G27" s="451"/>
      <c r="H27" s="451"/>
      <c r="I27" s="451"/>
      <c r="J27" s="451"/>
      <c r="K27" s="451"/>
      <c r="L27" s="451"/>
      <c r="M27" s="451"/>
      <c r="N27" s="451"/>
      <c r="O27" s="452"/>
    </row>
    <row r="28" spans="1:15" s="27" customFormat="1" ht="21" customHeight="1" thickBot="1"/>
    <row r="29" spans="1:15" s="27" customFormat="1" thickBot="1">
      <c r="A29" s="453" t="s">
        <v>47</v>
      </c>
      <c r="B29" s="454"/>
      <c r="C29" s="454"/>
      <c r="D29" s="454"/>
      <c r="E29" s="454"/>
      <c r="F29" s="454"/>
      <c r="G29" s="454"/>
      <c r="H29" s="454"/>
      <c r="I29" s="454"/>
      <c r="J29" s="454"/>
      <c r="K29" s="454"/>
      <c r="L29" s="454"/>
      <c r="M29" s="454"/>
      <c r="N29" s="454"/>
      <c r="O29" s="455"/>
    </row>
    <row r="30" spans="1:15" ht="9.9499999999999993" customHeight="1">
      <c r="A30" s="444"/>
      <c r="B30" s="445"/>
      <c r="C30" s="445"/>
      <c r="D30" s="445"/>
      <c r="E30" s="445"/>
      <c r="F30" s="445"/>
      <c r="G30" s="445"/>
      <c r="H30" s="445"/>
      <c r="I30" s="445"/>
      <c r="J30" s="445"/>
      <c r="K30" s="445"/>
      <c r="L30" s="445"/>
      <c r="M30" s="445"/>
      <c r="N30" s="445"/>
      <c r="O30" s="446"/>
    </row>
    <row r="31" spans="1:15" ht="9.9499999999999993" customHeight="1">
      <c r="A31" s="447"/>
      <c r="B31" s="448"/>
      <c r="C31" s="448"/>
      <c r="D31" s="448"/>
      <c r="E31" s="448"/>
      <c r="F31" s="448"/>
      <c r="G31" s="448"/>
      <c r="H31" s="448"/>
      <c r="I31" s="448"/>
      <c r="J31" s="448"/>
      <c r="K31" s="448"/>
      <c r="L31" s="448"/>
      <c r="M31" s="448"/>
      <c r="N31" s="448"/>
      <c r="O31" s="449"/>
    </row>
    <row r="32" spans="1:15" ht="9.9499999999999993" customHeight="1">
      <c r="A32" s="447"/>
      <c r="B32" s="448"/>
      <c r="C32" s="448"/>
      <c r="D32" s="448"/>
      <c r="E32" s="448"/>
      <c r="F32" s="448"/>
      <c r="G32" s="448"/>
      <c r="H32" s="448"/>
      <c r="I32" s="448"/>
      <c r="J32" s="448"/>
      <c r="K32" s="448"/>
      <c r="L32" s="448"/>
      <c r="M32" s="448"/>
      <c r="N32" s="448"/>
      <c r="O32" s="449"/>
    </row>
    <row r="33" spans="1:15" ht="9.9499999999999993" customHeight="1">
      <c r="A33" s="447"/>
      <c r="B33" s="448"/>
      <c r="C33" s="448"/>
      <c r="D33" s="448"/>
      <c r="E33" s="448"/>
      <c r="F33" s="448"/>
      <c r="G33" s="448"/>
      <c r="H33" s="448"/>
      <c r="I33" s="448"/>
      <c r="J33" s="448"/>
      <c r="K33" s="448"/>
      <c r="L33" s="448"/>
      <c r="M33" s="448"/>
      <c r="N33" s="448"/>
      <c r="O33" s="449"/>
    </row>
    <row r="34" spans="1:15" ht="9.9499999999999993" customHeight="1" thickBot="1">
      <c r="A34" s="450"/>
      <c r="B34" s="451"/>
      <c r="C34" s="451"/>
      <c r="D34" s="451"/>
      <c r="E34" s="451"/>
      <c r="F34" s="451"/>
      <c r="G34" s="451"/>
      <c r="H34" s="451"/>
      <c r="I34" s="451"/>
      <c r="J34" s="451"/>
      <c r="K34" s="451"/>
      <c r="L34" s="451"/>
      <c r="M34" s="451"/>
      <c r="N34" s="451"/>
      <c r="O34" s="452"/>
    </row>
  </sheetData>
  <sheetProtection formatCells="0" formatColumns="0" formatRows="0" insertColumns="0" insertRows="0" insertHyperlinks="0" deleteColumns="0" deleteRows="0" sort="0" autoFilter="0" pivotTables="0"/>
  <mergeCells count="36">
    <mergeCell ref="A13:B13"/>
    <mergeCell ref="N16:O16"/>
    <mergeCell ref="A3:O5"/>
    <mergeCell ref="F9:I9"/>
    <mergeCell ref="A12:B12"/>
    <mergeCell ref="N6:O6"/>
    <mergeCell ref="N7:O7"/>
    <mergeCell ref="L9:M9"/>
    <mergeCell ref="A9:C9"/>
    <mergeCell ref="A11:B11"/>
    <mergeCell ref="N11:O11"/>
    <mergeCell ref="C11:L11"/>
    <mergeCell ref="E6:L7"/>
    <mergeCell ref="N12:O12"/>
    <mergeCell ref="A20:B20"/>
    <mergeCell ref="N20:O20"/>
    <mergeCell ref="N18:O18"/>
    <mergeCell ref="A17:B17"/>
    <mergeCell ref="N17:O17"/>
    <mergeCell ref="A18:B18"/>
    <mergeCell ref="D1:M2"/>
    <mergeCell ref="A30:O34"/>
    <mergeCell ref="A29:O29"/>
    <mergeCell ref="A15:B15"/>
    <mergeCell ref="A14:B14"/>
    <mergeCell ref="N14:O14"/>
    <mergeCell ref="N15:O15"/>
    <mergeCell ref="C21:L21"/>
    <mergeCell ref="A19:B19"/>
    <mergeCell ref="N21:O21"/>
    <mergeCell ref="A16:B16"/>
    <mergeCell ref="A24:O27"/>
    <mergeCell ref="N13:O13"/>
    <mergeCell ref="A23:O23"/>
    <mergeCell ref="A21:B21"/>
    <mergeCell ref="N19:O19"/>
  </mergeCells>
  <dataValidations count="3">
    <dataValidation type="list" showInputMessage="1" showErrorMessage="1" sqref="D9:E9" xr:uid="{00000000-0002-0000-0000-000000000000}">
      <formula1>RAS</formula1>
    </dataValidation>
    <dataValidation type="list" allowBlank="1" showInputMessage="1" showErrorMessage="1" sqref="N9:O9" xr:uid="{00000000-0002-0000-0000-000001000000}">
      <formula1>Diligences</formula1>
    </dataValidation>
    <dataValidation type="list" allowBlank="1" showInputMessage="1" showErrorMessage="1" sqref="M12:M21" xr:uid="{00000000-0002-0000-0000-000002000000}">
      <formula1>Etat</formula1>
    </dataValidation>
  </dataValidations>
  <hyperlinks>
    <hyperlink ref="N12:O12" location="'P100 Rappro DADS-Paie-Compta'!A1" display="P100 Rappro DADS-Paie-Compta" xr:uid="{00000000-0004-0000-0000-000000000000}"/>
    <hyperlink ref="N14:O14" location="'P300 Provision CP-RTT'!Zone_d_impression" display="P300 Provision CP-RTT" xr:uid="{00000000-0004-0000-0000-000002000000}"/>
    <hyperlink ref="N16:O16" location="'P500 RA créances - dettes socia'!A1" display="P500 RA créances - dettes socia" xr:uid="{00000000-0004-0000-0000-000004000000}"/>
    <hyperlink ref="N17:O17" location="'P710 Participation'!A1" display="P710 Participation" xr:uid="{00000000-0004-0000-0000-000006000000}"/>
    <hyperlink ref="N19:O19" location="'P800 IDR'!A1" display="P800 IDR" xr:uid="{00000000-0004-0000-0000-000007000000}"/>
    <hyperlink ref="N18:O18" location="'P720 Intéressement'!A1" display="P720 Intéressement" xr:uid="{00000000-0004-0000-0000-000008000000}"/>
    <hyperlink ref="N20:O20" location="'P910 Rému dirigeants'!A1" display="P910 Rému dirigeants" xr:uid="{00000000-0004-0000-0000-000009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U61"/>
  <sheetViews>
    <sheetView showGridLines="0" topLeftCell="A4" zoomScale="70" zoomScaleNormal="70" workbookViewId="0">
      <selection activeCell="D9" sqref="D9:E9"/>
    </sheetView>
  </sheetViews>
  <sheetFormatPr defaultColWidth="11.42578125" defaultRowHeight="15"/>
  <cols>
    <col min="1" max="1" width="9.28515625" style="27" customWidth="1"/>
    <col min="2" max="3" width="12" style="27" customWidth="1"/>
    <col min="4" max="4" width="21.7109375" style="27" customWidth="1"/>
    <col min="5" max="5" width="38.85546875" style="27" customWidth="1"/>
    <col min="6" max="9" width="14.7109375" style="27" customWidth="1"/>
    <col min="10" max="11" width="9.28515625" style="27" customWidth="1"/>
    <col min="12" max="13" width="14.7109375" style="27" customWidth="1"/>
    <col min="14" max="16" width="9.28515625" style="27" customWidth="1"/>
    <col min="17" max="16384" width="11.42578125" style="27"/>
  </cols>
  <sheetData>
    <row r="1" spans="1:21" s="32" customFormat="1" ht="15" customHeight="1">
      <c r="A1" s="11"/>
      <c r="B1" s="12"/>
      <c r="C1" s="12"/>
      <c r="D1" s="497" t="str">
        <f>'P Synthèse'!D1:M2</f>
        <v>#NomClient</v>
      </c>
      <c r="E1" s="498"/>
      <c r="F1" s="498"/>
      <c r="G1" s="498"/>
      <c r="H1" s="498"/>
      <c r="I1" s="498"/>
      <c r="J1" s="498"/>
      <c r="K1" s="498"/>
      <c r="L1" s="498"/>
      <c r="M1" s="499"/>
      <c r="N1" s="12"/>
      <c r="O1" s="12"/>
      <c r="P1" s="13"/>
    </row>
    <row r="2" spans="1:21" s="32" customFormat="1" ht="15" customHeight="1" thickBot="1">
      <c r="A2" s="14"/>
      <c r="B2" s="15"/>
      <c r="C2" s="15"/>
      <c r="D2" s="500"/>
      <c r="E2" s="501"/>
      <c r="F2" s="501"/>
      <c r="G2" s="501"/>
      <c r="H2" s="501"/>
      <c r="I2" s="501"/>
      <c r="J2" s="501"/>
      <c r="K2" s="501"/>
      <c r="L2" s="501"/>
      <c r="M2" s="502"/>
      <c r="N2" s="15"/>
      <c r="O2" s="15"/>
      <c r="P2" s="16"/>
    </row>
    <row r="3" spans="1:21" ht="15" customHeight="1">
      <c r="A3" s="468" t="s">
        <v>3</v>
      </c>
      <c r="B3" s="469"/>
      <c r="C3" s="469"/>
      <c r="D3" s="469"/>
      <c r="E3" s="469"/>
      <c r="F3" s="469"/>
      <c r="G3" s="469"/>
      <c r="H3" s="469"/>
      <c r="I3" s="469"/>
      <c r="J3" s="469"/>
      <c r="K3" s="469"/>
      <c r="L3" s="469"/>
      <c r="M3" s="469"/>
      <c r="N3" s="469"/>
      <c r="O3" s="469"/>
      <c r="P3" s="470"/>
      <c r="R3" s="4"/>
      <c r="T3" s="6"/>
      <c r="U3" s="6"/>
    </row>
    <row r="4" spans="1:21" ht="15" customHeight="1">
      <c r="A4" s="468"/>
      <c r="B4" s="469"/>
      <c r="C4" s="469"/>
      <c r="D4" s="469"/>
      <c r="E4" s="469"/>
      <c r="F4" s="469"/>
      <c r="G4" s="469"/>
      <c r="H4" s="469"/>
      <c r="I4" s="469"/>
      <c r="J4" s="469"/>
      <c r="K4" s="469"/>
      <c r="L4" s="469"/>
      <c r="M4" s="469"/>
      <c r="N4" s="469"/>
      <c r="O4" s="469"/>
      <c r="P4" s="470"/>
      <c r="R4" s="4"/>
      <c r="T4" s="6"/>
      <c r="U4" s="6"/>
    </row>
    <row r="5" spans="1:21" ht="15" customHeight="1" thickBot="1">
      <c r="A5" s="471"/>
      <c r="B5" s="472"/>
      <c r="C5" s="472"/>
      <c r="D5" s="472"/>
      <c r="E5" s="472"/>
      <c r="F5" s="472"/>
      <c r="G5" s="472"/>
      <c r="H5" s="472"/>
      <c r="I5" s="472"/>
      <c r="J5" s="472"/>
      <c r="K5" s="472"/>
      <c r="L5" s="472"/>
      <c r="M5" s="472"/>
      <c r="N5" s="472"/>
      <c r="O5" s="472"/>
      <c r="P5" s="473"/>
      <c r="Q5" s="4"/>
      <c r="R5" s="33"/>
      <c r="S5" s="34"/>
      <c r="T5" s="34"/>
      <c r="U5" s="34"/>
    </row>
    <row r="6" spans="1:21" ht="15" customHeight="1">
      <c r="A6" s="18" t="s">
        <v>6</v>
      </c>
      <c r="B6" s="192" t="str">
        <f>'P Synthèse'!B6</f>
        <v>BRA</v>
      </c>
      <c r="C6" s="18" t="s">
        <v>8</v>
      </c>
      <c r="D6" s="192">
        <f>'P Synthèse'!D6</f>
        <v>0</v>
      </c>
      <c r="E6" s="489" t="s">
        <v>48</v>
      </c>
      <c r="F6" s="490"/>
      <c r="G6" s="490"/>
      <c r="H6" s="490"/>
      <c r="I6" s="490"/>
      <c r="J6" s="490"/>
      <c r="K6" s="490"/>
      <c r="L6" s="491"/>
      <c r="M6" s="503" t="s">
        <v>10</v>
      </c>
      <c r="N6" s="504"/>
      <c r="O6" s="478" t="s">
        <v>11</v>
      </c>
      <c r="P6" s="479"/>
      <c r="R6" s="32"/>
      <c r="S6" s="32"/>
    </row>
    <row r="7" spans="1:21" ht="15" customHeight="1" thickBot="1">
      <c r="A7" s="19" t="s">
        <v>13</v>
      </c>
      <c r="B7" s="184">
        <f>'P Synthèse'!B7</f>
        <v>0</v>
      </c>
      <c r="C7" s="19" t="s">
        <v>13</v>
      </c>
      <c r="D7" s="184">
        <f>'P Synthèse'!D7</f>
        <v>0</v>
      </c>
      <c r="E7" s="492"/>
      <c r="F7" s="493"/>
      <c r="G7" s="493"/>
      <c r="H7" s="493"/>
      <c r="I7" s="493"/>
      <c r="J7" s="493"/>
      <c r="K7" s="493"/>
      <c r="L7" s="494"/>
      <c r="M7" s="505" t="str">
        <f>'P Synthèse'!M7:M7</f>
        <v>#date de clôture</v>
      </c>
      <c r="N7" s="506"/>
      <c r="O7" s="480" t="s">
        <v>26</v>
      </c>
      <c r="P7" s="481"/>
    </row>
    <row r="8" spans="1:21" ht="21" customHeight="1" thickBot="1">
      <c r="A8" s="20"/>
      <c r="B8" s="35"/>
      <c r="C8" s="21"/>
      <c r="D8" s="21"/>
      <c r="E8" s="36"/>
      <c r="F8" s="36"/>
      <c r="G8" s="36"/>
      <c r="H8" s="36"/>
      <c r="I8" s="36"/>
      <c r="J8" s="36"/>
      <c r="K8" s="36"/>
      <c r="L8" s="36"/>
      <c r="M8" s="23"/>
      <c r="N8" s="21"/>
      <c r="O8" s="515" t="s">
        <v>49</v>
      </c>
      <c r="P8" s="515"/>
    </row>
    <row r="9" spans="1:21" s="21" customFormat="1" ht="31.5" customHeight="1" thickBot="1">
      <c r="A9" s="482" t="s">
        <v>18</v>
      </c>
      <c r="B9" s="483"/>
      <c r="C9" s="483"/>
      <c r="D9" s="519" t="str">
        <f>'P Synthèse'!D9:E9</f>
        <v>Faible</v>
      </c>
      <c r="E9" s="520"/>
      <c r="F9" s="474" t="s">
        <v>19</v>
      </c>
      <c r="G9" s="475"/>
      <c r="H9" s="475"/>
      <c r="I9" s="475"/>
      <c r="J9" s="521">
        <f>'P Synthèse'!J9:K9</f>
        <v>0</v>
      </c>
      <c r="K9" s="522"/>
      <c r="L9" s="474" t="s">
        <v>20</v>
      </c>
      <c r="M9" s="475"/>
      <c r="N9" s="475"/>
      <c r="O9" s="519" t="str">
        <f>'P Synthèse'!N9</f>
        <v>PB</v>
      </c>
      <c r="P9" s="520"/>
    </row>
    <row r="10" spans="1:21" s="21" customFormat="1" ht="21" customHeight="1" thickBot="1">
      <c r="A10" s="26"/>
      <c r="B10" s="26"/>
      <c r="C10" s="26"/>
      <c r="D10" s="26"/>
      <c r="E10" s="26"/>
      <c r="F10" s="26"/>
      <c r="G10" s="26"/>
      <c r="H10" s="26"/>
      <c r="I10" s="26"/>
      <c r="J10" s="26"/>
      <c r="K10" s="26"/>
      <c r="L10" s="26"/>
      <c r="M10" s="26"/>
      <c r="N10" s="26"/>
      <c r="O10" s="26"/>
      <c r="P10" s="26"/>
    </row>
    <row r="11" spans="1:21" ht="135" customHeight="1" thickBot="1">
      <c r="A11" s="516" t="s">
        <v>50</v>
      </c>
      <c r="B11" s="517"/>
      <c r="C11" s="517"/>
      <c r="D11" s="517"/>
      <c r="E11" s="517"/>
      <c r="F11" s="517"/>
      <c r="G11" s="517"/>
      <c r="H11" s="517"/>
      <c r="I11" s="517"/>
      <c r="J11" s="517"/>
      <c r="K11" s="517"/>
      <c r="L11" s="517"/>
      <c r="M11" s="517"/>
      <c r="N11" s="517"/>
      <c r="O11" s="517"/>
      <c r="P11" s="518"/>
    </row>
    <row r="12" spans="1:21" ht="9" customHeight="1" thickBot="1"/>
    <row r="13" spans="1:21">
      <c r="A13" s="453" t="s">
        <v>51</v>
      </c>
      <c r="B13" s="454"/>
      <c r="C13" s="454"/>
      <c r="D13" s="454"/>
      <c r="E13" s="454"/>
      <c r="F13" s="454"/>
      <c r="G13" s="454"/>
      <c r="H13" s="454"/>
      <c r="I13" s="454"/>
      <c r="J13" s="454"/>
      <c r="K13" s="454"/>
      <c r="L13" s="454"/>
      <c r="M13" s="454"/>
      <c r="N13" s="454"/>
      <c r="O13" s="454"/>
      <c r="P13" s="455"/>
    </row>
    <row r="14" spans="1:21" ht="60" customHeight="1" thickBot="1">
      <c r="A14" s="507"/>
      <c r="B14" s="508"/>
      <c r="C14" s="508"/>
      <c r="D14" s="508"/>
      <c r="E14" s="508"/>
      <c r="F14" s="508"/>
      <c r="G14" s="508"/>
      <c r="H14" s="508"/>
      <c r="I14" s="508"/>
      <c r="J14" s="508"/>
      <c r="K14" s="508"/>
      <c r="L14" s="508"/>
      <c r="M14" s="508"/>
      <c r="N14" s="508"/>
      <c r="O14" s="508"/>
      <c r="P14" s="509"/>
    </row>
    <row r="15" spans="1:21" ht="15.75" thickBot="1"/>
    <row r="16" spans="1:21">
      <c r="A16" s="40"/>
      <c r="B16" s="41"/>
      <c r="C16" s="41"/>
      <c r="D16" s="41"/>
      <c r="E16" s="41"/>
      <c r="F16" s="41"/>
      <c r="G16" s="41"/>
      <c r="H16" s="41"/>
      <c r="I16" s="41"/>
      <c r="J16" s="41"/>
      <c r="K16" s="41"/>
      <c r="L16" s="41"/>
      <c r="M16" s="41"/>
      <c r="N16" s="41"/>
      <c r="O16" s="41"/>
      <c r="P16" s="42"/>
    </row>
    <row r="17" spans="1:16">
      <c r="A17" s="63" t="s">
        <v>52</v>
      </c>
      <c r="C17" s="64"/>
      <c r="D17" s="64"/>
      <c r="E17" s="64"/>
      <c r="F17" s="64"/>
      <c r="G17" s="64"/>
      <c r="H17" s="64"/>
      <c r="I17" s="64"/>
      <c r="P17" s="50"/>
    </row>
    <row r="18" spans="1:16">
      <c r="A18" s="188"/>
      <c r="B18" s="433"/>
      <c r="C18" s="433"/>
      <c r="D18" s="433"/>
      <c r="E18" s="64"/>
      <c r="F18" s="64"/>
      <c r="G18" s="64"/>
      <c r="H18" s="64"/>
      <c r="I18" s="64"/>
      <c r="J18" s="64"/>
      <c r="K18" s="64"/>
      <c r="L18" s="64"/>
      <c r="P18" s="50"/>
    </row>
    <row r="19" spans="1:16">
      <c r="A19" s="188"/>
      <c r="B19" s="31"/>
      <c r="C19" s="31"/>
      <c r="D19" s="31"/>
      <c r="E19" s="31"/>
      <c r="F19" s="31"/>
      <c r="G19" s="31"/>
      <c r="H19" s="65" t="s">
        <v>53</v>
      </c>
      <c r="I19" s="66" t="s">
        <v>54</v>
      </c>
      <c r="J19" s="64"/>
      <c r="K19" s="64"/>
      <c r="L19" s="64"/>
      <c r="P19" s="50"/>
    </row>
    <row r="20" spans="1:16">
      <c r="A20" s="188"/>
      <c r="B20" s="31"/>
      <c r="C20" s="31"/>
      <c r="D20" s="31"/>
      <c r="E20" s="512" t="s">
        <v>55</v>
      </c>
      <c r="F20" s="513"/>
      <c r="G20" s="514"/>
      <c r="H20" s="324"/>
      <c r="I20" s="317"/>
      <c r="J20" s="64"/>
      <c r="K20" s="64"/>
      <c r="L20" s="64"/>
      <c r="P20" s="50"/>
    </row>
    <row r="21" spans="1:16">
      <c r="A21" s="188"/>
      <c r="B21" s="434"/>
      <c r="C21" s="434"/>
      <c r="D21" s="434"/>
      <c r="E21" s="67"/>
      <c r="F21" s="67"/>
      <c r="G21" s="67"/>
      <c r="H21" s="435"/>
      <c r="I21" s="67"/>
      <c r="J21" s="64"/>
      <c r="K21" s="64"/>
      <c r="L21" s="64"/>
      <c r="P21" s="50"/>
    </row>
    <row r="22" spans="1:16">
      <c r="A22" s="188"/>
      <c r="B22" s="434" t="s">
        <v>56</v>
      </c>
      <c r="C22" s="434"/>
      <c r="D22" s="434"/>
      <c r="E22" s="67"/>
      <c r="F22" s="67"/>
      <c r="G22" s="67"/>
      <c r="H22" s="435"/>
      <c r="I22" s="67"/>
      <c r="J22" s="64"/>
      <c r="K22" s="64"/>
      <c r="L22" s="64"/>
      <c r="P22" s="50"/>
    </row>
    <row r="23" spans="1:16">
      <c r="A23" s="188"/>
      <c r="B23" s="185"/>
      <c r="C23" s="185"/>
      <c r="D23" s="185"/>
      <c r="E23" s="67"/>
      <c r="F23" s="67"/>
      <c r="G23" s="67"/>
      <c r="H23" s="435"/>
      <c r="I23" s="67"/>
      <c r="J23" s="64"/>
      <c r="K23" s="64"/>
      <c r="L23" s="64"/>
      <c r="P23" s="50"/>
    </row>
    <row r="24" spans="1:16">
      <c r="A24" s="188"/>
      <c r="B24" s="193" t="s">
        <v>57</v>
      </c>
      <c r="C24" s="186"/>
      <c r="D24" s="351" t="s">
        <v>58</v>
      </c>
      <c r="E24" s="353"/>
      <c r="F24" s="65" t="s">
        <v>53</v>
      </c>
      <c r="G24" s="66" t="s">
        <v>54</v>
      </c>
      <c r="H24" s="64"/>
      <c r="I24" s="64"/>
      <c r="J24" s="64"/>
      <c r="P24" s="50"/>
    </row>
    <row r="25" spans="1:16">
      <c r="A25" s="188"/>
      <c r="B25" s="401" t="s">
        <v>59</v>
      </c>
      <c r="C25" s="402"/>
      <c r="D25" s="345" t="s">
        <v>60</v>
      </c>
      <c r="E25" s="403"/>
      <c r="F25" s="321"/>
      <c r="G25" s="314"/>
      <c r="H25" s="64"/>
      <c r="I25" s="64"/>
      <c r="J25" s="64"/>
      <c r="P25" s="50"/>
    </row>
    <row r="26" spans="1:16">
      <c r="A26" s="188"/>
      <c r="B26" s="404" t="s">
        <v>61</v>
      </c>
      <c r="C26" s="405"/>
      <c r="D26" s="344" t="s">
        <v>62</v>
      </c>
      <c r="E26" s="406"/>
      <c r="F26" s="322"/>
      <c r="G26" s="315"/>
      <c r="H26" s="64"/>
      <c r="I26" s="64"/>
      <c r="J26" s="64"/>
      <c r="P26" s="50"/>
    </row>
    <row r="27" spans="1:16">
      <c r="A27" s="188"/>
      <c r="B27" s="407" t="s">
        <v>63</v>
      </c>
      <c r="C27" s="408"/>
      <c r="D27" s="346" t="s">
        <v>64</v>
      </c>
      <c r="E27" s="409"/>
      <c r="F27" s="323"/>
      <c r="G27" s="316"/>
      <c r="H27" s="64"/>
      <c r="I27" s="64"/>
      <c r="J27" s="64"/>
      <c r="P27" s="50"/>
    </row>
    <row r="28" spans="1:16">
      <c r="A28" s="188"/>
      <c r="B28" s="187"/>
      <c r="C28" s="187"/>
      <c r="D28" s="187"/>
      <c r="E28" s="347" t="s">
        <v>65</v>
      </c>
      <c r="F28" s="319">
        <f>+F27+F25+F26</f>
        <v>0</v>
      </c>
      <c r="G28" s="348"/>
      <c r="I28" s="67"/>
      <c r="J28" s="64"/>
      <c r="K28" s="64"/>
      <c r="L28" s="64"/>
      <c r="P28" s="50"/>
    </row>
    <row r="29" spans="1:16">
      <c r="A29" s="188"/>
      <c r="B29" s="434"/>
      <c r="C29" s="434"/>
      <c r="D29" s="434"/>
      <c r="E29" s="67"/>
      <c r="F29" s="67"/>
      <c r="G29" s="67"/>
      <c r="H29" s="435"/>
      <c r="I29" s="67"/>
      <c r="J29" s="64"/>
      <c r="K29" s="64"/>
      <c r="L29" s="64"/>
      <c r="P29" s="50"/>
    </row>
    <row r="30" spans="1:16">
      <c r="A30" s="188"/>
      <c r="B30" s="436"/>
      <c r="C30" s="436"/>
      <c r="D30" s="510" t="s">
        <v>66</v>
      </c>
      <c r="E30" s="511"/>
      <c r="F30" s="511"/>
      <c r="G30" s="511"/>
      <c r="H30" s="320">
        <f>+H20-F28</f>
        <v>0</v>
      </c>
      <c r="I30" s="67"/>
      <c r="J30" s="64"/>
      <c r="K30" s="64"/>
      <c r="L30" s="64"/>
      <c r="P30" s="50"/>
    </row>
    <row r="31" spans="1:16">
      <c r="A31" s="188"/>
      <c r="B31" s="434"/>
      <c r="C31" s="434"/>
      <c r="D31" s="434"/>
      <c r="E31" s="67"/>
      <c r="F31" s="67"/>
      <c r="G31" s="67"/>
      <c r="H31" s="435"/>
      <c r="I31" s="67"/>
      <c r="J31" s="64"/>
      <c r="K31" s="64"/>
      <c r="L31" s="64"/>
      <c r="P31" s="50"/>
    </row>
    <row r="32" spans="1:16">
      <c r="A32" s="63" t="s">
        <v>67</v>
      </c>
      <c r="C32" s="437"/>
      <c r="D32" s="437"/>
      <c r="E32" s="434"/>
      <c r="F32" s="64"/>
      <c r="G32" s="64"/>
      <c r="H32" s="438"/>
      <c r="I32" s="64"/>
      <c r="J32" s="64"/>
      <c r="K32" s="64"/>
      <c r="L32" s="64"/>
      <c r="P32" s="50"/>
    </row>
    <row r="33" spans="1:16">
      <c r="A33" s="188"/>
      <c r="B33" s="433"/>
      <c r="C33" s="433"/>
      <c r="D33" s="433"/>
      <c r="E33" s="434"/>
      <c r="F33" s="64"/>
      <c r="G33" s="64"/>
      <c r="H33" s="438"/>
      <c r="I33" s="64"/>
      <c r="J33" s="64"/>
      <c r="K33" s="64"/>
      <c r="L33" s="64"/>
      <c r="P33" s="50"/>
    </row>
    <row r="34" spans="1:16">
      <c r="A34" s="188"/>
      <c r="D34" s="351" t="s">
        <v>68</v>
      </c>
      <c r="E34" s="342" t="s">
        <v>69</v>
      </c>
      <c r="F34" s="65" t="s">
        <v>53</v>
      </c>
      <c r="G34" s="66" t="s">
        <v>54</v>
      </c>
      <c r="H34" s="64"/>
      <c r="I34" s="64"/>
      <c r="J34" s="64"/>
      <c r="P34" s="50"/>
    </row>
    <row r="35" spans="1:16">
      <c r="A35" s="188"/>
      <c r="D35" s="349" t="s">
        <v>70</v>
      </c>
      <c r="E35" s="349" t="s">
        <v>71</v>
      </c>
      <c r="F35" s="324"/>
      <c r="G35" s="318"/>
      <c r="H35" s="64"/>
      <c r="I35" s="64"/>
      <c r="J35" s="64"/>
      <c r="P35" s="50"/>
    </row>
    <row r="36" spans="1:16">
      <c r="A36" s="188"/>
      <c r="B36" s="434"/>
      <c r="C36" s="434"/>
      <c r="D36" s="434"/>
      <c r="E36" s="434"/>
      <c r="F36" s="435"/>
      <c r="G36" s="64"/>
      <c r="H36" s="64"/>
      <c r="I36" s="64"/>
      <c r="J36" s="64"/>
      <c r="P36" s="50"/>
    </row>
    <row r="37" spans="1:16">
      <c r="A37" s="188"/>
      <c r="B37" s="434"/>
      <c r="C37" s="434"/>
      <c r="D37" s="434"/>
      <c r="E37" s="434"/>
      <c r="F37" s="434"/>
      <c r="G37" s="434"/>
      <c r="H37" s="435"/>
      <c r="I37" s="64"/>
      <c r="J37" s="64"/>
      <c r="K37" s="64"/>
      <c r="L37" s="64"/>
      <c r="P37" s="50"/>
    </row>
    <row r="38" spans="1:16">
      <c r="A38" s="188"/>
      <c r="B38" s="434"/>
      <c r="C38" s="434"/>
      <c r="D38" s="351" t="s">
        <v>72</v>
      </c>
      <c r="E38" s="352"/>
      <c r="F38" s="320">
        <f>F35-H30</f>
        <v>0</v>
      </c>
      <c r="G38" s="354" t="e">
        <f>+F38/F35</f>
        <v>#DIV/0!</v>
      </c>
      <c r="H38" s="64"/>
      <c r="I38" s="64"/>
      <c r="J38" s="64"/>
      <c r="P38" s="50"/>
    </row>
    <row r="39" spans="1:16">
      <c r="A39" s="188"/>
      <c r="B39" s="434"/>
      <c r="C39" s="434"/>
      <c r="D39" s="434"/>
      <c r="E39" s="67"/>
      <c r="F39" s="64"/>
      <c r="G39" s="64"/>
      <c r="H39" s="438"/>
      <c r="I39" s="64"/>
      <c r="J39" s="64"/>
      <c r="K39" s="64"/>
      <c r="L39" s="64"/>
      <c r="P39" s="50"/>
    </row>
    <row r="40" spans="1:16">
      <c r="A40" s="293" t="s">
        <v>73</v>
      </c>
      <c r="B40" s="434"/>
      <c r="C40" s="434"/>
      <c r="D40" s="434"/>
      <c r="E40" s="67"/>
      <c r="F40" s="64"/>
      <c r="G40" s="64"/>
      <c r="H40" s="438"/>
      <c r="I40" s="64"/>
      <c r="J40" s="64"/>
      <c r="K40" s="64"/>
      <c r="L40" s="64"/>
      <c r="P40" s="50"/>
    </row>
    <row r="41" spans="1:16">
      <c r="A41" s="188"/>
      <c r="B41" s="434"/>
      <c r="C41" s="434"/>
      <c r="E41" s="67"/>
      <c r="F41" s="64"/>
      <c r="G41" s="64"/>
      <c r="H41" s="438"/>
      <c r="I41" s="64"/>
      <c r="J41" s="64"/>
      <c r="K41" s="64"/>
      <c r="L41" s="64"/>
      <c r="P41" s="50"/>
    </row>
    <row r="42" spans="1:16">
      <c r="A42" s="188"/>
      <c r="B42" s="434"/>
      <c r="C42" s="434"/>
      <c r="D42" s="342" t="s">
        <v>69</v>
      </c>
      <c r="E42" s="65" t="s">
        <v>53</v>
      </c>
      <c r="F42" s="66" t="s">
        <v>54</v>
      </c>
      <c r="G42" s="438"/>
      <c r="H42" s="64"/>
      <c r="I42" s="64"/>
      <c r="J42" s="64"/>
      <c r="K42" s="64"/>
      <c r="P42" s="50"/>
    </row>
    <row r="43" spans="1:16">
      <c r="A43" s="188"/>
      <c r="B43" s="434"/>
      <c r="C43" s="434"/>
      <c r="D43" s="432" t="s">
        <v>74</v>
      </c>
      <c r="E43" s="431"/>
      <c r="F43" s="318"/>
      <c r="G43" s="438"/>
      <c r="H43" s="64"/>
      <c r="I43" s="64"/>
      <c r="J43" s="64"/>
      <c r="K43" s="64"/>
      <c r="P43" s="50"/>
    </row>
    <row r="44" spans="1:16">
      <c r="A44" s="188"/>
      <c r="B44" s="434"/>
      <c r="C44" s="434"/>
      <c r="D44" s="432" t="s">
        <v>75</v>
      </c>
      <c r="E44" s="431"/>
      <c r="F44" s="318"/>
      <c r="G44" s="438"/>
      <c r="H44" s="64"/>
      <c r="I44" s="64"/>
      <c r="J44" s="64"/>
      <c r="K44" s="64"/>
      <c r="P44" s="50"/>
    </row>
    <row r="45" spans="1:16">
      <c r="A45" s="188"/>
      <c r="B45" s="434"/>
      <c r="C45" s="434"/>
      <c r="D45" s="432" t="s">
        <v>76</v>
      </c>
      <c r="E45" s="431"/>
      <c r="F45" s="318"/>
      <c r="G45" s="438"/>
      <c r="H45" s="64"/>
      <c r="I45" s="64"/>
      <c r="J45" s="64"/>
      <c r="K45" s="64"/>
      <c r="P45" s="50"/>
    </row>
    <row r="46" spans="1:16">
      <c r="A46" s="188"/>
      <c r="B46" s="434"/>
      <c r="C46" s="434"/>
      <c r="D46" s="432" t="s">
        <v>77</v>
      </c>
      <c r="E46" s="431"/>
      <c r="F46" s="318"/>
      <c r="G46" s="438"/>
      <c r="H46" s="64"/>
      <c r="I46" s="64"/>
      <c r="J46" s="64"/>
      <c r="K46" s="64"/>
      <c r="P46" s="50"/>
    </row>
    <row r="47" spans="1:16">
      <c r="A47" s="188"/>
      <c r="B47" s="434"/>
      <c r="C47" s="434"/>
      <c r="D47" s="432" t="s">
        <v>78</v>
      </c>
      <c r="E47" s="431"/>
      <c r="F47" s="318"/>
      <c r="G47" s="438"/>
      <c r="H47" s="64"/>
      <c r="I47" s="64"/>
      <c r="J47" s="64"/>
      <c r="K47" s="64"/>
      <c r="P47" s="50"/>
    </row>
    <row r="48" spans="1:16">
      <c r="A48" s="188"/>
      <c r="B48" s="434"/>
      <c r="C48" s="434"/>
      <c r="D48" s="432" t="s">
        <v>79</v>
      </c>
      <c r="E48" s="431"/>
      <c r="F48" s="318"/>
      <c r="G48" s="438"/>
      <c r="H48" s="64"/>
      <c r="I48" s="64"/>
      <c r="J48" s="64"/>
      <c r="K48" s="64"/>
      <c r="P48" s="50"/>
    </row>
    <row r="49" spans="1:16">
      <c r="A49" s="188"/>
      <c r="B49" s="434"/>
      <c r="C49" s="434"/>
      <c r="D49" s="432" t="s">
        <v>80</v>
      </c>
      <c r="E49" s="431"/>
      <c r="F49" s="318"/>
      <c r="G49" s="438"/>
      <c r="H49" s="64"/>
      <c r="I49" s="64"/>
      <c r="J49" s="64"/>
      <c r="K49" s="64"/>
      <c r="P49" s="50"/>
    </row>
    <row r="50" spans="1:16">
      <c r="A50" s="188"/>
      <c r="B50" s="434"/>
      <c r="C50" s="434"/>
      <c r="D50" s="432" t="s">
        <v>81</v>
      </c>
      <c r="E50" s="431"/>
      <c r="F50" s="318"/>
      <c r="G50" s="438"/>
      <c r="H50" s="64"/>
      <c r="I50" s="64"/>
      <c r="J50" s="64"/>
      <c r="K50" s="64"/>
      <c r="P50" s="50"/>
    </row>
    <row r="51" spans="1:16">
      <c r="A51" s="188"/>
      <c r="B51" s="434"/>
      <c r="C51" s="434"/>
      <c r="D51" s="432" t="s">
        <v>82</v>
      </c>
      <c r="E51" s="431"/>
      <c r="F51" s="318"/>
      <c r="G51" s="438"/>
      <c r="H51" s="64"/>
      <c r="I51" s="64"/>
      <c r="J51" s="64"/>
      <c r="K51" s="64"/>
      <c r="P51" s="50"/>
    </row>
    <row r="52" spans="1:16">
      <c r="A52" s="188"/>
      <c r="B52" s="434"/>
      <c r="C52" s="434"/>
      <c r="D52" s="432" t="s">
        <v>83</v>
      </c>
      <c r="E52" s="431"/>
      <c r="F52" s="318"/>
      <c r="G52" s="438"/>
      <c r="H52" s="64"/>
      <c r="I52" s="64"/>
      <c r="J52" s="64"/>
      <c r="K52" s="64"/>
      <c r="P52" s="50"/>
    </row>
    <row r="53" spans="1:16">
      <c r="A53" s="188"/>
      <c r="B53" s="434"/>
      <c r="C53" s="434"/>
      <c r="D53" s="432" t="s">
        <v>84</v>
      </c>
      <c r="E53" s="431"/>
      <c r="F53" s="318"/>
      <c r="G53" s="438"/>
      <c r="H53" s="64"/>
      <c r="I53" s="64"/>
      <c r="J53" s="64"/>
      <c r="K53" s="64"/>
      <c r="P53" s="50"/>
    </row>
    <row r="54" spans="1:16">
      <c r="A54" s="188"/>
      <c r="B54" s="434"/>
      <c r="C54" s="434"/>
      <c r="D54" s="432" t="s">
        <v>85</v>
      </c>
      <c r="E54" s="431"/>
      <c r="F54" s="318"/>
      <c r="G54" s="438"/>
      <c r="H54" s="64"/>
      <c r="I54" s="64"/>
      <c r="J54" s="64"/>
      <c r="K54" s="64"/>
      <c r="P54" s="50"/>
    </row>
    <row r="55" spans="1:16">
      <c r="A55" s="188"/>
      <c r="B55" s="434"/>
      <c r="C55" s="434"/>
      <c r="D55" s="349" t="s">
        <v>71</v>
      </c>
      <c r="E55" s="324">
        <f>SUM(E43:E54)</f>
        <v>0</v>
      </c>
      <c r="F55" s="318"/>
      <c r="G55" s="438"/>
      <c r="H55" s="64"/>
      <c r="I55" s="64"/>
      <c r="J55" s="64"/>
      <c r="K55" s="64"/>
      <c r="P55" s="50"/>
    </row>
    <row r="56" spans="1:16">
      <c r="A56" s="188"/>
      <c r="B56" s="434"/>
      <c r="C56" s="434"/>
      <c r="D56" s="434"/>
      <c r="E56" s="67"/>
      <c r="F56" s="64"/>
      <c r="G56" s="64"/>
      <c r="H56" s="438"/>
      <c r="I56" s="64"/>
      <c r="J56" s="64"/>
      <c r="K56" s="64"/>
      <c r="L56" s="64"/>
      <c r="P56" s="50"/>
    </row>
    <row r="57" spans="1:16">
      <c r="A57" s="188"/>
      <c r="B57" s="434"/>
      <c r="C57" s="434"/>
      <c r="D57" s="434"/>
      <c r="E57" s="67"/>
      <c r="F57" s="64"/>
      <c r="G57" s="64"/>
      <c r="H57" s="438"/>
      <c r="I57" s="64"/>
      <c r="J57" s="64"/>
      <c r="K57" s="64"/>
      <c r="L57" s="64"/>
      <c r="P57" s="50"/>
    </row>
    <row r="58" spans="1:16">
      <c r="A58" s="188"/>
      <c r="B58" s="434"/>
      <c r="C58" s="434"/>
      <c r="D58" s="351" t="s">
        <v>86</v>
      </c>
      <c r="E58" s="352"/>
      <c r="F58" s="320">
        <f>F55-I20</f>
        <v>0</v>
      </c>
      <c r="G58" s="354" t="e">
        <f>+F58/F55</f>
        <v>#DIV/0!</v>
      </c>
      <c r="H58" s="438"/>
      <c r="I58" s="64"/>
      <c r="J58" s="64"/>
      <c r="K58" s="64"/>
      <c r="L58" s="64"/>
      <c r="P58" s="50"/>
    </row>
    <row r="59" spans="1:16">
      <c r="A59" s="188"/>
      <c r="B59" s="434"/>
      <c r="C59" s="434"/>
      <c r="D59" s="434"/>
      <c r="E59" s="67"/>
      <c r="F59" s="64"/>
      <c r="G59" s="64"/>
      <c r="H59" s="438"/>
      <c r="I59" s="64"/>
      <c r="J59" s="64"/>
      <c r="K59" s="64"/>
      <c r="L59" s="64"/>
      <c r="P59" s="50"/>
    </row>
    <row r="60" spans="1:16">
      <c r="A60" s="188"/>
      <c r="B60" s="70"/>
      <c r="C60" s="70"/>
      <c r="D60" s="70"/>
      <c r="E60" s="67"/>
      <c r="F60" s="64"/>
      <c r="G60" s="64"/>
      <c r="H60" s="435"/>
      <c r="I60" s="71"/>
      <c r="J60" s="69"/>
      <c r="K60" s="70"/>
      <c r="M60" s="430"/>
      <c r="P60" s="50"/>
    </row>
    <row r="61" spans="1:16" ht="15.75" thickBot="1">
      <c r="A61" s="189"/>
      <c r="B61" s="190"/>
      <c r="C61" s="190"/>
      <c r="D61" s="190"/>
      <c r="E61" s="190"/>
      <c r="F61" s="190"/>
      <c r="G61" s="190"/>
      <c r="H61" s="190"/>
      <c r="I61" s="190"/>
      <c r="J61" s="190"/>
      <c r="K61" s="190"/>
      <c r="L61" s="190"/>
      <c r="M61" s="190"/>
      <c r="N61" s="190"/>
      <c r="O61" s="190"/>
      <c r="P61" s="191"/>
    </row>
  </sheetData>
  <sheetProtection formatCells="0" formatColumns="0" formatRows="0" insertColumns="0" insertRows="0" insertHyperlinks="0" deleteColumns="0" deleteRows="0" sort="0" autoFilter="0" pivotTables="0"/>
  <mergeCells count="19">
    <mergeCell ref="A14:P14"/>
    <mergeCell ref="D30:G30"/>
    <mergeCell ref="E20:G20"/>
    <mergeCell ref="O8:P8"/>
    <mergeCell ref="A11:P11"/>
    <mergeCell ref="A13:P13"/>
    <mergeCell ref="O9:P9"/>
    <mergeCell ref="A9:C9"/>
    <mergeCell ref="D9:E9"/>
    <mergeCell ref="F9:I9"/>
    <mergeCell ref="J9:K9"/>
    <mergeCell ref="L9:N9"/>
    <mergeCell ref="D1:M2"/>
    <mergeCell ref="A3:P5"/>
    <mergeCell ref="E6:L7"/>
    <mergeCell ref="M6:N6"/>
    <mergeCell ref="O6:P6"/>
    <mergeCell ref="M7:N7"/>
    <mergeCell ref="O7:P7"/>
  </mergeCells>
  <phoneticPr fontId="55" type="noConversion"/>
  <dataValidations count="2">
    <dataValidation type="list" allowBlank="1" showInputMessage="1" showErrorMessage="1" sqref="O9:P9" xr:uid="{00000000-0002-0000-0200-000000000000}">
      <formula1>Diligences</formula1>
    </dataValidation>
    <dataValidation type="list" showInputMessage="1" showErrorMessage="1" sqref="D9:E9" xr:uid="{00000000-0002-0000-0200-000001000000}">
      <formula1>RAS</formula1>
    </dataValidation>
  </dataValidations>
  <hyperlinks>
    <hyperlink ref="O8:P8" location="'P Synthèse'!A1" display="P Synthèse" xr:uid="{00000000-0004-0000-02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pageSetUpPr fitToPage="1"/>
  </sheetPr>
  <dimension ref="A1:U79"/>
  <sheetViews>
    <sheetView showGridLines="0" zoomScale="90" zoomScaleNormal="90" zoomScaleSheetLayoutView="90" workbookViewId="0">
      <selection activeCell="J36" sqref="J36"/>
    </sheetView>
  </sheetViews>
  <sheetFormatPr defaultColWidth="11.42578125" defaultRowHeight="15"/>
  <cols>
    <col min="1" max="1" width="11.28515625" style="27" customWidth="1"/>
    <col min="2" max="15" width="14.7109375" style="27" customWidth="1"/>
    <col min="16" max="16" width="12.28515625" style="27" customWidth="1"/>
    <col min="17" max="16384" width="11.42578125" style="27"/>
  </cols>
  <sheetData>
    <row r="1" spans="1:21" s="32" customFormat="1" ht="15" customHeight="1">
      <c r="A1" s="11"/>
      <c r="B1" s="12"/>
      <c r="C1" s="12"/>
      <c r="D1" s="497" t="str">
        <f>'P Synthèse'!D1:M2</f>
        <v>#NomClient</v>
      </c>
      <c r="E1" s="498"/>
      <c r="F1" s="498"/>
      <c r="G1" s="498"/>
      <c r="H1" s="498"/>
      <c r="I1" s="498"/>
      <c r="J1" s="498"/>
      <c r="K1" s="498"/>
      <c r="L1" s="498"/>
      <c r="M1" s="499"/>
      <c r="N1" s="12"/>
      <c r="O1" s="12"/>
      <c r="P1" s="13"/>
    </row>
    <row r="2" spans="1:21" s="32" customFormat="1" ht="15" customHeight="1" thickBot="1">
      <c r="A2" s="14"/>
      <c r="B2" s="15"/>
      <c r="C2" s="15"/>
      <c r="D2" s="500"/>
      <c r="E2" s="501"/>
      <c r="F2" s="501"/>
      <c r="G2" s="501"/>
      <c r="H2" s="501"/>
      <c r="I2" s="501"/>
      <c r="J2" s="501"/>
      <c r="K2" s="501"/>
      <c r="L2" s="501"/>
      <c r="M2" s="502"/>
      <c r="N2" s="15"/>
      <c r="O2" s="15"/>
      <c r="P2" s="16"/>
    </row>
    <row r="3" spans="1:21" ht="15" customHeight="1">
      <c r="A3" s="468" t="s">
        <v>3</v>
      </c>
      <c r="B3" s="469"/>
      <c r="C3" s="469"/>
      <c r="D3" s="469"/>
      <c r="E3" s="469"/>
      <c r="F3" s="469"/>
      <c r="G3" s="469"/>
      <c r="H3" s="469"/>
      <c r="I3" s="469"/>
      <c r="J3" s="469"/>
      <c r="K3" s="469"/>
      <c r="L3" s="469"/>
      <c r="M3" s="469"/>
      <c r="N3" s="469"/>
      <c r="O3" s="469"/>
      <c r="P3" s="470"/>
      <c r="R3" s="4"/>
      <c r="T3" s="6"/>
      <c r="U3" s="6"/>
    </row>
    <row r="4" spans="1:21" ht="15" customHeight="1">
      <c r="A4" s="468"/>
      <c r="B4" s="469"/>
      <c r="C4" s="469"/>
      <c r="D4" s="469"/>
      <c r="E4" s="469"/>
      <c r="F4" s="469"/>
      <c r="G4" s="469"/>
      <c r="H4" s="469"/>
      <c r="I4" s="469"/>
      <c r="J4" s="469"/>
      <c r="K4" s="469"/>
      <c r="L4" s="469"/>
      <c r="M4" s="469"/>
      <c r="N4" s="469"/>
      <c r="O4" s="469"/>
      <c r="P4" s="470"/>
      <c r="R4" s="4"/>
      <c r="T4" s="6"/>
      <c r="U4" s="6"/>
    </row>
    <row r="5" spans="1:21" ht="15" customHeight="1" thickBot="1">
      <c r="A5" s="471"/>
      <c r="B5" s="472"/>
      <c r="C5" s="472"/>
      <c r="D5" s="472"/>
      <c r="E5" s="472"/>
      <c r="F5" s="472"/>
      <c r="G5" s="472"/>
      <c r="H5" s="472"/>
      <c r="I5" s="472"/>
      <c r="J5" s="472"/>
      <c r="K5" s="472"/>
      <c r="L5" s="472"/>
      <c r="M5" s="472"/>
      <c r="N5" s="472"/>
      <c r="O5" s="472"/>
      <c r="P5" s="473"/>
      <c r="Q5" s="4"/>
      <c r="R5" s="33"/>
      <c r="S5" s="34"/>
      <c r="T5" s="34"/>
      <c r="U5" s="34"/>
    </row>
    <row r="6" spans="1:21" ht="15" customHeight="1">
      <c r="A6" s="18" t="s">
        <v>6</v>
      </c>
      <c r="B6" s="192" t="str">
        <f>'P Synthèse'!B6</f>
        <v>BRA</v>
      </c>
      <c r="C6" s="18" t="s">
        <v>8</v>
      </c>
      <c r="D6" s="192">
        <f>'P Synthèse'!D6</f>
        <v>0</v>
      </c>
      <c r="E6" s="489" t="s">
        <v>30</v>
      </c>
      <c r="F6" s="490"/>
      <c r="G6" s="490"/>
      <c r="H6" s="490"/>
      <c r="I6" s="490"/>
      <c r="J6" s="490"/>
      <c r="K6" s="490"/>
      <c r="L6" s="491"/>
      <c r="M6" s="503" t="s">
        <v>10</v>
      </c>
      <c r="N6" s="504"/>
      <c r="O6" s="478" t="s">
        <v>11</v>
      </c>
      <c r="P6" s="479"/>
      <c r="R6" s="32"/>
      <c r="S6" s="32"/>
    </row>
    <row r="7" spans="1:21" ht="15" customHeight="1" thickBot="1">
      <c r="A7" s="19" t="s">
        <v>13</v>
      </c>
      <c r="B7" s="184">
        <f>'P Synthèse'!B7</f>
        <v>0</v>
      </c>
      <c r="C7" s="19" t="s">
        <v>13</v>
      </c>
      <c r="D7" s="184">
        <f>'P Synthèse'!D7</f>
        <v>0</v>
      </c>
      <c r="E7" s="492"/>
      <c r="F7" s="493"/>
      <c r="G7" s="493"/>
      <c r="H7" s="493"/>
      <c r="I7" s="493"/>
      <c r="J7" s="493"/>
      <c r="K7" s="493"/>
      <c r="L7" s="494"/>
      <c r="M7" s="505" t="str">
        <f>'P Synthèse'!M7:M7</f>
        <v>#date de clôture</v>
      </c>
      <c r="N7" s="506"/>
      <c r="O7" s="480" t="s">
        <v>87</v>
      </c>
      <c r="P7" s="481"/>
    </row>
    <row r="8" spans="1:21" ht="21" customHeight="1" thickBot="1">
      <c r="A8" s="20"/>
      <c r="B8" s="35"/>
      <c r="C8" s="21"/>
      <c r="D8" s="21"/>
      <c r="E8" s="36"/>
      <c r="F8" s="36"/>
      <c r="G8" s="36"/>
      <c r="H8" s="36"/>
      <c r="I8" s="36"/>
      <c r="J8" s="36"/>
      <c r="K8" s="36"/>
      <c r="L8" s="36"/>
      <c r="M8" s="23"/>
      <c r="N8" s="21"/>
      <c r="O8" s="515" t="s">
        <v>49</v>
      </c>
      <c r="P8" s="515"/>
    </row>
    <row r="9" spans="1:21" s="21" customFormat="1" ht="31.5" customHeight="1" thickBot="1">
      <c r="A9" s="482" t="s">
        <v>18</v>
      </c>
      <c r="B9" s="483"/>
      <c r="C9" s="483"/>
      <c r="D9" s="519" t="str">
        <f>'P Synthèse'!D9:E9</f>
        <v>Faible</v>
      </c>
      <c r="E9" s="520"/>
      <c r="F9" s="474" t="s">
        <v>19</v>
      </c>
      <c r="G9" s="475"/>
      <c r="H9" s="475"/>
      <c r="I9" s="475"/>
      <c r="J9" s="521">
        <f>'P Synthèse'!J9:K9</f>
        <v>0</v>
      </c>
      <c r="K9" s="522"/>
      <c r="L9" s="474" t="s">
        <v>20</v>
      </c>
      <c r="M9" s="475"/>
      <c r="N9" s="475"/>
      <c r="O9" s="519" t="str">
        <f>'P Synthèse'!N9</f>
        <v>PB</v>
      </c>
      <c r="P9" s="520"/>
    </row>
    <row r="10" spans="1:21" s="21" customFormat="1" ht="21" customHeight="1" thickBot="1">
      <c r="A10" s="26"/>
      <c r="B10" s="26"/>
      <c r="C10" s="26"/>
      <c r="D10" s="26"/>
      <c r="E10" s="26"/>
      <c r="F10" s="26"/>
      <c r="G10" s="26"/>
      <c r="H10" s="26"/>
      <c r="I10" s="26"/>
      <c r="J10" s="26"/>
      <c r="K10" s="26"/>
      <c r="L10" s="26"/>
      <c r="M10" s="26"/>
      <c r="N10" s="26"/>
      <c r="O10" s="26"/>
      <c r="P10" s="26"/>
    </row>
    <row r="11" spans="1:21" ht="203.25" customHeight="1" thickBot="1">
      <c r="A11" s="516" t="s">
        <v>88</v>
      </c>
      <c r="B11" s="517"/>
      <c r="C11" s="517"/>
      <c r="D11" s="517"/>
      <c r="E11" s="517"/>
      <c r="F11" s="517"/>
      <c r="G11" s="517"/>
      <c r="H11" s="517"/>
      <c r="I11" s="517"/>
      <c r="J11" s="517"/>
      <c r="K11" s="517"/>
      <c r="L11" s="517"/>
      <c r="M11" s="517"/>
      <c r="N11" s="517"/>
      <c r="O11" s="517"/>
      <c r="P11" s="518"/>
    </row>
    <row r="12" spans="1:21" ht="9" customHeight="1" thickBot="1"/>
    <row r="13" spans="1:21">
      <c r="A13" s="453" t="s">
        <v>51</v>
      </c>
      <c r="B13" s="454"/>
      <c r="C13" s="454"/>
      <c r="D13" s="454"/>
      <c r="E13" s="454"/>
      <c r="F13" s="454"/>
      <c r="G13" s="454"/>
      <c r="H13" s="454"/>
      <c r="I13" s="454"/>
      <c r="J13" s="454"/>
      <c r="K13" s="454"/>
      <c r="L13" s="454"/>
      <c r="M13" s="454"/>
      <c r="N13" s="454"/>
      <c r="O13" s="454"/>
      <c r="P13" s="455"/>
    </row>
    <row r="14" spans="1:21" ht="60" customHeight="1" thickBot="1">
      <c r="A14" s="535"/>
      <c r="B14" s="536"/>
      <c r="C14" s="536"/>
      <c r="D14" s="536"/>
      <c r="E14" s="536"/>
      <c r="F14" s="536"/>
      <c r="G14" s="536"/>
      <c r="H14" s="536"/>
      <c r="I14" s="536"/>
      <c r="J14" s="536"/>
      <c r="K14" s="536"/>
      <c r="L14" s="536"/>
      <c r="M14" s="536"/>
      <c r="N14" s="536"/>
      <c r="O14" s="536"/>
      <c r="P14" s="537"/>
    </row>
    <row r="15" spans="1:21" ht="15.75" thickBot="1"/>
    <row r="16" spans="1:21">
      <c r="A16" s="40"/>
      <c r="B16" s="41"/>
      <c r="C16" s="41"/>
      <c r="D16" s="41"/>
      <c r="E16" s="41"/>
      <c r="F16" s="41"/>
      <c r="G16" s="41"/>
      <c r="H16" s="41"/>
      <c r="I16" s="41"/>
      <c r="J16" s="41"/>
      <c r="K16" s="41"/>
      <c r="L16" s="41"/>
      <c r="M16" s="41"/>
      <c r="N16" s="41"/>
      <c r="O16" s="41"/>
      <c r="P16" s="42"/>
    </row>
    <row r="17" spans="1:16">
      <c r="A17" s="51" t="s">
        <v>89</v>
      </c>
      <c r="B17" s="52"/>
      <c r="C17" s="52"/>
      <c r="D17" s="52"/>
      <c r="E17" s="53"/>
      <c r="F17" s="53"/>
      <c r="G17" s="53"/>
      <c r="H17" s="53"/>
      <c r="P17" s="50"/>
    </row>
    <row r="18" spans="1:16" s="31" customFormat="1">
      <c r="A18" s="37"/>
      <c r="P18" s="55"/>
    </row>
    <row r="19" spans="1:16">
      <c r="A19" s="188"/>
      <c r="B19" s="351" t="s">
        <v>90</v>
      </c>
      <c r="C19" s="352"/>
      <c r="D19" s="353"/>
      <c r="E19" s="202" t="s">
        <v>91</v>
      </c>
      <c r="F19" s="97" t="s">
        <v>92</v>
      </c>
      <c r="G19" s="98" t="s">
        <v>93</v>
      </c>
      <c r="H19" s="65" t="s">
        <v>92</v>
      </c>
      <c r="I19" s="65" t="s">
        <v>94</v>
      </c>
      <c r="P19" s="50"/>
    </row>
    <row r="20" spans="1:16">
      <c r="A20" s="188"/>
      <c r="B20" s="355"/>
      <c r="C20" s="356"/>
      <c r="D20" s="357"/>
      <c r="E20" s="203"/>
      <c r="F20" s="99" t="e">
        <f t="shared" ref="F20:F25" si="0">+E20/$E$28</f>
        <v>#DIV/0!</v>
      </c>
      <c r="G20" s="614"/>
      <c r="H20" s="99" t="e">
        <f t="shared" ref="H20:H25" si="1">+G20/$G$28</f>
        <v>#DIV/0!</v>
      </c>
      <c r="I20" s="100" t="e">
        <f t="shared" ref="I20:I25" si="2">(F20-H20)*100</f>
        <v>#DIV/0!</v>
      </c>
      <c r="P20" s="50"/>
    </row>
    <row r="21" spans="1:16">
      <c r="A21" s="188"/>
      <c r="B21" s="355"/>
      <c r="C21" s="356"/>
      <c r="D21" s="357"/>
      <c r="E21" s="203"/>
      <c r="F21" s="99" t="e">
        <f t="shared" si="0"/>
        <v>#DIV/0!</v>
      </c>
      <c r="G21" s="614"/>
      <c r="H21" s="99" t="e">
        <f t="shared" si="1"/>
        <v>#DIV/0!</v>
      </c>
      <c r="I21" s="100" t="e">
        <f t="shared" si="2"/>
        <v>#DIV/0!</v>
      </c>
      <c r="P21" s="50"/>
    </row>
    <row r="22" spans="1:16">
      <c r="A22" s="188"/>
      <c r="B22" s="355"/>
      <c r="C22" s="356"/>
      <c r="D22" s="357"/>
      <c r="E22" s="203"/>
      <c r="F22" s="99" t="e">
        <f t="shared" si="0"/>
        <v>#DIV/0!</v>
      </c>
      <c r="G22" s="614"/>
      <c r="H22" s="99" t="e">
        <f t="shared" si="1"/>
        <v>#DIV/0!</v>
      </c>
      <c r="I22" s="100" t="e">
        <f t="shared" si="2"/>
        <v>#DIV/0!</v>
      </c>
      <c r="P22" s="50"/>
    </row>
    <row r="23" spans="1:16">
      <c r="A23" s="188"/>
      <c r="B23" s="355"/>
      <c r="C23" s="356"/>
      <c r="D23" s="357"/>
      <c r="E23" s="203"/>
      <c r="F23" s="99" t="e">
        <f t="shared" si="0"/>
        <v>#DIV/0!</v>
      </c>
      <c r="G23" s="614"/>
      <c r="H23" s="99" t="e">
        <f t="shared" si="1"/>
        <v>#DIV/0!</v>
      </c>
      <c r="I23" s="100" t="e">
        <f t="shared" si="2"/>
        <v>#DIV/0!</v>
      </c>
      <c r="P23" s="50"/>
    </row>
    <row r="24" spans="1:16">
      <c r="A24" s="188"/>
      <c r="B24" s="355"/>
      <c r="C24" s="356"/>
      <c r="D24" s="357"/>
      <c r="E24" s="203"/>
      <c r="F24" s="99" t="e">
        <f t="shared" si="0"/>
        <v>#DIV/0!</v>
      </c>
      <c r="G24" s="614"/>
      <c r="H24" s="99" t="e">
        <f t="shared" si="1"/>
        <v>#DIV/0!</v>
      </c>
      <c r="I24" s="100" t="e">
        <f t="shared" si="2"/>
        <v>#DIV/0!</v>
      </c>
      <c r="P24" s="50"/>
    </row>
    <row r="25" spans="1:16">
      <c r="A25" s="188"/>
      <c r="B25" s="358"/>
      <c r="C25" s="359"/>
      <c r="D25" s="360"/>
      <c r="E25" s="204"/>
      <c r="F25" s="199" t="e">
        <f t="shared" si="0"/>
        <v>#DIV/0!</v>
      </c>
      <c r="G25" s="615"/>
      <c r="H25" s="199" t="e">
        <f t="shared" si="1"/>
        <v>#DIV/0!</v>
      </c>
      <c r="I25" s="200" t="e">
        <f t="shared" si="2"/>
        <v>#DIV/0!</v>
      </c>
      <c r="P25" s="50"/>
    </row>
    <row r="26" spans="1:16">
      <c r="A26" s="188"/>
      <c r="B26" s="339" t="s">
        <v>95</v>
      </c>
      <c r="C26" s="340"/>
      <c r="D26" s="341"/>
      <c r="E26" s="195">
        <f>SUM(E20:E25)</f>
        <v>0</v>
      </c>
      <c r="F26" s="196"/>
      <c r="G26" s="197">
        <f>SUM(G20:G25)</f>
        <v>0</v>
      </c>
      <c r="H26" s="198"/>
      <c r="I26" s="76"/>
      <c r="P26" s="50"/>
    </row>
    <row r="27" spans="1:16">
      <c r="A27" s="188"/>
      <c r="B27" s="31"/>
      <c r="C27" s="616"/>
      <c r="E27" s="114" t="s">
        <v>96</v>
      </c>
      <c r="F27" s="31"/>
      <c r="G27" s="114" t="s">
        <v>96</v>
      </c>
      <c r="H27" s="75"/>
      <c r="I27" s="76"/>
      <c r="P27" s="50"/>
    </row>
    <row r="28" spans="1:16">
      <c r="A28" s="188"/>
      <c r="B28" s="342" t="s">
        <v>97</v>
      </c>
      <c r="C28" s="343"/>
      <c r="D28" s="343"/>
      <c r="E28" s="201"/>
      <c r="F28" s="95"/>
      <c r="G28" s="96"/>
      <c r="H28" s="92"/>
      <c r="I28" s="77"/>
      <c r="P28" s="50"/>
    </row>
    <row r="29" spans="1:16">
      <c r="A29" s="188"/>
      <c r="B29" s="78"/>
      <c r="C29" s="78"/>
      <c r="E29" s="31"/>
      <c r="F29" s="31"/>
      <c r="G29" s="70"/>
      <c r="H29" s="70"/>
      <c r="I29" s="70"/>
      <c r="P29" s="50"/>
    </row>
    <row r="30" spans="1:16">
      <c r="A30" s="188"/>
      <c r="B30" s="78"/>
      <c r="C30" s="78"/>
      <c r="E30" s="79"/>
      <c r="F30" s="79"/>
      <c r="G30" s="79"/>
      <c r="H30" s="67"/>
      <c r="I30" s="70"/>
      <c r="P30" s="50"/>
    </row>
    <row r="31" spans="1:16">
      <c r="A31" s="188"/>
      <c r="B31" s="337" t="s">
        <v>98</v>
      </c>
      <c r="C31" s="338"/>
      <c r="D31" s="338"/>
      <c r="E31" s="102" t="e">
        <f>E26/E28</f>
        <v>#DIV/0!</v>
      </c>
      <c r="F31" s="80"/>
      <c r="G31" s="101" t="e">
        <f>G26/G28</f>
        <v>#DIV/0!</v>
      </c>
      <c r="H31" s="180"/>
      <c r="I31" s="103" t="e">
        <f>(E31-G31)*100</f>
        <v>#DIV/0!</v>
      </c>
      <c r="P31" s="50"/>
    </row>
    <row r="32" spans="1:16">
      <c r="A32" s="188"/>
      <c r="B32" s="82"/>
      <c r="C32" s="78"/>
      <c r="E32" s="81"/>
      <c r="F32" s="81"/>
      <c r="G32" s="81"/>
      <c r="H32" s="70"/>
      <c r="I32" s="70"/>
      <c r="P32" s="50"/>
    </row>
    <row r="33" spans="1:16">
      <c r="A33" s="188"/>
      <c r="B33" s="82"/>
      <c r="C33" s="78"/>
      <c r="E33" s="81"/>
      <c r="F33" s="81"/>
      <c r="G33" s="81"/>
      <c r="H33" s="70"/>
      <c r="I33" s="70"/>
      <c r="P33" s="50"/>
    </row>
    <row r="34" spans="1:16">
      <c r="A34" s="188"/>
      <c r="B34" s="342" t="s">
        <v>99</v>
      </c>
      <c r="C34" s="343"/>
      <c r="D34" s="343"/>
      <c r="E34" s="106" t="e">
        <f>+E31+#REF!</f>
        <v>#DIV/0!</v>
      </c>
      <c r="F34" s="104"/>
      <c r="G34" s="107" t="e">
        <f>+G31+#REF!</f>
        <v>#DIV/0!</v>
      </c>
      <c r="H34" s="70"/>
      <c r="I34" s="103" t="e">
        <f>(E34-G34)*100</f>
        <v>#DIV/0!</v>
      </c>
      <c r="P34" s="50"/>
    </row>
    <row r="35" spans="1:16">
      <c r="A35" s="188"/>
      <c r="P35" s="50"/>
    </row>
    <row r="36" spans="1:16">
      <c r="A36" s="194"/>
      <c r="B36" s="31"/>
      <c r="C36" s="70"/>
      <c r="D36" s="70"/>
      <c r="E36" s="70"/>
      <c r="F36" s="70"/>
      <c r="G36" s="70"/>
      <c r="H36" s="70"/>
      <c r="I36" s="70"/>
      <c r="P36" s="50"/>
    </row>
    <row r="37" spans="1:16">
      <c r="A37" s="188"/>
      <c r="P37" s="50"/>
    </row>
    <row r="38" spans="1:16" s="32" customFormat="1" ht="75" customHeight="1">
      <c r="A38" s="528" t="s">
        <v>100</v>
      </c>
      <c r="B38" s="529"/>
      <c r="C38" s="529"/>
      <c r="D38" s="529"/>
      <c r="E38" s="529"/>
      <c r="F38" s="529"/>
      <c r="G38" s="529"/>
      <c r="H38" s="529"/>
      <c r="I38" s="529"/>
      <c r="J38" s="529"/>
      <c r="K38" s="529"/>
      <c r="L38" s="529"/>
      <c r="M38" s="529"/>
      <c r="N38" s="529"/>
      <c r="O38" s="529"/>
      <c r="P38" s="530"/>
    </row>
    <row r="39" spans="1:16" ht="15.75" thickBot="1">
      <c r="A39" s="189"/>
      <c r="B39" s="190"/>
      <c r="C39" s="190"/>
      <c r="D39" s="190"/>
      <c r="E39" s="190"/>
      <c r="F39" s="190"/>
      <c r="G39" s="190"/>
      <c r="H39" s="190"/>
      <c r="I39" s="190"/>
      <c r="J39" s="190"/>
      <c r="K39" s="190"/>
      <c r="L39" s="190"/>
      <c r="M39" s="190"/>
      <c r="N39" s="190"/>
      <c r="O39" s="190"/>
      <c r="P39" s="191"/>
    </row>
    <row r="40" spans="1:16" ht="15.75" thickBot="1"/>
    <row r="41" spans="1:16">
      <c r="A41" s="40"/>
      <c r="B41" s="41"/>
      <c r="C41" s="41"/>
      <c r="D41" s="41"/>
      <c r="E41" s="41"/>
      <c r="F41" s="41"/>
      <c r="G41" s="41"/>
      <c r="H41" s="41"/>
      <c r="I41" s="41"/>
      <c r="J41" s="41"/>
      <c r="K41" s="41"/>
      <c r="L41" s="41"/>
      <c r="M41" s="41"/>
      <c r="N41" s="41"/>
      <c r="O41" s="41"/>
      <c r="P41" s="42"/>
    </row>
    <row r="42" spans="1:16">
      <c r="A42" s="51" t="s">
        <v>101</v>
      </c>
      <c r="P42" s="50"/>
    </row>
    <row r="43" spans="1:16">
      <c r="A43" s="188"/>
      <c r="P43" s="50"/>
    </row>
    <row r="44" spans="1:16">
      <c r="A44" s="188"/>
      <c r="B44" s="64"/>
      <c r="C44" s="64"/>
      <c r="D44" s="73" t="s">
        <v>102</v>
      </c>
      <c r="E44" s="108" t="s">
        <v>103</v>
      </c>
      <c r="F44" s="108" t="s">
        <v>104</v>
      </c>
      <c r="G44" s="109" t="s">
        <v>105</v>
      </c>
      <c r="H44" s="531" t="s">
        <v>96</v>
      </c>
      <c r="I44" s="532"/>
      <c r="P44" s="50"/>
    </row>
    <row r="45" spans="1:16">
      <c r="A45" s="188"/>
      <c r="B45" s="64"/>
      <c r="C45" s="64"/>
      <c r="D45" s="64"/>
      <c r="E45" s="64"/>
      <c r="F45" s="64"/>
      <c r="G45" s="64"/>
      <c r="H45" s="64"/>
      <c r="I45" s="64"/>
      <c r="P45" s="50"/>
    </row>
    <row r="46" spans="1:16">
      <c r="A46" s="188"/>
      <c r="B46" s="74" t="s">
        <v>106</v>
      </c>
      <c r="C46" s="31"/>
      <c r="D46" s="83"/>
      <c r="E46" s="83"/>
      <c r="F46" s="617">
        <f>+D46-E46</f>
        <v>0</v>
      </c>
      <c r="G46" s="110" t="e">
        <f>+F46/E46</f>
        <v>#DIV/0!</v>
      </c>
      <c r="H46" s="534"/>
      <c r="I46" s="534"/>
      <c r="P46" s="50"/>
    </row>
    <row r="47" spans="1:16">
      <c r="A47" s="188"/>
      <c r="B47" s="74" t="s">
        <v>107</v>
      </c>
      <c r="C47" s="31"/>
      <c r="D47" s="83"/>
      <c r="E47" s="83"/>
      <c r="F47" s="617">
        <f>+D47-E47</f>
        <v>0</v>
      </c>
      <c r="G47" s="110" t="e">
        <f>+F47/E47</f>
        <v>#DIV/0!</v>
      </c>
      <c r="H47" s="533"/>
      <c r="I47" s="533"/>
      <c r="P47" s="50"/>
    </row>
    <row r="48" spans="1:16">
      <c r="A48" s="188"/>
      <c r="B48" s="74"/>
      <c r="C48" s="31"/>
      <c r="D48" s="83"/>
      <c r="E48" s="83"/>
      <c r="F48" s="618"/>
      <c r="G48" s="84"/>
      <c r="H48" s="85"/>
      <c r="I48" s="31"/>
      <c r="P48" s="50"/>
    </row>
    <row r="49" spans="1:16">
      <c r="A49" s="188"/>
      <c r="B49" s="210" t="s">
        <v>108</v>
      </c>
      <c r="C49" s="111"/>
      <c r="D49" s="112" t="e">
        <f>+D46/D47</f>
        <v>#DIV/0!</v>
      </c>
      <c r="E49" s="112" t="e">
        <f>+E46/E47</f>
        <v>#DIV/0!</v>
      </c>
      <c r="F49" s="112" t="e">
        <f>+D49-E49</f>
        <v>#DIV/0!</v>
      </c>
      <c r="G49" s="113" t="e">
        <f>+F49/E49</f>
        <v>#DIV/0!</v>
      </c>
      <c r="H49" s="71"/>
      <c r="I49" s="31"/>
      <c r="P49" s="50"/>
    </row>
    <row r="50" spans="1:16">
      <c r="A50" s="188"/>
      <c r="B50" s="205"/>
      <c r="C50" s="31"/>
      <c r="D50" s="87"/>
      <c r="E50" s="87"/>
      <c r="F50" s="88"/>
      <c r="G50" s="89"/>
      <c r="H50" s="71"/>
      <c r="I50" s="31"/>
      <c r="P50" s="50"/>
    </row>
    <row r="51" spans="1:16">
      <c r="A51" s="188"/>
      <c r="B51" s="205"/>
      <c r="C51" s="31"/>
      <c r="D51" s="87"/>
      <c r="E51" s="87"/>
      <c r="F51" s="88"/>
      <c r="G51" s="89"/>
      <c r="H51" s="71"/>
      <c r="I51" s="31"/>
      <c r="P51" s="50"/>
    </row>
    <row r="52" spans="1:16">
      <c r="A52" s="188"/>
      <c r="B52" s="206" t="s">
        <v>109</v>
      </c>
      <c r="C52" s="31"/>
      <c r="D52" s="87"/>
      <c r="E52" s="87"/>
      <c r="F52" s="88"/>
      <c r="G52" s="89"/>
      <c r="H52" s="71"/>
      <c r="I52" s="31"/>
      <c r="P52" s="50"/>
    </row>
    <row r="53" spans="1:16">
      <c r="A53" s="188"/>
      <c r="B53" s="205"/>
      <c r="C53" s="31"/>
      <c r="D53" s="87"/>
      <c r="E53" s="87"/>
      <c r="F53" s="88"/>
      <c r="G53" s="89"/>
      <c r="H53" s="71"/>
      <c r="I53" s="31"/>
      <c r="P53" s="50"/>
    </row>
    <row r="54" spans="1:16">
      <c r="A54" s="188"/>
      <c r="B54" s="205"/>
      <c r="C54" s="31"/>
      <c r="D54" s="87"/>
      <c r="E54" s="87"/>
      <c r="F54" s="88"/>
      <c r="G54" s="89"/>
      <c r="H54" s="71"/>
      <c r="I54" s="31"/>
      <c r="P54" s="50"/>
    </row>
    <row r="55" spans="1:16">
      <c r="A55" s="188"/>
      <c r="B55" s="205" t="s">
        <v>110</v>
      </c>
      <c r="C55" s="31"/>
      <c r="D55" s="87"/>
      <c r="E55" s="87"/>
      <c r="F55" s="88"/>
      <c r="G55" s="89"/>
      <c r="H55" s="71"/>
      <c r="I55" s="31"/>
      <c r="P55" s="50"/>
    </row>
    <row r="56" spans="1:16">
      <c r="A56" s="188"/>
      <c r="B56" s="205"/>
      <c r="C56" s="31"/>
      <c r="D56" s="87"/>
      <c r="E56" s="87"/>
      <c r="F56" s="88"/>
      <c r="G56" s="89"/>
      <c r="H56" s="71"/>
      <c r="I56" s="31"/>
      <c r="P56" s="50"/>
    </row>
    <row r="57" spans="1:16">
      <c r="A57" s="188"/>
      <c r="B57" s="205"/>
      <c r="C57" s="31" t="s">
        <v>111</v>
      </c>
      <c r="D57" s="115" t="e">
        <f>(D47-E47)*D49</f>
        <v>#DIV/0!</v>
      </c>
      <c r="E57" s="87"/>
      <c r="F57" s="88"/>
      <c r="G57" s="89"/>
      <c r="H57" s="71"/>
      <c r="I57" s="31"/>
      <c r="P57" s="50"/>
    </row>
    <row r="58" spans="1:16">
      <c r="A58" s="188"/>
      <c r="B58" s="205"/>
      <c r="C58" s="90" t="s">
        <v>112</v>
      </c>
      <c r="D58" s="116" t="e">
        <f>E47*F49</f>
        <v>#DIV/0!</v>
      </c>
      <c r="E58" s="87"/>
      <c r="F58" s="88"/>
      <c r="G58" s="89"/>
      <c r="H58" s="71"/>
      <c r="I58" s="31"/>
      <c r="P58" s="50"/>
    </row>
    <row r="59" spans="1:16">
      <c r="A59" s="188"/>
      <c r="B59" s="91"/>
      <c r="C59" s="91"/>
      <c r="D59" s="115" t="e">
        <f>SUM(D57:D58)</f>
        <v>#DIV/0!</v>
      </c>
      <c r="E59" s="87"/>
      <c r="F59" s="88"/>
      <c r="G59" s="89"/>
      <c r="H59" s="71"/>
      <c r="I59" s="31"/>
      <c r="P59" s="50"/>
    </row>
    <row r="60" spans="1:16">
      <c r="A60" s="188"/>
      <c r="B60" s="205"/>
      <c r="C60" s="31"/>
      <c r="D60" s="87"/>
      <c r="E60" s="87"/>
      <c r="F60" s="88"/>
      <c r="G60" s="89"/>
      <c r="H60" s="71"/>
      <c r="I60" s="31"/>
      <c r="P60" s="50"/>
    </row>
    <row r="61" spans="1:16">
      <c r="A61" s="86" t="s">
        <v>113</v>
      </c>
      <c r="C61" s="31"/>
      <c r="D61" s="87"/>
      <c r="E61" s="87"/>
      <c r="F61" s="88"/>
      <c r="G61" s="89"/>
      <c r="H61" s="71"/>
      <c r="I61" s="31"/>
      <c r="P61" s="50"/>
    </row>
    <row r="62" spans="1:16">
      <c r="A62" s="188"/>
      <c r="B62" s="205"/>
      <c r="C62" s="31"/>
      <c r="D62" s="87"/>
      <c r="E62" s="87"/>
      <c r="F62" s="88"/>
      <c r="G62" s="89"/>
      <c r="H62" s="71"/>
      <c r="I62" s="31"/>
      <c r="P62" s="50"/>
    </row>
    <row r="63" spans="1:16">
      <c r="A63" s="188"/>
      <c r="B63" s="207" t="s">
        <v>114</v>
      </c>
      <c r="C63" s="31"/>
      <c r="D63" s="87"/>
      <c r="E63" s="87"/>
      <c r="F63" s="88"/>
      <c r="G63" s="89"/>
      <c r="H63" s="71"/>
      <c r="I63" s="31"/>
      <c r="P63" s="50"/>
    </row>
    <row r="64" spans="1:16">
      <c r="A64" s="188"/>
      <c r="B64" s="208"/>
      <c r="C64" s="31"/>
      <c r="D64" s="87"/>
      <c r="E64" s="87"/>
      <c r="F64" s="88"/>
      <c r="G64" s="89"/>
      <c r="H64" s="71"/>
      <c r="I64" s="31"/>
      <c r="P64" s="50"/>
    </row>
    <row r="65" spans="1:16" s="32" customFormat="1" ht="75" customHeight="1">
      <c r="A65" s="525" t="s">
        <v>115</v>
      </c>
      <c r="B65" s="526"/>
      <c r="C65" s="526"/>
      <c r="D65" s="526"/>
      <c r="E65" s="526"/>
      <c r="F65" s="526"/>
      <c r="G65" s="526"/>
      <c r="H65" s="526"/>
      <c r="I65" s="526"/>
      <c r="J65" s="526"/>
      <c r="K65" s="526"/>
      <c r="L65" s="526"/>
      <c r="M65" s="526"/>
      <c r="N65" s="526"/>
      <c r="O65" s="526"/>
      <c r="P65" s="527"/>
    </row>
    <row r="66" spans="1:16">
      <c r="A66" s="188"/>
      <c r="B66" s="70"/>
      <c r="C66" s="70"/>
      <c r="D66" s="70"/>
      <c r="E66" s="70"/>
      <c r="F66" s="70"/>
      <c r="G66" s="70"/>
      <c r="H66" s="70"/>
      <c r="I66" s="70"/>
      <c r="P66" s="50"/>
    </row>
    <row r="67" spans="1:16">
      <c r="A67" s="188"/>
      <c r="B67" s="207" t="s">
        <v>116</v>
      </c>
      <c r="C67" s="31"/>
      <c r="D67" s="87"/>
      <c r="E67" s="87"/>
      <c r="F67" s="88"/>
      <c r="G67" s="89"/>
      <c r="H67" s="71"/>
      <c r="I67" s="31"/>
      <c r="P67" s="50"/>
    </row>
    <row r="68" spans="1:16">
      <c r="A68" s="188"/>
      <c r="B68" s="209"/>
      <c r="C68" s="31"/>
      <c r="D68" s="70"/>
      <c r="E68" s="70"/>
      <c r="F68" s="70"/>
      <c r="G68" s="70"/>
      <c r="H68" s="70"/>
      <c r="I68" s="70"/>
      <c r="P68" s="50"/>
    </row>
    <row r="69" spans="1:16" s="32" customFormat="1" ht="75" customHeight="1">
      <c r="A69" s="525" t="s">
        <v>117</v>
      </c>
      <c r="B69" s="526"/>
      <c r="C69" s="526"/>
      <c r="D69" s="526"/>
      <c r="E69" s="526"/>
      <c r="F69" s="526"/>
      <c r="G69" s="526"/>
      <c r="H69" s="526"/>
      <c r="I69" s="526"/>
      <c r="J69" s="526"/>
      <c r="K69" s="526"/>
      <c r="L69" s="526"/>
      <c r="M69" s="526"/>
      <c r="N69" s="526"/>
      <c r="O69" s="526"/>
      <c r="P69" s="527"/>
    </row>
    <row r="70" spans="1:16" ht="15.75" thickBot="1">
      <c r="A70" s="189"/>
      <c r="B70" s="190"/>
      <c r="C70" s="190"/>
      <c r="D70" s="190"/>
      <c r="E70" s="190"/>
      <c r="F70" s="190"/>
      <c r="G70" s="190"/>
      <c r="H70" s="190"/>
      <c r="I70" s="190"/>
      <c r="J70" s="190"/>
      <c r="K70" s="190"/>
      <c r="L70" s="190"/>
      <c r="M70" s="190"/>
      <c r="N70" s="190"/>
      <c r="O70" s="190"/>
      <c r="P70" s="191"/>
    </row>
    <row r="71" spans="1:16" ht="15.75" thickBot="1"/>
    <row r="72" spans="1:16">
      <c r="A72" s="40"/>
      <c r="B72" s="41"/>
      <c r="C72" s="41"/>
      <c r="D72" s="41"/>
      <c r="E72" s="41"/>
      <c r="F72" s="41"/>
      <c r="G72" s="41"/>
      <c r="H72" s="41"/>
      <c r="I72" s="41"/>
      <c r="J72" s="41"/>
      <c r="K72" s="41"/>
      <c r="L72" s="41"/>
      <c r="M72" s="41"/>
      <c r="N72" s="41"/>
      <c r="O72" s="41"/>
      <c r="P72" s="42"/>
    </row>
    <row r="73" spans="1:16">
      <c r="A73" s="57" t="s">
        <v>118</v>
      </c>
      <c r="C73" s="93"/>
      <c r="D73" s="93"/>
      <c r="E73" s="93"/>
      <c r="F73" s="156"/>
      <c r="G73" s="156"/>
      <c r="H73" s="156"/>
      <c r="P73" s="50"/>
    </row>
    <row r="74" spans="1:16">
      <c r="A74" s="188"/>
      <c r="B74" s="211"/>
      <c r="C74" s="93"/>
      <c r="D74" s="93"/>
      <c r="E74" s="93"/>
      <c r="F74" s="156"/>
      <c r="G74" s="156"/>
      <c r="H74" s="156"/>
      <c r="P74" s="50"/>
    </row>
    <row r="75" spans="1:16">
      <c r="A75" s="188"/>
      <c r="B75" s="94" t="s">
        <v>119</v>
      </c>
      <c r="C75" s="93"/>
      <c r="D75" s="93"/>
      <c r="E75" s="93"/>
      <c r="F75" s="156"/>
      <c r="G75" s="156"/>
      <c r="H75" s="156"/>
      <c r="P75" s="50"/>
    </row>
    <row r="76" spans="1:16" ht="15.75" customHeight="1">
      <c r="A76" s="188"/>
      <c r="B76" s="523" t="s">
        <v>120</v>
      </c>
      <c r="C76" s="523"/>
      <c r="D76" s="523"/>
      <c r="E76" s="523"/>
      <c r="F76" s="523"/>
      <c r="G76" s="523"/>
      <c r="H76" s="523"/>
      <c r="I76" s="523"/>
      <c r="J76" s="523"/>
      <c r="K76" s="523"/>
      <c r="L76" s="523"/>
      <c r="M76" s="523"/>
      <c r="N76" s="523"/>
      <c r="O76" s="523"/>
      <c r="P76" s="524"/>
    </row>
    <row r="77" spans="1:16">
      <c r="A77" s="188"/>
      <c r="P77" s="50"/>
    </row>
    <row r="78" spans="1:16" s="32" customFormat="1" ht="75" customHeight="1">
      <c r="A78" s="525" t="s">
        <v>100</v>
      </c>
      <c r="B78" s="526"/>
      <c r="C78" s="526"/>
      <c r="D78" s="526"/>
      <c r="E78" s="526"/>
      <c r="F78" s="526"/>
      <c r="G78" s="526"/>
      <c r="H78" s="526"/>
      <c r="I78" s="526"/>
      <c r="J78" s="526"/>
      <c r="K78" s="526"/>
      <c r="L78" s="526"/>
      <c r="M78" s="526"/>
      <c r="N78" s="526"/>
      <c r="O78" s="526"/>
      <c r="P78" s="527"/>
    </row>
    <row r="79" spans="1:16" ht="15.75" thickBot="1">
      <c r="A79" s="189"/>
      <c r="B79" s="190"/>
      <c r="C79" s="190"/>
      <c r="D79" s="190"/>
      <c r="E79" s="190"/>
      <c r="F79" s="190"/>
      <c r="G79" s="190"/>
      <c r="H79" s="190"/>
      <c r="I79" s="190"/>
      <c r="J79" s="190"/>
      <c r="K79" s="190"/>
      <c r="L79" s="190"/>
      <c r="M79" s="190"/>
      <c r="N79" s="190"/>
      <c r="O79" s="190"/>
      <c r="P79" s="191"/>
    </row>
  </sheetData>
  <sheetProtection formatCells="0" formatColumns="0" formatRows="0" insertColumns="0" insertRows="0" insertHyperlinks="0" deleteColumns="0" deleteRows="0" sort="0" autoFilter="0" pivotTables="0"/>
  <mergeCells count="25">
    <mergeCell ref="B76:P76"/>
    <mergeCell ref="A65:P65"/>
    <mergeCell ref="A69:P69"/>
    <mergeCell ref="A78:P78"/>
    <mergeCell ref="O8:P8"/>
    <mergeCell ref="A38:P38"/>
    <mergeCell ref="L9:N9"/>
    <mergeCell ref="O9:P9"/>
    <mergeCell ref="H44:I44"/>
    <mergeCell ref="H47:I47"/>
    <mergeCell ref="H46:I46"/>
    <mergeCell ref="A11:P11"/>
    <mergeCell ref="A13:P13"/>
    <mergeCell ref="A14:P14"/>
    <mergeCell ref="A9:C9"/>
    <mergeCell ref="D9:E9"/>
    <mergeCell ref="F9:I9"/>
    <mergeCell ref="J9:K9"/>
    <mergeCell ref="D1:M2"/>
    <mergeCell ref="A3:P5"/>
    <mergeCell ref="E6:L7"/>
    <mergeCell ref="M6:N6"/>
    <mergeCell ref="O6:P6"/>
    <mergeCell ref="M7:N7"/>
    <mergeCell ref="O7:P7"/>
  </mergeCells>
  <dataValidations count="2">
    <dataValidation type="list" showInputMessage="1" showErrorMessage="1" sqref="D9:E9" xr:uid="{00000000-0002-0000-0300-000000000000}">
      <formula1>RAS</formula1>
    </dataValidation>
    <dataValidation type="list" allowBlank="1" showInputMessage="1" showErrorMessage="1" sqref="O9:P9" xr:uid="{00000000-0002-0000-0300-000001000000}">
      <formula1>Diligences</formula1>
    </dataValidation>
  </dataValidations>
  <hyperlinks>
    <hyperlink ref="O8:P8" location="'P Synthèse'!A1" display="P Synthèse" xr:uid="{00000000-0004-0000-0300-000000000000}"/>
  </hyperlinks>
  <printOptions horizontalCentered="1"/>
  <pageMargins left="0.27559055118110237" right="0.27559055118110237" top="0.39370078740157483" bottom="0.39370078740157483" header="0.51181102362204722" footer="0.51181102362204722"/>
  <pageSetup paperSize="9" scale="43"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A1:U109"/>
  <sheetViews>
    <sheetView showGridLines="0" tabSelected="1" topLeftCell="A95" zoomScale="90" zoomScaleNormal="90" workbookViewId="0">
      <selection activeCell="E103" sqref="E103"/>
    </sheetView>
  </sheetViews>
  <sheetFormatPr defaultColWidth="11.42578125" defaultRowHeight="15"/>
  <cols>
    <col min="1" max="3" width="12.42578125" style="27" customWidth="1"/>
    <col min="4" max="4" width="14.7109375" style="27" customWidth="1"/>
    <col min="5" max="5" width="17.28515625" style="27" customWidth="1"/>
    <col min="6" max="6" width="17.7109375" style="27" customWidth="1"/>
    <col min="7" max="7" width="14.7109375" style="27" customWidth="1"/>
    <col min="8" max="8" width="16.42578125" style="27" customWidth="1"/>
    <col min="9" max="9" width="22.28515625" style="27" customWidth="1"/>
    <col min="10" max="16" width="12.42578125" style="27" customWidth="1"/>
    <col min="17" max="17" width="11.42578125" style="27"/>
    <col min="18" max="18" width="0" style="27" hidden="1" customWidth="1"/>
    <col min="19" max="16384" width="11.42578125" style="27"/>
  </cols>
  <sheetData>
    <row r="1" spans="1:21" s="32" customFormat="1" ht="15" customHeight="1">
      <c r="A1" s="11"/>
      <c r="B1" s="12"/>
      <c r="C1" s="12"/>
      <c r="D1" s="497" t="str">
        <f>'P Synthèse'!D1:M2</f>
        <v>#NomClient</v>
      </c>
      <c r="E1" s="498"/>
      <c r="F1" s="498"/>
      <c r="G1" s="498"/>
      <c r="H1" s="498"/>
      <c r="I1" s="498"/>
      <c r="J1" s="498"/>
      <c r="K1" s="498"/>
      <c r="L1" s="498"/>
      <c r="M1" s="499"/>
      <c r="N1" s="12"/>
      <c r="O1" s="12"/>
      <c r="P1" s="13"/>
    </row>
    <row r="2" spans="1:21" s="32" customFormat="1" ht="15" customHeight="1" thickBot="1">
      <c r="A2" s="14"/>
      <c r="B2" s="15"/>
      <c r="C2" s="15"/>
      <c r="D2" s="500"/>
      <c r="E2" s="501"/>
      <c r="F2" s="501"/>
      <c r="G2" s="501"/>
      <c r="H2" s="501"/>
      <c r="I2" s="501"/>
      <c r="J2" s="501"/>
      <c r="K2" s="501"/>
      <c r="L2" s="501"/>
      <c r="M2" s="502"/>
      <c r="N2" s="15"/>
      <c r="O2" s="15"/>
      <c r="P2" s="16"/>
    </row>
    <row r="3" spans="1:21" ht="15" customHeight="1">
      <c r="A3" s="468" t="s">
        <v>3</v>
      </c>
      <c r="B3" s="469"/>
      <c r="C3" s="469"/>
      <c r="D3" s="469"/>
      <c r="E3" s="469"/>
      <c r="F3" s="469"/>
      <c r="G3" s="469"/>
      <c r="H3" s="469"/>
      <c r="I3" s="469"/>
      <c r="J3" s="469"/>
      <c r="K3" s="469"/>
      <c r="L3" s="469"/>
      <c r="M3" s="469"/>
      <c r="N3" s="469"/>
      <c r="O3" s="469"/>
      <c r="P3" s="470"/>
      <c r="R3" s="4"/>
      <c r="T3" s="6"/>
      <c r="U3" s="6"/>
    </row>
    <row r="4" spans="1:21" ht="15" customHeight="1">
      <c r="A4" s="468"/>
      <c r="B4" s="469"/>
      <c r="C4" s="469"/>
      <c r="D4" s="469"/>
      <c r="E4" s="469"/>
      <c r="F4" s="469"/>
      <c r="G4" s="469"/>
      <c r="H4" s="469"/>
      <c r="I4" s="469"/>
      <c r="J4" s="469"/>
      <c r="K4" s="469"/>
      <c r="L4" s="469"/>
      <c r="M4" s="469"/>
      <c r="N4" s="469"/>
      <c r="O4" s="469"/>
      <c r="P4" s="470"/>
      <c r="R4" s="4"/>
      <c r="T4" s="6"/>
      <c r="U4" s="6"/>
    </row>
    <row r="5" spans="1:21" ht="15" customHeight="1" thickBot="1">
      <c r="A5" s="471"/>
      <c r="B5" s="472"/>
      <c r="C5" s="472"/>
      <c r="D5" s="472"/>
      <c r="E5" s="472"/>
      <c r="F5" s="472"/>
      <c r="G5" s="472"/>
      <c r="H5" s="472"/>
      <c r="I5" s="472"/>
      <c r="J5" s="472"/>
      <c r="K5" s="472"/>
      <c r="L5" s="472"/>
      <c r="M5" s="472"/>
      <c r="N5" s="472"/>
      <c r="O5" s="472"/>
      <c r="P5" s="473"/>
      <c r="Q5" s="4"/>
      <c r="R5" s="33"/>
      <c r="S5" s="34"/>
      <c r="T5" s="34"/>
      <c r="U5" s="34"/>
    </row>
    <row r="6" spans="1:21" ht="15" customHeight="1">
      <c r="A6" s="18" t="s">
        <v>6</v>
      </c>
      <c r="B6" s="192" t="str">
        <f>'P Synthèse'!B6</f>
        <v>BRA</v>
      </c>
      <c r="C6" s="18" t="s">
        <v>8</v>
      </c>
      <c r="D6" s="192">
        <f>'P Synthèse'!D6</f>
        <v>0</v>
      </c>
      <c r="E6" s="489" t="s">
        <v>32</v>
      </c>
      <c r="F6" s="490"/>
      <c r="G6" s="490"/>
      <c r="H6" s="490"/>
      <c r="I6" s="490"/>
      <c r="J6" s="490"/>
      <c r="K6" s="490"/>
      <c r="L6" s="491"/>
      <c r="M6" s="503" t="s">
        <v>10</v>
      </c>
      <c r="N6" s="504"/>
      <c r="O6" s="478" t="s">
        <v>11</v>
      </c>
      <c r="P6" s="479"/>
      <c r="R6" s="32"/>
      <c r="S6" s="32"/>
    </row>
    <row r="7" spans="1:21" ht="15" customHeight="1" thickBot="1">
      <c r="A7" s="19" t="s">
        <v>13</v>
      </c>
      <c r="B7" s="184">
        <f>'P Synthèse'!B7</f>
        <v>0</v>
      </c>
      <c r="C7" s="19" t="s">
        <v>13</v>
      </c>
      <c r="D7" s="184">
        <f>'P Synthèse'!D7</f>
        <v>0</v>
      </c>
      <c r="E7" s="492"/>
      <c r="F7" s="493"/>
      <c r="G7" s="493"/>
      <c r="H7" s="493"/>
      <c r="I7" s="493"/>
      <c r="J7" s="493"/>
      <c r="K7" s="493"/>
      <c r="L7" s="494"/>
      <c r="M7" s="505" t="str">
        <f>'P Synthèse'!M7:M7</f>
        <v>#date de clôture</v>
      </c>
      <c r="N7" s="506"/>
      <c r="O7" s="480" t="s">
        <v>31</v>
      </c>
      <c r="P7" s="481"/>
    </row>
    <row r="8" spans="1:21" ht="21" customHeight="1" thickBot="1">
      <c r="A8" s="20"/>
      <c r="B8" s="35"/>
      <c r="C8" s="21"/>
      <c r="D8" s="21"/>
      <c r="E8" s="36"/>
      <c r="F8" s="36"/>
      <c r="G8" s="36"/>
      <c r="H8" s="36"/>
      <c r="I8" s="36"/>
      <c r="J8" s="36"/>
      <c r="K8" s="36"/>
      <c r="L8" s="36"/>
      <c r="M8" s="23"/>
      <c r="N8" s="21"/>
      <c r="O8" s="515" t="s">
        <v>49</v>
      </c>
      <c r="P8" s="515"/>
    </row>
    <row r="9" spans="1:21" s="21" customFormat="1" ht="31.5" customHeight="1" thickBot="1">
      <c r="A9" s="482" t="s">
        <v>18</v>
      </c>
      <c r="B9" s="483"/>
      <c r="C9" s="483"/>
      <c r="D9" s="519" t="str">
        <f>'P Synthèse'!D9:E9</f>
        <v>Faible</v>
      </c>
      <c r="E9" s="520"/>
      <c r="F9" s="474" t="s">
        <v>19</v>
      </c>
      <c r="G9" s="475"/>
      <c r="H9" s="475"/>
      <c r="I9" s="475"/>
      <c r="J9" s="521">
        <f>'P Synthèse'!J9:K9</f>
        <v>0</v>
      </c>
      <c r="K9" s="522"/>
      <c r="L9" s="474" t="s">
        <v>20</v>
      </c>
      <c r="M9" s="475"/>
      <c r="N9" s="475"/>
      <c r="O9" s="519" t="str">
        <f>'P Synthèse'!N9</f>
        <v>PB</v>
      </c>
      <c r="P9" s="520"/>
    </row>
    <row r="10" spans="1:21" s="21" customFormat="1" ht="21" customHeight="1" thickBot="1">
      <c r="A10" s="26"/>
      <c r="B10" s="26"/>
      <c r="C10" s="26"/>
      <c r="D10" s="26"/>
      <c r="E10" s="26"/>
      <c r="F10" s="26"/>
      <c r="G10" s="26"/>
      <c r="H10" s="26"/>
      <c r="I10" s="26"/>
      <c r="J10" s="26"/>
      <c r="K10" s="26"/>
      <c r="L10" s="26"/>
      <c r="M10" s="26"/>
      <c r="N10" s="26"/>
      <c r="O10" s="26"/>
      <c r="P10" s="26"/>
    </row>
    <row r="11" spans="1:21" ht="168.75" customHeight="1" thickBot="1">
      <c r="A11" s="516" t="s">
        <v>121</v>
      </c>
      <c r="B11" s="517"/>
      <c r="C11" s="517"/>
      <c r="D11" s="517"/>
      <c r="E11" s="517"/>
      <c r="F11" s="517"/>
      <c r="G11" s="517"/>
      <c r="H11" s="517"/>
      <c r="I11" s="517"/>
      <c r="J11" s="517"/>
      <c r="K11" s="517"/>
      <c r="L11" s="517"/>
      <c r="M11" s="517"/>
      <c r="N11" s="517"/>
      <c r="O11" s="517"/>
      <c r="P11" s="518"/>
    </row>
    <row r="12" spans="1:21" ht="9" customHeight="1" thickBot="1"/>
    <row r="13" spans="1:21">
      <c r="A13" s="453" t="s">
        <v>51</v>
      </c>
      <c r="B13" s="454"/>
      <c r="C13" s="454"/>
      <c r="D13" s="454"/>
      <c r="E13" s="454"/>
      <c r="F13" s="454"/>
      <c r="G13" s="454"/>
      <c r="H13" s="454"/>
      <c r="I13" s="454"/>
      <c r="J13" s="454"/>
      <c r="K13" s="454"/>
      <c r="L13" s="454"/>
      <c r="M13" s="454"/>
      <c r="N13" s="454"/>
      <c r="O13" s="454"/>
      <c r="P13" s="455"/>
    </row>
    <row r="14" spans="1:21" ht="60" customHeight="1" thickBot="1">
      <c r="A14" s="535"/>
      <c r="B14" s="536"/>
      <c r="C14" s="536"/>
      <c r="D14" s="536"/>
      <c r="E14" s="536"/>
      <c r="F14" s="536"/>
      <c r="G14" s="536"/>
      <c r="H14" s="536"/>
      <c r="I14" s="536"/>
      <c r="J14" s="536"/>
      <c r="K14" s="536"/>
      <c r="L14" s="536"/>
      <c r="M14" s="536"/>
      <c r="N14" s="536"/>
      <c r="O14" s="536"/>
      <c r="P14" s="537"/>
    </row>
    <row r="15" spans="1:21" ht="15.75" thickBot="1"/>
    <row r="16" spans="1:21">
      <c r="A16" s="40"/>
      <c r="B16" s="41"/>
      <c r="C16" s="41"/>
      <c r="D16" s="41"/>
      <c r="E16" s="41"/>
      <c r="F16" s="41"/>
      <c r="G16" s="41"/>
      <c r="H16" s="41"/>
      <c r="I16" s="41"/>
      <c r="J16" s="41"/>
      <c r="K16" s="41"/>
      <c r="L16" s="41"/>
      <c r="M16" s="41"/>
      <c r="N16" s="41"/>
      <c r="O16" s="41"/>
      <c r="P16" s="42"/>
    </row>
    <row r="17" spans="1:16">
      <c r="A17" s="118" t="s">
        <v>122</v>
      </c>
      <c r="B17" s="31"/>
      <c r="C17" s="31"/>
      <c r="D17" s="31"/>
      <c r="E17" s="31"/>
      <c r="F17" s="31"/>
      <c r="G17" s="31"/>
      <c r="H17" s="31"/>
      <c r="P17" s="50"/>
    </row>
    <row r="18" spans="1:16">
      <c r="A18" s="212"/>
      <c r="B18" s="31"/>
      <c r="C18" s="31"/>
      <c r="D18" s="31"/>
      <c r="E18" s="31"/>
      <c r="F18" s="31"/>
      <c r="G18" s="31"/>
      <c r="H18" s="31"/>
      <c r="P18" s="50"/>
    </row>
    <row r="19" spans="1:16">
      <c r="A19" s="213" t="s">
        <v>123</v>
      </c>
      <c r="B19" s="31"/>
      <c r="C19" s="70"/>
      <c r="D19" s="70"/>
      <c r="E19" s="70"/>
      <c r="F19" s="70"/>
      <c r="G19" s="70"/>
      <c r="H19" s="70"/>
      <c r="P19" s="50"/>
    </row>
    <row r="20" spans="1:16">
      <c r="A20" s="213" t="s">
        <v>124</v>
      </c>
      <c r="B20" s="31"/>
      <c r="C20" s="70"/>
      <c r="D20" s="70"/>
      <c r="E20" s="70"/>
      <c r="F20" s="70"/>
      <c r="G20" s="70"/>
      <c r="H20" s="70"/>
      <c r="P20" s="50"/>
    </row>
    <row r="21" spans="1:16">
      <c r="A21" s="213" t="s">
        <v>125</v>
      </c>
      <c r="P21" s="50"/>
    </row>
    <row r="22" spans="1:16">
      <c r="A22" s="188"/>
      <c r="P22" s="50"/>
    </row>
    <row r="23" spans="1:16" s="32" customFormat="1" ht="75" customHeight="1">
      <c r="A23" s="528" t="s">
        <v>100</v>
      </c>
      <c r="B23" s="529"/>
      <c r="C23" s="529"/>
      <c r="D23" s="529"/>
      <c r="E23" s="529"/>
      <c r="F23" s="529"/>
      <c r="G23" s="529"/>
      <c r="H23" s="529"/>
      <c r="I23" s="529"/>
      <c r="J23" s="529"/>
      <c r="K23" s="529"/>
      <c r="L23" s="529"/>
      <c r="M23" s="529"/>
      <c r="N23" s="529"/>
      <c r="O23" s="529"/>
      <c r="P23" s="530"/>
    </row>
    <row r="24" spans="1:16" ht="15.75" thickBot="1">
      <c r="A24" s="189"/>
      <c r="B24" s="190"/>
      <c r="C24" s="190"/>
      <c r="D24" s="190"/>
      <c r="E24" s="190"/>
      <c r="F24" s="190"/>
      <c r="G24" s="190"/>
      <c r="H24" s="190"/>
      <c r="I24" s="190"/>
      <c r="J24" s="190"/>
      <c r="K24" s="190"/>
      <c r="L24" s="190"/>
      <c r="M24" s="190"/>
      <c r="N24" s="190"/>
      <c r="O24" s="190"/>
      <c r="P24" s="191"/>
    </row>
    <row r="25" spans="1:16" ht="15.75" thickBot="1"/>
    <row r="26" spans="1:16">
      <c r="A26" s="40"/>
      <c r="B26" s="41"/>
      <c r="C26" s="41"/>
      <c r="D26" s="41"/>
      <c r="E26" s="41"/>
      <c r="F26" s="41"/>
      <c r="G26" s="41"/>
      <c r="H26" s="41"/>
      <c r="I26" s="41"/>
      <c r="J26" s="41"/>
      <c r="K26" s="41"/>
      <c r="L26" s="41"/>
      <c r="M26" s="41"/>
      <c r="N26" s="41"/>
      <c r="O26" s="41"/>
      <c r="P26" s="42"/>
    </row>
    <row r="27" spans="1:16">
      <c r="A27" s="118" t="s">
        <v>126</v>
      </c>
      <c r="B27" s="31"/>
      <c r="C27" s="31"/>
      <c r="D27" s="31"/>
      <c r="E27" s="31"/>
      <c r="F27" s="31"/>
      <c r="G27" s="31"/>
      <c r="H27" s="31"/>
      <c r="P27" s="50"/>
    </row>
    <row r="28" spans="1:16">
      <c r="A28" s="118"/>
      <c r="B28" s="31"/>
      <c r="C28" s="31"/>
      <c r="D28" s="31"/>
      <c r="E28" s="31"/>
      <c r="F28" s="31"/>
      <c r="G28" s="31"/>
      <c r="H28" s="31"/>
      <c r="P28" s="50"/>
    </row>
    <row r="29" spans="1:16">
      <c r="A29" s="188"/>
      <c r="B29" s="214"/>
      <c r="D29" s="59" t="s">
        <v>91</v>
      </c>
      <c r="E29" s="60" t="s">
        <v>93</v>
      </c>
      <c r="F29" s="60" t="s">
        <v>127</v>
      </c>
      <c r="G29" s="61" t="s">
        <v>128</v>
      </c>
      <c r="H29" s="543" t="s">
        <v>129</v>
      </c>
      <c r="I29" s="544"/>
      <c r="J29" s="544"/>
      <c r="K29" s="544"/>
      <c r="L29" s="544"/>
      <c r="M29" s="545"/>
      <c r="P29" s="50"/>
    </row>
    <row r="30" spans="1:16">
      <c r="A30" s="541" t="s">
        <v>130</v>
      </c>
      <c r="B30" s="539"/>
      <c r="C30" s="540"/>
      <c r="D30" s="119"/>
      <c r="E30" s="120"/>
      <c r="F30" s="121">
        <f>+D30-E30</f>
        <v>0</v>
      </c>
      <c r="G30" s="122" t="e">
        <f>+F30/E30</f>
        <v>#DIV/0!</v>
      </c>
      <c r="H30" s="546"/>
      <c r="I30" s="547"/>
      <c r="J30" s="547"/>
      <c r="K30" s="547"/>
      <c r="L30" s="547"/>
      <c r="M30" s="548"/>
      <c r="P30" s="50"/>
    </row>
    <row r="31" spans="1:16">
      <c r="A31" s="188"/>
      <c r="B31" s="82"/>
      <c r="D31" s="83"/>
      <c r="E31" s="83"/>
      <c r="F31" s="83"/>
      <c r="G31" s="123"/>
      <c r="H31" s="31"/>
      <c r="I31" s="31"/>
      <c r="P31" s="50"/>
    </row>
    <row r="32" spans="1:16">
      <c r="A32" s="188"/>
      <c r="B32" s="214"/>
      <c r="C32" s="542" t="s">
        <v>131</v>
      </c>
      <c r="D32" s="542"/>
      <c r="E32" s="542"/>
      <c r="F32" s="215"/>
      <c r="G32" s="31"/>
      <c r="H32" s="31"/>
      <c r="I32" s="31"/>
      <c r="P32" s="50"/>
    </row>
    <row r="33" spans="1:16">
      <c r="A33" s="188"/>
      <c r="B33" s="214"/>
      <c r="D33" s="56"/>
      <c r="E33" s="56"/>
      <c r="F33" s="125"/>
      <c r="G33" s="31"/>
      <c r="H33" s="31"/>
      <c r="I33" s="31"/>
      <c r="P33" s="50"/>
    </row>
    <row r="34" spans="1:16">
      <c r="A34" s="188"/>
      <c r="B34" s="214"/>
      <c r="D34" s="124"/>
      <c r="E34" s="124" t="s">
        <v>132</v>
      </c>
      <c r="F34" s="216">
        <f>+F32-F30</f>
        <v>0</v>
      </c>
      <c r="G34" s="31"/>
      <c r="H34" s="31"/>
      <c r="I34" s="31"/>
      <c r="P34" s="50"/>
    </row>
    <row r="35" spans="1:16">
      <c r="A35" s="188"/>
      <c r="B35" s="214"/>
      <c r="D35" s="124"/>
      <c r="E35" s="56"/>
      <c r="F35" s="125"/>
      <c r="G35" s="31"/>
      <c r="H35" s="31"/>
      <c r="I35" s="31"/>
      <c r="P35" s="50"/>
    </row>
    <row r="36" spans="1:16">
      <c r="A36" s="188"/>
      <c r="B36" s="214"/>
      <c r="D36" s="59" t="s">
        <v>91</v>
      </c>
      <c r="E36" s="60" t="s">
        <v>93</v>
      </c>
      <c r="F36" s="60" t="s">
        <v>127</v>
      </c>
      <c r="G36" s="61" t="s">
        <v>128</v>
      </c>
      <c r="H36" s="549" t="s">
        <v>129</v>
      </c>
      <c r="I36" s="550"/>
      <c r="J36" s="550"/>
      <c r="K36" s="550"/>
      <c r="L36" s="550"/>
      <c r="M36" s="551"/>
      <c r="P36" s="50"/>
    </row>
    <row r="37" spans="1:16">
      <c r="A37" s="541" t="s">
        <v>133</v>
      </c>
      <c r="B37" s="539"/>
      <c r="C37" s="540"/>
      <c r="D37" s="119"/>
      <c r="E37" s="120"/>
      <c r="F37" s="121">
        <f>+D37-E37</f>
        <v>0</v>
      </c>
      <c r="G37" s="122" t="e">
        <f>+F37/E37</f>
        <v>#DIV/0!</v>
      </c>
      <c r="H37" s="546"/>
      <c r="I37" s="547"/>
      <c r="J37" s="547"/>
      <c r="K37" s="547"/>
      <c r="L37" s="547"/>
      <c r="M37" s="548"/>
      <c r="P37" s="50"/>
    </row>
    <row r="38" spans="1:16">
      <c r="A38" s="188"/>
      <c r="B38" s="82"/>
      <c r="C38" s="83"/>
      <c r="D38" s="83"/>
      <c r="E38" s="83"/>
      <c r="F38" s="123"/>
      <c r="G38" s="31"/>
      <c r="H38" s="31"/>
      <c r="P38" s="50"/>
    </row>
    <row r="39" spans="1:16">
      <c r="A39" s="188"/>
      <c r="C39" s="542" t="s">
        <v>131</v>
      </c>
      <c r="D39" s="542"/>
      <c r="E39" s="542"/>
      <c r="F39" s="215"/>
      <c r="G39" s="31"/>
      <c r="H39" s="31"/>
      <c r="P39" s="50"/>
    </row>
    <row r="40" spans="1:16">
      <c r="A40" s="188"/>
      <c r="C40" s="214"/>
      <c r="D40" s="56"/>
      <c r="E40" s="56"/>
      <c r="F40" s="125"/>
      <c r="G40" s="31"/>
      <c r="H40" s="31"/>
      <c r="P40" s="50"/>
    </row>
    <row r="41" spans="1:16">
      <c r="A41" s="188"/>
      <c r="C41" s="214"/>
      <c r="D41" s="31"/>
      <c r="E41" s="124" t="s">
        <v>132</v>
      </c>
      <c r="F41" s="216">
        <f>+F39-F37</f>
        <v>0</v>
      </c>
      <c r="G41" s="31"/>
      <c r="H41" s="31"/>
      <c r="P41" s="50"/>
    </row>
    <row r="42" spans="1:16">
      <c r="A42" s="118"/>
      <c r="B42" s="124"/>
      <c r="C42" s="56"/>
      <c r="D42" s="125"/>
      <c r="E42" s="31"/>
      <c r="F42" s="31"/>
      <c r="G42" s="31"/>
      <c r="H42" s="31"/>
      <c r="P42" s="50"/>
    </row>
    <row r="43" spans="1:16">
      <c r="A43" s="54" t="s">
        <v>134</v>
      </c>
      <c r="B43" s="31"/>
      <c r="C43" s="56"/>
      <c r="D43" s="126"/>
      <c r="E43" s="31"/>
      <c r="F43" s="31"/>
      <c r="G43" s="31"/>
      <c r="H43" s="31"/>
      <c r="P43" s="50"/>
    </row>
    <row r="44" spans="1:16">
      <c r="A44" s="188"/>
      <c r="B44" s="127"/>
      <c r="E44" s="31"/>
      <c r="F44" s="31"/>
      <c r="G44" s="31"/>
      <c r="H44" s="31"/>
      <c r="P44" s="50"/>
    </row>
    <row r="45" spans="1:16">
      <c r="A45" s="188"/>
      <c r="B45" s="82"/>
      <c r="E45" s="31"/>
      <c r="F45" s="128" t="s">
        <v>91</v>
      </c>
      <c r="G45" s="31"/>
      <c r="H45" s="31"/>
      <c r="P45" s="50"/>
    </row>
    <row r="46" spans="1:16">
      <c r="A46" s="188"/>
      <c r="C46" s="539" t="s">
        <v>130</v>
      </c>
      <c r="D46" s="539"/>
      <c r="E46" s="540"/>
      <c r="F46" s="129">
        <f>+D30</f>
        <v>0</v>
      </c>
      <c r="G46" s="31"/>
      <c r="H46" s="31"/>
      <c r="P46" s="50"/>
    </row>
    <row r="47" spans="1:16">
      <c r="A47" s="188"/>
      <c r="C47" s="539" t="s">
        <v>135</v>
      </c>
      <c r="D47" s="539"/>
      <c r="E47" s="540"/>
      <c r="F47" s="130" t="e">
        <f>'P200 Revue ana charges perso'!E34</f>
        <v>#DIV/0!</v>
      </c>
      <c r="G47" s="31"/>
      <c r="H47" s="31"/>
      <c r="P47" s="50"/>
    </row>
    <row r="48" spans="1:16">
      <c r="A48" s="188"/>
      <c r="C48" s="82"/>
      <c r="E48" s="31"/>
      <c r="F48" s="123"/>
      <c r="G48" s="31"/>
      <c r="H48" s="31"/>
      <c r="P48" s="50"/>
    </row>
    <row r="49" spans="1:18">
      <c r="A49" s="188"/>
      <c r="C49" s="538" t="s">
        <v>136</v>
      </c>
      <c r="D49" s="538"/>
      <c r="E49" s="538"/>
      <c r="F49" s="131" t="e">
        <f>+F46*F47</f>
        <v>#DIV/0!</v>
      </c>
      <c r="G49" s="31"/>
      <c r="H49" s="31"/>
      <c r="P49" s="50"/>
    </row>
    <row r="50" spans="1:18">
      <c r="A50" s="188"/>
      <c r="C50" s="159"/>
      <c r="E50" s="31"/>
      <c r="F50" s="132"/>
      <c r="G50" s="31"/>
      <c r="H50" s="31"/>
      <c r="P50" s="50"/>
    </row>
    <row r="51" spans="1:18">
      <c r="A51" s="188"/>
      <c r="C51" s="538" t="s">
        <v>137</v>
      </c>
      <c r="D51" s="538"/>
      <c r="E51" s="538"/>
      <c r="F51" s="131">
        <f>+D37</f>
        <v>0</v>
      </c>
      <c r="G51" s="31"/>
      <c r="H51" s="31"/>
      <c r="P51" s="50"/>
    </row>
    <row r="52" spans="1:18">
      <c r="A52" s="188"/>
      <c r="C52" s="159"/>
      <c r="E52" s="31"/>
      <c r="F52" s="132"/>
      <c r="G52" s="31"/>
      <c r="H52" s="31"/>
      <c r="P52" s="50"/>
    </row>
    <row r="53" spans="1:18">
      <c r="A53" s="188"/>
      <c r="C53" s="538" t="s">
        <v>132</v>
      </c>
      <c r="D53" s="538"/>
      <c r="E53" s="538"/>
      <c r="F53" s="131" t="e">
        <f>+F51-F49</f>
        <v>#DIV/0!</v>
      </c>
      <c r="G53" s="31"/>
      <c r="H53" s="31"/>
      <c r="P53" s="50"/>
    </row>
    <row r="54" spans="1:18">
      <c r="A54" s="118"/>
      <c r="B54" s="133"/>
      <c r="C54" s="31"/>
      <c r="D54" s="31"/>
      <c r="E54" s="31"/>
      <c r="F54" s="31"/>
      <c r="G54" s="31"/>
      <c r="H54" s="31"/>
      <c r="P54" s="50"/>
    </row>
    <row r="55" spans="1:18">
      <c r="A55" s="57"/>
      <c r="B55" s="31"/>
      <c r="C55" s="31"/>
      <c r="D55" s="31"/>
      <c r="E55" s="31"/>
      <c r="F55" s="31"/>
      <c r="G55" s="31"/>
      <c r="H55" s="31"/>
      <c r="P55" s="50"/>
    </row>
    <row r="56" spans="1:18" s="32" customFormat="1" ht="75" customHeight="1">
      <c r="A56" s="528" t="s">
        <v>100</v>
      </c>
      <c r="B56" s="529"/>
      <c r="C56" s="529"/>
      <c r="D56" s="529"/>
      <c r="E56" s="529"/>
      <c r="F56" s="529"/>
      <c r="G56" s="529"/>
      <c r="H56" s="529"/>
      <c r="I56" s="529"/>
      <c r="J56" s="529"/>
      <c r="K56" s="529"/>
      <c r="L56" s="529"/>
      <c r="M56" s="529"/>
      <c r="N56" s="529"/>
      <c r="O56" s="529"/>
      <c r="P56" s="530"/>
    </row>
    <row r="57" spans="1:18" ht="15.75" thickBot="1">
      <c r="A57" s="189"/>
      <c r="B57" s="190"/>
      <c r="C57" s="190"/>
      <c r="D57" s="190"/>
      <c r="E57" s="190"/>
      <c r="F57" s="190"/>
      <c r="G57" s="190"/>
      <c r="H57" s="190"/>
      <c r="I57" s="190"/>
      <c r="J57" s="190"/>
      <c r="K57" s="190"/>
      <c r="L57" s="190"/>
      <c r="M57" s="190"/>
      <c r="N57" s="190"/>
      <c r="O57" s="190"/>
      <c r="P57" s="191"/>
    </row>
    <row r="58" spans="1:18" ht="15.75" thickBot="1"/>
    <row r="59" spans="1:18">
      <c r="A59" s="40"/>
      <c r="B59" s="41"/>
      <c r="C59" s="41"/>
      <c r="D59" s="41"/>
      <c r="E59" s="41"/>
      <c r="F59" s="41"/>
      <c r="G59" s="41"/>
      <c r="H59" s="41"/>
      <c r="I59" s="41"/>
      <c r="J59" s="41"/>
      <c r="K59" s="41"/>
      <c r="L59" s="41"/>
      <c r="M59" s="41"/>
      <c r="N59" s="41"/>
      <c r="O59" s="41"/>
      <c r="P59" s="42"/>
    </row>
    <row r="60" spans="1:18">
      <c r="A60" s="51" t="s">
        <v>138</v>
      </c>
      <c r="B60" s="31"/>
      <c r="C60" s="31"/>
      <c r="D60" s="134"/>
      <c r="E60" s="31"/>
      <c r="F60" s="31"/>
      <c r="G60" s="31"/>
      <c r="H60" s="31"/>
      <c r="P60" s="50"/>
    </row>
    <row r="61" spans="1:18">
      <c r="A61" s="135"/>
      <c r="B61" s="133"/>
      <c r="C61" s="58"/>
      <c r="D61" s="31"/>
      <c r="E61" s="31"/>
      <c r="F61" s="31"/>
      <c r="G61" s="31"/>
      <c r="H61" s="31"/>
      <c r="P61" s="50"/>
    </row>
    <row r="62" spans="1:18">
      <c r="A62" s="188"/>
      <c r="C62" s="552"/>
      <c r="D62" s="552"/>
      <c r="E62" s="552"/>
      <c r="F62" s="553"/>
      <c r="G62" s="410" t="s">
        <v>103</v>
      </c>
      <c r="H62" s="411" t="s">
        <v>102</v>
      </c>
      <c r="I62" s="31"/>
      <c r="P62" s="50"/>
    </row>
    <row r="63" spans="1:18">
      <c r="A63" s="188"/>
      <c r="C63" s="361" t="s">
        <v>139</v>
      </c>
      <c r="D63" s="362"/>
      <c r="E63" s="362"/>
      <c r="F63" s="363"/>
      <c r="G63" s="375"/>
      <c r="H63" s="383"/>
      <c r="I63" s="114"/>
      <c r="P63" s="50"/>
      <c r="R63" s="27">
        <v>21.67</v>
      </c>
    </row>
    <row r="64" spans="1:18">
      <c r="A64" s="188"/>
      <c r="C64" s="364" t="s">
        <v>140</v>
      </c>
      <c r="D64" s="365"/>
      <c r="E64" s="365"/>
      <c r="F64" s="366"/>
      <c r="G64" s="382"/>
      <c r="H64" s="384"/>
      <c r="I64" s="136"/>
      <c r="P64" s="50"/>
      <c r="R64" s="27">
        <v>26</v>
      </c>
    </row>
    <row r="65" spans="1:16">
      <c r="A65" s="188"/>
      <c r="C65" s="364" t="s">
        <v>141</v>
      </c>
      <c r="D65" s="365"/>
      <c r="E65" s="365"/>
      <c r="F65" s="366"/>
      <c r="G65" s="381" t="e">
        <f>+G64/G63</f>
        <v>#DIV/0!</v>
      </c>
      <c r="H65" s="385" t="e">
        <f>+H64/H63</f>
        <v>#DIV/0!</v>
      </c>
      <c r="I65" s="31"/>
      <c r="P65" s="50"/>
    </row>
    <row r="66" spans="1:16">
      <c r="A66" s="188"/>
      <c r="C66" s="364" t="s">
        <v>142</v>
      </c>
      <c r="D66" s="365"/>
      <c r="E66" s="365"/>
      <c r="F66" s="366"/>
      <c r="G66" s="380">
        <v>21.67</v>
      </c>
      <c r="H66" s="386">
        <v>21.67</v>
      </c>
      <c r="I66" s="217" t="s">
        <v>143</v>
      </c>
      <c r="P66" s="50"/>
    </row>
    <row r="67" spans="1:16">
      <c r="A67" s="188"/>
      <c r="C67" s="364" t="s">
        <v>144</v>
      </c>
      <c r="D67" s="365"/>
      <c r="E67" s="365"/>
      <c r="F67" s="366"/>
      <c r="G67" s="381" t="e">
        <f>+G65/G66</f>
        <v>#DIV/0!</v>
      </c>
      <c r="H67" s="385" t="e">
        <f>+H65/H66</f>
        <v>#DIV/0!</v>
      </c>
      <c r="I67" s="31"/>
      <c r="P67" s="50"/>
    </row>
    <row r="68" spans="1:16">
      <c r="A68" s="188"/>
      <c r="C68" s="364" t="s">
        <v>145</v>
      </c>
      <c r="D68" s="365"/>
      <c r="E68" s="365"/>
      <c r="F68" s="366"/>
      <c r="G68" s="382"/>
      <c r="H68" s="384"/>
      <c r="I68" s="217"/>
      <c r="P68" s="50"/>
    </row>
    <row r="69" spans="1:16">
      <c r="A69" s="188"/>
      <c r="C69" s="367" t="s">
        <v>146</v>
      </c>
      <c r="D69" s="368"/>
      <c r="E69" s="368"/>
      <c r="F69" s="369"/>
      <c r="G69" s="379" t="e">
        <f>G68/G63</f>
        <v>#DIV/0!</v>
      </c>
      <c r="H69" s="387" t="e">
        <f>H68/H63</f>
        <v>#DIV/0!</v>
      </c>
      <c r="I69" s="217"/>
      <c r="P69" s="50"/>
    </row>
    <row r="70" spans="1:16">
      <c r="A70" s="188"/>
      <c r="C70" s="370"/>
      <c r="D70" s="370"/>
      <c r="E70" s="370"/>
      <c r="F70" s="371"/>
      <c r="G70" s="378" t="s">
        <v>147</v>
      </c>
      <c r="H70" s="378" t="s">
        <v>143</v>
      </c>
      <c r="I70" s="137"/>
      <c r="P70" s="50"/>
    </row>
    <row r="71" spans="1:16">
      <c r="A71" s="188"/>
      <c r="C71" s="372" t="s">
        <v>148</v>
      </c>
      <c r="D71" s="373"/>
      <c r="E71" s="373"/>
      <c r="F71" s="374"/>
      <c r="G71" s="377"/>
      <c r="H71" s="389"/>
      <c r="I71" s="138"/>
      <c r="P71" s="50"/>
    </row>
    <row r="72" spans="1:16">
      <c r="A72" s="188"/>
      <c r="C72" s="342" t="s">
        <v>149</v>
      </c>
      <c r="D72" s="343"/>
      <c r="E72" s="343"/>
      <c r="F72" s="350"/>
      <c r="G72" s="376" t="e">
        <f>((G68+G71)*G67*G63)</f>
        <v>#DIV/0!</v>
      </c>
      <c r="H72" s="388" t="e">
        <f>((H68+H71)*H67*H63)</f>
        <v>#DIV/0!</v>
      </c>
      <c r="I72" s="218" t="e">
        <f>+H72+G72</f>
        <v>#DIV/0!</v>
      </c>
      <c r="P72" s="50"/>
    </row>
    <row r="73" spans="1:16">
      <c r="A73" s="188"/>
      <c r="C73" s="31"/>
      <c r="G73" s="219"/>
      <c r="H73" s="219"/>
      <c r="I73" s="132"/>
      <c r="P73" s="50"/>
    </row>
    <row r="74" spans="1:16">
      <c r="A74" s="188"/>
      <c r="C74" s="31"/>
      <c r="H74" s="139" t="s">
        <v>150</v>
      </c>
      <c r="I74" s="220"/>
      <c r="P74" s="50"/>
    </row>
    <row r="75" spans="1:16">
      <c r="A75" s="188"/>
      <c r="C75" s="31"/>
      <c r="G75" s="139"/>
      <c r="H75" s="139"/>
      <c r="I75" s="132"/>
      <c r="P75" s="50"/>
    </row>
    <row r="76" spans="1:16">
      <c r="A76" s="188"/>
      <c r="C76" s="31"/>
      <c r="G76" s="39"/>
      <c r="H76" s="124" t="s">
        <v>132</v>
      </c>
      <c r="I76" s="131" t="e">
        <f>+I72-I74</f>
        <v>#DIV/0!</v>
      </c>
      <c r="P76" s="50"/>
    </row>
    <row r="77" spans="1:16">
      <c r="A77" s="37"/>
      <c r="B77" s="39"/>
      <c r="C77" s="39"/>
      <c r="D77" s="31"/>
      <c r="E77" s="31"/>
      <c r="F77" s="31"/>
      <c r="G77" s="31"/>
      <c r="H77" s="31"/>
      <c r="P77" s="50"/>
    </row>
    <row r="78" spans="1:16">
      <c r="A78" s="37" t="s">
        <v>151</v>
      </c>
      <c r="B78" s="39"/>
      <c r="C78" s="39"/>
      <c r="D78" s="31"/>
      <c r="E78" s="31"/>
      <c r="F78" s="31"/>
      <c r="G78" s="31"/>
      <c r="H78" s="31"/>
      <c r="P78" s="50"/>
    </row>
    <row r="79" spans="1:16">
      <c r="A79" s="37"/>
      <c r="B79" s="39"/>
      <c r="C79" s="39"/>
      <c r="D79" s="31"/>
      <c r="E79" s="31"/>
      <c r="F79" s="31"/>
      <c r="G79" s="31"/>
      <c r="H79" s="31"/>
      <c r="P79" s="50"/>
    </row>
    <row r="80" spans="1:16">
      <c r="A80" s="557" t="s">
        <v>152</v>
      </c>
      <c r="B80" s="558"/>
      <c r="C80" s="558"/>
      <c r="D80" s="558"/>
      <c r="E80" s="558"/>
      <c r="F80" s="558"/>
      <c r="G80" s="558"/>
      <c r="H80" s="558"/>
      <c r="P80" s="50"/>
    </row>
    <row r="81" spans="1:16" ht="17.45" customHeight="1">
      <c r="A81" s="140"/>
      <c r="B81" s="141"/>
      <c r="C81" s="141"/>
      <c r="D81" s="141"/>
      <c r="E81" s="141"/>
      <c r="F81" s="141"/>
      <c r="G81" s="141"/>
      <c r="H81" s="141"/>
      <c r="P81" s="50"/>
    </row>
    <row r="82" spans="1:16" s="32" customFormat="1" ht="75" customHeight="1">
      <c r="A82" s="528" t="s">
        <v>100</v>
      </c>
      <c r="B82" s="529"/>
      <c r="C82" s="529"/>
      <c r="D82" s="529"/>
      <c r="E82" s="529"/>
      <c r="F82" s="529"/>
      <c r="G82" s="529"/>
      <c r="H82" s="529"/>
      <c r="I82" s="529"/>
      <c r="J82" s="529"/>
      <c r="K82" s="529"/>
      <c r="L82" s="529"/>
      <c r="M82" s="529"/>
      <c r="N82" s="529"/>
      <c r="O82" s="529"/>
      <c r="P82" s="530"/>
    </row>
    <row r="83" spans="1:16" ht="15.75" thickBot="1">
      <c r="A83" s="189"/>
      <c r="B83" s="190"/>
      <c r="C83" s="190"/>
      <c r="D83" s="190"/>
      <c r="E83" s="190"/>
      <c r="F83" s="190"/>
      <c r="G83" s="190"/>
      <c r="H83" s="190"/>
      <c r="I83" s="190"/>
      <c r="J83" s="190"/>
      <c r="K83" s="190"/>
      <c r="L83" s="190"/>
      <c r="M83" s="190"/>
      <c r="N83" s="190"/>
      <c r="O83" s="190"/>
      <c r="P83" s="191"/>
    </row>
    <row r="84" spans="1:16" ht="15.75" thickBot="1"/>
    <row r="85" spans="1:16">
      <c r="A85" s="40"/>
      <c r="B85" s="41"/>
      <c r="C85" s="41"/>
      <c r="D85" s="41"/>
      <c r="E85" s="41"/>
      <c r="F85" s="41"/>
      <c r="G85" s="41"/>
      <c r="H85" s="41"/>
      <c r="I85" s="41"/>
      <c r="J85" s="41"/>
      <c r="K85" s="41"/>
      <c r="L85" s="41"/>
      <c r="M85" s="41"/>
      <c r="N85" s="41"/>
      <c r="O85" s="41"/>
      <c r="P85" s="42"/>
    </row>
    <row r="86" spans="1:16">
      <c r="A86" s="51" t="s">
        <v>153</v>
      </c>
      <c r="P86" s="50"/>
    </row>
    <row r="87" spans="1:16">
      <c r="A87" s="188"/>
      <c r="P87" s="50"/>
    </row>
    <row r="88" spans="1:16">
      <c r="A88" s="188"/>
      <c r="B88" s="222"/>
      <c r="C88" s="222"/>
      <c r="P88" s="50"/>
    </row>
    <row r="89" spans="1:16">
      <c r="A89" s="188"/>
      <c r="C89" s="224" t="s">
        <v>154</v>
      </c>
      <c r="D89" s="144"/>
      <c r="E89" s="225" t="s">
        <v>22</v>
      </c>
      <c r="P89" s="50"/>
    </row>
    <row r="90" spans="1:16">
      <c r="A90" s="188"/>
      <c r="P90" s="50"/>
    </row>
    <row r="91" spans="1:16">
      <c r="A91" s="188"/>
      <c r="C91" s="224" t="s">
        <v>155</v>
      </c>
      <c r="D91" s="144"/>
      <c r="E91" s="225" t="s">
        <v>22</v>
      </c>
      <c r="P91" s="50"/>
    </row>
    <row r="92" spans="1:16">
      <c r="A92" s="188"/>
      <c r="P92" s="50"/>
    </row>
    <row r="93" spans="1:16">
      <c r="A93" s="188"/>
      <c r="C93" s="226" t="s">
        <v>156</v>
      </c>
      <c r="D93" s="145">
        <f>D89-D91</f>
        <v>0</v>
      </c>
      <c r="P93" s="50"/>
    </row>
    <row r="94" spans="1:16">
      <c r="A94" s="188"/>
      <c r="P94" s="50"/>
    </row>
    <row r="95" spans="1:16">
      <c r="A95" s="227" t="s">
        <v>157</v>
      </c>
      <c r="P95" s="50"/>
    </row>
    <row r="96" spans="1:16">
      <c r="A96" s="227" t="s">
        <v>158</v>
      </c>
      <c r="P96" s="50"/>
    </row>
    <row r="97" spans="1:16">
      <c r="A97" s="228" t="s">
        <v>159</v>
      </c>
      <c r="P97" s="50"/>
    </row>
    <row r="98" spans="1:16">
      <c r="A98" s="228" t="s">
        <v>160</v>
      </c>
      <c r="P98" s="50"/>
    </row>
    <row r="99" spans="1:16">
      <c r="A99" s="188"/>
      <c r="P99" s="50"/>
    </row>
    <row r="100" spans="1:16" ht="60">
      <c r="A100" s="188"/>
      <c r="B100" s="393" t="s">
        <v>161</v>
      </c>
      <c r="C100" s="223" t="s">
        <v>162</v>
      </c>
      <c r="D100" s="223" t="s">
        <v>163</v>
      </c>
      <c r="E100" s="223" t="s">
        <v>164</v>
      </c>
      <c r="F100" s="223" t="s">
        <v>165</v>
      </c>
      <c r="G100" s="223" t="s">
        <v>166</v>
      </c>
      <c r="H100" s="554" t="s">
        <v>129</v>
      </c>
      <c r="I100" s="555"/>
      <c r="J100" s="556"/>
      <c r="P100" s="50"/>
    </row>
    <row r="101" spans="1:16" ht="30">
      <c r="A101" s="188"/>
      <c r="B101" s="392"/>
      <c r="C101" s="146" t="s">
        <v>167</v>
      </c>
      <c r="D101" s="146" t="s">
        <v>167</v>
      </c>
      <c r="E101" s="146"/>
      <c r="F101" s="146" t="s">
        <v>168</v>
      </c>
      <c r="G101" s="146"/>
      <c r="H101" s="419"/>
      <c r="I101" s="279"/>
      <c r="J101" s="282"/>
      <c r="P101" s="50"/>
    </row>
    <row r="102" spans="1:16">
      <c r="A102" s="188"/>
      <c r="B102" s="394" t="s">
        <v>169</v>
      </c>
      <c r="C102" s="229"/>
      <c r="D102" s="229"/>
      <c r="E102" s="230">
        <f>D102/365*C102</f>
        <v>0</v>
      </c>
      <c r="F102" s="229"/>
      <c r="G102" s="230">
        <f>E102-F102</f>
        <v>0</v>
      </c>
      <c r="H102" s="412"/>
      <c r="I102" s="280"/>
      <c r="J102" s="413"/>
      <c r="P102" s="50"/>
    </row>
    <row r="103" spans="1:16">
      <c r="A103" s="188"/>
      <c r="B103" s="390" t="s">
        <v>169</v>
      </c>
      <c r="C103" s="231"/>
      <c r="D103" s="231"/>
      <c r="E103" s="232">
        <f>D103/365*C103</f>
        <v>0</v>
      </c>
      <c r="F103" s="231"/>
      <c r="G103" s="232">
        <f>E103-F103</f>
        <v>0</v>
      </c>
      <c r="H103" s="414"/>
      <c r="J103" s="415"/>
      <c r="P103" s="50"/>
    </row>
    <row r="104" spans="1:16">
      <c r="A104" s="188"/>
      <c r="B104" s="390" t="s">
        <v>169</v>
      </c>
      <c r="C104" s="231"/>
      <c r="D104" s="231"/>
      <c r="E104" s="232">
        <f>D104/365*C104</f>
        <v>0</v>
      </c>
      <c r="F104" s="231"/>
      <c r="G104" s="232">
        <f>E104-F104</f>
        <v>0</v>
      </c>
      <c r="H104" s="414"/>
      <c r="J104" s="415"/>
      <c r="P104" s="50"/>
    </row>
    <row r="105" spans="1:16">
      <c r="A105" s="188"/>
      <c r="B105" s="390" t="s">
        <v>169</v>
      </c>
      <c r="C105" s="231"/>
      <c r="D105" s="231"/>
      <c r="E105" s="232">
        <f>D105/365*C105</f>
        <v>0</v>
      </c>
      <c r="F105" s="231"/>
      <c r="G105" s="232">
        <f>E105-F105</f>
        <v>0</v>
      </c>
      <c r="H105" s="414"/>
      <c r="J105" s="415"/>
      <c r="P105" s="50"/>
    </row>
    <row r="106" spans="1:16">
      <c r="A106" s="188"/>
      <c r="B106" s="391" t="s">
        <v>169</v>
      </c>
      <c r="C106" s="233"/>
      <c r="D106" s="233"/>
      <c r="E106" s="234">
        <f>D106/365*C106</f>
        <v>0</v>
      </c>
      <c r="F106" s="233"/>
      <c r="G106" s="234">
        <f>E106-F106</f>
        <v>0</v>
      </c>
      <c r="H106" s="416"/>
      <c r="I106" s="417"/>
      <c r="J106" s="418"/>
      <c r="P106" s="50"/>
    </row>
    <row r="107" spans="1:16">
      <c r="A107" s="188"/>
      <c r="P107" s="50"/>
    </row>
    <row r="108" spans="1:16" s="32" customFormat="1" ht="75" customHeight="1">
      <c r="A108" s="528" t="s">
        <v>100</v>
      </c>
      <c r="B108" s="529"/>
      <c r="C108" s="529"/>
      <c r="D108" s="529"/>
      <c r="E108" s="529"/>
      <c r="F108" s="529"/>
      <c r="G108" s="529"/>
      <c r="H108" s="529"/>
      <c r="I108" s="529"/>
      <c r="J108" s="529"/>
      <c r="K108" s="529"/>
      <c r="L108" s="529"/>
      <c r="M108" s="529"/>
      <c r="N108" s="529"/>
      <c r="O108" s="529"/>
      <c r="P108" s="530"/>
    </row>
    <row r="109" spans="1:16" ht="15.75" thickBot="1">
      <c r="A109" s="189"/>
      <c r="B109" s="190"/>
      <c r="C109" s="190"/>
      <c r="D109" s="190"/>
      <c r="E109" s="190"/>
      <c r="F109" s="190"/>
      <c r="G109" s="190"/>
      <c r="H109" s="190"/>
      <c r="I109" s="190"/>
      <c r="J109" s="190"/>
      <c r="K109" s="190"/>
      <c r="L109" s="190"/>
      <c r="M109" s="190"/>
      <c r="N109" s="190"/>
      <c r="O109" s="190"/>
      <c r="P109" s="191"/>
    </row>
  </sheetData>
  <sheetProtection formatCells="0" formatColumns="0" formatRows="0" insertColumns="0" insertRows="0" insertHyperlinks="0" deleteColumns="0" deleteRows="0" sort="0" autoFilter="0" pivotTables="0"/>
  <mergeCells count="37">
    <mergeCell ref="D1:M2"/>
    <mergeCell ref="A3:P5"/>
    <mergeCell ref="E6:L7"/>
    <mergeCell ref="M6:N6"/>
    <mergeCell ref="O6:P6"/>
    <mergeCell ref="M7:N7"/>
    <mergeCell ref="O7:P7"/>
    <mergeCell ref="A56:P56"/>
    <mergeCell ref="C62:F62"/>
    <mergeCell ref="A108:P108"/>
    <mergeCell ref="O8:P8"/>
    <mergeCell ref="O9:P9"/>
    <mergeCell ref="A9:C9"/>
    <mergeCell ref="D9:E9"/>
    <mergeCell ref="F9:I9"/>
    <mergeCell ref="J9:K9"/>
    <mergeCell ref="L9:N9"/>
    <mergeCell ref="H100:J100"/>
    <mergeCell ref="A80:H80"/>
    <mergeCell ref="A82:P82"/>
    <mergeCell ref="A11:P11"/>
    <mergeCell ref="A13:P13"/>
    <mergeCell ref="A14:P14"/>
    <mergeCell ref="A23:P23"/>
    <mergeCell ref="A37:C37"/>
    <mergeCell ref="A30:C30"/>
    <mergeCell ref="C32:E32"/>
    <mergeCell ref="C39:E39"/>
    <mergeCell ref="H29:M29"/>
    <mergeCell ref="H30:M30"/>
    <mergeCell ref="H36:M36"/>
    <mergeCell ref="H37:M37"/>
    <mergeCell ref="C53:E53"/>
    <mergeCell ref="C51:E51"/>
    <mergeCell ref="C49:E49"/>
    <mergeCell ref="C47:E47"/>
    <mergeCell ref="C46:E46"/>
  </mergeCells>
  <dataValidations count="3">
    <dataValidation type="list" allowBlank="1" showInputMessage="1" showErrorMessage="1" sqref="O9:P9" xr:uid="{00000000-0002-0000-0400-000000000000}">
      <formula1>Diligences</formula1>
    </dataValidation>
    <dataValidation type="list" showInputMessage="1" showErrorMessage="1" sqref="D9:E9" xr:uid="{00000000-0002-0000-0400-000001000000}">
      <formula1>RAS</formula1>
    </dataValidation>
    <dataValidation type="list" allowBlank="1" showInputMessage="1" showErrorMessage="1" sqref="G66:H66" xr:uid="{00000000-0002-0000-0400-000002000000}">
      <formula1>$R$63:$R$64</formula1>
    </dataValidation>
  </dataValidations>
  <hyperlinks>
    <hyperlink ref="O8:P8" location="'P Synthèse'!A1" display="P Synthèse" xr:uid="{00000000-0004-0000-04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ignoredErrors>
    <ignoredError sqref="B6:D7" unlockedFormula="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dimension ref="A1:U73"/>
  <sheetViews>
    <sheetView showGridLines="0" zoomScale="90" zoomScaleNormal="90" workbookViewId="0">
      <selection activeCell="O10" sqref="O10"/>
    </sheetView>
  </sheetViews>
  <sheetFormatPr defaultColWidth="11.42578125" defaultRowHeight="15.75"/>
  <cols>
    <col min="1" max="1" width="12.85546875" style="8" customWidth="1"/>
    <col min="2" max="4" width="14.7109375" style="8" customWidth="1"/>
    <col min="5" max="5" width="15.85546875" style="8" customWidth="1"/>
    <col min="6" max="6" width="13.7109375" style="8" customWidth="1"/>
    <col min="7" max="12" width="14.7109375" style="8" customWidth="1"/>
    <col min="13" max="16" width="12.85546875" style="8" customWidth="1"/>
    <col min="17" max="16384" width="11.42578125" style="8"/>
  </cols>
  <sheetData>
    <row r="1" spans="1:21" s="2" customFormat="1" ht="15" customHeight="1">
      <c r="A1" s="11"/>
      <c r="B1" s="12"/>
      <c r="C1" s="12"/>
      <c r="D1" s="497" t="str">
        <f>'P Synthèse'!D1:M2</f>
        <v>#NomClient</v>
      </c>
      <c r="E1" s="498"/>
      <c r="F1" s="498"/>
      <c r="G1" s="498"/>
      <c r="H1" s="498"/>
      <c r="I1" s="498"/>
      <c r="J1" s="498"/>
      <c r="K1" s="498"/>
      <c r="L1" s="498"/>
      <c r="M1" s="499"/>
      <c r="N1" s="12"/>
      <c r="O1" s="12"/>
      <c r="P1" s="13"/>
    </row>
    <row r="2" spans="1:21" s="2" customFormat="1" ht="15" customHeight="1" thickBot="1">
      <c r="A2" s="14"/>
      <c r="B2" s="15"/>
      <c r="C2" s="15"/>
      <c r="D2" s="500"/>
      <c r="E2" s="501"/>
      <c r="F2" s="501"/>
      <c r="G2" s="501"/>
      <c r="H2" s="501"/>
      <c r="I2" s="501"/>
      <c r="J2" s="501"/>
      <c r="K2" s="501"/>
      <c r="L2" s="501"/>
      <c r="M2" s="502"/>
      <c r="N2" s="15"/>
      <c r="O2" s="15"/>
      <c r="P2" s="16"/>
    </row>
    <row r="3" spans="1:21" ht="15" customHeight="1">
      <c r="A3" s="468" t="s">
        <v>3</v>
      </c>
      <c r="B3" s="469"/>
      <c r="C3" s="469"/>
      <c r="D3" s="469"/>
      <c r="E3" s="469"/>
      <c r="F3" s="469"/>
      <c r="G3" s="469"/>
      <c r="H3" s="469"/>
      <c r="I3" s="469"/>
      <c r="J3" s="469"/>
      <c r="K3" s="469"/>
      <c r="L3" s="469"/>
      <c r="M3" s="469"/>
      <c r="N3" s="469"/>
      <c r="O3" s="469"/>
      <c r="P3" s="470"/>
      <c r="R3" s="4"/>
      <c r="T3" s="6"/>
      <c r="U3" s="7"/>
    </row>
    <row r="4" spans="1:21" ht="15" customHeight="1">
      <c r="A4" s="468"/>
      <c r="B4" s="469"/>
      <c r="C4" s="469"/>
      <c r="D4" s="469"/>
      <c r="E4" s="469"/>
      <c r="F4" s="469"/>
      <c r="G4" s="469"/>
      <c r="H4" s="469"/>
      <c r="I4" s="469"/>
      <c r="J4" s="469"/>
      <c r="K4" s="469"/>
      <c r="L4" s="469"/>
      <c r="M4" s="469"/>
      <c r="N4" s="469"/>
      <c r="O4" s="469"/>
      <c r="P4" s="470"/>
      <c r="R4" s="4"/>
      <c r="T4" s="6"/>
      <c r="U4" s="7"/>
    </row>
    <row r="5" spans="1:21" ht="15" customHeight="1" thickBot="1">
      <c r="A5" s="471"/>
      <c r="B5" s="472"/>
      <c r="C5" s="472"/>
      <c r="D5" s="472"/>
      <c r="E5" s="472"/>
      <c r="F5" s="472"/>
      <c r="G5" s="472"/>
      <c r="H5" s="472"/>
      <c r="I5" s="472"/>
      <c r="J5" s="472"/>
      <c r="K5" s="472"/>
      <c r="L5" s="472"/>
      <c r="M5" s="472"/>
      <c r="N5" s="472"/>
      <c r="O5" s="472"/>
      <c r="P5" s="473"/>
      <c r="Q5" s="9"/>
      <c r="R5" s="5"/>
      <c r="S5" s="25"/>
      <c r="T5" s="25"/>
      <c r="U5" s="25"/>
    </row>
    <row r="6" spans="1:21" ht="15" customHeight="1">
      <c r="A6" s="18" t="s">
        <v>6</v>
      </c>
      <c r="B6" s="192" t="str">
        <f>'P Synthèse'!B6</f>
        <v>BRA</v>
      </c>
      <c r="C6" s="18" t="s">
        <v>8</v>
      </c>
      <c r="D6" s="192">
        <f>'P Synthèse'!D6</f>
        <v>0</v>
      </c>
      <c r="E6" s="489" t="s">
        <v>34</v>
      </c>
      <c r="F6" s="490"/>
      <c r="G6" s="490"/>
      <c r="H6" s="490"/>
      <c r="I6" s="490"/>
      <c r="J6" s="490"/>
      <c r="K6" s="490"/>
      <c r="L6" s="491"/>
      <c r="M6" s="503" t="s">
        <v>10</v>
      </c>
      <c r="N6" s="504"/>
      <c r="O6" s="478" t="s">
        <v>11</v>
      </c>
      <c r="P6" s="479"/>
      <c r="R6" s="2"/>
      <c r="S6" s="2"/>
    </row>
    <row r="7" spans="1:21" ht="15" customHeight="1" thickBot="1">
      <c r="A7" s="19" t="s">
        <v>13</v>
      </c>
      <c r="B7" s="184">
        <f>'P Synthèse'!B7</f>
        <v>0</v>
      </c>
      <c r="C7" s="19" t="s">
        <v>13</v>
      </c>
      <c r="D7" s="184">
        <f>'P Synthèse'!D7</f>
        <v>0</v>
      </c>
      <c r="E7" s="492"/>
      <c r="F7" s="493"/>
      <c r="G7" s="493"/>
      <c r="H7" s="493"/>
      <c r="I7" s="493"/>
      <c r="J7" s="493"/>
      <c r="K7" s="493"/>
      <c r="L7" s="494"/>
      <c r="M7" s="505" t="str">
        <f>'P Synthèse'!M7:M7</f>
        <v>#date de clôture</v>
      </c>
      <c r="N7" s="506"/>
      <c r="O7" s="480" t="s">
        <v>170</v>
      </c>
      <c r="P7" s="481"/>
    </row>
    <row r="8" spans="1:21" ht="21" customHeight="1" thickBot="1">
      <c r="A8" s="20"/>
      <c r="B8" s="17"/>
      <c r="C8" s="21"/>
      <c r="D8" s="21"/>
      <c r="E8" s="22"/>
      <c r="F8" s="22"/>
      <c r="G8" s="22"/>
      <c r="H8" s="22"/>
      <c r="I8" s="22"/>
      <c r="J8" s="22"/>
      <c r="K8" s="22"/>
      <c r="L8" s="22"/>
      <c r="M8" s="23"/>
      <c r="N8" s="21"/>
      <c r="O8" s="515" t="s">
        <v>49</v>
      </c>
      <c r="P8" s="515"/>
    </row>
    <row r="9" spans="1:21" s="21" customFormat="1" ht="31.5" customHeight="1" thickBot="1">
      <c r="A9" s="482" t="s">
        <v>18</v>
      </c>
      <c r="B9" s="483"/>
      <c r="C9" s="483"/>
      <c r="D9" s="519" t="str">
        <f>'P Synthèse'!D9:E9</f>
        <v>Faible</v>
      </c>
      <c r="E9" s="520"/>
      <c r="F9" s="474" t="s">
        <v>19</v>
      </c>
      <c r="G9" s="475"/>
      <c r="H9" s="475"/>
      <c r="I9" s="475"/>
      <c r="J9" s="521">
        <f>'P Synthèse'!J9:K9</f>
        <v>0</v>
      </c>
      <c r="K9" s="522"/>
      <c r="L9" s="474" t="s">
        <v>20</v>
      </c>
      <c r="M9" s="475"/>
      <c r="N9" s="475"/>
      <c r="O9" s="519" t="str">
        <f>'P Synthèse'!N9</f>
        <v>PB</v>
      </c>
      <c r="P9" s="520"/>
    </row>
    <row r="10" spans="1:21" s="21" customFormat="1" ht="21" customHeight="1" thickBot="1">
      <c r="A10" s="26"/>
      <c r="B10" s="26"/>
      <c r="C10" s="26"/>
      <c r="D10" s="26"/>
      <c r="E10" s="26"/>
      <c r="F10" s="26"/>
      <c r="G10" s="26"/>
      <c r="H10" s="26"/>
      <c r="I10" s="26"/>
      <c r="J10" s="26"/>
      <c r="K10" s="26"/>
      <c r="L10" s="26"/>
      <c r="M10" s="26"/>
      <c r="N10" s="26"/>
      <c r="O10" s="26"/>
      <c r="P10" s="26"/>
    </row>
    <row r="11" spans="1:21" s="27" customFormat="1" ht="111" customHeight="1" thickBot="1">
      <c r="A11" s="516" t="s">
        <v>171</v>
      </c>
      <c r="B11" s="517"/>
      <c r="C11" s="517"/>
      <c r="D11" s="517"/>
      <c r="E11" s="517"/>
      <c r="F11" s="517"/>
      <c r="G11" s="517"/>
      <c r="H11" s="517"/>
      <c r="I11" s="517"/>
      <c r="J11" s="517"/>
      <c r="K11" s="517"/>
      <c r="L11" s="517"/>
      <c r="M11" s="517"/>
      <c r="N11" s="517"/>
      <c r="O11" s="517"/>
      <c r="P11" s="518"/>
    </row>
    <row r="12" spans="1:21" s="27" customFormat="1" ht="9" customHeight="1" thickBot="1"/>
    <row r="13" spans="1:21" s="27" customFormat="1" ht="15">
      <c r="A13" s="453" t="s">
        <v>51</v>
      </c>
      <c r="B13" s="454"/>
      <c r="C13" s="454"/>
      <c r="D13" s="454"/>
      <c r="E13" s="454"/>
      <c r="F13" s="454"/>
      <c r="G13" s="454"/>
      <c r="H13" s="454"/>
      <c r="I13" s="454"/>
      <c r="J13" s="454"/>
      <c r="K13" s="454"/>
      <c r="L13" s="454"/>
      <c r="M13" s="454"/>
      <c r="N13" s="454"/>
      <c r="O13" s="454"/>
      <c r="P13" s="455"/>
    </row>
    <row r="14" spans="1:21" s="27" customFormat="1" ht="60" customHeight="1" thickBot="1">
      <c r="A14" s="535"/>
      <c r="B14" s="536"/>
      <c r="C14" s="536"/>
      <c r="D14" s="536"/>
      <c r="E14" s="536"/>
      <c r="F14" s="536"/>
      <c r="G14" s="536"/>
      <c r="H14" s="536"/>
      <c r="I14" s="536"/>
      <c r="J14" s="536"/>
      <c r="K14" s="536"/>
      <c r="L14" s="536"/>
      <c r="M14" s="536"/>
      <c r="N14" s="536"/>
      <c r="O14" s="536"/>
      <c r="P14" s="537"/>
    </row>
    <row r="15" spans="1:21" s="27" customFormat="1" thickBot="1"/>
    <row r="16" spans="1:21" s="27" customFormat="1" ht="15">
      <c r="A16" s="40"/>
      <c r="B16" s="41"/>
      <c r="C16" s="41"/>
      <c r="D16" s="41"/>
      <c r="E16" s="41"/>
      <c r="F16" s="41"/>
      <c r="G16" s="41"/>
      <c r="H16" s="41"/>
      <c r="I16" s="41"/>
      <c r="J16" s="41"/>
      <c r="K16" s="41"/>
      <c r="L16" s="41"/>
      <c r="M16" s="41"/>
      <c r="N16" s="41"/>
      <c r="O16" s="41"/>
      <c r="P16" s="42"/>
    </row>
    <row r="17" spans="1:16">
      <c r="A17" s="118" t="s">
        <v>172</v>
      </c>
      <c r="B17" s="70"/>
      <c r="C17" s="70"/>
      <c r="D17" s="70"/>
      <c r="E17" s="70"/>
      <c r="F17" s="70"/>
      <c r="G17" s="70"/>
      <c r="H17" s="70"/>
      <c r="P17" s="236"/>
    </row>
    <row r="18" spans="1:16" s="27" customFormat="1" ht="15">
      <c r="A18" s="68"/>
      <c r="B18" s="70"/>
      <c r="C18" s="70"/>
      <c r="D18" s="70"/>
      <c r="E18" s="70"/>
      <c r="F18" s="70"/>
      <c r="G18" s="70"/>
      <c r="H18" s="70"/>
      <c r="P18" s="50"/>
    </row>
    <row r="19" spans="1:16" s="27" customFormat="1" ht="15">
      <c r="A19" s="235" t="s">
        <v>123</v>
      </c>
      <c r="B19" s="31"/>
      <c r="C19" s="70"/>
      <c r="D19" s="70"/>
      <c r="E19" s="70"/>
      <c r="F19" s="70"/>
      <c r="G19" s="70"/>
      <c r="H19" s="70"/>
      <c r="P19" s="50"/>
    </row>
    <row r="20" spans="1:16" s="27" customFormat="1" ht="15">
      <c r="A20" s="235" t="s">
        <v>173</v>
      </c>
      <c r="B20" s="31"/>
      <c r="C20" s="70"/>
      <c r="D20" s="70"/>
      <c r="E20" s="70"/>
      <c r="F20" s="70"/>
      <c r="G20" s="70"/>
      <c r="H20" s="70"/>
      <c r="P20" s="50"/>
    </row>
    <row r="21" spans="1:16" s="27" customFormat="1" ht="15">
      <c r="A21" s="105"/>
      <c r="B21" s="31"/>
      <c r="C21" s="70"/>
      <c r="D21" s="70"/>
      <c r="E21" s="70"/>
      <c r="F21" s="70"/>
      <c r="G21" s="70"/>
      <c r="H21" s="70"/>
      <c r="P21" s="50"/>
    </row>
    <row r="22" spans="1:16" s="32" customFormat="1" ht="75" customHeight="1">
      <c r="A22" s="528" t="s">
        <v>100</v>
      </c>
      <c r="B22" s="529"/>
      <c r="C22" s="529"/>
      <c r="D22" s="529"/>
      <c r="E22" s="529"/>
      <c r="F22" s="529"/>
      <c r="G22" s="529"/>
      <c r="H22" s="529"/>
      <c r="I22" s="529"/>
      <c r="J22" s="529"/>
      <c r="K22" s="529"/>
      <c r="L22" s="529"/>
      <c r="M22" s="529"/>
      <c r="N22" s="529"/>
      <c r="O22" s="529"/>
      <c r="P22" s="530"/>
    </row>
    <row r="23" spans="1:16" s="27" customFormat="1" thickBot="1">
      <c r="A23" s="237"/>
      <c r="B23" s="238"/>
      <c r="C23" s="239"/>
      <c r="D23" s="239"/>
      <c r="E23" s="239"/>
      <c r="F23" s="239"/>
      <c r="G23" s="239"/>
      <c r="H23" s="239"/>
      <c r="I23" s="190"/>
      <c r="J23" s="190"/>
      <c r="K23" s="190"/>
      <c r="L23" s="190"/>
      <c r="M23" s="190"/>
      <c r="N23" s="190"/>
      <c r="O23" s="190"/>
      <c r="P23" s="191"/>
    </row>
    <row r="24" spans="1:16" s="27" customFormat="1" thickBot="1">
      <c r="A24" s="105"/>
      <c r="B24" s="31"/>
      <c r="C24" s="70"/>
      <c r="D24" s="70"/>
      <c r="E24" s="70"/>
      <c r="F24" s="70"/>
      <c r="G24" s="70"/>
      <c r="H24" s="70"/>
    </row>
    <row r="25" spans="1:16" s="27" customFormat="1" ht="15">
      <c r="A25" s="243"/>
      <c r="B25" s="44"/>
      <c r="C25" s="43"/>
      <c r="D25" s="43"/>
      <c r="E25" s="43"/>
      <c r="F25" s="43"/>
      <c r="G25" s="43"/>
      <c r="H25" s="43"/>
      <c r="I25" s="41"/>
      <c r="J25" s="41"/>
      <c r="K25" s="41"/>
      <c r="L25" s="41"/>
      <c r="M25" s="41"/>
      <c r="N25" s="41"/>
      <c r="O25" s="41"/>
      <c r="P25" s="42"/>
    </row>
    <row r="26" spans="1:16" s="27" customFormat="1" ht="15">
      <c r="A26" s="118" t="s">
        <v>174</v>
      </c>
      <c r="P26" s="50"/>
    </row>
    <row r="27" spans="1:16" s="27" customFormat="1" ht="15">
      <c r="A27" s="188"/>
      <c r="P27" s="50"/>
    </row>
    <row r="28" spans="1:16" s="27" customFormat="1" ht="15">
      <c r="A28" s="188"/>
      <c r="D28" s="396" t="s">
        <v>91</v>
      </c>
      <c r="E28" s="396" t="s">
        <v>93</v>
      </c>
      <c r="F28" s="147" t="s">
        <v>175</v>
      </c>
      <c r="G28" s="147" t="s">
        <v>176</v>
      </c>
      <c r="H28" s="559" t="s">
        <v>129</v>
      </c>
      <c r="I28" s="559"/>
      <c r="J28" s="559"/>
      <c r="K28" s="559"/>
      <c r="L28" s="559"/>
      <c r="M28" s="400"/>
      <c r="P28" s="50"/>
    </row>
    <row r="29" spans="1:16" s="27" customFormat="1" ht="15">
      <c r="A29" s="188"/>
      <c r="B29" s="395" t="s">
        <v>177</v>
      </c>
      <c r="C29" s="279"/>
      <c r="D29" s="397"/>
      <c r="E29" s="397"/>
      <c r="F29" s="242">
        <f>+D29-E29</f>
        <v>0</v>
      </c>
      <c r="G29" s="399" t="e">
        <f>+F29/E29</f>
        <v>#DIV/0!</v>
      </c>
      <c r="H29" s="567"/>
      <c r="I29" s="568"/>
      <c r="J29" s="568"/>
      <c r="K29" s="568"/>
      <c r="L29" s="569"/>
      <c r="P29" s="50"/>
    </row>
    <row r="30" spans="1:16" s="27" customFormat="1" ht="15">
      <c r="A30" s="188"/>
      <c r="D30" s="125"/>
      <c r="E30" s="125"/>
      <c r="F30" s="151"/>
      <c r="G30" s="152"/>
      <c r="H30" s="241"/>
      <c r="I30" s="241"/>
      <c r="P30" s="50"/>
    </row>
    <row r="31" spans="1:16" s="27" customFormat="1" ht="15">
      <c r="A31" s="188"/>
      <c r="B31" s="240"/>
      <c r="D31" s="396" t="s">
        <v>91</v>
      </c>
      <c r="E31" s="396" t="s">
        <v>93</v>
      </c>
      <c r="F31" s="147" t="s">
        <v>175</v>
      </c>
      <c r="G31" s="148" t="s">
        <v>176</v>
      </c>
      <c r="H31" s="543" t="s">
        <v>129</v>
      </c>
      <c r="I31" s="544"/>
      <c r="J31" s="544"/>
      <c r="K31" s="544"/>
      <c r="L31" s="545"/>
      <c r="P31" s="50"/>
    </row>
    <row r="32" spans="1:16" s="27" customFormat="1" ht="15">
      <c r="A32" s="188"/>
      <c r="B32" s="395" t="s">
        <v>178</v>
      </c>
      <c r="C32" s="279"/>
      <c r="D32" s="397"/>
      <c r="E32" s="397"/>
      <c r="F32" s="149">
        <f>+D32-E32</f>
        <v>0</v>
      </c>
      <c r="G32" s="150" t="e">
        <f>+F32/E32</f>
        <v>#DIV/0!</v>
      </c>
      <c r="H32" s="570"/>
      <c r="I32" s="571"/>
      <c r="J32" s="571"/>
      <c r="K32" s="571"/>
      <c r="L32" s="572"/>
      <c r="P32" s="50"/>
    </row>
    <row r="33" spans="1:16" s="27" customFormat="1" ht="15">
      <c r="A33" s="153"/>
      <c r="B33" s="83"/>
      <c r="C33" s="83"/>
      <c r="D33" s="154"/>
      <c r="E33" s="70"/>
      <c r="P33" s="50"/>
    </row>
    <row r="34" spans="1:16" s="27" customFormat="1" ht="29.45" customHeight="1">
      <c r="A34" s="49"/>
      <c r="B34" s="31"/>
      <c r="E34" s="398" t="s">
        <v>131</v>
      </c>
      <c r="F34" s="215"/>
      <c r="P34" s="50"/>
    </row>
    <row r="35" spans="1:16" s="27" customFormat="1" ht="15">
      <c r="A35" s="49"/>
      <c r="B35" s="124"/>
      <c r="E35" s="56"/>
      <c r="F35" s="125"/>
      <c r="P35" s="50"/>
    </row>
    <row r="36" spans="1:16" s="27" customFormat="1" ht="15">
      <c r="A36" s="49"/>
      <c r="B36" s="124"/>
      <c r="C36" s="31"/>
      <c r="D36" s="126"/>
      <c r="E36" s="124" t="s">
        <v>132</v>
      </c>
      <c r="F36" s="115">
        <f>+F34-F32</f>
        <v>0</v>
      </c>
      <c r="P36" s="50"/>
    </row>
    <row r="37" spans="1:16" s="27" customFormat="1" ht="15">
      <c r="A37" s="54" t="s">
        <v>179</v>
      </c>
      <c r="B37" s="31"/>
      <c r="C37" s="31"/>
      <c r="D37" s="56"/>
      <c r="E37" s="126"/>
      <c r="F37" s="155"/>
      <c r="G37" s="70"/>
      <c r="H37" s="70"/>
      <c r="P37" s="50"/>
    </row>
    <row r="38" spans="1:16" s="27" customFormat="1" ht="15">
      <c r="A38" s="54"/>
      <c r="B38" s="31"/>
      <c r="C38" s="156"/>
      <c r="D38" s="56"/>
      <c r="E38" s="126"/>
      <c r="F38" s="155"/>
      <c r="G38" s="70"/>
      <c r="H38" s="70"/>
      <c r="P38" s="50"/>
    </row>
    <row r="39" spans="1:16" s="27" customFormat="1" ht="15">
      <c r="A39" s="188"/>
      <c r="C39" s="82"/>
      <c r="D39" s="31"/>
      <c r="E39" s="128" t="s">
        <v>180</v>
      </c>
      <c r="F39" s="155"/>
      <c r="G39" s="70"/>
      <c r="H39" s="70"/>
      <c r="P39" s="50"/>
    </row>
    <row r="40" spans="1:16" s="27" customFormat="1" ht="15">
      <c r="A40" s="188"/>
      <c r="B40" s="574" t="s">
        <v>181</v>
      </c>
      <c r="C40" s="574"/>
      <c r="D40" s="575"/>
      <c r="E40" s="129">
        <f>D29</f>
        <v>0</v>
      </c>
      <c r="F40" s="155"/>
      <c r="G40" s="70"/>
      <c r="H40" s="70"/>
      <c r="P40" s="50"/>
    </row>
    <row r="41" spans="1:16" s="27" customFormat="1" ht="15">
      <c r="A41" s="188"/>
      <c r="B41" s="574" t="s">
        <v>135</v>
      </c>
      <c r="C41" s="574"/>
      <c r="D41" s="575"/>
      <c r="E41" s="157" t="e">
        <f>'P200 Revue ana charges perso'!E34</f>
        <v>#DIV/0!</v>
      </c>
      <c r="F41" s="155"/>
      <c r="G41" s="70"/>
      <c r="H41" s="70"/>
      <c r="P41" s="50"/>
    </row>
    <row r="42" spans="1:16" s="27" customFormat="1" ht="15">
      <c r="A42" s="188"/>
      <c r="C42" s="82"/>
      <c r="D42" s="82"/>
      <c r="E42" s="158"/>
      <c r="F42" s="155"/>
      <c r="G42" s="70"/>
      <c r="H42" s="70"/>
      <c r="P42" s="50"/>
    </row>
    <row r="43" spans="1:16" s="27" customFormat="1" ht="15">
      <c r="A43" s="188"/>
      <c r="B43" s="573" t="s">
        <v>182</v>
      </c>
      <c r="C43" s="573"/>
      <c r="D43" s="573"/>
      <c r="E43" s="131" t="e">
        <f>+E40*E41</f>
        <v>#DIV/0!</v>
      </c>
      <c r="F43" s="155"/>
      <c r="G43" s="70"/>
      <c r="H43" s="70"/>
      <c r="P43" s="50"/>
    </row>
    <row r="44" spans="1:16" s="27" customFormat="1" ht="15">
      <c r="A44" s="188"/>
      <c r="C44" s="159"/>
      <c r="D44" s="159"/>
      <c r="E44" s="132"/>
      <c r="F44" s="155"/>
      <c r="G44" s="70"/>
      <c r="H44" s="70"/>
      <c r="P44" s="50"/>
    </row>
    <row r="45" spans="1:16" s="27" customFormat="1" ht="15">
      <c r="A45" s="188"/>
      <c r="B45" s="573" t="s">
        <v>183</v>
      </c>
      <c r="C45" s="573"/>
      <c r="D45" s="573"/>
      <c r="E45" s="131">
        <f>+D32</f>
        <v>0</v>
      </c>
      <c r="F45" s="155"/>
      <c r="G45" s="70"/>
      <c r="H45" s="70"/>
      <c r="P45" s="50"/>
    </row>
    <row r="46" spans="1:16" s="27" customFormat="1" ht="15">
      <c r="A46" s="188"/>
      <c r="C46" s="82"/>
      <c r="D46" s="82"/>
      <c r="E46" s="83"/>
      <c r="F46" s="155"/>
      <c r="G46" s="70"/>
      <c r="H46" s="70"/>
      <c r="P46" s="50"/>
    </row>
    <row r="47" spans="1:16" s="27" customFormat="1" ht="15">
      <c r="A47" s="188"/>
      <c r="C47" s="31"/>
      <c r="D47" s="159" t="s">
        <v>132</v>
      </c>
      <c r="E47" s="131" t="e">
        <f>+E45-E43</f>
        <v>#DIV/0!</v>
      </c>
      <c r="F47" s="155"/>
      <c r="G47" s="70"/>
      <c r="H47" s="70"/>
      <c r="P47" s="50"/>
    </row>
    <row r="48" spans="1:16" s="27" customFormat="1" ht="15">
      <c r="A48" s="188"/>
      <c r="P48" s="50"/>
    </row>
    <row r="49" spans="1:16" s="32" customFormat="1" ht="75" customHeight="1">
      <c r="A49" s="528" t="s">
        <v>100</v>
      </c>
      <c r="B49" s="529"/>
      <c r="C49" s="529"/>
      <c r="D49" s="529"/>
      <c r="E49" s="529"/>
      <c r="F49" s="529"/>
      <c r="G49" s="529"/>
      <c r="H49" s="529"/>
      <c r="I49" s="529"/>
      <c r="J49" s="529"/>
      <c r="K49" s="529"/>
      <c r="L49" s="529"/>
      <c r="M49" s="529"/>
      <c r="N49" s="529"/>
      <c r="O49" s="529"/>
      <c r="P49" s="530"/>
    </row>
    <row r="50" spans="1:16" s="27" customFormat="1" thickBot="1">
      <c r="A50" s="189"/>
      <c r="B50" s="190"/>
      <c r="C50" s="190"/>
      <c r="D50" s="190"/>
      <c r="E50" s="190"/>
      <c r="F50" s="190"/>
      <c r="G50" s="190"/>
      <c r="H50" s="190"/>
      <c r="I50" s="190"/>
      <c r="J50" s="190"/>
      <c r="K50" s="190"/>
      <c r="L50" s="190"/>
      <c r="M50" s="190"/>
      <c r="N50" s="190"/>
      <c r="O50" s="190"/>
      <c r="P50" s="191"/>
    </row>
    <row r="51" spans="1:16" s="27" customFormat="1" thickBot="1"/>
    <row r="52" spans="1:16" s="27" customFormat="1" ht="15">
      <c r="A52" s="40"/>
      <c r="B52" s="41"/>
      <c r="C52" s="41"/>
      <c r="D52" s="41"/>
      <c r="E52" s="41"/>
      <c r="F52" s="41"/>
      <c r="G52" s="41"/>
      <c r="H52" s="41"/>
      <c r="I52" s="41"/>
      <c r="J52" s="41"/>
      <c r="K52" s="41"/>
      <c r="L52" s="41"/>
      <c r="M52" s="41"/>
      <c r="N52" s="41"/>
      <c r="O52" s="41"/>
      <c r="P52" s="42"/>
    </row>
    <row r="53" spans="1:16" s="27" customFormat="1" ht="15">
      <c r="A53" s="51" t="s">
        <v>184</v>
      </c>
      <c r="P53" s="50"/>
    </row>
    <row r="54" spans="1:16" s="27" customFormat="1" ht="15">
      <c r="A54" s="188"/>
      <c r="P54" s="50"/>
    </row>
    <row r="55" spans="1:16" s="27" customFormat="1" ht="15" customHeight="1">
      <c r="A55" s="221"/>
      <c r="B55" s="251" t="s">
        <v>185</v>
      </c>
      <c r="P55" s="50"/>
    </row>
    <row r="56" spans="1:16" s="27" customFormat="1" ht="15">
      <c r="A56" s="142"/>
      <c r="B56" s="143"/>
      <c r="P56" s="50"/>
    </row>
    <row r="57" spans="1:16" s="27" customFormat="1" ht="15">
      <c r="A57" s="188"/>
      <c r="B57" s="562" t="s">
        <v>186</v>
      </c>
      <c r="C57" s="562"/>
      <c r="D57" s="563"/>
      <c r="E57" s="144"/>
      <c r="F57" s="225" t="s">
        <v>22</v>
      </c>
      <c r="P57" s="50"/>
    </row>
    <row r="58" spans="1:16" s="27" customFormat="1" ht="15">
      <c r="A58" s="188"/>
      <c r="P58" s="50"/>
    </row>
    <row r="59" spans="1:16" s="27" customFormat="1" ht="15">
      <c r="A59" s="188"/>
      <c r="B59" s="562" t="s">
        <v>187</v>
      </c>
      <c r="C59" s="562"/>
      <c r="D59" s="563"/>
      <c r="E59" s="144"/>
      <c r="F59" s="225" t="s">
        <v>22</v>
      </c>
      <c r="P59" s="50"/>
    </row>
    <row r="60" spans="1:16" s="27" customFormat="1" ht="15">
      <c r="A60" s="188"/>
      <c r="P60" s="50"/>
    </row>
    <row r="61" spans="1:16" s="27" customFormat="1" ht="15">
      <c r="A61" s="188"/>
      <c r="B61" s="560" t="s">
        <v>156</v>
      </c>
      <c r="C61" s="560"/>
      <c r="D61" s="561"/>
      <c r="E61" s="244">
        <f>E57-E59</f>
        <v>0</v>
      </c>
      <c r="P61" s="50"/>
    </row>
    <row r="62" spans="1:16" s="27" customFormat="1" ht="15">
      <c r="A62" s="188"/>
      <c r="P62" s="50"/>
    </row>
    <row r="63" spans="1:16" s="27" customFormat="1" ht="15">
      <c r="A63" s="188"/>
      <c r="B63" s="247" t="s">
        <v>188</v>
      </c>
      <c r="C63" s="246"/>
      <c r="D63" s="70"/>
      <c r="I63" s="247" t="s">
        <v>189</v>
      </c>
      <c r="J63" s="246"/>
      <c r="K63" s="31"/>
      <c r="L63" s="70"/>
      <c r="P63" s="50"/>
    </row>
    <row r="64" spans="1:16" s="27" customFormat="1" ht="15">
      <c r="A64" s="188"/>
      <c r="B64" s="161"/>
      <c r="C64" s="162"/>
      <c r="D64" s="70"/>
      <c r="I64" s="161"/>
      <c r="J64" s="162"/>
      <c r="K64" s="31"/>
      <c r="L64" s="70"/>
      <c r="P64" s="50"/>
    </row>
    <row r="65" spans="1:16" s="27" customFormat="1" ht="15">
      <c r="A65" s="188"/>
      <c r="B65" s="161"/>
      <c r="E65" s="248" t="s">
        <v>53</v>
      </c>
      <c r="I65" s="161"/>
      <c r="J65" s="31"/>
      <c r="K65" s="163" t="s">
        <v>53</v>
      </c>
      <c r="L65" s="70"/>
      <c r="P65" s="50"/>
    </row>
    <row r="66" spans="1:16" s="27" customFormat="1" ht="15">
      <c r="A66" s="188"/>
      <c r="B66" s="565" t="s">
        <v>190</v>
      </c>
      <c r="C66" s="565"/>
      <c r="D66" s="565"/>
      <c r="E66" s="249"/>
      <c r="H66" s="565" t="s">
        <v>191</v>
      </c>
      <c r="I66" s="565"/>
      <c r="J66" s="566"/>
      <c r="K66" s="164"/>
      <c r="L66" s="70"/>
      <c r="P66" s="50"/>
    </row>
    <row r="67" spans="1:16" s="27" customFormat="1" ht="15">
      <c r="A67" s="188"/>
      <c r="B67" s="565" t="s">
        <v>192</v>
      </c>
      <c r="C67" s="565"/>
      <c r="D67" s="565"/>
      <c r="E67" s="250"/>
      <c r="H67" s="565" t="s">
        <v>193</v>
      </c>
      <c r="I67" s="565"/>
      <c r="J67" s="566"/>
      <c r="K67" s="165"/>
      <c r="L67" s="70"/>
      <c r="P67" s="50"/>
    </row>
    <row r="68" spans="1:16" s="27" customFormat="1" ht="15">
      <c r="A68" s="188"/>
      <c r="B68" s="167"/>
      <c r="E68" s="166"/>
      <c r="I68" s="167"/>
      <c r="J68" s="167"/>
      <c r="K68" s="168"/>
      <c r="L68" s="70"/>
      <c r="P68" s="50"/>
    </row>
    <row r="69" spans="1:16" s="27" customFormat="1" ht="15">
      <c r="A69" s="188"/>
      <c r="B69" s="564" t="s">
        <v>194</v>
      </c>
      <c r="C69" s="564"/>
      <c r="D69" s="564"/>
      <c r="E69" s="170" t="e">
        <f>+E67/E66</f>
        <v>#DIV/0!</v>
      </c>
      <c r="I69" s="245" t="s">
        <v>194</v>
      </c>
      <c r="J69" s="245"/>
      <c r="K69" s="170" t="e">
        <f>+K67/K66</f>
        <v>#DIV/0!</v>
      </c>
      <c r="L69" s="70"/>
      <c r="P69" s="50"/>
    </row>
    <row r="70" spans="1:16" s="27" customFormat="1" ht="15">
      <c r="A70" s="169"/>
      <c r="B70" s="171"/>
      <c r="C70" s="70"/>
      <c r="D70" s="172"/>
      <c r="E70" s="172"/>
      <c r="F70" s="171"/>
      <c r="G70" s="31"/>
      <c r="H70" s="70"/>
      <c r="P70" s="50"/>
    </row>
    <row r="71" spans="1:16" s="27" customFormat="1" ht="15">
      <c r="A71" s="160"/>
      <c r="B71" s="162"/>
      <c r="C71" s="70"/>
      <c r="D71" s="70"/>
      <c r="E71" s="70"/>
      <c r="F71" s="31"/>
      <c r="G71" s="31"/>
      <c r="H71" s="70"/>
      <c r="P71" s="50"/>
    </row>
    <row r="72" spans="1:16" s="32" customFormat="1" ht="75" customHeight="1">
      <c r="A72" s="528" t="s">
        <v>100</v>
      </c>
      <c r="B72" s="529"/>
      <c r="C72" s="529"/>
      <c r="D72" s="529"/>
      <c r="E72" s="529"/>
      <c r="F72" s="529"/>
      <c r="G72" s="529"/>
      <c r="H72" s="529"/>
      <c r="I72" s="529"/>
      <c r="J72" s="529"/>
      <c r="K72" s="529"/>
      <c r="L72" s="529"/>
      <c r="M72" s="529"/>
      <c r="N72" s="529"/>
      <c r="O72" s="529"/>
      <c r="P72" s="530"/>
    </row>
    <row r="73" spans="1:16" ht="16.5" thickBot="1">
      <c r="A73" s="252"/>
      <c r="B73" s="253"/>
      <c r="C73" s="253"/>
      <c r="D73" s="253"/>
      <c r="E73" s="253"/>
      <c r="F73" s="253"/>
      <c r="G73" s="253"/>
      <c r="H73" s="253"/>
      <c r="I73" s="253"/>
      <c r="J73" s="253"/>
      <c r="K73" s="253"/>
      <c r="L73" s="253"/>
      <c r="M73" s="253"/>
      <c r="N73" s="253"/>
      <c r="O73" s="253"/>
      <c r="P73" s="254"/>
    </row>
  </sheetData>
  <sheetProtection formatCells="0" formatColumns="0" formatRows="0" insertColumns="0" insertRows="0" insertHyperlinks="0" deleteColumns="0" deleteRows="0" sort="0" autoFilter="0" pivotTables="0"/>
  <mergeCells count="36">
    <mergeCell ref="A72:P72"/>
    <mergeCell ref="O8:P8"/>
    <mergeCell ref="B45:D45"/>
    <mergeCell ref="B43:D43"/>
    <mergeCell ref="B41:D41"/>
    <mergeCell ref="B40:D40"/>
    <mergeCell ref="A49:P49"/>
    <mergeCell ref="A14:P14"/>
    <mergeCell ref="A9:C9"/>
    <mergeCell ref="D9:E9"/>
    <mergeCell ref="F9:I9"/>
    <mergeCell ref="A22:P22"/>
    <mergeCell ref="J9:K9"/>
    <mergeCell ref="L9:N9"/>
    <mergeCell ref="O9:P9"/>
    <mergeCell ref="A11:P11"/>
    <mergeCell ref="A13:P13"/>
    <mergeCell ref="D1:M2"/>
    <mergeCell ref="A3:P5"/>
    <mergeCell ref="E6:L7"/>
    <mergeCell ref="M6:N6"/>
    <mergeCell ref="O6:P6"/>
    <mergeCell ref="M7:N7"/>
    <mergeCell ref="O7:P7"/>
    <mergeCell ref="H28:L28"/>
    <mergeCell ref="B61:D61"/>
    <mergeCell ref="B59:D59"/>
    <mergeCell ref="B57:D57"/>
    <mergeCell ref="B69:D69"/>
    <mergeCell ref="B67:D67"/>
    <mergeCell ref="B66:D66"/>
    <mergeCell ref="H66:J66"/>
    <mergeCell ref="H67:J67"/>
    <mergeCell ref="H29:L29"/>
    <mergeCell ref="H31:L31"/>
    <mergeCell ref="H32:L32"/>
  </mergeCells>
  <dataValidations count="2">
    <dataValidation type="list" showInputMessage="1" showErrorMessage="1" sqref="D9:E9" xr:uid="{00000000-0002-0000-0500-000000000000}">
      <formula1>RAS</formula1>
    </dataValidation>
    <dataValidation type="list" allowBlank="1" showInputMessage="1" showErrorMessage="1" sqref="O9:P9" xr:uid="{00000000-0002-0000-0500-000001000000}">
      <formula1>Diligences</formula1>
    </dataValidation>
  </dataValidations>
  <hyperlinks>
    <hyperlink ref="O8:P8" location="'P Synthèse'!A1" display="P Synthèse" xr:uid="{00000000-0004-0000-05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dimension ref="A1:U49"/>
  <sheetViews>
    <sheetView showGridLines="0" zoomScale="90" zoomScaleNormal="90" workbookViewId="0">
      <selection activeCell="O10" sqref="O10"/>
    </sheetView>
  </sheetViews>
  <sheetFormatPr defaultColWidth="11.42578125" defaultRowHeight="15.75"/>
  <cols>
    <col min="1" max="1" width="11.28515625" style="8" customWidth="1"/>
    <col min="2" max="8" width="14.7109375" style="8" customWidth="1"/>
    <col min="9" max="14" width="15.28515625" style="8" customWidth="1"/>
    <col min="15" max="16" width="11.28515625" style="8" customWidth="1"/>
    <col min="17" max="16384" width="11.42578125" style="8"/>
  </cols>
  <sheetData>
    <row r="1" spans="1:21" s="2" customFormat="1" ht="15" customHeight="1">
      <c r="A1" s="11"/>
      <c r="B1" s="12"/>
      <c r="C1" s="12"/>
      <c r="D1" s="497" t="str">
        <f>'P Synthèse'!D1:M2</f>
        <v>#NomClient</v>
      </c>
      <c r="E1" s="498"/>
      <c r="F1" s="498"/>
      <c r="G1" s="498"/>
      <c r="H1" s="498"/>
      <c r="I1" s="498"/>
      <c r="J1" s="498"/>
      <c r="K1" s="498"/>
      <c r="L1" s="498"/>
      <c r="M1" s="499"/>
      <c r="N1" s="12"/>
      <c r="O1" s="12"/>
      <c r="P1" s="13"/>
    </row>
    <row r="2" spans="1:21" s="2" customFormat="1" ht="15" customHeight="1" thickBot="1">
      <c r="A2" s="14"/>
      <c r="B2" s="15"/>
      <c r="C2" s="15"/>
      <c r="D2" s="500"/>
      <c r="E2" s="501"/>
      <c r="F2" s="501"/>
      <c r="G2" s="501"/>
      <c r="H2" s="501"/>
      <c r="I2" s="501"/>
      <c r="J2" s="501"/>
      <c r="K2" s="501"/>
      <c r="L2" s="501"/>
      <c r="M2" s="502"/>
      <c r="N2" s="15"/>
      <c r="O2" s="15"/>
      <c r="P2" s="16"/>
    </row>
    <row r="3" spans="1:21" ht="15" customHeight="1">
      <c r="A3" s="468" t="s">
        <v>3</v>
      </c>
      <c r="B3" s="469"/>
      <c r="C3" s="469"/>
      <c r="D3" s="469"/>
      <c r="E3" s="469"/>
      <c r="F3" s="469"/>
      <c r="G3" s="469"/>
      <c r="H3" s="469"/>
      <c r="I3" s="469"/>
      <c r="J3" s="469"/>
      <c r="K3" s="469"/>
      <c r="L3" s="469"/>
      <c r="M3" s="469"/>
      <c r="N3" s="469"/>
      <c r="O3" s="469"/>
      <c r="P3" s="470"/>
      <c r="R3" s="4"/>
      <c r="T3" s="6"/>
      <c r="U3" s="7"/>
    </row>
    <row r="4" spans="1:21" ht="15" customHeight="1">
      <c r="A4" s="468"/>
      <c r="B4" s="469"/>
      <c r="C4" s="469"/>
      <c r="D4" s="469"/>
      <c r="E4" s="469"/>
      <c r="F4" s="469"/>
      <c r="G4" s="469"/>
      <c r="H4" s="469"/>
      <c r="I4" s="469"/>
      <c r="J4" s="469"/>
      <c r="K4" s="469"/>
      <c r="L4" s="469"/>
      <c r="M4" s="469"/>
      <c r="N4" s="469"/>
      <c r="O4" s="469"/>
      <c r="P4" s="470"/>
      <c r="R4" s="4"/>
      <c r="T4" s="6"/>
      <c r="U4" s="7"/>
    </row>
    <row r="5" spans="1:21" ht="15" customHeight="1" thickBot="1">
      <c r="A5" s="471"/>
      <c r="B5" s="472"/>
      <c r="C5" s="472"/>
      <c r="D5" s="472"/>
      <c r="E5" s="472"/>
      <c r="F5" s="472"/>
      <c r="G5" s="472"/>
      <c r="H5" s="472"/>
      <c r="I5" s="472"/>
      <c r="J5" s="472"/>
      <c r="K5" s="472"/>
      <c r="L5" s="472"/>
      <c r="M5" s="472"/>
      <c r="N5" s="472"/>
      <c r="O5" s="472"/>
      <c r="P5" s="473"/>
      <c r="Q5" s="9"/>
      <c r="R5" s="5"/>
      <c r="S5" s="25"/>
      <c r="T5" s="25"/>
      <c r="U5" s="25"/>
    </row>
    <row r="6" spans="1:21" ht="15" customHeight="1">
      <c r="A6" s="18" t="s">
        <v>6</v>
      </c>
      <c r="B6" s="192" t="str">
        <f>'P Synthèse'!B6</f>
        <v>BRA</v>
      </c>
      <c r="C6" s="18" t="s">
        <v>8</v>
      </c>
      <c r="D6" s="192">
        <f>'P Synthèse'!D6</f>
        <v>0</v>
      </c>
      <c r="E6" s="489" t="s">
        <v>35</v>
      </c>
      <c r="F6" s="490"/>
      <c r="G6" s="490"/>
      <c r="H6" s="490"/>
      <c r="I6" s="490"/>
      <c r="J6" s="490"/>
      <c r="K6" s="490"/>
      <c r="L6" s="491"/>
      <c r="M6" s="503" t="s">
        <v>10</v>
      </c>
      <c r="N6" s="504"/>
      <c r="O6" s="478" t="s">
        <v>11</v>
      </c>
      <c r="P6" s="479"/>
      <c r="R6" s="2"/>
      <c r="S6" s="2"/>
    </row>
    <row r="7" spans="1:21" ht="15" customHeight="1" thickBot="1">
      <c r="A7" s="19" t="s">
        <v>13</v>
      </c>
      <c r="B7" s="184">
        <f>'P Synthèse'!B7</f>
        <v>0</v>
      </c>
      <c r="C7" s="19" t="s">
        <v>13</v>
      </c>
      <c r="D7" s="184">
        <f>'P Synthèse'!D7</f>
        <v>0</v>
      </c>
      <c r="E7" s="492"/>
      <c r="F7" s="493"/>
      <c r="G7" s="493"/>
      <c r="H7" s="493"/>
      <c r="I7" s="493"/>
      <c r="J7" s="493"/>
      <c r="K7" s="493"/>
      <c r="L7" s="494"/>
      <c r="M7" s="505" t="str">
        <f>'P Synthèse'!M7:M7</f>
        <v>#date de clôture</v>
      </c>
      <c r="N7" s="506"/>
      <c r="O7" s="480" t="s">
        <v>195</v>
      </c>
      <c r="P7" s="481"/>
    </row>
    <row r="8" spans="1:21" ht="21" customHeight="1" thickBot="1">
      <c r="A8" s="20"/>
      <c r="B8" s="17"/>
      <c r="C8" s="21"/>
      <c r="D8" s="21"/>
      <c r="E8" s="22"/>
      <c r="F8" s="22"/>
      <c r="G8" s="22"/>
      <c r="H8" s="22"/>
      <c r="I8" s="22"/>
      <c r="J8" s="22"/>
      <c r="K8" s="22"/>
      <c r="L8" s="22"/>
      <c r="M8" s="23"/>
      <c r="N8" s="21"/>
      <c r="O8" s="515" t="s">
        <v>49</v>
      </c>
      <c r="P8" s="515"/>
    </row>
    <row r="9" spans="1:21" s="21" customFormat="1" ht="31.5" customHeight="1" thickBot="1">
      <c r="A9" s="482" t="s">
        <v>18</v>
      </c>
      <c r="B9" s="483"/>
      <c r="C9" s="483"/>
      <c r="D9" s="519" t="str">
        <f>'P Synthèse'!D9:E9</f>
        <v>Faible</v>
      </c>
      <c r="E9" s="520"/>
      <c r="F9" s="474" t="s">
        <v>19</v>
      </c>
      <c r="G9" s="475"/>
      <c r="H9" s="475"/>
      <c r="I9" s="475"/>
      <c r="J9" s="521">
        <f>'P Synthèse'!J9:K9</f>
        <v>0</v>
      </c>
      <c r="K9" s="522"/>
      <c r="L9" s="474" t="s">
        <v>20</v>
      </c>
      <c r="M9" s="475"/>
      <c r="N9" s="475"/>
      <c r="O9" s="519" t="str">
        <f>'P Synthèse'!N9</f>
        <v>PB</v>
      </c>
      <c r="P9" s="520"/>
    </row>
    <row r="10" spans="1:21" s="21" customFormat="1" ht="21" customHeight="1" thickBot="1">
      <c r="A10" s="26"/>
      <c r="B10" s="26"/>
      <c r="C10" s="26"/>
      <c r="D10" s="26"/>
      <c r="E10" s="26"/>
      <c r="F10" s="26"/>
      <c r="G10" s="26"/>
      <c r="H10" s="26"/>
      <c r="I10" s="26"/>
      <c r="J10" s="26"/>
      <c r="K10" s="26"/>
      <c r="L10" s="26"/>
      <c r="M10" s="26"/>
      <c r="N10" s="26"/>
      <c r="O10" s="26"/>
      <c r="P10" s="26"/>
    </row>
    <row r="11" spans="1:21" s="27" customFormat="1" ht="106.15" customHeight="1" thickBot="1">
      <c r="A11" s="516" t="s">
        <v>196</v>
      </c>
      <c r="B11" s="517"/>
      <c r="C11" s="517"/>
      <c r="D11" s="517"/>
      <c r="E11" s="517"/>
      <c r="F11" s="517"/>
      <c r="G11" s="517"/>
      <c r="H11" s="517"/>
      <c r="I11" s="517"/>
      <c r="J11" s="517"/>
      <c r="K11" s="517"/>
      <c r="L11" s="517"/>
      <c r="M11" s="517"/>
      <c r="N11" s="517"/>
      <c r="O11" s="517"/>
      <c r="P11" s="518"/>
    </row>
    <row r="12" spans="1:21" s="27" customFormat="1" ht="9" customHeight="1" thickBot="1"/>
    <row r="13" spans="1:21" s="27" customFormat="1" ht="15">
      <c r="A13" s="453" t="s">
        <v>51</v>
      </c>
      <c r="B13" s="454"/>
      <c r="C13" s="454"/>
      <c r="D13" s="454"/>
      <c r="E13" s="454"/>
      <c r="F13" s="454"/>
      <c r="G13" s="454"/>
      <c r="H13" s="454"/>
      <c r="I13" s="454"/>
      <c r="J13" s="454"/>
      <c r="K13" s="454"/>
      <c r="L13" s="454"/>
      <c r="M13" s="454"/>
      <c r="N13" s="454"/>
      <c r="O13" s="454"/>
      <c r="P13" s="455"/>
    </row>
    <row r="14" spans="1:21" s="27" customFormat="1" ht="60" customHeight="1" thickBot="1">
      <c r="A14" s="535"/>
      <c r="B14" s="536"/>
      <c r="C14" s="536"/>
      <c r="D14" s="536"/>
      <c r="E14" s="536"/>
      <c r="F14" s="536"/>
      <c r="G14" s="536"/>
      <c r="H14" s="536"/>
      <c r="I14" s="536"/>
      <c r="J14" s="536"/>
      <c r="K14" s="536"/>
      <c r="L14" s="536"/>
      <c r="M14" s="536"/>
      <c r="N14" s="536"/>
      <c r="O14" s="536"/>
      <c r="P14" s="537"/>
    </row>
    <row r="15" spans="1:21" ht="16.5" thickBot="1"/>
    <row r="16" spans="1:21" s="27" customFormat="1" ht="15">
      <c r="A16" s="38"/>
      <c r="B16" s="44"/>
      <c r="C16" s="44"/>
      <c r="D16" s="44"/>
      <c r="E16" s="44"/>
      <c r="F16" s="43"/>
      <c r="G16" s="44"/>
      <c r="H16" s="44"/>
      <c r="I16" s="41"/>
      <c r="J16" s="41"/>
      <c r="K16" s="41"/>
      <c r="L16" s="41"/>
      <c r="M16" s="41"/>
      <c r="N16" s="41"/>
      <c r="O16" s="41"/>
      <c r="P16" s="42"/>
    </row>
    <row r="17" spans="1:16" s="27" customFormat="1" ht="30.75" customHeight="1">
      <c r="A17" s="188"/>
      <c r="B17" s="576" t="s">
        <v>197</v>
      </c>
      <c r="C17" s="578"/>
      <c r="D17" s="258" t="s">
        <v>198</v>
      </c>
      <c r="E17" s="178" t="s">
        <v>199</v>
      </c>
      <c r="F17" s="256" t="s">
        <v>200</v>
      </c>
      <c r="G17" s="257" t="s">
        <v>201</v>
      </c>
      <c r="H17" s="255" t="s">
        <v>202</v>
      </c>
      <c r="I17" s="576" t="s">
        <v>129</v>
      </c>
      <c r="J17" s="577"/>
      <c r="K17" s="577"/>
      <c r="L17" s="577"/>
      <c r="M17" s="577"/>
      <c r="N17" s="578"/>
      <c r="P17" s="50"/>
    </row>
    <row r="18" spans="1:16" s="27" customFormat="1" ht="15">
      <c r="A18" s="188"/>
      <c r="B18" s="588"/>
      <c r="C18" s="589"/>
      <c r="D18" s="259"/>
      <c r="E18" s="260"/>
      <c r="F18" s="276"/>
      <c r="G18" s="261">
        <f t="shared" ref="G18:G23" si="0">+D18-E18</f>
        <v>0</v>
      </c>
      <c r="H18" s="262" t="e">
        <f t="shared" ref="H18:H23" si="1">+G18/E18</f>
        <v>#DIV/0!</v>
      </c>
      <c r="I18" s="579"/>
      <c r="J18" s="580"/>
      <c r="K18" s="580"/>
      <c r="L18" s="580"/>
      <c r="M18" s="580"/>
      <c r="N18" s="581"/>
      <c r="P18" s="50"/>
    </row>
    <row r="19" spans="1:16" s="27" customFormat="1" ht="15">
      <c r="A19" s="188"/>
      <c r="B19" s="592"/>
      <c r="C19" s="593"/>
      <c r="D19" s="263"/>
      <c r="E19" s="264"/>
      <c r="F19" s="277"/>
      <c r="G19" s="265">
        <f t="shared" si="0"/>
        <v>0</v>
      </c>
      <c r="H19" s="266" t="e">
        <f t="shared" si="1"/>
        <v>#DIV/0!</v>
      </c>
      <c r="I19" s="582"/>
      <c r="J19" s="583"/>
      <c r="K19" s="583"/>
      <c r="L19" s="583"/>
      <c r="M19" s="583"/>
      <c r="N19" s="584"/>
      <c r="P19" s="50"/>
    </row>
    <row r="20" spans="1:16" s="27" customFormat="1" ht="15">
      <c r="A20" s="188"/>
      <c r="B20" s="592"/>
      <c r="C20" s="593"/>
      <c r="D20" s="263"/>
      <c r="E20" s="264"/>
      <c r="F20" s="277"/>
      <c r="G20" s="265">
        <f t="shared" si="0"/>
        <v>0</v>
      </c>
      <c r="H20" s="266" t="e">
        <f t="shared" si="1"/>
        <v>#DIV/0!</v>
      </c>
      <c r="I20" s="582"/>
      <c r="J20" s="583"/>
      <c r="K20" s="583"/>
      <c r="L20" s="583"/>
      <c r="M20" s="583"/>
      <c r="N20" s="584"/>
      <c r="P20" s="50"/>
    </row>
    <row r="21" spans="1:16" s="27" customFormat="1" ht="15">
      <c r="A21" s="188"/>
      <c r="B21" s="592"/>
      <c r="C21" s="593"/>
      <c r="D21" s="263"/>
      <c r="E21" s="264"/>
      <c r="F21" s="277"/>
      <c r="G21" s="265">
        <f t="shared" si="0"/>
        <v>0</v>
      </c>
      <c r="H21" s="266" t="e">
        <f t="shared" si="1"/>
        <v>#DIV/0!</v>
      </c>
      <c r="I21" s="582"/>
      <c r="J21" s="583"/>
      <c r="K21" s="583"/>
      <c r="L21" s="583"/>
      <c r="M21" s="583"/>
      <c r="N21" s="584"/>
      <c r="P21" s="50"/>
    </row>
    <row r="22" spans="1:16" s="27" customFormat="1" ht="15">
      <c r="A22" s="188"/>
      <c r="B22" s="592"/>
      <c r="C22" s="593"/>
      <c r="D22" s="263"/>
      <c r="E22" s="264"/>
      <c r="F22" s="277"/>
      <c r="G22" s="265">
        <f t="shared" si="0"/>
        <v>0</v>
      </c>
      <c r="H22" s="266" t="e">
        <f t="shared" si="1"/>
        <v>#DIV/0!</v>
      </c>
      <c r="I22" s="582"/>
      <c r="J22" s="583"/>
      <c r="K22" s="583"/>
      <c r="L22" s="583"/>
      <c r="M22" s="583"/>
      <c r="N22" s="584"/>
      <c r="P22" s="50"/>
    </row>
    <row r="23" spans="1:16" s="27" customFormat="1" ht="15">
      <c r="A23" s="188"/>
      <c r="B23" s="590"/>
      <c r="C23" s="591"/>
      <c r="D23" s="267"/>
      <c r="E23" s="268"/>
      <c r="F23" s="278"/>
      <c r="G23" s="269">
        <f t="shared" si="0"/>
        <v>0</v>
      </c>
      <c r="H23" s="270" t="e">
        <f t="shared" si="1"/>
        <v>#DIV/0!</v>
      </c>
      <c r="I23" s="585"/>
      <c r="J23" s="586"/>
      <c r="K23" s="586"/>
      <c r="L23" s="586"/>
      <c r="M23" s="586"/>
      <c r="N23" s="587"/>
      <c r="P23" s="50"/>
    </row>
    <row r="24" spans="1:16" s="27" customFormat="1" ht="15">
      <c r="A24" s="188"/>
      <c r="B24" s="74"/>
      <c r="C24" s="126"/>
      <c r="D24" s="173"/>
      <c r="E24" s="173"/>
      <c r="F24" s="39"/>
      <c r="G24" s="174"/>
      <c r="H24" s="77"/>
      <c r="I24" s="31"/>
      <c r="J24" s="31"/>
      <c r="P24" s="50"/>
    </row>
    <row r="25" spans="1:16" s="27" customFormat="1" ht="15">
      <c r="A25" s="188"/>
      <c r="C25" s="159" t="s">
        <v>203</v>
      </c>
      <c r="D25" s="115">
        <f>SUM(D18:D23)</f>
        <v>0</v>
      </c>
      <c r="F25" s="124" t="s">
        <v>204</v>
      </c>
      <c r="G25" s="115">
        <f>SUM(G18:G23)</f>
        <v>0</v>
      </c>
      <c r="H25" s="179" t="e">
        <f>+G25/D25</f>
        <v>#DIV/0!</v>
      </c>
      <c r="I25" s="31"/>
      <c r="J25" s="31"/>
      <c r="P25" s="50"/>
    </row>
    <row r="26" spans="1:16" s="27" customFormat="1" ht="15">
      <c r="A26" s="188"/>
      <c r="C26" s="272"/>
      <c r="D26" s="175"/>
      <c r="E26" s="31"/>
      <c r="F26" s="31"/>
      <c r="G26" s="31"/>
      <c r="H26" s="175"/>
      <c r="I26" s="76"/>
      <c r="J26" s="31"/>
      <c r="P26" s="50"/>
    </row>
    <row r="27" spans="1:16" s="27" customFormat="1" ht="15">
      <c r="A27" s="188"/>
      <c r="C27" s="159" t="s">
        <v>205</v>
      </c>
      <c r="D27" s="215"/>
      <c r="E27" s="31"/>
      <c r="F27" s="31"/>
      <c r="G27" s="31"/>
      <c r="H27" s="39"/>
      <c r="I27" s="76"/>
      <c r="J27" s="31"/>
      <c r="P27" s="50"/>
    </row>
    <row r="28" spans="1:16" s="27" customFormat="1" ht="15">
      <c r="A28" s="188"/>
      <c r="C28" s="272"/>
      <c r="D28" s="176"/>
      <c r="E28" s="177"/>
      <c r="F28" s="177"/>
      <c r="G28" s="39"/>
      <c r="H28" s="177"/>
      <c r="I28" s="77"/>
      <c r="J28" s="31"/>
      <c r="P28" s="50"/>
    </row>
    <row r="29" spans="1:16" s="27" customFormat="1" ht="15">
      <c r="A29" s="188"/>
      <c r="C29" s="273" t="s">
        <v>206</v>
      </c>
      <c r="D29" s="179" t="e">
        <f>+D25/D27</f>
        <v>#DIV/0!</v>
      </c>
      <c r="E29" s="31"/>
      <c r="F29" s="31"/>
      <c r="G29" s="31"/>
      <c r="H29" s="70"/>
      <c r="I29" s="70"/>
      <c r="J29" s="31"/>
      <c r="P29" s="50"/>
    </row>
    <row r="30" spans="1:16" s="27" customFormat="1" ht="15">
      <c r="A30" s="188"/>
      <c r="B30" s="78"/>
      <c r="C30" s="78"/>
      <c r="D30" s="31"/>
      <c r="E30" s="31"/>
      <c r="F30" s="31"/>
      <c r="G30" s="70"/>
      <c r="H30" s="67"/>
      <c r="I30" s="70"/>
      <c r="J30" s="31"/>
      <c r="P30" s="50"/>
    </row>
    <row r="31" spans="1:16" s="271" customFormat="1" ht="36" customHeight="1">
      <c r="A31" s="274"/>
      <c r="B31" s="576" t="s">
        <v>207</v>
      </c>
      <c r="C31" s="578"/>
      <c r="D31" s="258" t="s">
        <v>198</v>
      </c>
      <c r="E31" s="178" t="s">
        <v>208</v>
      </c>
      <c r="F31" s="256" t="s">
        <v>200</v>
      </c>
      <c r="G31" s="257" t="s">
        <v>201</v>
      </c>
      <c r="H31" s="255" t="s">
        <v>202</v>
      </c>
      <c r="I31" s="576" t="s">
        <v>129</v>
      </c>
      <c r="J31" s="577"/>
      <c r="K31" s="577"/>
      <c r="L31" s="577"/>
      <c r="M31" s="577"/>
      <c r="N31" s="578"/>
      <c r="P31" s="275"/>
    </row>
    <row r="32" spans="1:16" s="27" customFormat="1" ht="15">
      <c r="A32" s="188"/>
      <c r="B32" s="588"/>
      <c r="C32" s="589"/>
      <c r="D32" s="259"/>
      <c r="E32" s="260"/>
      <c r="F32" s="276"/>
      <c r="G32" s="261">
        <f t="shared" ref="G32:G37" si="2">+D32-E32</f>
        <v>0</v>
      </c>
      <c r="H32" s="262" t="e">
        <f t="shared" ref="H32:H37" si="3">+G32/E32</f>
        <v>#DIV/0!</v>
      </c>
      <c r="I32" s="579"/>
      <c r="J32" s="580"/>
      <c r="K32" s="580"/>
      <c r="L32" s="580"/>
      <c r="M32" s="580"/>
      <c r="N32" s="581"/>
      <c r="P32" s="50"/>
    </row>
    <row r="33" spans="1:16" s="27" customFormat="1" ht="15">
      <c r="A33" s="188"/>
      <c r="B33" s="592"/>
      <c r="C33" s="593"/>
      <c r="D33" s="263"/>
      <c r="E33" s="264"/>
      <c r="F33" s="277"/>
      <c r="G33" s="265">
        <f t="shared" si="2"/>
        <v>0</v>
      </c>
      <c r="H33" s="266" t="e">
        <f t="shared" si="3"/>
        <v>#DIV/0!</v>
      </c>
      <c r="I33" s="582"/>
      <c r="J33" s="583"/>
      <c r="K33" s="583"/>
      <c r="L33" s="583"/>
      <c r="M33" s="583"/>
      <c r="N33" s="584"/>
      <c r="P33" s="50"/>
    </row>
    <row r="34" spans="1:16" s="27" customFormat="1" ht="15">
      <c r="A34" s="188"/>
      <c r="B34" s="592"/>
      <c r="C34" s="593"/>
      <c r="D34" s="263"/>
      <c r="E34" s="264"/>
      <c r="F34" s="277"/>
      <c r="G34" s="265">
        <f t="shared" si="2"/>
        <v>0</v>
      </c>
      <c r="H34" s="266" t="e">
        <f t="shared" si="3"/>
        <v>#DIV/0!</v>
      </c>
      <c r="I34" s="582"/>
      <c r="J34" s="583"/>
      <c r="K34" s="583"/>
      <c r="L34" s="583"/>
      <c r="M34" s="583"/>
      <c r="N34" s="584"/>
      <c r="P34" s="50"/>
    </row>
    <row r="35" spans="1:16" s="27" customFormat="1" ht="15">
      <c r="A35" s="188"/>
      <c r="B35" s="592"/>
      <c r="C35" s="593"/>
      <c r="D35" s="263"/>
      <c r="E35" s="264"/>
      <c r="F35" s="277"/>
      <c r="G35" s="265">
        <f t="shared" si="2"/>
        <v>0</v>
      </c>
      <c r="H35" s="266" t="e">
        <f t="shared" si="3"/>
        <v>#DIV/0!</v>
      </c>
      <c r="I35" s="582"/>
      <c r="J35" s="583"/>
      <c r="K35" s="583"/>
      <c r="L35" s="583"/>
      <c r="M35" s="583"/>
      <c r="N35" s="584"/>
      <c r="P35" s="50"/>
    </row>
    <row r="36" spans="1:16" s="27" customFormat="1" ht="15">
      <c r="A36" s="188"/>
      <c r="B36" s="592"/>
      <c r="C36" s="593"/>
      <c r="D36" s="263"/>
      <c r="E36" s="264"/>
      <c r="F36" s="277"/>
      <c r="G36" s="265">
        <f t="shared" si="2"/>
        <v>0</v>
      </c>
      <c r="H36" s="266" t="e">
        <f t="shared" si="3"/>
        <v>#DIV/0!</v>
      </c>
      <c r="I36" s="582"/>
      <c r="J36" s="583"/>
      <c r="K36" s="583"/>
      <c r="L36" s="583"/>
      <c r="M36" s="583"/>
      <c r="N36" s="584"/>
      <c r="P36" s="50"/>
    </row>
    <row r="37" spans="1:16" s="27" customFormat="1" ht="15">
      <c r="A37" s="188"/>
      <c r="B37" s="590"/>
      <c r="C37" s="591"/>
      <c r="D37" s="267"/>
      <c r="E37" s="268"/>
      <c r="F37" s="278"/>
      <c r="G37" s="269">
        <f t="shared" si="2"/>
        <v>0</v>
      </c>
      <c r="H37" s="270" t="e">
        <f t="shared" si="3"/>
        <v>#DIV/0!</v>
      </c>
      <c r="I37" s="585"/>
      <c r="J37" s="586"/>
      <c r="K37" s="586"/>
      <c r="L37" s="586"/>
      <c r="M37" s="586"/>
      <c r="N37" s="587"/>
      <c r="P37" s="50"/>
    </row>
    <row r="38" spans="1:16" s="27" customFormat="1" ht="15">
      <c r="A38" s="188"/>
      <c r="B38" s="74"/>
      <c r="C38" s="126"/>
      <c r="D38" s="173"/>
      <c r="E38" s="173"/>
      <c r="F38" s="39"/>
      <c r="G38" s="174"/>
      <c r="H38" s="77"/>
      <c r="I38" s="31"/>
      <c r="J38" s="31"/>
      <c r="P38" s="50"/>
    </row>
    <row r="39" spans="1:16" s="27" customFormat="1" ht="15">
      <c r="A39" s="188"/>
      <c r="C39" s="159" t="s">
        <v>203</v>
      </c>
      <c r="D39" s="115">
        <f>SUM(D32:D37)</f>
        <v>0</v>
      </c>
      <c r="F39" s="124" t="s">
        <v>204</v>
      </c>
      <c r="G39" s="115">
        <f>SUM(G32:G37)</f>
        <v>0</v>
      </c>
      <c r="H39" s="179" t="e">
        <f>+G39/D39</f>
        <v>#DIV/0!</v>
      </c>
      <c r="I39" s="31"/>
      <c r="J39" s="31"/>
      <c r="P39" s="50"/>
    </row>
    <row r="40" spans="1:16" s="27" customFormat="1" ht="15">
      <c r="A40" s="188"/>
      <c r="C40" s="272"/>
      <c r="D40" s="175"/>
      <c r="E40" s="31"/>
      <c r="F40" s="31"/>
      <c r="G40" s="31"/>
      <c r="H40" s="175"/>
      <c r="I40" s="76"/>
      <c r="J40" s="31"/>
      <c r="P40" s="50"/>
    </row>
    <row r="41" spans="1:16" s="27" customFormat="1" ht="15">
      <c r="A41" s="188"/>
      <c r="C41" s="159" t="s">
        <v>209</v>
      </c>
      <c r="D41" s="215"/>
      <c r="E41" s="31"/>
      <c r="F41" s="31"/>
      <c r="G41" s="31"/>
      <c r="H41" s="39"/>
      <c r="I41" s="76"/>
      <c r="J41" s="31"/>
      <c r="P41" s="50"/>
    </row>
    <row r="42" spans="1:16" s="27" customFormat="1" ht="15">
      <c r="A42" s="188"/>
      <c r="C42" s="272"/>
      <c r="D42" s="176"/>
      <c r="E42" s="177"/>
      <c r="F42" s="177"/>
      <c r="G42" s="39"/>
      <c r="H42" s="177"/>
      <c r="I42" s="77"/>
      <c r="J42" s="31"/>
      <c r="P42" s="50"/>
    </row>
    <row r="43" spans="1:16" s="27" customFormat="1" ht="15">
      <c r="A43" s="188"/>
      <c r="C43" s="273" t="s">
        <v>206</v>
      </c>
      <c r="D43" s="179" t="e">
        <f>+D39/D41</f>
        <v>#DIV/0!</v>
      </c>
      <c r="E43" s="31"/>
      <c r="F43" s="31"/>
      <c r="G43" s="31"/>
      <c r="H43" s="70"/>
      <c r="I43" s="70"/>
      <c r="J43" s="31"/>
      <c r="P43" s="50"/>
    </row>
    <row r="44" spans="1:16" s="27" customFormat="1" ht="15">
      <c r="A44" s="188"/>
      <c r="P44" s="50"/>
    </row>
    <row r="45" spans="1:16" s="32" customFormat="1" ht="75" customHeight="1">
      <c r="A45" s="528" t="s">
        <v>210</v>
      </c>
      <c r="B45" s="529"/>
      <c r="C45" s="529"/>
      <c r="D45" s="529"/>
      <c r="E45" s="529"/>
      <c r="F45" s="529"/>
      <c r="G45" s="529"/>
      <c r="H45" s="529"/>
      <c r="I45" s="529"/>
      <c r="J45" s="529"/>
      <c r="K45" s="529"/>
      <c r="L45" s="529"/>
      <c r="M45" s="529"/>
      <c r="N45" s="529"/>
      <c r="O45" s="529"/>
      <c r="P45" s="530"/>
    </row>
    <row r="46" spans="1:16" s="27" customFormat="1" thickBot="1">
      <c r="A46" s="189"/>
      <c r="B46" s="190"/>
      <c r="C46" s="190"/>
      <c r="D46" s="190"/>
      <c r="E46" s="190"/>
      <c r="F46" s="190"/>
      <c r="G46" s="190"/>
      <c r="H46" s="190"/>
      <c r="I46" s="190"/>
      <c r="J46" s="190"/>
      <c r="K46" s="190"/>
      <c r="L46" s="190"/>
      <c r="M46" s="190"/>
      <c r="N46" s="190"/>
      <c r="O46" s="190"/>
      <c r="P46" s="191"/>
    </row>
    <row r="49" spans="2:2">
      <c r="B49" s="209"/>
    </row>
  </sheetData>
  <sheetProtection formatCells="0" formatColumns="0" formatRows="0" insertColumns="0" insertRows="0" insertHyperlinks="0" deleteColumns="0" deleteRows="0" sort="0" autoFilter="0" pivotTables="0"/>
  <mergeCells count="46">
    <mergeCell ref="A45:P45"/>
    <mergeCell ref="O8:P8"/>
    <mergeCell ref="B36:C36"/>
    <mergeCell ref="B37:C37"/>
    <mergeCell ref="I31:N31"/>
    <mergeCell ref="I32:N32"/>
    <mergeCell ref="I33:N33"/>
    <mergeCell ref="I34:N34"/>
    <mergeCell ref="I35:N35"/>
    <mergeCell ref="I36:N36"/>
    <mergeCell ref="I37:N37"/>
    <mergeCell ref="B31:C31"/>
    <mergeCell ref="B32:C32"/>
    <mergeCell ref="B33:C33"/>
    <mergeCell ref="B34:C34"/>
    <mergeCell ref="B35:C35"/>
    <mergeCell ref="I20:N20"/>
    <mergeCell ref="I21:N21"/>
    <mergeCell ref="I22:N22"/>
    <mergeCell ref="I23:N23"/>
    <mergeCell ref="B18:C18"/>
    <mergeCell ref="B23:C23"/>
    <mergeCell ref="B19:C19"/>
    <mergeCell ref="B20:C20"/>
    <mergeCell ref="B21:C21"/>
    <mergeCell ref="B22:C22"/>
    <mergeCell ref="D1:M2"/>
    <mergeCell ref="A3:P5"/>
    <mergeCell ref="E6:L7"/>
    <mergeCell ref="M6:N6"/>
    <mergeCell ref="O6:P6"/>
    <mergeCell ref="M7:N7"/>
    <mergeCell ref="O7:P7"/>
    <mergeCell ref="I17:N17"/>
    <mergeCell ref="I18:N18"/>
    <mergeCell ref="I19:N19"/>
    <mergeCell ref="O9:P9"/>
    <mergeCell ref="A11:P11"/>
    <mergeCell ref="A13:P13"/>
    <mergeCell ref="A14:P14"/>
    <mergeCell ref="A9:C9"/>
    <mergeCell ref="D9:E9"/>
    <mergeCell ref="F9:I9"/>
    <mergeCell ref="J9:K9"/>
    <mergeCell ref="L9:N9"/>
    <mergeCell ref="B17:C17"/>
  </mergeCells>
  <dataValidations count="2">
    <dataValidation type="list" allowBlank="1" showInputMessage="1" showErrorMessage="1" sqref="O9:P9" xr:uid="{00000000-0002-0000-0600-000000000000}">
      <formula1>Diligences</formula1>
    </dataValidation>
    <dataValidation type="list" showInputMessage="1" showErrorMessage="1" sqref="D9:E9" xr:uid="{00000000-0002-0000-0600-000001000000}">
      <formula1>RAS</formula1>
    </dataValidation>
  </dataValidations>
  <hyperlinks>
    <hyperlink ref="O8:P8" location="'P Synthèse'!A1" display="P Synthèse" xr:uid="{00000000-0004-0000-06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dimension ref="A1:U58"/>
  <sheetViews>
    <sheetView showGridLines="0" zoomScale="90" zoomScaleNormal="90" workbookViewId="0">
      <selection activeCell="O10" sqref="O10"/>
    </sheetView>
  </sheetViews>
  <sheetFormatPr defaultColWidth="11.42578125" defaultRowHeight="15.75"/>
  <cols>
    <col min="1" max="6" width="13.7109375" style="8" customWidth="1"/>
    <col min="7" max="7" width="14.7109375" style="8" customWidth="1"/>
    <col min="8" max="11" width="13.7109375" style="8" customWidth="1"/>
    <col min="12" max="15" width="14.7109375" style="8" customWidth="1"/>
    <col min="16" max="16" width="13.7109375" style="8" customWidth="1"/>
    <col min="17" max="16384" width="11.42578125" style="8"/>
  </cols>
  <sheetData>
    <row r="1" spans="1:21" s="2" customFormat="1" ht="15" customHeight="1">
      <c r="A1" s="11"/>
      <c r="B1" s="12"/>
      <c r="C1" s="12"/>
      <c r="D1" s="497" t="str">
        <f>'P Synthèse'!D1:M2</f>
        <v>#NomClient</v>
      </c>
      <c r="E1" s="498"/>
      <c r="F1" s="498"/>
      <c r="G1" s="498"/>
      <c r="H1" s="498"/>
      <c r="I1" s="498"/>
      <c r="J1" s="498"/>
      <c r="K1" s="498"/>
      <c r="L1" s="498"/>
      <c r="M1" s="499"/>
      <c r="N1" s="12"/>
      <c r="O1" s="12"/>
      <c r="P1" s="13"/>
    </row>
    <row r="2" spans="1:21" s="2" customFormat="1" ht="15" customHeight="1" thickBot="1">
      <c r="A2" s="14"/>
      <c r="B2" s="15"/>
      <c r="C2" s="15"/>
      <c r="D2" s="500"/>
      <c r="E2" s="501"/>
      <c r="F2" s="501"/>
      <c r="G2" s="501"/>
      <c r="H2" s="501"/>
      <c r="I2" s="501"/>
      <c r="J2" s="501"/>
      <c r="K2" s="501"/>
      <c r="L2" s="501"/>
      <c r="M2" s="502"/>
      <c r="N2" s="15"/>
      <c r="O2" s="15"/>
      <c r="P2" s="16"/>
    </row>
    <row r="3" spans="1:21" ht="15" customHeight="1">
      <c r="A3" s="468" t="s">
        <v>3</v>
      </c>
      <c r="B3" s="469"/>
      <c r="C3" s="469"/>
      <c r="D3" s="469"/>
      <c r="E3" s="469"/>
      <c r="F3" s="469"/>
      <c r="G3" s="469"/>
      <c r="H3" s="469"/>
      <c r="I3" s="469"/>
      <c r="J3" s="469"/>
      <c r="K3" s="469"/>
      <c r="L3" s="469"/>
      <c r="M3" s="469"/>
      <c r="N3" s="469"/>
      <c r="O3" s="469"/>
      <c r="P3" s="470"/>
      <c r="R3" s="4"/>
      <c r="T3" s="6"/>
      <c r="U3" s="7"/>
    </row>
    <row r="4" spans="1:21" ht="15" customHeight="1">
      <c r="A4" s="468"/>
      <c r="B4" s="469"/>
      <c r="C4" s="469"/>
      <c r="D4" s="469"/>
      <c r="E4" s="469"/>
      <c r="F4" s="469"/>
      <c r="G4" s="469"/>
      <c r="H4" s="469"/>
      <c r="I4" s="469"/>
      <c r="J4" s="469"/>
      <c r="K4" s="469"/>
      <c r="L4" s="469"/>
      <c r="M4" s="469"/>
      <c r="N4" s="469"/>
      <c r="O4" s="469"/>
      <c r="P4" s="470"/>
      <c r="R4" s="4"/>
      <c r="T4" s="6"/>
      <c r="U4" s="7"/>
    </row>
    <row r="5" spans="1:21" ht="15" customHeight="1" thickBot="1">
      <c r="A5" s="471"/>
      <c r="B5" s="472"/>
      <c r="C5" s="472"/>
      <c r="D5" s="472"/>
      <c r="E5" s="472"/>
      <c r="F5" s="472"/>
      <c r="G5" s="472"/>
      <c r="H5" s="472"/>
      <c r="I5" s="472"/>
      <c r="J5" s="472"/>
      <c r="K5" s="472"/>
      <c r="L5" s="472"/>
      <c r="M5" s="472"/>
      <c r="N5" s="472"/>
      <c r="O5" s="472"/>
      <c r="P5" s="473"/>
      <c r="Q5" s="9"/>
      <c r="R5" s="5"/>
      <c r="S5" s="25"/>
      <c r="T5" s="25"/>
      <c r="U5" s="25"/>
    </row>
    <row r="6" spans="1:21" ht="15" customHeight="1">
      <c r="A6" s="18" t="s">
        <v>6</v>
      </c>
      <c r="B6" s="192" t="str">
        <f>'P Synthèse'!B6</f>
        <v>BRA</v>
      </c>
      <c r="C6" s="18" t="s">
        <v>8</v>
      </c>
      <c r="D6" s="192">
        <f>'P Synthèse'!D6</f>
        <v>0</v>
      </c>
      <c r="E6" s="489" t="s">
        <v>37</v>
      </c>
      <c r="F6" s="490"/>
      <c r="G6" s="490"/>
      <c r="H6" s="490"/>
      <c r="I6" s="490"/>
      <c r="J6" s="490"/>
      <c r="K6" s="490"/>
      <c r="L6" s="491"/>
      <c r="M6" s="503" t="s">
        <v>10</v>
      </c>
      <c r="N6" s="504"/>
      <c r="O6" s="478" t="s">
        <v>11</v>
      </c>
      <c r="P6" s="479"/>
      <c r="R6" s="2"/>
      <c r="S6" s="2"/>
    </row>
    <row r="7" spans="1:21" ht="15" customHeight="1" thickBot="1">
      <c r="A7" s="19" t="s">
        <v>13</v>
      </c>
      <c r="B7" s="184">
        <f>'P Synthèse'!B7</f>
        <v>0</v>
      </c>
      <c r="C7" s="19" t="s">
        <v>13</v>
      </c>
      <c r="D7" s="184">
        <f>'P Synthèse'!D7</f>
        <v>0</v>
      </c>
      <c r="E7" s="492"/>
      <c r="F7" s="493"/>
      <c r="G7" s="493"/>
      <c r="H7" s="493"/>
      <c r="I7" s="493"/>
      <c r="J7" s="493"/>
      <c r="K7" s="493"/>
      <c r="L7" s="494"/>
      <c r="M7" s="505" t="s">
        <v>211</v>
      </c>
      <c r="N7" s="506"/>
      <c r="O7" s="480" t="s">
        <v>212</v>
      </c>
      <c r="P7" s="481"/>
    </row>
    <row r="8" spans="1:21" ht="21" customHeight="1" thickBot="1">
      <c r="A8" s="20"/>
      <c r="B8" s="17"/>
      <c r="C8" s="21"/>
      <c r="D8" s="21"/>
      <c r="E8" s="22"/>
      <c r="F8" s="22"/>
      <c r="G8" s="22"/>
      <c r="H8" s="22"/>
      <c r="I8" s="22"/>
      <c r="J8" s="22"/>
      <c r="K8" s="22"/>
      <c r="L8" s="22"/>
      <c r="M8" s="23"/>
      <c r="N8" s="21"/>
      <c r="O8" s="515" t="s">
        <v>49</v>
      </c>
      <c r="P8" s="515"/>
    </row>
    <row r="9" spans="1:21" s="21" customFormat="1" ht="31.5" customHeight="1" thickBot="1">
      <c r="A9" s="482" t="s">
        <v>18</v>
      </c>
      <c r="B9" s="483"/>
      <c r="C9" s="483"/>
      <c r="D9" s="519" t="str">
        <f>'P Synthèse'!D9:E9</f>
        <v>Faible</v>
      </c>
      <c r="E9" s="520"/>
      <c r="F9" s="474" t="s">
        <v>19</v>
      </c>
      <c r="G9" s="475"/>
      <c r="H9" s="475"/>
      <c r="I9" s="475"/>
      <c r="J9" s="521">
        <f>'P Synthèse'!J9:K9</f>
        <v>0</v>
      </c>
      <c r="K9" s="522"/>
      <c r="L9" s="474" t="s">
        <v>20</v>
      </c>
      <c r="M9" s="475"/>
      <c r="N9" s="475"/>
      <c r="O9" s="519" t="str">
        <f>'P Synthèse'!N9</f>
        <v>PB</v>
      </c>
      <c r="P9" s="520"/>
    </row>
    <row r="10" spans="1:21" s="21" customFormat="1" ht="21" customHeight="1" thickBot="1">
      <c r="A10" s="26"/>
      <c r="B10" s="26"/>
      <c r="C10" s="26"/>
      <c r="D10" s="26"/>
      <c r="E10" s="26"/>
      <c r="F10" s="26"/>
      <c r="G10" s="26"/>
      <c r="H10" s="26"/>
      <c r="I10" s="26"/>
      <c r="J10" s="26"/>
      <c r="K10" s="26"/>
      <c r="L10" s="26"/>
      <c r="M10" s="26"/>
      <c r="N10" s="26"/>
      <c r="O10" s="26"/>
      <c r="P10" s="26"/>
    </row>
    <row r="11" spans="1:21" s="27" customFormat="1" ht="153" customHeight="1" thickBot="1">
      <c r="A11" s="516" t="s">
        <v>213</v>
      </c>
      <c r="B11" s="517"/>
      <c r="C11" s="517"/>
      <c r="D11" s="517"/>
      <c r="E11" s="517"/>
      <c r="F11" s="517"/>
      <c r="G11" s="517"/>
      <c r="H11" s="517"/>
      <c r="I11" s="517"/>
      <c r="J11" s="517"/>
      <c r="K11" s="517"/>
      <c r="L11" s="517"/>
      <c r="M11" s="517"/>
      <c r="N11" s="517"/>
      <c r="O11" s="517"/>
      <c r="P11" s="518"/>
    </row>
    <row r="12" spans="1:21" s="27" customFormat="1" thickBot="1"/>
    <row r="13" spans="1:21" s="27" customFormat="1" ht="15">
      <c r="A13" s="453" t="s">
        <v>51</v>
      </c>
      <c r="B13" s="454"/>
      <c r="C13" s="454"/>
      <c r="D13" s="454"/>
      <c r="E13" s="454"/>
      <c r="F13" s="454"/>
      <c r="G13" s="454"/>
      <c r="H13" s="454"/>
      <c r="I13" s="454"/>
      <c r="J13" s="454"/>
      <c r="K13" s="454"/>
      <c r="L13" s="454"/>
      <c r="M13" s="454"/>
      <c r="N13" s="454"/>
      <c r="O13" s="454"/>
      <c r="P13" s="455"/>
    </row>
    <row r="14" spans="1:21" s="27" customFormat="1" ht="60" customHeight="1" thickBot="1">
      <c r="A14" s="535"/>
      <c r="B14" s="536"/>
      <c r="C14" s="536"/>
      <c r="D14" s="536"/>
      <c r="E14" s="536"/>
      <c r="F14" s="536"/>
      <c r="G14" s="536"/>
      <c r="H14" s="536"/>
      <c r="I14" s="536"/>
      <c r="J14" s="536"/>
      <c r="K14" s="536"/>
      <c r="L14" s="536"/>
      <c r="M14" s="536"/>
      <c r="N14" s="536"/>
      <c r="O14" s="536"/>
      <c r="P14" s="537"/>
    </row>
    <row r="15" spans="1:21" ht="16.5" thickBot="1"/>
    <row r="16" spans="1:21">
      <c r="A16" s="45"/>
      <c r="B16" s="46"/>
      <c r="C16" s="46"/>
      <c r="D16" s="46"/>
      <c r="E16" s="46"/>
      <c r="F16" s="46"/>
      <c r="G16" s="46"/>
      <c r="H16" s="46"/>
      <c r="I16" s="46"/>
      <c r="J16" s="46"/>
      <c r="K16" s="46"/>
      <c r="L16" s="46"/>
      <c r="M16" s="46"/>
      <c r="N16" s="46"/>
      <c r="O16" s="46"/>
      <c r="P16" s="47"/>
    </row>
    <row r="17" spans="1:16" s="27" customFormat="1" ht="15">
      <c r="A17" s="293" t="s">
        <v>214</v>
      </c>
      <c r="P17" s="50"/>
    </row>
    <row r="18" spans="1:16" s="27" customFormat="1" ht="15">
      <c r="A18" s="188"/>
      <c r="P18" s="50"/>
    </row>
    <row r="19" spans="1:16" s="27" customFormat="1" ht="15">
      <c r="A19" s="188"/>
      <c r="B19" s="294"/>
      <c r="C19" s="294"/>
      <c r="D19" s="286"/>
      <c r="P19" s="50"/>
    </row>
    <row r="20" spans="1:16" s="27" customFormat="1" ht="15">
      <c r="A20" s="188"/>
      <c r="B20" s="600" t="s">
        <v>215</v>
      </c>
      <c r="C20" s="601"/>
      <c r="D20" s="601"/>
      <c r="E20" s="601"/>
      <c r="F20" s="601"/>
      <c r="G20" s="602"/>
      <c r="J20" s="600" t="s">
        <v>216</v>
      </c>
      <c r="K20" s="601"/>
      <c r="L20" s="601"/>
      <c r="M20" s="601"/>
      <c r="N20" s="601"/>
      <c r="O20" s="602"/>
      <c r="P20" s="50"/>
    </row>
    <row r="21" spans="1:16" s="27" customFormat="1" ht="15">
      <c r="A21" s="188"/>
      <c r="B21" s="295"/>
      <c r="C21" s="295"/>
      <c r="D21" s="295"/>
      <c r="J21" s="295"/>
      <c r="K21" s="295"/>
      <c r="L21" s="295"/>
      <c r="P21" s="50"/>
    </row>
    <row r="22" spans="1:16" s="27" customFormat="1" ht="15.75" customHeight="1">
      <c r="A22" s="188"/>
      <c r="B22" s="598" t="s">
        <v>217</v>
      </c>
      <c r="C22" s="599"/>
      <c r="D22" s="283"/>
      <c r="E22" s="281"/>
      <c r="F22" s="279"/>
      <c r="G22" s="282"/>
      <c r="J22" s="598" t="s">
        <v>217</v>
      </c>
      <c r="K22" s="599"/>
      <c r="L22" s="283"/>
      <c r="M22" s="281"/>
      <c r="N22" s="279"/>
      <c r="O22" s="282"/>
      <c r="P22" s="50"/>
    </row>
    <row r="23" spans="1:16" s="27" customFormat="1" ht="15.75" customHeight="1">
      <c r="A23" s="188"/>
      <c r="B23" s="286"/>
      <c r="D23" s="619" t="s">
        <v>218</v>
      </c>
      <c r="E23" s="620"/>
      <c r="F23" s="620"/>
      <c r="G23" s="284"/>
      <c r="J23" s="286"/>
      <c r="L23" s="619" t="s">
        <v>218</v>
      </c>
      <c r="M23" s="620"/>
      <c r="N23" s="620"/>
      <c r="O23" s="284"/>
      <c r="P23" s="50"/>
    </row>
    <row r="24" spans="1:16" s="27" customFormat="1" ht="15.75" customHeight="1">
      <c r="A24" s="188"/>
      <c r="B24" s="296"/>
      <c r="D24" s="603" t="s">
        <v>219</v>
      </c>
      <c r="E24" s="604"/>
      <c r="F24" s="604"/>
      <c r="G24" s="291">
        <f>SUM(G23:G23)</f>
        <v>0</v>
      </c>
      <c r="J24" s="296"/>
      <c r="L24" s="603" t="s">
        <v>219</v>
      </c>
      <c r="M24" s="604"/>
      <c r="N24" s="604"/>
      <c r="O24" s="291">
        <f>SUM(O23:O23)</f>
        <v>0</v>
      </c>
      <c r="P24" s="50"/>
    </row>
    <row r="25" spans="1:16" s="27" customFormat="1" ht="15.75" customHeight="1">
      <c r="A25" s="188"/>
      <c r="B25" s="286"/>
      <c r="D25" s="603" t="s">
        <v>220</v>
      </c>
      <c r="E25" s="604"/>
      <c r="F25" s="604"/>
      <c r="G25" s="291">
        <f>+G24/3</f>
        <v>0</v>
      </c>
      <c r="J25" s="286"/>
      <c r="L25" s="603" t="s">
        <v>220</v>
      </c>
      <c r="M25" s="604"/>
      <c r="N25" s="604"/>
      <c r="O25" s="291">
        <f>+O24/3</f>
        <v>0</v>
      </c>
      <c r="P25" s="50"/>
    </row>
    <row r="26" spans="1:16" s="27" customFormat="1" ht="15.75" customHeight="1">
      <c r="A26" s="188"/>
      <c r="B26" s="286"/>
      <c r="D26" s="594" t="s">
        <v>217</v>
      </c>
      <c r="E26" s="595"/>
      <c r="F26" s="595"/>
      <c r="G26" s="292">
        <f>G24-G25</f>
        <v>0</v>
      </c>
      <c r="J26" s="286"/>
      <c r="L26" s="594" t="s">
        <v>217</v>
      </c>
      <c r="M26" s="595"/>
      <c r="N26" s="595"/>
      <c r="O26" s="292">
        <f>O24-O25</f>
        <v>0</v>
      </c>
      <c r="P26" s="50"/>
    </row>
    <row r="27" spans="1:16" s="27" customFormat="1" ht="15.75" customHeight="1">
      <c r="A27" s="188"/>
      <c r="B27" s="286"/>
      <c r="D27" s="285"/>
      <c r="G27" s="286"/>
      <c r="J27" s="286"/>
      <c r="L27" s="285"/>
      <c r="O27" s="286"/>
      <c r="P27" s="50"/>
    </row>
    <row r="28" spans="1:16" s="27" customFormat="1" ht="15.75" customHeight="1">
      <c r="A28" s="188"/>
      <c r="B28" s="598" t="s">
        <v>221</v>
      </c>
      <c r="C28" s="599"/>
      <c r="D28" s="283"/>
      <c r="E28" s="281"/>
      <c r="F28" s="279"/>
      <c r="G28" s="282"/>
      <c r="J28" s="598" t="s">
        <v>221</v>
      </c>
      <c r="K28" s="599"/>
      <c r="L28" s="283"/>
      <c r="M28" s="281"/>
      <c r="N28" s="279"/>
      <c r="O28" s="282"/>
      <c r="P28" s="50"/>
    </row>
    <row r="29" spans="1:16" s="27" customFormat="1" ht="15.75" customHeight="1">
      <c r="A29" s="188"/>
      <c r="B29" s="286"/>
      <c r="D29" s="621" t="s">
        <v>222</v>
      </c>
      <c r="E29" s="622"/>
      <c r="F29" s="622"/>
      <c r="G29" s="284"/>
      <c r="J29" s="286"/>
      <c r="L29" s="621" t="s">
        <v>222</v>
      </c>
      <c r="M29" s="622"/>
      <c r="N29" s="622"/>
      <c r="O29" s="284"/>
      <c r="P29" s="50"/>
    </row>
    <row r="30" spans="1:16" s="27" customFormat="1" ht="15.75" customHeight="1">
      <c r="A30" s="188"/>
      <c r="B30" s="286"/>
      <c r="D30" s="621" t="s">
        <v>223</v>
      </c>
      <c r="E30" s="622"/>
      <c r="F30" s="622"/>
      <c r="G30" s="332"/>
      <c r="J30" s="286"/>
      <c r="L30" s="621" t="s">
        <v>223</v>
      </c>
      <c r="M30" s="622"/>
      <c r="N30" s="622"/>
      <c r="O30" s="332"/>
      <c r="P30" s="50"/>
    </row>
    <row r="31" spans="1:16" s="27" customFormat="1" ht="15.75" customHeight="1">
      <c r="A31" s="188"/>
      <c r="B31" s="286"/>
      <c r="D31" s="621" t="s">
        <v>224</v>
      </c>
      <c r="E31" s="622"/>
      <c r="F31" s="622"/>
      <c r="G31" s="284"/>
      <c r="J31" s="286"/>
      <c r="L31" s="621" t="s">
        <v>224</v>
      </c>
      <c r="M31" s="622"/>
      <c r="N31" s="622"/>
      <c r="O31" s="284"/>
      <c r="P31" s="50"/>
    </row>
    <row r="32" spans="1:16" s="27" customFormat="1" ht="15.75" customHeight="1">
      <c r="A32" s="188"/>
      <c r="B32" s="286"/>
      <c r="D32" s="621" t="s">
        <v>225</v>
      </c>
      <c r="E32" s="622"/>
      <c r="F32" s="622"/>
      <c r="G32" s="284"/>
      <c r="J32" s="286"/>
      <c r="L32" s="621" t="s">
        <v>225</v>
      </c>
      <c r="M32" s="622"/>
      <c r="N32" s="622"/>
      <c r="O32" s="284"/>
      <c r="P32" s="50"/>
    </row>
    <row r="33" spans="1:16" s="27" customFormat="1" ht="15.75" customHeight="1">
      <c r="A33" s="188"/>
      <c r="B33" s="286"/>
      <c r="D33" s="594" t="s">
        <v>221</v>
      </c>
      <c r="E33" s="595"/>
      <c r="F33" s="595"/>
      <c r="G33" s="292">
        <f>SUM(G29:G32)</f>
        <v>0</v>
      </c>
      <c r="J33" s="286"/>
      <c r="L33" s="594" t="s">
        <v>221</v>
      </c>
      <c r="M33" s="595"/>
      <c r="N33" s="595"/>
      <c r="O33" s="292">
        <f>SUM(O29:O32)</f>
        <v>0</v>
      </c>
      <c r="P33" s="50"/>
    </row>
    <row r="34" spans="1:16" s="27" customFormat="1" ht="15.75" customHeight="1">
      <c r="A34" s="188"/>
      <c r="B34" s="286"/>
      <c r="D34" s="285"/>
      <c r="G34" s="286"/>
      <c r="J34" s="286"/>
      <c r="L34" s="285"/>
      <c r="O34" s="286"/>
      <c r="P34" s="50"/>
    </row>
    <row r="35" spans="1:16" s="27" customFormat="1" ht="15.75" customHeight="1">
      <c r="A35" s="188"/>
      <c r="B35" s="598" t="s">
        <v>226</v>
      </c>
      <c r="C35" s="599"/>
      <c r="D35" s="283"/>
      <c r="E35" s="281"/>
      <c r="F35" s="279"/>
      <c r="G35" s="282"/>
      <c r="J35" s="598" t="s">
        <v>226</v>
      </c>
      <c r="K35" s="599"/>
      <c r="L35" s="283"/>
      <c r="M35" s="281"/>
      <c r="N35" s="279"/>
      <c r="O35" s="282"/>
      <c r="P35" s="50"/>
    </row>
    <row r="36" spans="1:16" s="27" customFormat="1" ht="15.75" customHeight="1">
      <c r="A36" s="188"/>
      <c r="B36" s="286"/>
      <c r="D36" s="594" t="s">
        <v>227</v>
      </c>
      <c r="E36" s="595"/>
      <c r="F36" s="595"/>
      <c r="G36" s="292">
        <f>'[2]P 20'!H34</f>
        <v>0</v>
      </c>
      <c r="J36" s="286"/>
      <c r="L36" s="594" t="s">
        <v>227</v>
      </c>
      <c r="M36" s="595"/>
      <c r="N36" s="595"/>
      <c r="O36" s="292">
        <f>'[2]P 20'!P34</f>
        <v>0</v>
      </c>
      <c r="P36" s="50"/>
    </row>
    <row r="37" spans="1:16" s="27" customFormat="1" ht="15.75" customHeight="1">
      <c r="A37" s="188"/>
      <c r="B37" s="286"/>
      <c r="D37" s="285"/>
      <c r="G37" s="287"/>
      <c r="J37" s="286"/>
      <c r="L37" s="285"/>
      <c r="O37" s="287"/>
      <c r="P37" s="50"/>
    </row>
    <row r="38" spans="1:16" s="27" customFormat="1" ht="15.75" customHeight="1">
      <c r="A38" s="188"/>
      <c r="B38" s="598" t="s">
        <v>228</v>
      </c>
      <c r="C38" s="599"/>
      <c r="D38" s="283"/>
      <c r="E38" s="281"/>
      <c r="F38" s="279"/>
      <c r="G38" s="282"/>
      <c r="J38" s="598" t="s">
        <v>228</v>
      </c>
      <c r="K38" s="599"/>
      <c r="L38" s="283"/>
      <c r="M38" s="281"/>
      <c r="N38" s="279"/>
      <c r="O38" s="282"/>
      <c r="P38" s="50"/>
    </row>
    <row r="39" spans="1:16" s="27" customFormat="1" ht="15.75" customHeight="1">
      <c r="A39" s="188"/>
      <c r="B39" s="286"/>
      <c r="D39" s="621" t="s">
        <v>229</v>
      </c>
      <c r="E39" s="622"/>
      <c r="F39" s="622"/>
      <c r="G39" s="284"/>
      <c r="H39" s="297" t="s">
        <v>230</v>
      </c>
      <c r="J39" s="286"/>
      <c r="L39" s="621" t="s">
        <v>229</v>
      </c>
      <c r="M39" s="622"/>
      <c r="N39" s="622"/>
      <c r="O39" s="284"/>
      <c r="P39" s="50"/>
    </row>
    <row r="40" spans="1:16" s="27" customFormat="1" ht="15.75" customHeight="1">
      <c r="A40" s="188"/>
      <c r="B40" s="286"/>
      <c r="D40" s="621" t="s">
        <v>231</v>
      </c>
      <c r="E40" s="622"/>
      <c r="F40" s="622"/>
      <c r="G40" s="284"/>
      <c r="J40" s="286"/>
      <c r="L40" s="621" t="s">
        <v>231</v>
      </c>
      <c r="M40" s="622"/>
      <c r="N40" s="622"/>
      <c r="O40" s="284"/>
      <c r="P40" s="50"/>
    </row>
    <row r="41" spans="1:16" s="27" customFormat="1" ht="15.75" customHeight="1">
      <c r="A41" s="188"/>
      <c r="B41" s="286"/>
      <c r="D41" s="621" t="s">
        <v>232</v>
      </c>
      <c r="E41" s="622"/>
      <c r="F41" s="622"/>
      <c r="G41" s="284"/>
      <c r="J41" s="286"/>
      <c r="L41" s="621" t="s">
        <v>232</v>
      </c>
      <c r="M41" s="622"/>
      <c r="N41" s="622"/>
      <c r="O41" s="284"/>
      <c r="P41" s="50"/>
    </row>
    <row r="42" spans="1:16" s="27" customFormat="1" ht="15.75" customHeight="1">
      <c r="A42" s="188"/>
      <c r="B42" s="286"/>
      <c r="D42" s="621" t="s">
        <v>233</v>
      </c>
      <c r="E42" s="622"/>
      <c r="F42" s="622"/>
      <c r="G42" s="284"/>
      <c r="J42" s="286"/>
      <c r="L42" s="621" t="s">
        <v>233</v>
      </c>
      <c r="M42" s="622"/>
      <c r="N42" s="622"/>
      <c r="O42" s="284"/>
      <c r="P42" s="50"/>
    </row>
    <row r="43" spans="1:16" s="27" customFormat="1" ht="15.75" customHeight="1">
      <c r="A43" s="188"/>
      <c r="B43" s="286"/>
      <c r="D43" s="621" t="s">
        <v>234</v>
      </c>
      <c r="E43" s="622"/>
      <c r="F43" s="622"/>
      <c r="G43" s="284"/>
      <c r="J43" s="286"/>
      <c r="L43" s="621" t="s">
        <v>234</v>
      </c>
      <c r="M43" s="622"/>
      <c r="N43" s="622"/>
      <c r="O43" s="284"/>
      <c r="P43" s="50"/>
    </row>
    <row r="44" spans="1:16" s="27" customFormat="1" ht="15.75" customHeight="1">
      <c r="A44" s="188"/>
      <c r="B44" s="286"/>
      <c r="D44" s="621" t="s">
        <v>235</v>
      </c>
      <c r="E44" s="622"/>
      <c r="F44" s="622"/>
      <c r="G44" s="284"/>
      <c r="J44" s="286"/>
      <c r="L44" s="621" t="s">
        <v>235</v>
      </c>
      <c r="M44" s="622"/>
      <c r="N44" s="622"/>
      <c r="O44" s="284"/>
      <c r="P44" s="50"/>
    </row>
    <row r="45" spans="1:16" s="27" customFormat="1" ht="15.75" customHeight="1">
      <c r="A45" s="188"/>
      <c r="B45" s="286"/>
      <c r="D45" s="594" t="s">
        <v>236</v>
      </c>
      <c r="E45" s="595"/>
      <c r="F45" s="595"/>
      <c r="G45" s="292">
        <f>SUM(G39:G44)</f>
        <v>0</v>
      </c>
      <c r="J45" s="286"/>
      <c r="L45" s="594" t="s">
        <v>236</v>
      </c>
      <c r="M45" s="595"/>
      <c r="N45" s="595"/>
      <c r="O45" s="292">
        <f>SUM(O39:O44)</f>
        <v>0</v>
      </c>
      <c r="P45" s="50"/>
    </row>
    <row r="46" spans="1:16" s="27" customFormat="1" ht="15.75" customHeight="1">
      <c r="A46" s="188"/>
      <c r="B46" s="286"/>
      <c r="D46" s="288"/>
      <c r="G46" s="286"/>
      <c r="J46" s="286"/>
      <c r="L46" s="288"/>
      <c r="O46" s="286"/>
      <c r="P46" s="50"/>
    </row>
    <row r="47" spans="1:16" s="27" customFormat="1" ht="15.75" customHeight="1">
      <c r="A47" s="188"/>
      <c r="B47" s="286"/>
      <c r="D47" s="285"/>
      <c r="G47" s="286"/>
      <c r="J47" s="286"/>
      <c r="L47" s="285"/>
      <c r="O47" s="286"/>
      <c r="P47" s="50"/>
    </row>
    <row r="48" spans="1:16" s="27" customFormat="1" ht="15.75" customHeight="1">
      <c r="A48" s="188"/>
      <c r="B48" s="596" t="s">
        <v>237</v>
      </c>
      <c r="C48" s="597"/>
      <c r="D48" s="623" t="s">
        <v>238</v>
      </c>
      <c r="E48" s="624"/>
      <c r="F48" s="624"/>
      <c r="G48" s="289" t="e">
        <f>1/2*(G26-5%*G33)*(G36/G45)</f>
        <v>#DIV/0!</v>
      </c>
      <c r="J48" s="596" t="s">
        <v>237</v>
      </c>
      <c r="K48" s="597"/>
      <c r="L48" s="623" t="s">
        <v>238</v>
      </c>
      <c r="M48" s="624"/>
      <c r="N48" s="624"/>
      <c r="O48" s="289" t="e">
        <f>1/2*(O26-5%*O33)*(O36/O45)</f>
        <v>#DIV/0!</v>
      </c>
      <c r="P48" s="50"/>
    </row>
    <row r="49" spans="1:16" s="27" customFormat="1" ht="15.75" customHeight="1">
      <c r="A49" s="188"/>
      <c r="B49" s="286"/>
      <c r="C49" s="298"/>
      <c r="D49" s="290"/>
      <c r="J49" s="286"/>
      <c r="K49" s="298"/>
      <c r="L49" s="290"/>
      <c r="P49" s="50"/>
    </row>
    <row r="50" spans="1:16" s="27" customFormat="1" ht="15.75" customHeight="1">
      <c r="A50" s="188"/>
      <c r="B50" s="596" t="s">
        <v>239</v>
      </c>
      <c r="C50" s="597" t="s">
        <v>240</v>
      </c>
      <c r="G50" s="289" t="e">
        <f>G48*0.2</f>
        <v>#DIV/0!</v>
      </c>
      <c r="J50" s="596" t="s">
        <v>239</v>
      </c>
      <c r="K50" s="597" t="s">
        <v>240</v>
      </c>
      <c r="O50" s="289" t="e">
        <f>O48*0.2</f>
        <v>#DIV/0!</v>
      </c>
      <c r="P50" s="50"/>
    </row>
    <row r="51" spans="1:16" s="27" customFormat="1" ht="15">
      <c r="A51" s="188"/>
      <c r="P51" s="50"/>
    </row>
    <row r="52" spans="1:16">
      <c r="A52" s="299"/>
      <c r="P52" s="236"/>
    </row>
    <row r="53" spans="1:16">
      <c r="A53" s="299"/>
      <c r="P53" s="236"/>
    </row>
    <row r="54" spans="1:16">
      <c r="A54" s="300" t="s">
        <v>230</v>
      </c>
      <c r="B54" s="8" t="s">
        <v>241</v>
      </c>
      <c r="P54" s="236"/>
    </row>
    <row r="55" spans="1:16">
      <c r="A55" s="299"/>
      <c r="P55" s="236"/>
    </row>
    <row r="56" spans="1:16">
      <c r="A56" s="299"/>
      <c r="P56" s="236"/>
    </row>
    <row r="57" spans="1:16" s="32" customFormat="1" ht="75" customHeight="1">
      <c r="A57" s="528" t="s">
        <v>100</v>
      </c>
      <c r="B57" s="529"/>
      <c r="C57" s="529"/>
      <c r="D57" s="529"/>
      <c r="E57" s="529"/>
      <c r="F57" s="529"/>
      <c r="G57" s="529"/>
      <c r="H57" s="529"/>
      <c r="I57" s="529"/>
      <c r="J57" s="529"/>
      <c r="K57" s="529"/>
      <c r="L57" s="529"/>
      <c r="M57" s="529"/>
      <c r="N57" s="529"/>
      <c r="O57" s="529"/>
      <c r="P57" s="530"/>
    </row>
    <row r="58" spans="1:16" ht="16.5" thickBot="1">
      <c r="A58" s="252"/>
      <c r="B58" s="253"/>
      <c r="C58" s="253"/>
      <c r="D58" s="253"/>
      <c r="E58" s="253"/>
      <c r="F58" s="253"/>
      <c r="G58" s="253"/>
      <c r="H58" s="253"/>
      <c r="I58" s="253"/>
      <c r="J58" s="253"/>
      <c r="K58" s="253"/>
      <c r="L58" s="253"/>
      <c r="M58" s="253"/>
      <c r="N58" s="253"/>
      <c r="O58" s="253"/>
      <c r="P58" s="254"/>
    </row>
  </sheetData>
  <sheetProtection formatCells="0" formatColumns="0" formatRows="0" insertColumns="0" insertRows="0" insertHyperlinks="0" deleteColumns="0" deleteRows="0" sort="0" autoFilter="0" pivotTables="0"/>
  <mergeCells count="68">
    <mergeCell ref="J48:K48"/>
    <mergeCell ref="L48:N48"/>
    <mergeCell ref="J50:K50"/>
    <mergeCell ref="A57:P57"/>
    <mergeCell ref="O8:P8"/>
    <mergeCell ref="L41:N41"/>
    <mergeCell ref="L42:N42"/>
    <mergeCell ref="L43:N43"/>
    <mergeCell ref="L44:N44"/>
    <mergeCell ref="L45:N45"/>
    <mergeCell ref="J35:K35"/>
    <mergeCell ref="L36:N36"/>
    <mergeCell ref="J38:K38"/>
    <mergeCell ref="L39:N39"/>
    <mergeCell ref="L40:N40"/>
    <mergeCell ref="B22:C22"/>
    <mergeCell ref="B50:C50"/>
    <mergeCell ref="B20:G20"/>
    <mergeCell ref="J20:O20"/>
    <mergeCell ref="J22:K22"/>
    <mergeCell ref="L23:N23"/>
    <mergeCell ref="L24:N24"/>
    <mergeCell ref="L25:N25"/>
    <mergeCell ref="L26:N26"/>
    <mergeCell ref="J28:K28"/>
    <mergeCell ref="L29:N29"/>
    <mergeCell ref="L30:N30"/>
    <mergeCell ref="L31:N31"/>
    <mergeCell ref="L32:N32"/>
    <mergeCell ref="L33:N33"/>
    <mergeCell ref="D25:F25"/>
    <mergeCell ref="D24:F24"/>
    <mergeCell ref="B48:C48"/>
    <mergeCell ref="B38:C38"/>
    <mergeCell ref="B35:C35"/>
    <mergeCell ref="B28:C28"/>
    <mergeCell ref="D48:F48"/>
    <mergeCell ref="D45:F45"/>
    <mergeCell ref="D44:F44"/>
    <mergeCell ref="D43:F43"/>
    <mergeCell ref="D42:F42"/>
    <mergeCell ref="D41:F41"/>
    <mergeCell ref="D40:F40"/>
    <mergeCell ref="D39:F39"/>
    <mergeCell ref="D36:F36"/>
    <mergeCell ref="D33:F33"/>
    <mergeCell ref="D32:F32"/>
    <mergeCell ref="D1:M2"/>
    <mergeCell ref="A3:P5"/>
    <mergeCell ref="E6:L7"/>
    <mergeCell ref="M6:N6"/>
    <mergeCell ref="O6:P6"/>
    <mergeCell ref="M7:N7"/>
    <mergeCell ref="O7:P7"/>
    <mergeCell ref="F9:I9"/>
    <mergeCell ref="J9:K9"/>
    <mergeCell ref="L9:N9"/>
    <mergeCell ref="O9:P9"/>
    <mergeCell ref="D31:F31"/>
    <mergeCell ref="D30:F30"/>
    <mergeCell ref="D29:F29"/>
    <mergeCell ref="D26:F26"/>
    <mergeCell ref="A11:P11"/>
    <mergeCell ref="A13:P13"/>
    <mergeCell ref="A14:P14"/>
    <mergeCell ref="A9:C9"/>
    <mergeCell ref="D9:E9"/>
    <mergeCell ref="D23:F23"/>
  </mergeCells>
  <dataValidations count="2">
    <dataValidation type="list" allowBlank="1" showInputMessage="1" showErrorMessage="1" sqref="O9:P9" xr:uid="{00000000-0002-0000-0800-000000000000}">
      <formula1>Diligences</formula1>
    </dataValidation>
    <dataValidation type="list" showInputMessage="1" showErrorMessage="1" sqref="D9:E9" xr:uid="{00000000-0002-0000-0800-000001000000}">
      <formula1>RAS</formula1>
    </dataValidation>
  </dataValidations>
  <hyperlinks>
    <hyperlink ref="O8:P8" location="'P Synthèse'!A1" display="P Synthèse" xr:uid="{00000000-0004-0000-08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dimension ref="A1:U22"/>
  <sheetViews>
    <sheetView showGridLines="0" zoomScale="90" zoomScaleNormal="90" workbookViewId="0">
      <selection activeCell="O10" sqref="O10"/>
    </sheetView>
  </sheetViews>
  <sheetFormatPr defaultColWidth="11.42578125" defaultRowHeight="15.75"/>
  <cols>
    <col min="1" max="16" width="14.28515625" style="8" customWidth="1"/>
    <col min="17" max="16384" width="11.42578125" style="8"/>
  </cols>
  <sheetData>
    <row r="1" spans="1:21" s="2" customFormat="1" ht="15" customHeight="1">
      <c r="A1" s="11"/>
      <c r="B1" s="12"/>
      <c r="C1" s="12"/>
      <c r="D1" s="497" t="str">
        <f>'P Synthèse'!D1:M2</f>
        <v>#NomClient</v>
      </c>
      <c r="E1" s="498"/>
      <c r="F1" s="498"/>
      <c r="G1" s="498"/>
      <c r="H1" s="498"/>
      <c r="I1" s="498"/>
      <c r="J1" s="498"/>
      <c r="K1" s="498"/>
      <c r="L1" s="498"/>
      <c r="M1" s="499"/>
      <c r="N1" s="12"/>
      <c r="O1" s="12"/>
      <c r="P1" s="13"/>
    </row>
    <row r="2" spans="1:21" s="2" customFormat="1" ht="15" customHeight="1" thickBot="1">
      <c r="A2" s="14"/>
      <c r="B2" s="15"/>
      <c r="C2" s="15"/>
      <c r="D2" s="500"/>
      <c r="E2" s="501"/>
      <c r="F2" s="501"/>
      <c r="G2" s="501"/>
      <c r="H2" s="501"/>
      <c r="I2" s="501"/>
      <c r="J2" s="501"/>
      <c r="K2" s="501"/>
      <c r="L2" s="501"/>
      <c r="M2" s="502"/>
      <c r="N2" s="15"/>
      <c r="O2" s="15"/>
      <c r="P2" s="16"/>
    </row>
    <row r="3" spans="1:21" ht="15" customHeight="1">
      <c r="A3" s="468" t="s">
        <v>3</v>
      </c>
      <c r="B3" s="469"/>
      <c r="C3" s="469"/>
      <c r="D3" s="469"/>
      <c r="E3" s="469"/>
      <c r="F3" s="469"/>
      <c r="G3" s="469"/>
      <c r="H3" s="469"/>
      <c r="I3" s="469"/>
      <c r="J3" s="469"/>
      <c r="K3" s="469"/>
      <c r="L3" s="469"/>
      <c r="M3" s="469"/>
      <c r="N3" s="469"/>
      <c r="O3" s="469"/>
      <c r="P3" s="470"/>
      <c r="R3" s="4"/>
      <c r="T3" s="6"/>
      <c r="U3" s="7"/>
    </row>
    <row r="4" spans="1:21" ht="15" customHeight="1">
      <c r="A4" s="468"/>
      <c r="B4" s="469"/>
      <c r="C4" s="469"/>
      <c r="D4" s="469"/>
      <c r="E4" s="469"/>
      <c r="F4" s="469"/>
      <c r="G4" s="469"/>
      <c r="H4" s="469"/>
      <c r="I4" s="469"/>
      <c r="J4" s="469"/>
      <c r="K4" s="469"/>
      <c r="L4" s="469"/>
      <c r="M4" s="469"/>
      <c r="N4" s="469"/>
      <c r="O4" s="469"/>
      <c r="P4" s="470"/>
      <c r="R4" s="4"/>
      <c r="T4" s="6"/>
      <c r="U4" s="7"/>
    </row>
    <row r="5" spans="1:21" ht="15" customHeight="1" thickBot="1">
      <c r="A5" s="471"/>
      <c r="B5" s="472"/>
      <c r="C5" s="472"/>
      <c r="D5" s="472"/>
      <c r="E5" s="472"/>
      <c r="F5" s="472"/>
      <c r="G5" s="472"/>
      <c r="H5" s="472"/>
      <c r="I5" s="472"/>
      <c r="J5" s="472"/>
      <c r="K5" s="472"/>
      <c r="L5" s="472"/>
      <c r="M5" s="472"/>
      <c r="N5" s="472"/>
      <c r="O5" s="472"/>
      <c r="P5" s="473"/>
      <c r="Q5" s="9"/>
      <c r="R5" s="5"/>
      <c r="S5" s="25"/>
      <c r="T5" s="25"/>
      <c r="U5" s="25"/>
    </row>
    <row r="6" spans="1:21" ht="15" customHeight="1">
      <c r="A6" s="18" t="s">
        <v>6</v>
      </c>
      <c r="B6" s="192" t="str">
        <f>'P Synthèse'!B6</f>
        <v>BRA</v>
      </c>
      <c r="C6" s="18" t="s">
        <v>8</v>
      </c>
      <c r="D6" s="192">
        <f>'P Synthèse'!D6</f>
        <v>0</v>
      </c>
      <c r="E6" s="489" t="s">
        <v>39</v>
      </c>
      <c r="F6" s="490"/>
      <c r="G6" s="490"/>
      <c r="H6" s="490"/>
      <c r="I6" s="490"/>
      <c r="J6" s="490"/>
      <c r="K6" s="490"/>
      <c r="L6" s="491"/>
      <c r="M6" s="503" t="s">
        <v>10</v>
      </c>
      <c r="N6" s="504"/>
      <c r="O6" s="478" t="s">
        <v>11</v>
      </c>
      <c r="P6" s="479"/>
      <c r="R6" s="2"/>
      <c r="S6" s="2"/>
    </row>
    <row r="7" spans="1:21" ht="15" customHeight="1" thickBot="1">
      <c r="A7" s="19" t="s">
        <v>13</v>
      </c>
      <c r="B7" s="184">
        <f>'P Synthèse'!B7</f>
        <v>0</v>
      </c>
      <c r="C7" s="19" t="s">
        <v>13</v>
      </c>
      <c r="D7" s="184">
        <f>'P Synthèse'!D7</f>
        <v>0</v>
      </c>
      <c r="E7" s="492"/>
      <c r="F7" s="493"/>
      <c r="G7" s="493"/>
      <c r="H7" s="493"/>
      <c r="I7" s="493"/>
      <c r="J7" s="493"/>
      <c r="K7" s="493"/>
      <c r="L7" s="494"/>
      <c r="M7" s="505" t="s">
        <v>211</v>
      </c>
      <c r="N7" s="506"/>
      <c r="O7" s="480" t="s">
        <v>242</v>
      </c>
      <c r="P7" s="481"/>
    </row>
    <row r="8" spans="1:21" ht="21" customHeight="1" thickBot="1">
      <c r="A8" s="20"/>
      <c r="B8" s="17"/>
      <c r="C8" s="21"/>
      <c r="D8" s="21"/>
      <c r="E8" s="22"/>
      <c r="F8" s="22"/>
      <c r="G8" s="22"/>
      <c r="H8" s="22"/>
      <c r="I8" s="22"/>
      <c r="J8" s="22"/>
      <c r="K8" s="22"/>
      <c r="L8" s="22"/>
      <c r="M8" s="23"/>
      <c r="N8" s="21"/>
      <c r="O8" s="515" t="s">
        <v>49</v>
      </c>
      <c r="P8" s="515"/>
    </row>
    <row r="9" spans="1:21" s="21" customFormat="1" ht="31.5" customHeight="1" thickBot="1">
      <c r="A9" s="482" t="s">
        <v>18</v>
      </c>
      <c r="B9" s="483"/>
      <c r="C9" s="483"/>
      <c r="D9" s="519" t="str">
        <f>'P Synthèse'!D9:E9</f>
        <v>Faible</v>
      </c>
      <c r="E9" s="520"/>
      <c r="F9" s="474" t="s">
        <v>19</v>
      </c>
      <c r="G9" s="475"/>
      <c r="H9" s="475"/>
      <c r="I9" s="475"/>
      <c r="J9" s="521">
        <f>'P Synthèse'!J9:K9</f>
        <v>0</v>
      </c>
      <c r="K9" s="522"/>
      <c r="L9" s="474" t="s">
        <v>20</v>
      </c>
      <c r="M9" s="475"/>
      <c r="N9" s="475"/>
      <c r="O9" s="519" t="str">
        <f>'P Synthèse'!N9</f>
        <v>PB</v>
      </c>
      <c r="P9" s="520"/>
    </row>
    <row r="10" spans="1:21" s="21" customFormat="1" ht="21" customHeight="1" thickBot="1">
      <c r="A10" s="26"/>
      <c r="B10" s="26"/>
      <c r="C10" s="26"/>
      <c r="D10" s="26"/>
      <c r="E10" s="26"/>
      <c r="F10" s="26"/>
      <c r="G10" s="26"/>
      <c r="H10" s="26"/>
      <c r="I10" s="26"/>
      <c r="J10" s="26"/>
      <c r="K10" s="26"/>
      <c r="L10" s="26"/>
      <c r="M10" s="26"/>
      <c r="N10" s="26"/>
      <c r="O10" s="26"/>
      <c r="P10" s="26"/>
    </row>
    <row r="11" spans="1:21" s="27" customFormat="1" ht="150.6" customHeight="1" thickBot="1">
      <c r="A11" s="516" t="s">
        <v>243</v>
      </c>
      <c r="B11" s="517"/>
      <c r="C11" s="517"/>
      <c r="D11" s="517"/>
      <c r="E11" s="517"/>
      <c r="F11" s="517"/>
      <c r="G11" s="517"/>
      <c r="H11" s="517"/>
      <c r="I11" s="517"/>
      <c r="J11" s="517"/>
      <c r="K11" s="517"/>
      <c r="L11" s="517"/>
      <c r="M11" s="517"/>
      <c r="N11" s="517"/>
      <c r="O11" s="517"/>
      <c r="P11" s="518"/>
    </row>
    <row r="12" spans="1:21" s="27" customFormat="1" ht="9" customHeight="1" thickBot="1"/>
    <row r="13" spans="1:21" s="27" customFormat="1" ht="15">
      <c r="A13" s="453" t="s">
        <v>51</v>
      </c>
      <c r="B13" s="454"/>
      <c r="C13" s="454"/>
      <c r="D13" s="454"/>
      <c r="E13" s="454"/>
      <c r="F13" s="454"/>
      <c r="G13" s="454"/>
      <c r="H13" s="454"/>
      <c r="I13" s="454"/>
      <c r="J13" s="454"/>
      <c r="K13" s="454"/>
      <c r="L13" s="454"/>
      <c r="M13" s="454"/>
      <c r="N13" s="454"/>
      <c r="O13" s="454"/>
      <c r="P13" s="455"/>
    </row>
    <row r="14" spans="1:21" s="27" customFormat="1" ht="60" customHeight="1" thickBot="1">
      <c r="A14" s="535"/>
      <c r="B14" s="536"/>
      <c r="C14" s="536"/>
      <c r="D14" s="536"/>
      <c r="E14" s="536"/>
      <c r="F14" s="536"/>
      <c r="G14" s="536"/>
      <c r="H14" s="536"/>
      <c r="I14" s="536"/>
      <c r="J14" s="536"/>
      <c r="K14" s="536"/>
      <c r="L14" s="536"/>
      <c r="M14" s="536"/>
      <c r="N14" s="536"/>
      <c r="O14" s="536"/>
      <c r="P14" s="537"/>
    </row>
    <row r="15" spans="1:21" ht="16.5" thickBot="1"/>
    <row r="16" spans="1:21">
      <c r="A16" s="45"/>
      <c r="B16" s="46"/>
      <c r="C16" s="46"/>
      <c r="D16" s="46"/>
      <c r="E16" s="46"/>
      <c r="F16" s="46"/>
      <c r="G16" s="46"/>
      <c r="H16" s="46"/>
      <c r="I16" s="46"/>
      <c r="J16" s="46"/>
      <c r="K16" s="46"/>
      <c r="L16" s="46"/>
      <c r="M16" s="46"/>
      <c r="N16" s="46"/>
      <c r="O16" s="46"/>
      <c r="P16" s="47"/>
    </row>
    <row r="17" spans="1:16" s="27" customFormat="1" ht="16.5">
      <c r="A17" s="420" t="s">
        <v>244</v>
      </c>
      <c r="B17" s="182"/>
      <c r="C17" s="183"/>
      <c r="D17" s="183"/>
      <c r="E17" s="183"/>
      <c r="F17" s="183"/>
      <c r="G17" s="183"/>
      <c r="P17" s="50"/>
    </row>
    <row r="18" spans="1:16" s="27" customFormat="1" ht="15">
      <c r="A18" s="188"/>
      <c r="P18" s="50"/>
    </row>
    <row r="19" spans="1:16" s="32" customFormat="1" ht="116.25" customHeight="1">
      <c r="A19" s="528" t="s">
        <v>100</v>
      </c>
      <c r="B19" s="529"/>
      <c r="C19" s="529"/>
      <c r="D19" s="529"/>
      <c r="E19" s="529"/>
      <c r="F19" s="529"/>
      <c r="G19" s="529"/>
      <c r="H19" s="529"/>
      <c r="I19" s="529"/>
      <c r="J19" s="529"/>
      <c r="K19" s="529"/>
      <c r="L19" s="529"/>
      <c r="M19" s="529"/>
      <c r="N19" s="529"/>
      <c r="O19" s="529"/>
      <c r="P19" s="530"/>
    </row>
    <row r="20" spans="1:16" s="27" customFormat="1" thickBot="1">
      <c r="A20" s="189"/>
      <c r="B20" s="190"/>
      <c r="C20" s="190"/>
      <c r="D20" s="190"/>
      <c r="E20" s="190"/>
      <c r="F20" s="190"/>
      <c r="G20" s="190"/>
      <c r="H20" s="190"/>
      <c r="I20" s="190"/>
      <c r="J20" s="190"/>
      <c r="K20" s="190"/>
      <c r="L20" s="190"/>
      <c r="M20" s="190"/>
      <c r="N20" s="190"/>
      <c r="O20" s="190"/>
      <c r="P20" s="191"/>
    </row>
    <row r="21" spans="1:16" s="27" customFormat="1" ht="15"/>
    <row r="22" spans="1:16" s="27" customFormat="1" ht="15"/>
  </sheetData>
  <sheetProtection formatCells="0" formatColumns="0" formatRows="0" insertColumns="0" insertRows="0" insertHyperlinks="0" deleteColumns="0" deleteRows="0" sort="0" autoFilter="0" pivotTables="0"/>
  <mergeCells count="18">
    <mergeCell ref="F9:I9"/>
    <mergeCell ref="J9:K9"/>
    <mergeCell ref="L9:N9"/>
    <mergeCell ref="O9:P9"/>
    <mergeCell ref="A19:P19"/>
    <mergeCell ref="A11:P11"/>
    <mergeCell ref="A13:P13"/>
    <mergeCell ref="A14:P14"/>
    <mergeCell ref="A9:C9"/>
    <mergeCell ref="D9:E9"/>
    <mergeCell ref="O8:P8"/>
    <mergeCell ref="D1:M2"/>
    <mergeCell ref="A3:P5"/>
    <mergeCell ref="E6:L7"/>
    <mergeCell ref="M6:N6"/>
    <mergeCell ref="O6:P6"/>
    <mergeCell ref="M7:N7"/>
    <mergeCell ref="O7:P7"/>
  </mergeCells>
  <dataValidations count="2">
    <dataValidation type="list" showInputMessage="1" showErrorMessage="1" sqref="D9:E9" xr:uid="{00000000-0002-0000-0900-000000000000}">
      <formula1>RAS</formula1>
    </dataValidation>
    <dataValidation type="list" allowBlank="1" showInputMessage="1" showErrorMessage="1" sqref="O9:P9" xr:uid="{00000000-0002-0000-0900-000001000000}">
      <formula1>Diligences</formula1>
    </dataValidation>
  </dataValidations>
  <hyperlinks>
    <hyperlink ref="O8:P8" location="'P Synthèse'!A1" display="P Synthèse" xr:uid="{00000000-0004-0000-09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1"/>
  <dimension ref="A1:W128"/>
  <sheetViews>
    <sheetView showGridLines="0" zoomScale="90" zoomScaleNormal="90" workbookViewId="0">
      <selection activeCell="A2" sqref="A2"/>
    </sheetView>
  </sheetViews>
  <sheetFormatPr defaultColWidth="11.42578125" defaultRowHeight="15.75"/>
  <cols>
    <col min="1" max="1" width="32" style="8" customWidth="1"/>
    <col min="2" max="16" width="12.85546875" style="8" customWidth="1"/>
    <col min="17" max="16384" width="11.42578125" style="8"/>
  </cols>
  <sheetData>
    <row r="1" spans="1:23" s="2" customFormat="1" ht="15" customHeight="1">
      <c r="A1" s="11"/>
      <c r="B1" s="12"/>
      <c r="C1" s="12"/>
      <c r="D1" s="497" t="str">
        <f>'P Synthèse'!D1:M2</f>
        <v>#NomClient</v>
      </c>
      <c r="E1" s="498"/>
      <c r="F1" s="498"/>
      <c r="G1" s="498"/>
      <c r="H1" s="498"/>
      <c r="I1" s="498"/>
      <c r="J1" s="498"/>
      <c r="K1" s="498"/>
      <c r="L1" s="498"/>
      <c r="M1" s="499"/>
      <c r="N1" s="12"/>
      <c r="O1" s="12"/>
      <c r="P1" s="13"/>
    </row>
    <row r="2" spans="1:23" s="2" customFormat="1" ht="15" customHeight="1" thickBot="1">
      <c r="A2" s="14"/>
      <c r="B2" s="15"/>
      <c r="C2" s="15"/>
      <c r="D2" s="500"/>
      <c r="E2" s="501"/>
      <c r="F2" s="501"/>
      <c r="G2" s="501"/>
      <c r="H2" s="501"/>
      <c r="I2" s="501"/>
      <c r="J2" s="501"/>
      <c r="K2" s="501"/>
      <c r="L2" s="501"/>
      <c r="M2" s="502"/>
      <c r="N2" s="15"/>
      <c r="O2" s="15"/>
      <c r="P2" s="16"/>
    </row>
    <row r="3" spans="1:23" ht="15" customHeight="1">
      <c r="A3" s="468" t="s">
        <v>3</v>
      </c>
      <c r="B3" s="469"/>
      <c r="C3" s="469"/>
      <c r="D3" s="469"/>
      <c r="E3" s="469"/>
      <c r="F3" s="469"/>
      <c r="G3" s="469"/>
      <c r="H3" s="469"/>
      <c r="I3" s="469"/>
      <c r="J3" s="469"/>
      <c r="K3" s="469"/>
      <c r="L3" s="469"/>
      <c r="M3" s="469"/>
      <c r="N3" s="469"/>
      <c r="O3" s="469"/>
      <c r="P3" s="470"/>
      <c r="R3" s="4"/>
      <c r="T3" s="6"/>
      <c r="U3" s="7"/>
    </row>
    <row r="4" spans="1:23" ht="15" customHeight="1">
      <c r="A4" s="468"/>
      <c r="B4" s="469"/>
      <c r="C4" s="469"/>
      <c r="D4" s="469"/>
      <c r="E4" s="469"/>
      <c r="F4" s="469"/>
      <c r="G4" s="469"/>
      <c r="H4" s="469"/>
      <c r="I4" s="469"/>
      <c r="J4" s="469"/>
      <c r="K4" s="469"/>
      <c r="L4" s="469"/>
      <c r="M4" s="469"/>
      <c r="N4" s="469"/>
      <c r="O4" s="469"/>
      <c r="P4" s="470"/>
      <c r="R4" s="4"/>
      <c r="T4" s="6"/>
      <c r="U4" s="7"/>
    </row>
    <row r="5" spans="1:23" ht="15" customHeight="1" thickBot="1">
      <c r="A5" s="471"/>
      <c r="B5" s="472"/>
      <c r="C5" s="472"/>
      <c r="D5" s="472"/>
      <c r="E5" s="472"/>
      <c r="F5" s="472"/>
      <c r="G5" s="472"/>
      <c r="H5" s="472"/>
      <c r="I5" s="472"/>
      <c r="J5" s="472"/>
      <c r="K5" s="472"/>
      <c r="L5" s="472"/>
      <c r="M5" s="472"/>
      <c r="N5" s="472"/>
      <c r="O5" s="472"/>
      <c r="P5" s="473"/>
      <c r="Q5" s="9"/>
      <c r="R5" s="5"/>
      <c r="S5" s="25"/>
      <c r="T5" s="25"/>
      <c r="U5" s="25"/>
    </row>
    <row r="6" spans="1:23" ht="15" customHeight="1">
      <c r="A6" s="18" t="s">
        <v>6</v>
      </c>
      <c r="B6" s="192" t="str">
        <f>'P Synthèse'!B6</f>
        <v>BRA</v>
      </c>
      <c r="C6" s="18" t="s">
        <v>8</v>
      </c>
      <c r="D6" s="192">
        <f>'P Synthèse'!D6</f>
        <v>0</v>
      </c>
      <c r="E6" s="489" t="s">
        <v>41</v>
      </c>
      <c r="F6" s="490"/>
      <c r="G6" s="490"/>
      <c r="H6" s="490"/>
      <c r="I6" s="490"/>
      <c r="J6" s="490"/>
      <c r="K6" s="490"/>
      <c r="L6" s="491"/>
      <c r="M6" s="503" t="s">
        <v>10</v>
      </c>
      <c r="N6" s="504"/>
      <c r="O6" s="478" t="s">
        <v>11</v>
      </c>
      <c r="P6" s="479"/>
      <c r="R6" s="2"/>
      <c r="S6" s="2"/>
    </row>
    <row r="7" spans="1:23" ht="15" customHeight="1" thickBot="1">
      <c r="A7" s="19" t="s">
        <v>13</v>
      </c>
      <c r="B7" s="184">
        <f>'P Synthèse'!B7</f>
        <v>0</v>
      </c>
      <c r="C7" s="19" t="s">
        <v>13</v>
      </c>
      <c r="D7" s="184">
        <f>'P Synthèse'!D7</f>
        <v>0</v>
      </c>
      <c r="E7" s="492"/>
      <c r="F7" s="493"/>
      <c r="G7" s="493"/>
      <c r="H7" s="493"/>
      <c r="I7" s="493"/>
      <c r="J7" s="493"/>
      <c r="K7" s="493"/>
      <c r="L7" s="494"/>
      <c r="M7" s="505" t="s">
        <v>211</v>
      </c>
      <c r="N7" s="506"/>
      <c r="O7" s="480" t="s">
        <v>245</v>
      </c>
      <c r="P7" s="481"/>
    </row>
    <row r="8" spans="1:23" ht="21" customHeight="1" thickBot="1">
      <c r="A8" s="20"/>
      <c r="B8" s="17"/>
      <c r="C8" s="21"/>
      <c r="D8" s="21"/>
      <c r="E8" s="22"/>
      <c r="F8" s="22"/>
      <c r="G8" s="22"/>
      <c r="H8" s="22"/>
      <c r="I8" s="22"/>
      <c r="J8" s="22"/>
      <c r="K8" s="22"/>
      <c r="L8" s="22"/>
      <c r="M8" s="23"/>
      <c r="N8" s="21"/>
      <c r="O8" s="515" t="s">
        <v>49</v>
      </c>
      <c r="P8" s="515"/>
    </row>
    <row r="9" spans="1:23" s="21" customFormat="1" ht="31.5" customHeight="1" thickBot="1">
      <c r="A9" s="482" t="s">
        <v>18</v>
      </c>
      <c r="B9" s="483"/>
      <c r="C9" s="483"/>
      <c r="D9" s="519" t="str">
        <f>'P Synthèse'!D9:E9</f>
        <v>Faible</v>
      </c>
      <c r="E9" s="520"/>
      <c r="F9" s="474" t="s">
        <v>19</v>
      </c>
      <c r="G9" s="475"/>
      <c r="H9" s="475"/>
      <c r="I9" s="475"/>
      <c r="J9" s="521">
        <f>'P Synthèse'!J9:K9</f>
        <v>0</v>
      </c>
      <c r="K9" s="522"/>
      <c r="L9" s="474" t="s">
        <v>20</v>
      </c>
      <c r="M9" s="475"/>
      <c r="N9" s="475"/>
      <c r="O9" s="519" t="str">
        <f>'P Synthèse'!N9</f>
        <v>PB</v>
      </c>
      <c r="P9" s="520"/>
    </row>
    <row r="10" spans="1:23" s="21" customFormat="1" ht="21" customHeight="1" thickBot="1">
      <c r="A10" s="26"/>
      <c r="B10" s="26"/>
      <c r="C10" s="26"/>
      <c r="D10" s="26"/>
      <c r="E10" s="26"/>
      <c r="F10" s="26"/>
      <c r="G10" s="26"/>
      <c r="H10" s="26"/>
      <c r="I10" s="26"/>
      <c r="J10" s="26"/>
      <c r="K10" s="26"/>
      <c r="L10" s="26"/>
      <c r="M10" s="26"/>
      <c r="N10" s="26"/>
      <c r="O10" s="26"/>
      <c r="P10" s="26"/>
    </row>
    <row r="11" spans="1:23" s="27" customFormat="1" ht="156.75" customHeight="1" thickBot="1">
      <c r="A11" s="516" t="s">
        <v>246</v>
      </c>
      <c r="B11" s="517"/>
      <c r="C11" s="517"/>
      <c r="D11" s="517"/>
      <c r="E11" s="517"/>
      <c r="F11" s="517"/>
      <c r="G11" s="517"/>
      <c r="H11" s="517"/>
      <c r="I11" s="517"/>
      <c r="J11" s="517"/>
      <c r="K11" s="517"/>
      <c r="L11" s="517"/>
      <c r="M11" s="517"/>
      <c r="N11" s="517"/>
      <c r="O11" s="517"/>
      <c r="P11" s="518"/>
      <c r="R11" s="62"/>
      <c r="S11" s="62"/>
      <c r="T11" s="62"/>
      <c r="U11" s="62"/>
      <c r="V11" s="62"/>
      <c r="W11" s="62"/>
    </row>
    <row r="12" spans="1:23" s="27" customFormat="1" ht="9" customHeight="1" thickBot="1">
      <c r="R12" s="62"/>
      <c r="S12" s="62"/>
      <c r="T12" s="62"/>
      <c r="U12" s="62"/>
      <c r="V12" s="62"/>
      <c r="W12" s="62"/>
    </row>
    <row r="13" spans="1:23" s="27" customFormat="1" ht="16.5">
      <c r="A13" s="453" t="s">
        <v>51</v>
      </c>
      <c r="B13" s="454"/>
      <c r="C13" s="454"/>
      <c r="D13" s="454"/>
      <c r="E13" s="454"/>
      <c r="F13" s="454"/>
      <c r="G13" s="454"/>
      <c r="H13" s="454"/>
      <c r="I13" s="454"/>
      <c r="J13" s="454"/>
      <c r="K13" s="454"/>
      <c r="L13" s="454"/>
      <c r="M13" s="454"/>
      <c r="N13" s="454"/>
      <c r="O13" s="454"/>
      <c r="P13" s="455"/>
      <c r="R13" s="301"/>
      <c r="S13" s="301"/>
      <c r="T13" s="301"/>
      <c r="U13" s="301"/>
      <c r="V13" s="301"/>
      <c r="W13" s="301"/>
    </row>
    <row r="14" spans="1:23" s="27" customFormat="1" ht="60" customHeight="1" thickBot="1">
      <c r="A14" s="535"/>
      <c r="B14" s="536"/>
      <c r="C14" s="536"/>
      <c r="D14" s="536"/>
      <c r="E14" s="536"/>
      <c r="F14" s="536"/>
      <c r="G14" s="536"/>
      <c r="H14" s="536"/>
      <c r="I14" s="536"/>
      <c r="J14" s="536"/>
      <c r="K14" s="536"/>
      <c r="L14" s="536"/>
      <c r="M14" s="536"/>
      <c r="N14" s="536"/>
      <c r="O14" s="536"/>
      <c r="P14" s="537"/>
      <c r="R14" s="62"/>
      <c r="S14" s="62"/>
      <c r="T14" s="62"/>
      <c r="U14" s="62"/>
      <c r="V14" s="62"/>
      <c r="W14" s="62"/>
    </row>
    <row r="15" spans="1:23" ht="17.25" thickBot="1">
      <c r="R15" s="301"/>
      <c r="S15" s="301"/>
      <c r="T15" s="301"/>
      <c r="U15" s="301"/>
      <c r="V15" s="301"/>
      <c r="W15" s="301"/>
    </row>
    <row r="16" spans="1:23" s="27" customFormat="1" ht="15">
      <c r="A16" s="40"/>
      <c r="B16" s="41"/>
      <c r="C16" s="41"/>
      <c r="D16" s="41"/>
      <c r="E16" s="41"/>
      <c r="F16" s="41"/>
      <c r="G16" s="41"/>
      <c r="H16" s="41"/>
      <c r="I16" s="41"/>
      <c r="J16" s="41"/>
      <c r="K16" s="41"/>
      <c r="L16" s="41"/>
      <c r="M16" s="41"/>
      <c r="N16" s="41"/>
      <c r="O16" s="41"/>
      <c r="P16" s="42"/>
      <c r="R16" s="181"/>
      <c r="S16" s="181"/>
      <c r="T16" s="181"/>
      <c r="U16" s="181"/>
      <c r="V16" s="181"/>
      <c r="W16" s="181"/>
    </row>
    <row r="17" spans="1:16" s="27" customFormat="1" ht="14.45" customHeight="1">
      <c r="A17" s="302" t="s">
        <v>247</v>
      </c>
      <c r="B17" s="70"/>
      <c r="C17" s="70"/>
      <c r="P17" s="50"/>
    </row>
    <row r="18" spans="1:16" s="27" customFormat="1" ht="15">
      <c r="A18" s="68"/>
      <c r="B18" s="70"/>
      <c r="C18" s="70"/>
      <c r="P18" s="50"/>
    </row>
    <row r="19" spans="1:16" s="27" customFormat="1" ht="15">
      <c r="A19" s="303" t="s">
        <v>248</v>
      </c>
      <c r="B19" s="70"/>
      <c r="C19" s="70"/>
      <c r="P19" s="50"/>
    </row>
    <row r="20" spans="1:16" s="27" customFormat="1" ht="14.45" customHeight="1">
      <c r="A20" s="68"/>
      <c r="B20" s="70"/>
      <c r="C20" s="70"/>
      <c r="P20" s="50"/>
    </row>
    <row r="21" spans="1:16" s="27" customFormat="1" ht="14.45" customHeight="1">
      <c r="A21" s="68" t="s">
        <v>249</v>
      </c>
      <c r="C21" s="78" t="s">
        <v>250</v>
      </c>
      <c r="P21" s="50"/>
    </row>
    <row r="22" spans="1:16" s="27" customFormat="1" ht="15">
      <c r="A22" s="68" t="s">
        <v>251</v>
      </c>
      <c r="B22" s="304"/>
      <c r="D22" s="78" t="s">
        <v>252</v>
      </c>
      <c r="P22" s="50"/>
    </row>
    <row r="23" spans="1:16" s="27" customFormat="1" ht="15">
      <c r="A23" s="68" t="s">
        <v>253</v>
      </c>
      <c r="C23" s="78" t="s">
        <v>254</v>
      </c>
      <c r="P23" s="50"/>
    </row>
    <row r="24" spans="1:16" s="27" customFormat="1" ht="15">
      <c r="A24" s="68" t="s">
        <v>255</v>
      </c>
      <c r="C24" s="78" t="s">
        <v>256</v>
      </c>
      <c r="P24" s="50"/>
    </row>
    <row r="25" spans="1:16" s="27" customFormat="1" ht="15">
      <c r="A25" s="68"/>
      <c r="B25" s="78"/>
      <c r="C25" s="78"/>
      <c r="P25" s="50"/>
    </row>
    <row r="26" spans="1:16" s="27" customFormat="1" ht="15">
      <c r="A26" s="303" t="s">
        <v>257</v>
      </c>
      <c r="B26" s="78"/>
      <c r="C26" s="78"/>
      <c r="P26" s="50"/>
    </row>
    <row r="27" spans="1:16" s="27" customFormat="1" ht="15">
      <c r="A27" s="68"/>
      <c r="B27" s="78"/>
      <c r="C27" s="78"/>
      <c r="E27" s="304"/>
      <c r="P27" s="50"/>
    </row>
    <row r="28" spans="1:16" s="27" customFormat="1" ht="15">
      <c r="A28" s="68" t="s">
        <v>258</v>
      </c>
      <c r="B28" s="421" t="s">
        <v>259</v>
      </c>
      <c r="C28" s="78" t="s">
        <v>260</v>
      </c>
      <c r="P28" s="50"/>
    </row>
    <row r="29" spans="1:16" s="27" customFormat="1" ht="15">
      <c r="A29" s="68" t="s">
        <v>261</v>
      </c>
      <c r="B29" s="421" t="s">
        <v>262</v>
      </c>
      <c r="C29" s="78" t="s">
        <v>260</v>
      </c>
      <c r="P29" s="50"/>
    </row>
    <row r="30" spans="1:16" s="27" customFormat="1" ht="15">
      <c r="A30" s="68" t="s">
        <v>263</v>
      </c>
      <c r="B30" s="422">
        <v>65</v>
      </c>
      <c r="C30" s="78" t="s">
        <v>260</v>
      </c>
      <c r="P30" s="50"/>
    </row>
    <row r="31" spans="1:16" s="27" customFormat="1" ht="15">
      <c r="A31" s="68" t="s">
        <v>264</v>
      </c>
      <c r="B31" s="423" t="e">
        <f>'P200 Revue ana charges perso'!E34</f>
        <v>#DIV/0!</v>
      </c>
      <c r="C31" s="305"/>
      <c r="P31" s="50"/>
    </row>
    <row r="32" spans="1:16" s="27" customFormat="1" ht="15">
      <c r="A32" s="188"/>
      <c r="P32" s="50"/>
    </row>
    <row r="33" spans="1:16" s="27" customFormat="1" ht="14.45" customHeight="1">
      <c r="A33" s="188"/>
      <c r="P33" s="50"/>
    </row>
    <row r="34" spans="1:16" s="27" customFormat="1" ht="15">
      <c r="A34" s="188"/>
      <c r="P34" s="50"/>
    </row>
    <row r="35" spans="1:16" s="27" customFormat="1" ht="15">
      <c r="A35" s="72" t="s">
        <v>265</v>
      </c>
      <c r="B35" s="70"/>
      <c r="C35" s="70"/>
      <c r="D35" s="70"/>
      <c r="E35" s="70"/>
      <c r="F35" s="70"/>
      <c r="P35" s="50"/>
    </row>
    <row r="36" spans="1:16" s="27" customFormat="1" ht="15">
      <c r="A36" s="68" t="s">
        <v>266</v>
      </c>
      <c r="B36" s="70"/>
      <c r="C36" s="70"/>
      <c r="D36" s="70"/>
      <c r="E36" s="70"/>
      <c r="F36" s="70"/>
      <c r="P36" s="50"/>
    </row>
    <row r="37" spans="1:16" s="27" customFormat="1" ht="15">
      <c r="A37" s="605" t="s">
        <v>267</v>
      </c>
      <c r="B37" s="606"/>
      <c r="C37" s="606"/>
      <c r="D37" s="606"/>
      <c r="E37" s="606"/>
      <c r="F37" s="606"/>
      <c r="P37" s="50"/>
    </row>
    <row r="38" spans="1:16" s="27" customFormat="1" ht="15">
      <c r="A38" s="68" t="s">
        <v>268</v>
      </c>
      <c r="B38" s="70"/>
      <c r="C38" s="70"/>
      <c r="D38" s="70"/>
      <c r="E38" s="70"/>
      <c r="F38" s="70"/>
      <c r="P38" s="50"/>
    </row>
    <row r="39" spans="1:16" s="27" customFormat="1" ht="15">
      <c r="A39" s="605" t="s">
        <v>269</v>
      </c>
      <c r="B39" s="606"/>
      <c r="C39" s="606"/>
      <c r="D39" s="606"/>
      <c r="E39" s="606"/>
      <c r="F39" s="606"/>
      <c r="P39" s="50"/>
    </row>
    <row r="40" spans="1:16" s="27" customFormat="1" ht="15">
      <c r="A40" s="605" t="s">
        <v>270</v>
      </c>
      <c r="B40" s="606"/>
      <c r="C40" s="606"/>
      <c r="D40" s="606"/>
      <c r="E40" s="606"/>
      <c r="F40" s="606"/>
      <c r="P40" s="50"/>
    </row>
    <row r="41" spans="1:16" s="27" customFormat="1" ht="15">
      <c r="A41" s="188"/>
      <c r="P41" s="50"/>
    </row>
    <row r="42" spans="1:16" s="32" customFormat="1" ht="75" customHeight="1">
      <c r="A42" s="528" t="s">
        <v>100</v>
      </c>
      <c r="B42" s="529"/>
      <c r="C42" s="529"/>
      <c r="D42" s="529"/>
      <c r="E42" s="529"/>
      <c r="F42" s="529"/>
      <c r="G42" s="529"/>
      <c r="H42" s="529"/>
      <c r="I42" s="529"/>
      <c r="J42" s="529"/>
      <c r="K42" s="529"/>
      <c r="L42" s="529"/>
      <c r="M42" s="529"/>
      <c r="N42" s="529"/>
      <c r="O42" s="529"/>
      <c r="P42" s="530"/>
    </row>
    <row r="43" spans="1:16" s="27" customFormat="1" thickBot="1">
      <c r="A43" s="189"/>
      <c r="B43" s="190"/>
      <c r="C43" s="190"/>
      <c r="D43" s="190"/>
      <c r="E43" s="190"/>
      <c r="F43" s="190"/>
      <c r="G43" s="190"/>
      <c r="H43" s="190"/>
      <c r="I43" s="190"/>
      <c r="J43" s="190"/>
      <c r="K43" s="190"/>
      <c r="L43" s="190"/>
      <c r="M43" s="190"/>
      <c r="N43" s="190"/>
      <c r="O43" s="190"/>
      <c r="P43" s="191"/>
    </row>
    <row r="44" spans="1:16" s="27" customFormat="1" ht="15"/>
    <row r="45" spans="1:16" s="27" customFormat="1" ht="15"/>
    <row r="46" spans="1:16" s="27" customFormat="1" ht="15"/>
    <row r="47" spans="1:16" s="27" customFormat="1" ht="15"/>
    <row r="48" spans="1:16" s="27" customFormat="1" ht="15"/>
    <row r="49" s="27" customFormat="1" ht="15"/>
    <row r="50" s="27" customFormat="1" ht="15"/>
    <row r="51" s="27" customFormat="1" ht="15"/>
    <row r="52" s="27" customFormat="1" ht="15"/>
    <row r="53" s="27" customFormat="1" ht="15"/>
    <row r="54" s="27" customFormat="1" ht="15"/>
    <row r="55" s="27" customFormat="1" ht="15"/>
    <row r="56" s="27" customFormat="1" ht="15"/>
    <row r="57" s="27" customFormat="1" ht="15"/>
    <row r="58" s="27" customFormat="1" ht="15"/>
    <row r="59" s="27" customFormat="1" ht="15"/>
    <row r="60" s="27" customFormat="1" ht="15"/>
    <row r="61" s="27" customFormat="1" ht="15"/>
    <row r="62" s="27" customFormat="1" ht="15"/>
    <row r="63" s="27" customFormat="1" ht="15"/>
    <row r="64" s="27" customFormat="1" ht="15"/>
    <row r="65" s="27" customFormat="1" ht="15"/>
    <row r="66" s="27" customFormat="1" ht="15"/>
    <row r="67" s="27" customFormat="1" ht="15"/>
    <row r="68" s="27" customFormat="1" ht="15"/>
    <row r="69" s="27" customFormat="1" ht="15"/>
    <row r="70" s="27" customFormat="1" ht="15"/>
    <row r="71" s="27" customFormat="1" ht="15"/>
    <row r="72" s="27" customFormat="1" ht="15"/>
    <row r="73" s="27" customFormat="1" ht="15"/>
    <row r="74" s="27" customFormat="1" ht="15"/>
    <row r="75" s="27" customFormat="1" ht="15"/>
    <row r="76" s="27" customFormat="1" ht="15"/>
    <row r="77" s="27" customFormat="1" ht="15"/>
    <row r="78" s="27" customFormat="1" ht="15"/>
    <row r="79" s="27" customFormat="1" ht="15"/>
    <row r="80" s="27" customFormat="1" ht="15"/>
    <row r="81" s="27" customFormat="1" ht="15"/>
    <row r="82" s="27" customFormat="1" ht="15"/>
    <row r="83" s="27" customFormat="1" ht="15"/>
    <row r="84" s="27" customFormat="1" ht="15"/>
    <row r="85" s="27" customFormat="1" ht="15"/>
    <row r="86" s="27" customFormat="1" ht="15"/>
    <row r="87" s="27" customFormat="1" ht="15"/>
    <row r="88" s="27" customFormat="1" ht="15"/>
    <row r="89" s="27" customFormat="1" ht="15"/>
    <row r="90" s="27" customFormat="1" ht="15"/>
    <row r="91" s="27" customFormat="1" ht="15"/>
    <row r="92" s="27" customFormat="1" ht="15"/>
    <row r="93" s="27" customFormat="1" ht="15"/>
    <row r="94" s="27" customFormat="1" ht="15"/>
    <row r="95" s="27" customFormat="1" ht="15"/>
    <row r="96" s="27" customFormat="1" ht="15"/>
    <row r="97" s="27" customFormat="1" ht="15"/>
    <row r="98" s="27" customFormat="1" ht="15"/>
    <row r="99" s="27" customFormat="1" ht="15"/>
    <row r="100" s="27" customFormat="1" ht="15"/>
    <row r="101" s="27" customFormat="1" ht="15"/>
    <row r="102" s="27" customFormat="1" ht="15"/>
    <row r="103" s="27" customFormat="1" ht="15"/>
    <row r="104" s="27" customFormat="1" ht="15"/>
    <row r="105" s="27" customFormat="1" ht="15"/>
    <row r="106" s="27" customFormat="1" ht="15"/>
    <row r="107" s="27" customFormat="1" ht="15"/>
    <row r="108" s="27" customFormat="1" ht="15"/>
    <row r="109" s="27" customFormat="1" ht="15"/>
    <row r="110" s="27" customFormat="1" ht="15"/>
    <row r="111" s="27" customFormat="1" ht="15"/>
    <row r="112" s="27" customFormat="1" ht="15"/>
    <row r="113" s="27" customFormat="1" ht="15"/>
    <row r="114" s="27" customFormat="1" ht="15"/>
    <row r="115" s="27" customFormat="1" ht="15"/>
    <row r="116" s="27" customFormat="1" ht="15"/>
    <row r="117" s="27" customFormat="1" ht="15"/>
    <row r="118" s="27" customFormat="1" ht="15"/>
    <row r="119" s="27" customFormat="1" ht="15"/>
    <row r="120" s="27" customFormat="1" ht="15"/>
    <row r="121" s="27" customFormat="1" ht="15"/>
    <row r="122" s="27" customFormat="1" ht="15"/>
    <row r="123" s="27" customFormat="1" ht="15"/>
    <row r="124" s="27" customFormat="1" ht="15"/>
    <row r="125" s="27" customFormat="1" ht="15"/>
    <row r="126" s="27" customFormat="1" ht="15"/>
    <row r="127" s="27" customFormat="1" ht="15"/>
    <row r="128" s="27" customFormat="1" ht="15"/>
  </sheetData>
  <sheetProtection formatCells="0" formatColumns="0" formatRows="0" insertColumns="0" insertRows="0" insertHyperlinks="0" deleteColumns="0" deleteRows="0" sort="0" autoFilter="0" pivotTables="0"/>
  <mergeCells count="21">
    <mergeCell ref="A37:F37"/>
    <mergeCell ref="A39:F39"/>
    <mergeCell ref="A40:F40"/>
    <mergeCell ref="A42:P42"/>
    <mergeCell ref="O8:P8"/>
    <mergeCell ref="O9:P9"/>
    <mergeCell ref="A9:C9"/>
    <mergeCell ref="D9:E9"/>
    <mergeCell ref="F9:I9"/>
    <mergeCell ref="J9:K9"/>
    <mergeCell ref="L9:N9"/>
    <mergeCell ref="A11:P11"/>
    <mergeCell ref="A13:P13"/>
    <mergeCell ref="A14:P14"/>
    <mergeCell ref="D1:M2"/>
    <mergeCell ref="A3:P5"/>
    <mergeCell ref="E6:L7"/>
    <mergeCell ref="M6:N6"/>
    <mergeCell ref="O6:P6"/>
    <mergeCell ref="M7:N7"/>
    <mergeCell ref="O7:P7"/>
  </mergeCells>
  <dataValidations count="2">
    <dataValidation type="list" showInputMessage="1" showErrorMessage="1" sqref="D9:E9" xr:uid="{00000000-0002-0000-0A00-000000000000}">
      <formula1>RAS</formula1>
    </dataValidation>
    <dataValidation type="list" allowBlank="1" showInputMessage="1" showErrorMessage="1" sqref="O9:P9" xr:uid="{00000000-0002-0000-0A00-000001000000}">
      <formula1>Diligences</formula1>
    </dataValidation>
  </dataValidations>
  <hyperlinks>
    <hyperlink ref="O8:P8" location="'P Synthèse'!A1" display="P Synthèse" xr:uid="{00000000-0004-0000-0A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legacyDrawing r:id="rId3"/>
  <oleObjects>
    <mc:AlternateContent xmlns:mc="http://schemas.openxmlformats.org/markup-compatibility/2006">
      <mc:Choice Requires="x14">
        <oleObject progId="AcroExch.pdfxml.1" dvAspect="DVASPECT_ICON" shapeId="12291" r:id="rId4">
          <objectPr defaultSize="0" autoPict="0" r:id="rId5">
            <anchor moveWithCells="1">
              <from>
                <xdr:col>0</xdr:col>
                <xdr:colOff>371475</xdr:colOff>
                <xdr:row>10</xdr:row>
                <xdr:rowOff>1085850</xdr:rowOff>
              </from>
              <to>
                <xdr:col>0</xdr:col>
                <xdr:colOff>1323975</xdr:colOff>
                <xdr:row>10</xdr:row>
                <xdr:rowOff>1790700</xdr:rowOff>
              </to>
            </anchor>
          </objectPr>
        </oleObject>
      </mc:Choice>
      <mc:Fallback>
        <oleObject progId="AcroExch.pdfxml.1" dvAspect="DVASPECT_ICON" shapeId="12291" r:id="rId4"/>
      </mc:Fallback>
    </mc:AlternateContent>
  </oleObjec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dimension ref="A1:U38"/>
  <sheetViews>
    <sheetView showGridLines="0" zoomScale="90" zoomScaleNormal="90" workbookViewId="0">
      <selection activeCell="A2" sqref="A2"/>
    </sheetView>
  </sheetViews>
  <sheetFormatPr defaultColWidth="11.42578125" defaultRowHeight="15.75"/>
  <cols>
    <col min="1" max="16" width="13.85546875" style="8" customWidth="1"/>
    <col min="17" max="16384" width="11.42578125" style="8"/>
  </cols>
  <sheetData>
    <row r="1" spans="1:21" s="2" customFormat="1" ht="15" customHeight="1">
      <c r="A1" s="11"/>
      <c r="B1" s="12"/>
      <c r="C1" s="12"/>
      <c r="D1" s="497" t="str">
        <f>'P Synthèse'!D1:M2</f>
        <v>#NomClient</v>
      </c>
      <c r="E1" s="498"/>
      <c r="F1" s="498"/>
      <c r="G1" s="498"/>
      <c r="H1" s="498"/>
      <c r="I1" s="498"/>
      <c r="J1" s="498"/>
      <c r="K1" s="498"/>
      <c r="L1" s="498"/>
      <c r="M1" s="499"/>
      <c r="N1" s="12"/>
      <c r="O1" s="12"/>
      <c r="P1" s="13"/>
    </row>
    <row r="2" spans="1:21" s="2" customFormat="1" ht="15" customHeight="1" thickBot="1">
      <c r="A2" s="14"/>
      <c r="B2" s="15"/>
      <c r="C2" s="15"/>
      <c r="D2" s="500"/>
      <c r="E2" s="501"/>
      <c r="F2" s="501"/>
      <c r="G2" s="501"/>
      <c r="H2" s="501"/>
      <c r="I2" s="501"/>
      <c r="J2" s="501"/>
      <c r="K2" s="501"/>
      <c r="L2" s="501"/>
      <c r="M2" s="502"/>
      <c r="N2" s="15"/>
      <c r="O2" s="15"/>
      <c r="P2" s="16"/>
    </row>
    <row r="3" spans="1:21" ht="15" customHeight="1">
      <c r="A3" s="468" t="s">
        <v>3</v>
      </c>
      <c r="B3" s="469"/>
      <c r="C3" s="469"/>
      <c r="D3" s="469"/>
      <c r="E3" s="469"/>
      <c r="F3" s="469"/>
      <c r="G3" s="469"/>
      <c r="H3" s="469"/>
      <c r="I3" s="469"/>
      <c r="J3" s="469"/>
      <c r="K3" s="469"/>
      <c r="L3" s="469"/>
      <c r="M3" s="469"/>
      <c r="N3" s="469"/>
      <c r="O3" s="469"/>
      <c r="P3" s="470"/>
      <c r="R3" s="4"/>
      <c r="T3" s="6"/>
      <c r="U3" s="7"/>
    </row>
    <row r="4" spans="1:21" ht="15" customHeight="1">
      <c r="A4" s="468"/>
      <c r="B4" s="469"/>
      <c r="C4" s="469"/>
      <c r="D4" s="469"/>
      <c r="E4" s="469"/>
      <c r="F4" s="469"/>
      <c r="G4" s="469"/>
      <c r="H4" s="469"/>
      <c r="I4" s="469"/>
      <c r="J4" s="469"/>
      <c r="K4" s="469"/>
      <c r="L4" s="469"/>
      <c r="M4" s="469"/>
      <c r="N4" s="469"/>
      <c r="O4" s="469"/>
      <c r="P4" s="470"/>
      <c r="R4" s="4"/>
      <c r="T4" s="6"/>
      <c r="U4" s="7"/>
    </row>
    <row r="5" spans="1:21" ht="15" customHeight="1" thickBot="1">
      <c r="A5" s="471"/>
      <c r="B5" s="472"/>
      <c r="C5" s="472"/>
      <c r="D5" s="472"/>
      <c r="E5" s="472"/>
      <c r="F5" s="472"/>
      <c r="G5" s="472"/>
      <c r="H5" s="472"/>
      <c r="I5" s="472"/>
      <c r="J5" s="472"/>
      <c r="K5" s="472"/>
      <c r="L5" s="472"/>
      <c r="M5" s="472"/>
      <c r="N5" s="472"/>
      <c r="O5" s="472"/>
      <c r="P5" s="473"/>
      <c r="Q5" s="9"/>
      <c r="R5" s="5"/>
      <c r="S5" s="25"/>
      <c r="T5" s="25"/>
      <c r="U5" s="25"/>
    </row>
    <row r="6" spans="1:21" ht="15" customHeight="1">
      <c r="A6" s="18" t="s">
        <v>6</v>
      </c>
      <c r="B6" s="192" t="str">
        <f>'P Synthèse'!B6</f>
        <v>BRA</v>
      </c>
      <c r="C6" s="18" t="s">
        <v>8</v>
      </c>
      <c r="D6" s="192">
        <f>'P Synthèse'!D6</f>
        <v>0</v>
      </c>
      <c r="E6" s="489" t="s">
        <v>43</v>
      </c>
      <c r="F6" s="490"/>
      <c r="G6" s="490"/>
      <c r="H6" s="490"/>
      <c r="I6" s="490"/>
      <c r="J6" s="490"/>
      <c r="K6" s="490"/>
      <c r="L6" s="491"/>
      <c r="M6" s="503" t="s">
        <v>10</v>
      </c>
      <c r="N6" s="504"/>
      <c r="O6" s="478" t="s">
        <v>11</v>
      </c>
      <c r="P6" s="479"/>
      <c r="R6" s="2"/>
      <c r="S6" s="2"/>
    </row>
    <row r="7" spans="1:21" ht="15" customHeight="1" thickBot="1">
      <c r="A7" s="19" t="s">
        <v>13</v>
      </c>
      <c r="B7" s="184">
        <f>'P Synthèse'!B7</f>
        <v>0</v>
      </c>
      <c r="C7" s="19" t="s">
        <v>13</v>
      </c>
      <c r="D7" s="184">
        <f>'P Synthèse'!D7</f>
        <v>0</v>
      </c>
      <c r="E7" s="492"/>
      <c r="F7" s="493"/>
      <c r="G7" s="493"/>
      <c r="H7" s="493"/>
      <c r="I7" s="493"/>
      <c r="J7" s="493"/>
      <c r="K7" s="493"/>
      <c r="L7" s="494"/>
      <c r="M7" s="505" t="s">
        <v>211</v>
      </c>
      <c r="N7" s="506"/>
      <c r="O7" s="480" t="s">
        <v>271</v>
      </c>
      <c r="P7" s="481"/>
    </row>
    <row r="8" spans="1:21" ht="21" customHeight="1" thickBot="1">
      <c r="A8" s="20"/>
      <c r="B8" s="17"/>
      <c r="C8" s="21"/>
      <c r="D8" s="21"/>
      <c r="E8" s="22"/>
      <c r="F8" s="22"/>
      <c r="G8" s="22"/>
      <c r="H8" s="22"/>
      <c r="I8" s="22"/>
      <c r="J8" s="22"/>
      <c r="K8" s="22"/>
      <c r="L8" s="22"/>
      <c r="M8" s="23"/>
      <c r="N8" s="21"/>
      <c r="O8" s="515" t="s">
        <v>49</v>
      </c>
      <c r="P8" s="515"/>
    </row>
    <row r="9" spans="1:21" s="21" customFormat="1" ht="31.5" customHeight="1" thickBot="1">
      <c r="A9" s="482" t="s">
        <v>18</v>
      </c>
      <c r="B9" s="483"/>
      <c r="C9" s="483"/>
      <c r="D9" s="519" t="str">
        <f>'P Synthèse'!D9:E9</f>
        <v>Faible</v>
      </c>
      <c r="E9" s="520"/>
      <c r="F9" s="474" t="s">
        <v>19</v>
      </c>
      <c r="G9" s="475"/>
      <c r="H9" s="475"/>
      <c r="I9" s="475"/>
      <c r="J9" s="607">
        <f>'P Synthèse'!J9:K9</f>
        <v>0</v>
      </c>
      <c r="K9" s="608"/>
      <c r="L9" s="474" t="s">
        <v>20</v>
      </c>
      <c r="M9" s="475"/>
      <c r="N9" s="475"/>
      <c r="O9" s="519" t="str">
        <f>'P Synthèse'!N9</f>
        <v>PB</v>
      </c>
      <c r="P9" s="520"/>
    </row>
    <row r="10" spans="1:21" s="21" customFormat="1" ht="21" customHeight="1" thickBot="1">
      <c r="A10" s="26"/>
      <c r="B10" s="26"/>
      <c r="C10" s="26"/>
      <c r="D10" s="26"/>
      <c r="E10" s="26"/>
      <c r="F10" s="26"/>
      <c r="G10" s="26"/>
      <c r="H10" s="26"/>
      <c r="I10" s="26"/>
      <c r="J10" s="26"/>
      <c r="K10" s="26"/>
      <c r="L10" s="26"/>
      <c r="M10" s="26"/>
      <c r="N10" s="26"/>
      <c r="O10" s="26"/>
      <c r="P10" s="26"/>
    </row>
    <row r="11" spans="1:21" s="27" customFormat="1" ht="120.6" customHeight="1" thickBot="1">
      <c r="A11" s="516" t="s">
        <v>272</v>
      </c>
      <c r="B11" s="517"/>
      <c r="C11" s="517"/>
      <c r="D11" s="517"/>
      <c r="E11" s="517"/>
      <c r="F11" s="517"/>
      <c r="G11" s="517"/>
      <c r="H11" s="517"/>
      <c r="I11" s="517"/>
      <c r="J11" s="517"/>
      <c r="K11" s="517"/>
      <c r="L11" s="517"/>
      <c r="M11" s="517"/>
      <c r="N11" s="517"/>
      <c r="O11" s="517"/>
      <c r="P11" s="518"/>
    </row>
    <row r="12" spans="1:21" s="27" customFormat="1" ht="12.6" customHeight="1" thickBot="1"/>
    <row r="13" spans="1:21" s="27" customFormat="1" ht="15">
      <c r="A13" s="453" t="s">
        <v>51</v>
      </c>
      <c r="B13" s="454"/>
      <c r="C13" s="454"/>
      <c r="D13" s="454"/>
      <c r="E13" s="454"/>
      <c r="F13" s="454"/>
      <c r="G13" s="454"/>
      <c r="H13" s="454"/>
      <c r="I13" s="454"/>
      <c r="J13" s="454"/>
      <c r="K13" s="454"/>
      <c r="L13" s="454"/>
      <c r="M13" s="454"/>
      <c r="N13" s="454"/>
      <c r="O13" s="454"/>
      <c r="P13" s="455"/>
    </row>
    <row r="14" spans="1:21" s="27" customFormat="1" ht="60" customHeight="1" thickBot="1">
      <c r="A14" s="535"/>
      <c r="B14" s="536"/>
      <c r="C14" s="536"/>
      <c r="D14" s="536"/>
      <c r="E14" s="536"/>
      <c r="F14" s="536"/>
      <c r="G14" s="536"/>
      <c r="H14" s="536"/>
      <c r="I14" s="536"/>
      <c r="J14" s="536"/>
      <c r="K14" s="536"/>
      <c r="L14" s="536"/>
      <c r="M14" s="536"/>
      <c r="N14" s="536"/>
      <c r="O14" s="536"/>
      <c r="P14" s="537"/>
    </row>
    <row r="15" spans="1:21" ht="16.5" thickBot="1"/>
    <row r="16" spans="1:21">
      <c r="A16" s="45"/>
      <c r="B16" s="46"/>
      <c r="C16" s="46"/>
      <c r="D16" s="46"/>
      <c r="E16" s="46"/>
      <c r="F16" s="46"/>
      <c r="G16" s="46"/>
      <c r="H16" s="46"/>
      <c r="I16" s="46"/>
      <c r="J16" s="46"/>
      <c r="K16" s="46"/>
      <c r="L16" s="46"/>
      <c r="M16" s="46"/>
      <c r="N16" s="46"/>
      <c r="O16" s="46"/>
      <c r="P16" s="47"/>
    </row>
    <row r="17" spans="1:16" s="27" customFormat="1" ht="16.5">
      <c r="A17" s="306" t="s">
        <v>273</v>
      </c>
      <c r="B17" s="183"/>
      <c r="C17" s="117"/>
      <c r="D17" s="307"/>
      <c r="E17" s="308"/>
      <c r="F17" s="117"/>
      <c r="G17" s="117"/>
      <c r="P17" s="50"/>
    </row>
    <row r="18" spans="1:16" s="27" customFormat="1" ht="16.5">
      <c r="A18" s="309"/>
      <c r="B18" s="183"/>
      <c r="C18" s="117"/>
      <c r="D18" s="310"/>
      <c r="E18" s="117"/>
      <c r="F18" s="117"/>
      <c r="G18" s="117"/>
      <c r="P18" s="50"/>
    </row>
    <row r="19" spans="1:16" s="27" customFormat="1" ht="74.25" customHeight="1">
      <c r="A19" s="609" t="s">
        <v>274</v>
      </c>
      <c r="B19" s="610"/>
      <c r="C19" s="610"/>
      <c r="D19" s="610"/>
      <c r="E19" s="610"/>
      <c r="F19" s="610"/>
      <c r="G19" s="610"/>
      <c r="H19" s="610"/>
      <c r="I19" s="610"/>
      <c r="J19" s="610"/>
      <c r="K19" s="610"/>
      <c r="L19" s="610"/>
      <c r="M19" s="610"/>
      <c r="N19" s="610"/>
      <c r="O19" s="610"/>
      <c r="P19" s="611"/>
    </row>
    <row r="20" spans="1:16" s="27" customFormat="1" ht="16.5">
      <c r="A20" s="309"/>
      <c r="B20" s="183"/>
      <c r="C20" s="117"/>
      <c r="D20" s="117"/>
      <c r="E20" s="117"/>
      <c r="F20" s="117"/>
      <c r="G20" s="117"/>
      <c r="P20" s="50"/>
    </row>
    <row r="21" spans="1:16" s="27" customFormat="1" ht="138" customHeight="1">
      <c r="A21" s="609" t="s">
        <v>275</v>
      </c>
      <c r="B21" s="610"/>
      <c r="C21" s="610"/>
      <c r="D21" s="610"/>
      <c r="E21" s="610"/>
      <c r="F21" s="610"/>
      <c r="G21" s="610"/>
      <c r="H21" s="610"/>
      <c r="I21" s="610"/>
      <c r="J21" s="610"/>
      <c r="K21" s="610"/>
      <c r="L21" s="610"/>
      <c r="M21" s="610"/>
      <c r="N21" s="610"/>
      <c r="O21" s="610"/>
      <c r="P21" s="611"/>
    </row>
    <row r="22" spans="1:16" s="27" customFormat="1" ht="16.5">
      <c r="A22" s="309"/>
      <c r="B22" s="183"/>
      <c r="C22" s="117"/>
      <c r="D22" s="117"/>
      <c r="E22" s="117"/>
      <c r="F22" s="117"/>
      <c r="G22" s="117"/>
      <c r="P22" s="50"/>
    </row>
    <row r="23" spans="1:16" ht="192" customHeight="1">
      <c r="A23" s="609" t="s">
        <v>276</v>
      </c>
      <c r="B23" s="610"/>
      <c r="C23" s="610"/>
      <c r="D23" s="610"/>
      <c r="E23" s="610"/>
      <c r="F23" s="610"/>
      <c r="G23" s="610"/>
      <c r="H23" s="610"/>
      <c r="I23" s="610"/>
      <c r="J23" s="610"/>
      <c r="K23" s="610"/>
      <c r="L23" s="610"/>
      <c r="M23" s="610"/>
      <c r="N23" s="610"/>
      <c r="O23" s="610"/>
      <c r="P23" s="611"/>
    </row>
    <row r="24" spans="1:16" ht="16.5">
      <c r="A24" s="309"/>
      <c r="B24" s="183"/>
      <c r="C24" s="117"/>
      <c r="D24" s="117"/>
      <c r="E24" s="117"/>
      <c r="F24" s="117"/>
      <c r="G24" s="117"/>
      <c r="P24" s="236"/>
    </row>
    <row r="25" spans="1:16" ht="16.5">
      <c r="A25" s="306" t="s">
        <v>277</v>
      </c>
      <c r="B25" s="183"/>
      <c r="C25" s="117"/>
      <c r="D25" s="117"/>
      <c r="E25" s="117"/>
      <c r="F25" s="117"/>
      <c r="G25" s="117"/>
      <c r="P25" s="236"/>
    </row>
    <row r="26" spans="1:16" ht="16.5">
      <c r="A26" s="311"/>
      <c r="B26" s="183"/>
      <c r="C26" s="117"/>
      <c r="D26" s="117"/>
      <c r="E26" s="117"/>
      <c r="F26" s="117"/>
      <c r="G26" s="117"/>
      <c r="P26" s="236"/>
    </row>
    <row r="27" spans="1:16" ht="36" customHeight="1">
      <c r="A27" s="609" t="s">
        <v>278</v>
      </c>
      <c r="B27" s="610"/>
      <c r="C27" s="610"/>
      <c r="D27" s="610"/>
      <c r="E27" s="610"/>
      <c r="F27" s="610"/>
      <c r="G27" s="610"/>
      <c r="H27" s="610"/>
      <c r="I27" s="610"/>
      <c r="J27" s="610"/>
      <c r="K27" s="610"/>
      <c r="L27" s="610"/>
      <c r="M27" s="610"/>
      <c r="N27" s="610"/>
      <c r="O27" s="610"/>
      <c r="P27" s="236"/>
    </row>
    <row r="28" spans="1:16" ht="16.5">
      <c r="A28" s="313"/>
      <c r="B28" s="312"/>
      <c r="C28" s="312"/>
      <c r="D28" s="312"/>
      <c r="E28" s="312"/>
      <c r="F28" s="312"/>
      <c r="G28" s="312"/>
      <c r="P28" s="236"/>
    </row>
    <row r="29" spans="1:16" ht="150.75" customHeight="1">
      <c r="A29" s="609" t="s">
        <v>279</v>
      </c>
      <c r="B29" s="610"/>
      <c r="C29" s="610"/>
      <c r="D29" s="610"/>
      <c r="E29" s="610"/>
      <c r="F29" s="610"/>
      <c r="G29" s="610"/>
      <c r="H29" s="610"/>
      <c r="I29" s="610"/>
      <c r="J29" s="610"/>
      <c r="K29" s="610"/>
      <c r="L29" s="610"/>
      <c r="M29" s="610"/>
      <c r="N29" s="610"/>
      <c r="O29" s="610"/>
      <c r="P29" s="611"/>
    </row>
    <row r="30" spans="1:16" ht="16.5">
      <c r="A30" s="313"/>
      <c r="B30" s="312"/>
      <c r="C30" s="312"/>
      <c r="D30" s="312"/>
      <c r="E30" s="312"/>
      <c r="F30" s="312"/>
      <c r="G30" s="312"/>
      <c r="P30" s="236"/>
    </row>
    <row r="31" spans="1:16" ht="342.75" customHeight="1">
      <c r="A31" s="609" t="s">
        <v>280</v>
      </c>
      <c r="B31" s="610"/>
      <c r="C31" s="610"/>
      <c r="D31" s="610"/>
      <c r="E31" s="610"/>
      <c r="F31" s="610"/>
      <c r="G31" s="610"/>
      <c r="H31" s="610"/>
      <c r="I31" s="610"/>
      <c r="J31" s="610"/>
      <c r="K31" s="610"/>
      <c r="L31" s="610"/>
      <c r="M31" s="610"/>
      <c r="N31" s="610"/>
      <c r="O31" s="610"/>
      <c r="P31" s="611"/>
    </row>
    <row r="32" spans="1:16" ht="16.5">
      <c r="A32" s="313"/>
      <c r="B32" s="312"/>
      <c r="C32" s="312"/>
      <c r="D32" s="312"/>
      <c r="E32" s="312"/>
      <c r="F32" s="312"/>
      <c r="G32" s="312"/>
      <c r="P32" s="236"/>
    </row>
    <row r="33" spans="1:16" ht="126.6" customHeight="1">
      <c r="A33" s="609" t="s">
        <v>281</v>
      </c>
      <c r="B33" s="610"/>
      <c r="C33" s="610"/>
      <c r="D33" s="610"/>
      <c r="E33" s="610"/>
      <c r="F33" s="610"/>
      <c r="G33" s="610"/>
      <c r="H33" s="610"/>
      <c r="I33" s="610"/>
      <c r="J33" s="610"/>
      <c r="K33" s="610"/>
      <c r="L33" s="610"/>
      <c r="M33" s="610"/>
      <c r="N33" s="610"/>
      <c r="O33" s="610"/>
      <c r="P33" s="611"/>
    </row>
    <row r="34" spans="1:16" ht="16.5">
      <c r="A34" s="313"/>
      <c r="B34" s="312"/>
      <c r="C34" s="312"/>
      <c r="D34" s="312"/>
      <c r="E34" s="312"/>
      <c r="F34" s="312"/>
      <c r="G34" s="312"/>
      <c r="P34" s="236"/>
    </row>
    <row r="35" spans="1:16" ht="132.6" customHeight="1">
      <c r="A35" s="609" t="s">
        <v>282</v>
      </c>
      <c r="B35" s="610"/>
      <c r="C35" s="610"/>
      <c r="D35" s="610"/>
      <c r="E35" s="610"/>
      <c r="F35" s="610"/>
      <c r="G35" s="610"/>
      <c r="H35" s="610"/>
      <c r="I35" s="610"/>
      <c r="J35" s="610"/>
      <c r="K35" s="610"/>
      <c r="L35" s="610"/>
      <c r="M35" s="610"/>
      <c r="N35" s="610"/>
      <c r="O35" s="610"/>
      <c r="P35" s="611"/>
    </row>
    <row r="36" spans="1:16" ht="16.5">
      <c r="A36" s="313"/>
      <c r="B36" s="312"/>
      <c r="C36" s="312"/>
      <c r="D36" s="312"/>
      <c r="E36" s="312"/>
      <c r="F36" s="312"/>
      <c r="G36" s="312"/>
      <c r="P36" s="236"/>
    </row>
    <row r="37" spans="1:16" ht="34.5" customHeight="1">
      <c r="A37" s="609" t="s">
        <v>283</v>
      </c>
      <c r="B37" s="610"/>
      <c r="C37" s="610"/>
      <c r="D37" s="610"/>
      <c r="E37" s="610"/>
      <c r="F37" s="610"/>
      <c r="G37" s="610"/>
      <c r="H37" s="610"/>
      <c r="I37" s="610"/>
      <c r="J37" s="610"/>
      <c r="K37" s="610"/>
      <c r="L37" s="610"/>
      <c r="M37" s="610"/>
      <c r="N37" s="610"/>
      <c r="O37" s="610"/>
      <c r="P37" s="611"/>
    </row>
    <row r="38" spans="1:16" ht="16.5" thickBot="1">
      <c r="A38" s="252"/>
      <c r="B38" s="253"/>
      <c r="C38" s="253"/>
      <c r="D38" s="253"/>
      <c r="E38" s="253"/>
      <c r="F38" s="253"/>
      <c r="G38" s="253"/>
      <c r="H38" s="253"/>
      <c r="I38" s="253"/>
      <c r="J38" s="253"/>
      <c r="K38" s="253"/>
      <c r="L38" s="253"/>
      <c r="M38" s="253"/>
      <c r="N38" s="253"/>
      <c r="O38" s="253"/>
      <c r="P38" s="254"/>
    </row>
  </sheetData>
  <sheetProtection formatCells="0" formatColumns="0" formatRows="0" insertColumns="0" insertRows="0" insertHyperlinks="0" deleteColumns="0" deleteRows="0" sort="0" autoFilter="0" pivotTables="0"/>
  <mergeCells count="26">
    <mergeCell ref="A27:O27"/>
    <mergeCell ref="A11:P11"/>
    <mergeCell ref="A13:P13"/>
    <mergeCell ref="A14:P14"/>
    <mergeCell ref="A23:P23"/>
    <mergeCell ref="A21:P21"/>
    <mergeCell ref="A19:P19"/>
    <mergeCell ref="A37:P37"/>
    <mergeCell ref="A35:P35"/>
    <mergeCell ref="A33:P33"/>
    <mergeCell ref="A31:P31"/>
    <mergeCell ref="A29:P29"/>
    <mergeCell ref="J9:K9"/>
    <mergeCell ref="L9:N9"/>
    <mergeCell ref="O9:P9"/>
    <mergeCell ref="D1:M2"/>
    <mergeCell ref="A3:P5"/>
    <mergeCell ref="E6:L7"/>
    <mergeCell ref="M6:N6"/>
    <mergeCell ref="O6:P6"/>
    <mergeCell ref="M7:N7"/>
    <mergeCell ref="O7:P7"/>
    <mergeCell ref="O8:P8"/>
    <mergeCell ref="A9:C9"/>
    <mergeCell ref="D9:E9"/>
    <mergeCell ref="F9:I9"/>
  </mergeCells>
  <dataValidations count="2">
    <dataValidation type="list" showInputMessage="1" showErrorMessage="1" sqref="D9:E9" xr:uid="{00000000-0002-0000-0B00-000000000000}">
      <formula1>RAS</formula1>
    </dataValidation>
    <dataValidation type="list" allowBlank="1" showInputMessage="1" showErrorMessage="1" sqref="O9:P9" xr:uid="{00000000-0002-0000-0B00-000001000000}">
      <formula1>Diligences</formula1>
    </dataValidation>
  </dataValidations>
  <hyperlinks>
    <hyperlink ref="O8:P8" location="'P Synthèse'!A1" display="P Synthèse" xr:uid="{00000000-0004-0000-0B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3FFDFD4C05D14DADD40B72BFB892F2" ma:contentTypeVersion="12" ma:contentTypeDescription="Crée un document." ma:contentTypeScope="" ma:versionID="ffaa0fe9f6dcdabb248cd120433867de">
  <xsd:schema xmlns:xsd="http://www.w3.org/2001/XMLSchema" xmlns:xs="http://www.w3.org/2001/XMLSchema" xmlns:p="http://schemas.microsoft.com/office/2006/metadata/properties" xmlns:ns2="27d32b71-31f9-4ffd-a7f0-416f695e1477" xmlns:ns3="d905335e-07f7-449f-8325-7d00af0e6b96" targetNamespace="http://schemas.microsoft.com/office/2006/metadata/properties" ma:root="true" ma:fieldsID="e911a3a7f25565ed2eec782e12e0db57" ns2:_="" ns3:_="">
    <xsd:import namespace="27d32b71-31f9-4ffd-a7f0-416f695e1477"/>
    <xsd:import namespace="d905335e-07f7-449f-8325-7d00af0e6b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d32b71-31f9-4ffd-a7f0-416f695e14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e55a836-def3-43e3-8f00-2a26c919754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05335e-07f7-449f-8325-7d00af0e6b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e981c32-6aaa-40cd-9bf7-e0202a3392a7}" ma:internalName="TaxCatchAll" ma:showField="CatchAllData" ma:web="d905335e-07f7-449f-8325-7d00af0e6b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7d32b71-31f9-4ffd-a7f0-416f695e1477">
      <Terms xmlns="http://schemas.microsoft.com/office/infopath/2007/PartnerControls"/>
    </lcf76f155ced4ddcb4097134ff3c332f>
    <TaxCatchAll xmlns="d905335e-07f7-449f-8325-7d00af0e6b96" xsi:nil="true"/>
  </documentManagement>
</p:properties>
</file>

<file path=customXml/itemProps1.xml><?xml version="1.0" encoding="utf-8"?>
<ds:datastoreItem xmlns:ds="http://schemas.openxmlformats.org/officeDocument/2006/customXml" ds:itemID="{534EEA5A-C6BC-4D03-8A30-E468D88B67FC}"/>
</file>

<file path=customXml/itemProps2.xml><?xml version="1.0" encoding="utf-8"?>
<ds:datastoreItem xmlns:ds="http://schemas.openxmlformats.org/officeDocument/2006/customXml" ds:itemID="{C941B316-BF87-4B78-9518-35386BEC4D17}"/>
</file>

<file path=customXml/itemProps3.xml><?xml version="1.0" encoding="utf-8"?>
<ds:datastoreItem xmlns:ds="http://schemas.openxmlformats.org/officeDocument/2006/customXml" ds:itemID="{D5A2CE55-3766-4FEC-B3EA-B698619FB5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CHA. ARNAUD</dc:creator>
  <cp:keywords/>
  <dc:description/>
  <cp:lastModifiedBy>sarah BADRA</cp:lastModifiedBy>
  <cp:revision/>
  <dcterms:created xsi:type="dcterms:W3CDTF">2017-01-24T11:12:27Z</dcterms:created>
  <dcterms:modified xsi:type="dcterms:W3CDTF">2025-03-03T09:38:11Z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0x010100BD3FFDFD4C05D14DADD40B72BFB892F2</vt:lpwstr>
  </property>
  <property fmtid="{D5CDD505-2E9C-101B-9397-08002B2CF9AE}" pid="3" name="MediaServiceImageTags">
    <vt:lpwstr/>
  </property>
</Properties>
</file>