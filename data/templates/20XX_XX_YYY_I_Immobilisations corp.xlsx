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defaultThemeVersion="166925"/>
  <mc:AlternateContent xmlns:mc="http://schemas.openxmlformats.org/markup-compatibility/2006">
    <mc:Choice Requires="x15">
      <x15ac:absPath xmlns:x15ac="http://schemas.microsoft.com/office/spreadsheetml/2010/11/ac" url="\\Srvdcvil\collaborateurs\2-COLLABORATEURS\Brian\Modèles\Dossier annuel\I- Immobilisations\"/>
    </mc:Choice>
  </mc:AlternateContent>
  <xr:revisionPtr revIDLastSave="0" documentId="13_ncr:1_{AB8828CD-5F78-4924-A99C-63B1560AE74B}" xr6:coauthVersionLast="47" xr6:coauthVersionMax="47" xr10:uidLastSave="{00000000-0000-0000-0000-000000000000}"/>
  <bookViews>
    <workbookView xWindow="-28920" yWindow="-120" windowWidth="29040" windowHeight="15720" tabRatio="779" xr2:uid="{00000000-000D-0000-FFFF-FFFF00000000}"/>
  </bookViews>
  <sheets>
    <sheet name="I Synthèse" sheetId="1" r:id="rId1"/>
    <sheet name="I100 Centralisation immos." sheetId="11" r:id="rId2"/>
    <sheet name="I200 Variation immos" sheetId="12" r:id="rId3"/>
    <sheet name="I300 Acquisitions immos" sheetId="13" r:id="rId4"/>
    <sheet name="I400 Sorties immos" sheetId="14" r:id="rId5"/>
    <sheet name="I500 Immos en cours" sheetId="15" r:id="rId6"/>
    <sheet name="I600 Charges activables" sheetId="17" r:id="rId7"/>
    <sheet name="I700 Taux moyen d'amortissement" sheetId="22" r:id="rId8"/>
  </sheets>
  <externalReferences>
    <externalReference r:id="rId9"/>
  </externalReferences>
  <definedNames>
    <definedName name="ça">"$#REF !.$B$508:$R$508"</definedName>
    <definedName name="CA_N">[1]SIG!$B$8</definedName>
    <definedName name="CA_N_1">[1]SIG!$D$8</definedName>
    <definedName name="çb">"$#REF !.$A$48:$K$48"</definedName>
    <definedName name="çi">"$#REF !.$R$11:$R$508"</definedName>
    <definedName name="cloture">"$#REF !.$G$9"</definedName>
    <definedName name="çp">"$#REF !.$B$44:$F$44"</definedName>
    <definedName name="çr">"$#REF !.$B$62:$H$62"</definedName>
    <definedName name="çs">"$#REF !.$B$161:$L$161"</definedName>
    <definedName name="dateCloture" localSheetId="1">#REF!</definedName>
    <definedName name="dateCloture" localSheetId="2">#REF!</definedName>
    <definedName name="dateCloture" localSheetId="3">#REF!</definedName>
    <definedName name="dateCloture" localSheetId="4">#REF!</definedName>
    <definedName name="dateCloture" localSheetId="5">#REF!</definedName>
    <definedName name="dateCloture" localSheetId="6">#REF!</definedName>
    <definedName name="dateCloture" localSheetId="7">#REF!</definedName>
    <definedName name="dateCloture">#REF!</definedName>
    <definedName name="DatesCloture">"$#REF !.$F$9:$#REF !.$M$9"</definedName>
    <definedName name="Diligences" localSheetId="1">'I100 Centralisation immos.'!#REF!</definedName>
    <definedName name="Diligences" localSheetId="2">'I200 Variation immos'!#REF!</definedName>
    <definedName name="Diligences" localSheetId="3">'I300 Acquisitions immos'!#REF!</definedName>
    <definedName name="Diligences" localSheetId="4">'I400 Sorties immos'!#REF!</definedName>
    <definedName name="Diligences" localSheetId="5">'I500 Immos en cours'!#REF!</definedName>
    <definedName name="Diligences" localSheetId="6">'I600 Charges activables'!#REF!</definedName>
    <definedName name="Diligences" localSheetId="7">'I700 Taux moyen d''amortissement'!#REF!</definedName>
    <definedName name="Diligences">'I Synthèse'!$Q$7:$Q$9</definedName>
    <definedName name="Etat" localSheetId="1">'I100 Centralisation immos.'!#REF!</definedName>
    <definedName name="Etat" localSheetId="2">'I200 Variation immos'!#REF!</definedName>
    <definedName name="Etat" localSheetId="3">'I300 Acquisitions immos'!#REF!</definedName>
    <definedName name="Etat" localSheetId="4">'I400 Sorties immos'!#REF!</definedName>
    <definedName name="Etat" localSheetId="5">'I500 Immos en cours'!#REF!</definedName>
    <definedName name="Etat" localSheetId="6">'I600 Charges activables'!#REF!</definedName>
    <definedName name="Etat" localSheetId="7">'I700 Taux moyen d''amortissement'!#REF!</definedName>
    <definedName name="Etat">'I Synthèse'!$Q$1:$Q$3</definedName>
    <definedName name="NomDossier">"$#REF !.$E$1"</definedName>
    <definedName name="RAS" localSheetId="1">'I100 Centralisation immos.'!#REF!</definedName>
    <definedName name="RAS" localSheetId="2">'I200 Variation immos'!#REF!</definedName>
    <definedName name="RAS" localSheetId="3">'I300 Acquisitions immos'!#REF!</definedName>
    <definedName name="RAS" localSheetId="4">'I400 Sorties immos'!#REF!</definedName>
    <definedName name="RAS" localSheetId="5">'I500 Immos en cours'!#REF!</definedName>
    <definedName name="RAS" localSheetId="6">'I600 Charges activables'!#REF!</definedName>
    <definedName name="RAS" localSheetId="7">'I700 Taux moyen d''amortissement'!#REF!</definedName>
    <definedName name="RAS">'I Synthèse'!$Q$4:$Q$6</definedName>
    <definedName name="referenceDossier" localSheetId="1">#REF!</definedName>
    <definedName name="referenceDossier" localSheetId="2">#REF!</definedName>
    <definedName name="referenceDossier" localSheetId="3">#REF!</definedName>
    <definedName name="referenceDossier" localSheetId="4">#REF!</definedName>
    <definedName name="referenceDossier" localSheetId="5">#REF!</definedName>
    <definedName name="referenceDossier" localSheetId="6">#REF!</definedName>
    <definedName name="referenceDossier" localSheetId="7">#REF!</definedName>
    <definedName name="referenceDossier">#REF!</definedName>
    <definedName name="sold6037">"$#REF !.$A$85:$I$85"</definedName>
    <definedName name="sold607">"$#REF !.$A$84:$I$84"</definedName>
    <definedName name="sold701">"$#REF !.$A$73:$I$73"</definedName>
    <definedName name="sold706">"$#REF !.$A$74:$I$74"</definedName>
    <definedName name="sold707">"$#REF !.$A$72:$I$72"</definedName>
    <definedName name="sold71">"$#REF !.$A$75:$I$75"</definedName>
    <definedName name="sold781">"$#REF !.$A$151:$I$151"</definedName>
    <definedName name="sold791">"$#REF !.$A$82:$I$82"</definedName>
    <definedName name="soldesCapitaux">"$#REF !.$A$55:$J$66"</definedName>
    <definedName name="start_toc" localSheetId="1">#REF!</definedName>
    <definedName name="start_toc" localSheetId="2">#REF!</definedName>
    <definedName name="start_toc" localSheetId="3">#REF!</definedName>
    <definedName name="start_toc" localSheetId="4">#REF!</definedName>
    <definedName name="start_toc" localSheetId="5">#REF!</definedName>
    <definedName name="start_toc" localSheetId="6">#REF!</definedName>
    <definedName name="start_toc" localSheetId="7">#REF!</definedName>
    <definedName name="start_toc">#REF!</definedName>
    <definedName name="TOTAL1_N">'[1]BILAN PASSIF'!$F$24</definedName>
    <definedName name="TOTAL1_N_1">'[1]BILAN PASSIF'!$H$24</definedName>
    <definedName name="TOTAL2_N">'[1]BILAN PASSIF'!$F$29</definedName>
    <definedName name="TOTAL2_N_1">'[1]BILAN PASSIF'!$H$29</definedName>
    <definedName name="TOTAL3_N">'[1]BILAN PASSIF'!$F$34</definedName>
    <definedName name="TOTAL3_N_1">'[1]BILAN PASSIF'!$H$34</definedName>
    <definedName name="TOTAL4_N">'[1]BILAN PASSIF'!$F$54</definedName>
    <definedName name="TOTAL4_N_1">'[1]BILAN PASSIF'!$H$54</definedName>
    <definedName name="TOTAL5_N">'[1]BILAN PASSIF'!$F$56</definedName>
    <definedName name="TOTAL5_N_1">'[1]BILAN PASSIF'!$H$56</definedName>
    <definedName name="TOTALGEN_N">'[1]BILAN PASSIF'!$F$58</definedName>
    <definedName name="TOTALGEN_N_1">'[1]BILAN PASSIF'!$H$58</definedName>
    <definedName name="uniteMonetaire" localSheetId="1">#REF!</definedName>
    <definedName name="uniteMonetaire" localSheetId="2">#REF!</definedName>
    <definedName name="uniteMonetaire" localSheetId="3">#REF!</definedName>
    <definedName name="uniteMonetaire" localSheetId="4">#REF!</definedName>
    <definedName name="uniteMonetaire" localSheetId="5">#REF!</definedName>
    <definedName name="uniteMonetaire" localSheetId="6">#REF!</definedName>
    <definedName name="uniteMonetaire" localSheetId="7">#REF!</definedName>
    <definedName name="uniteMonetaire">#REF!</definedName>
    <definedName name="Z_11CE3843_8765_4D4C_AA39_79A83C002DF6_.wvu.PrintArea" localSheetId="0" hidden="1">'I Synthèse'!$A$1:$O$19</definedName>
    <definedName name="Z_11CE3843_8765_4D4C_AA39_79A83C002DF6_.wvu.PrintArea" localSheetId="1" hidden="1">'I100 Centralisation immos.'!$A$1:$P$10</definedName>
    <definedName name="Z_11CE3843_8765_4D4C_AA39_79A83C002DF6_.wvu.PrintArea" localSheetId="2" hidden="1">'I200 Variation immos'!$A$1:$P$10</definedName>
    <definedName name="Z_11CE3843_8765_4D4C_AA39_79A83C002DF6_.wvu.PrintArea" localSheetId="3" hidden="1">'I300 Acquisitions immos'!$A$1:$P$10</definedName>
    <definedName name="Z_11CE3843_8765_4D4C_AA39_79A83C002DF6_.wvu.PrintArea" localSheetId="4" hidden="1">'I400 Sorties immos'!$A$1:$P$10</definedName>
    <definedName name="Z_11CE3843_8765_4D4C_AA39_79A83C002DF6_.wvu.PrintArea" localSheetId="5" hidden="1">'I500 Immos en cours'!$A$1:$P$10</definedName>
    <definedName name="Z_11CE3843_8765_4D4C_AA39_79A83C002DF6_.wvu.PrintArea" localSheetId="6" hidden="1">'I600 Charges activables'!$A$1:$P$10</definedName>
    <definedName name="Z_11CE3843_8765_4D4C_AA39_79A83C002DF6_.wvu.PrintArea" localSheetId="7" hidden="1">'I700 Taux moyen d''amortissement'!$A$1:$P$10</definedName>
    <definedName name="Z_3BBE5D10_E029_4BF5_BC04_29D3FAA5A0EB_.wvu.PrintArea" localSheetId="0" hidden="1">'I Synthèse'!$A$1:$O$19</definedName>
    <definedName name="Z_3BBE5D10_E029_4BF5_BC04_29D3FAA5A0EB_.wvu.PrintArea" localSheetId="1" hidden="1">'I100 Centralisation immos.'!$A$1:$P$10</definedName>
    <definedName name="Z_3BBE5D10_E029_4BF5_BC04_29D3FAA5A0EB_.wvu.PrintArea" localSheetId="2" hidden="1">'I200 Variation immos'!$A$1:$P$10</definedName>
    <definedName name="Z_3BBE5D10_E029_4BF5_BC04_29D3FAA5A0EB_.wvu.PrintArea" localSheetId="3" hidden="1">'I300 Acquisitions immos'!$A$1:$P$10</definedName>
    <definedName name="Z_3BBE5D10_E029_4BF5_BC04_29D3FAA5A0EB_.wvu.PrintArea" localSheetId="4" hidden="1">'I400 Sorties immos'!$A$1:$P$10</definedName>
    <definedName name="Z_3BBE5D10_E029_4BF5_BC04_29D3FAA5A0EB_.wvu.PrintArea" localSheetId="5" hidden="1">'I500 Immos en cours'!$A$1:$P$10</definedName>
    <definedName name="Z_3BBE5D10_E029_4BF5_BC04_29D3FAA5A0EB_.wvu.PrintArea" localSheetId="6" hidden="1">'I600 Charges activables'!$A$1:$P$10</definedName>
    <definedName name="Z_3BBE5D10_E029_4BF5_BC04_29D3FAA5A0EB_.wvu.PrintArea" localSheetId="7" hidden="1">'I700 Taux moyen d''amortissement'!$A$1:$P$10</definedName>
    <definedName name="_xlnm.Print_Area" localSheetId="0">'I Synthèse'!$A$1:$O$32</definedName>
    <definedName name="_xlnm.Print_Area" localSheetId="1">'I100 Centralisation immos.'!$A$1:$P$21</definedName>
    <definedName name="_xlnm.Print_Area" localSheetId="2">'I200 Variation immos'!$A$1:$P$60</definedName>
    <definedName name="_xlnm.Print_Area" localSheetId="3">'I300 Acquisitions immos'!$A$1:$P$33</definedName>
    <definedName name="_xlnm.Print_Area" localSheetId="4">'I400 Sorties immos'!$A$1:$P$34</definedName>
    <definedName name="_xlnm.Print_Area" localSheetId="5">'I500 Immos en cours'!$A$1:$P$34</definedName>
    <definedName name="_xlnm.Print_Area" localSheetId="6">'I600 Charges activables'!$A$1:$P$14</definedName>
    <definedName name="_xlnm.Print_Area" localSheetId="7">'I700 Taux moyen d''amortissement'!$A$1:$P$14</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 i="22" l="1"/>
  <c r="O9" i="17"/>
  <c r="O9" i="15"/>
  <c r="O9" i="14"/>
  <c r="O9" i="13"/>
  <c r="O9" i="12"/>
  <c r="O9" i="11"/>
  <c r="J54" i="12" l="1"/>
  <c r="I45" i="12"/>
  <c r="K45" i="12" s="1"/>
  <c r="I46" i="12"/>
  <c r="K46" i="12" s="1"/>
  <c r="I47" i="12"/>
  <c r="K47" i="12" s="1"/>
  <c r="I48" i="12"/>
  <c r="K48" i="12" s="1"/>
  <c r="I49" i="12"/>
  <c r="K49" i="12" s="1"/>
  <c r="I50" i="12"/>
  <c r="K50" i="12" s="1"/>
  <c r="I51" i="12"/>
  <c r="K51" i="12" s="1"/>
  <c r="I52" i="12"/>
  <c r="K52" i="12" s="1"/>
  <c r="I53" i="12"/>
  <c r="K53" i="12" s="1"/>
  <c r="J32" i="12" l="1"/>
  <c r="H54" i="12" l="1"/>
  <c r="G54" i="12"/>
  <c r="F54" i="12"/>
  <c r="F20" i="22" l="1"/>
  <c r="K23" i="14"/>
  <c r="C29" i="13"/>
  <c r="G58" i="12"/>
  <c r="G59" i="12" s="1"/>
  <c r="M7" i="13"/>
  <c r="F18" i="13"/>
  <c r="J19" i="11"/>
  <c r="I19" i="12"/>
  <c r="K19" i="12" s="1"/>
  <c r="D7" i="12"/>
  <c r="B7" i="12"/>
  <c r="D6" i="12"/>
  <c r="B6" i="12"/>
  <c r="D7" i="13"/>
  <c r="B7" i="13"/>
  <c r="D6" i="13"/>
  <c r="B6" i="13"/>
  <c r="D7" i="14"/>
  <c r="B7" i="14"/>
  <c r="D6" i="14"/>
  <c r="B6" i="14"/>
  <c r="D7" i="15"/>
  <c r="B7" i="15"/>
  <c r="D6" i="15"/>
  <c r="B6" i="15"/>
  <c r="D7" i="17"/>
  <c r="B7" i="17"/>
  <c r="D6" i="17"/>
  <c r="B6" i="17"/>
  <c r="D7" i="22"/>
  <c r="B7" i="22"/>
  <c r="D6" i="22"/>
  <c r="B6" i="22"/>
  <c r="D7" i="11"/>
  <c r="B7" i="11"/>
  <c r="D6" i="11"/>
  <c r="B6" i="11"/>
  <c r="M7" i="12"/>
  <c r="M7" i="14"/>
  <c r="M7" i="15"/>
  <c r="M7" i="17"/>
  <c r="M7" i="22"/>
  <c r="M7" i="11"/>
  <c r="D1" i="22"/>
  <c r="D1" i="17"/>
  <c r="D1" i="15"/>
  <c r="D1" i="14"/>
  <c r="D1" i="13"/>
  <c r="D1" i="12"/>
  <c r="D1" i="11"/>
  <c r="D9" i="12"/>
  <c r="D9" i="13"/>
  <c r="D9" i="14"/>
  <c r="D9" i="15"/>
  <c r="D9" i="17"/>
  <c r="D9" i="22"/>
  <c r="D9" i="11"/>
  <c r="C18" i="1"/>
  <c r="G36" i="22"/>
  <c r="F36" i="22"/>
  <c r="H36" i="22" s="1"/>
  <c r="H24" i="22"/>
  <c r="G22" i="22"/>
  <c r="G26" i="22" s="1"/>
  <c r="H21" i="22"/>
  <c r="H20" i="22"/>
  <c r="F22" i="22"/>
  <c r="H22" i="22" s="1"/>
  <c r="J9" i="22"/>
  <c r="J9" i="17"/>
  <c r="J9" i="15"/>
  <c r="J9" i="14"/>
  <c r="J9" i="13"/>
  <c r="J9" i="12"/>
  <c r="F26" i="22"/>
  <c r="J9" i="11"/>
  <c r="G31" i="15"/>
  <c r="H31" i="14"/>
  <c r="K20" i="14"/>
  <c r="K21" i="14"/>
  <c r="K22" i="14"/>
  <c r="K24" i="14"/>
  <c r="K25" i="14"/>
  <c r="K26" i="14"/>
  <c r="K27" i="14"/>
  <c r="K28" i="14"/>
  <c r="K29" i="14"/>
  <c r="K30" i="14"/>
  <c r="K19" i="14"/>
  <c r="K18" i="14"/>
  <c r="K29" i="13"/>
  <c r="I19" i="13"/>
  <c r="I20" i="13"/>
  <c r="I21" i="13"/>
  <c r="I22" i="13"/>
  <c r="I23" i="13"/>
  <c r="I24" i="13"/>
  <c r="I25" i="13"/>
  <c r="I26" i="13"/>
  <c r="I27" i="13"/>
  <c r="I28" i="13"/>
  <c r="I18" i="13"/>
  <c r="F28" i="13"/>
  <c r="J28" i="13" s="1"/>
  <c r="L28" i="13" s="1"/>
  <c r="F27" i="13"/>
  <c r="J27" i="13" s="1"/>
  <c r="L27" i="13" s="1"/>
  <c r="F26" i="13"/>
  <c r="F25" i="13"/>
  <c r="J25" i="13" s="1"/>
  <c r="L25" i="13" s="1"/>
  <c r="F24" i="13"/>
  <c r="F23" i="13"/>
  <c r="F22" i="13"/>
  <c r="F21" i="13"/>
  <c r="F20" i="13"/>
  <c r="F19" i="13"/>
  <c r="J19" i="13" s="1"/>
  <c r="L19" i="13" s="1"/>
  <c r="G37" i="22"/>
  <c r="G38" i="22" s="1"/>
  <c r="I44" i="12"/>
  <c r="K44" i="12" s="1"/>
  <c r="I43" i="12"/>
  <c r="K43" i="12" s="1"/>
  <c r="I42" i="12"/>
  <c r="I41" i="12"/>
  <c r="G32" i="12"/>
  <c r="C30" i="13" s="1"/>
  <c r="C31" i="13" s="1"/>
  <c r="H32" i="12"/>
  <c r="H35" i="12" s="1"/>
  <c r="F32" i="12"/>
  <c r="I31" i="12"/>
  <c r="I21" i="12"/>
  <c r="I22" i="12"/>
  <c r="I23" i="12"/>
  <c r="I24" i="12"/>
  <c r="I25" i="12"/>
  <c r="I26" i="12"/>
  <c r="I27" i="12"/>
  <c r="I28" i="12"/>
  <c r="K28" i="12" s="1"/>
  <c r="L28" i="12"/>
  <c r="I29" i="12"/>
  <c r="K29" i="12" s="1"/>
  <c r="I30" i="12"/>
  <c r="L30" i="12" s="1"/>
  <c r="I20" i="12"/>
  <c r="J21" i="13"/>
  <c r="L21" i="13" s="1"/>
  <c r="H26" i="22" l="1"/>
  <c r="F28" i="22" s="1"/>
  <c r="F29" i="22" s="1"/>
  <c r="J23" i="13"/>
  <c r="L23" i="13" s="1"/>
  <c r="J18" i="13"/>
  <c r="J29" i="13" s="1"/>
  <c r="L29" i="12"/>
  <c r="J22" i="13"/>
  <c r="L22" i="13" s="1"/>
  <c r="J26" i="13"/>
  <c r="L26" i="13" s="1"/>
  <c r="J24" i="13"/>
  <c r="L24" i="13" s="1"/>
  <c r="J20" i="13"/>
  <c r="L20" i="13" s="1"/>
  <c r="L25" i="12"/>
  <c r="K25" i="12"/>
  <c r="L21" i="12"/>
  <c r="K21" i="12"/>
  <c r="L19" i="12"/>
  <c r="K24" i="12"/>
  <c r="L24" i="12"/>
  <c r="L31" i="12"/>
  <c r="K31" i="12"/>
  <c r="K20" i="12"/>
  <c r="L20" i="12"/>
  <c r="G32" i="15"/>
  <c r="G33" i="15" s="1"/>
  <c r="K30" i="12"/>
  <c r="K27" i="12"/>
  <c r="L27" i="12"/>
  <c r="K23" i="12"/>
  <c r="L23" i="12"/>
  <c r="K41" i="12"/>
  <c r="I54" i="12"/>
  <c r="F37" i="22" s="1"/>
  <c r="F38" i="22" s="1"/>
  <c r="H38" i="22" s="1"/>
  <c r="H32" i="14"/>
  <c r="H33" i="14" s="1"/>
  <c r="L26" i="12"/>
  <c r="K26" i="12"/>
  <c r="L22" i="12"/>
  <c r="K22" i="12"/>
  <c r="H36" i="12"/>
  <c r="K42" i="12"/>
  <c r="I18" i="11"/>
  <c r="I20" i="11" s="1"/>
  <c r="I32" i="12"/>
  <c r="F18" i="11" s="1"/>
  <c r="L32" i="12" l="1"/>
  <c r="L18" i="13"/>
  <c r="L29" i="13" s="1"/>
  <c r="H37" i="22"/>
  <c r="H37" i="12"/>
  <c r="K36" i="12" s="1"/>
  <c r="K37" i="12" s="1"/>
  <c r="K54" i="12"/>
  <c r="K32" i="12"/>
  <c r="J18" i="11"/>
  <c r="J20" i="11" s="1"/>
  <c r="F20" i="11"/>
</calcChain>
</file>

<file path=xl/sharedStrings.xml><?xml version="1.0" encoding="utf-8"?>
<sst xmlns="http://schemas.openxmlformats.org/spreadsheetml/2006/main" count="347" uniqueCount="147">
  <si>
    <t>#NomClient</t>
  </si>
  <si>
    <t>OUI</t>
  </si>
  <si>
    <t>NON</t>
  </si>
  <si>
    <t>IMMOBILISATIONS CORP. INCORP.</t>
  </si>
  <si>
    <t>Faible</t>
  </si>
  <si>
    <t>Modéré</t>
  </si>
  <si>
    <t>Fait par :</t>
  </si>
  <si>
    <t>Revu par :</t>
  </si>
  <si>
    <t>Synthèse du cycle</t>
  </si>
  <si>
    <t>Date Clôture</t>
  </si>
  <si>
    <t>XRef</t>
  </si>
  <si>
    <t>Elevé</t>
  </si>
  <si>
    <t>Le :</t>
  </si>
  <si>
    <t>#DateClôture</t>
  </si>
  <si>
    <t>I</t>
  </si>
  <si>
    <t>PB</t>
  </si>
  <si>
    <t>PE</t>
  </si>
  <si>
    <t>Risque d'anomalies significatives</t>
  </si>
  <si>
    <t>Seuil d'investigation</t>
  </si>
  <si>
    <t>Niveau de diligences</t>
  </si>
  <si>
    <t>PE + VP</t>
  </si>
  <si>
    <t>Xref</t>
  </si>
  <si>
    <t>Contrôles</t>
  </si>
  <si>
    <t>Diligences à tester</t>
  </si>
  <si>
    <t>Liens</t>
  </si>
  <si>
    <t>I100</t>
  </si>
  <si>
    <t>Centralisation des immobilisations</t>
  </si>
  <si>
    <t>I100 Centralisation immos.</t>
  </si>
  <si>
    <t>P</t>
  </si>
  <si>
    <t>Ok BG N</t>
  </si>
  <si>
    <t>I200</t>
  </si>
  <si>
    <t>Tableau de variation des immobilisations</t>
  </si>
  <si>
    <t>I200 Variation immos</t>
  </si>
  <si>
    <t>f</t>
  </si>
  <si>
    <t>Ok RG / BG N-1</t>
  </si>
  <si>
    <t>I300</t>
  </si>
  <si>
    <t>Tests sur les acquisitions</t>
  </si>
  <si>
    <t>I300 Acquisitions immos</t>
  </si>
  <si>
    <t xml:space="preserve"> Ʇ</t>
  </si>
  <si>
    <t>Contrôle arithmétique</t>
  </si>
  <si>
    <t>I400</t>
  </si>
  <si>
    <t>Tests sur les cessions</t>
  </si>
  <si>
    <t>I400 Sorties immos</t>
  </si>
  <si>
    <t>a</t>
  </si>
  <si>
    <t>Ok Rapppro doc…</t>
  </si>
  <si>
    <t>I500</t>
  </si>
  <si>
    <t>Revue des immobilisations en cours</t>
  </si>
  <si>
    <t>I500 Immos en cours</t>
  </si>
  <si>
    <t>E</t>
  </si>
  <si>
    <t>I600</t>
  </si>
  <si>
    <t>Revue des charges activables</t>
  </si>
  <si>
    <t>I600 Charges activables</t>
  </si>
  <si>
    <t>G</t>
  </si>
  <si>
    <t>I700</t>
  </si>
  <si>
    <t>I700 Taux moyen d''amortissement</t>
  </si>
  <si>
    <t>d</t>
  </si>
  <si>
    <t>autres</t>
  </si>
  <si>
    <t>Revue analytique</t>
  </si>
  <si>
    <t>CONCLUSION</t>
  </si>
  <si>
    <t>N/A</t>
  </si>
  <si>
    <t>A faire</t>
  </si>
  <si>
    <t>Terminé</t>
  </si>
  <si>
    <t>I Synthèse</t>
  </si>
  <si>
    <t>Centralisation des immoblisations</t>
  </si>
  <si>
    <r>
      <t>Objectif</t>
    </r>
    <r>
      <rPr>
        <sz val="11"/>
        <rFont val="Calibri"/>
        <family val="2"/>
        <scheme val="minor"/>
      </rPr>
      <t xml:space="preserve">
S'assurer de l'exactitude des immobilisations en comptabilité
</t>
    </r>
    <r>
      <rPr>
        <b/>
        <u/>
        <sz val="11"/>
        <rFont val="Calibri"/>
        <family val="2"/>
        <scheme val="minor"/>
      </rPr>
      <t>Travail effectué</t>
    </r>
    <r>
      <rPr>
        <sz val="11"/>
        <rFont val="Calibri"/>
        <family val="2"/>
        <scheme val="minor"/>
      </rPr>
      <t xml:space="preserve">
Rapprocher le fichier des immobilisations avec la comptabilité (valeur brute, valeur nette, amortissements).</t>
    </r>
  </si>
  <si>
    <t>Conclusion sur le contrôle</t>
  </si>
  <si>
    <t>Immobilisations 
brutes</t>
  </si>
  <si>
    <t>Cumul  
amortissement</t>
  </si>
  <si>
    <t>Immoblisations 
nettes</t>
  </si>
  <si>
    <t>Fichier des immobilisations</t>
  </si>
  <si>
    <t>Feuille maitresse cycle immobilisations</t>
  </si>
  <si>
    <t>Rapprochement fichier / compta</t>
  </si>
  <si>
    <t>Variation des immobilisations</t>
  </si>
  <si>
    <r>
      <t>Objectif</t>
    </r>
    <r>
      <rPr>
        <sz val="11"/>
        <rFont val="Calibri"/>
        <family val="2"/>
        <scheme val="minor"/>
      </rPr>
      <t xml:space="preserve">
S'assurer de la réalité des immobilisations en comptabilité
</t>
    </r>
    <r>
      <rPr>
        <b/>
        <u/>
        <sz val="11"/>
        <rFont val="Calibri"/>
        <family val="2"/>
        <scheme val="minor"/>
      </rPr>
      <t>Travail effectué</t>
    </r>
    <r>
      <rPr>
        <sz val="11"/>
        <rFont val="Calibri"/>
        <family val="2"/>
        <scheme val="minor"/>
      </rPr>
      <t xml:space="preserve">
Obtenir (ou établir) le tableau de variation des immobilisations
Valider la correcte reprise des soldes N-1 et des soldes de clôture des immobilisations corporelles et incorporelles 
Obtenir les états d'entrées (acquisitions) et sorties (cessions / mises au rebut) des immobilisations et cadrer les mouvements de l'exercice</t>
    </r>
  </si>
  <si>
    <t>N° Compte</t>
  </si>
  <si>
    <t>Libellé</t>
  </si>
  <si>
    <t>Valeur brute 
31/12/N-1</t>
  </si>
  <si>
    <t>Acquisitions</t>
  </si>
  <si>
    <t>Sorties</t>
  </si>
  <si>
    <t>Valeur brute 
31/12/N</t>
  </si>
  <si>
    <t>VNC
31/12/N</t>
  </si>
  <si>
    <t>TOTAL</t>
  </si>
  <si>
    <t>Contrôle sur les sorties</t>
  </si>
  <si>
    <t>Montant des sorties</t>
  </si>
  <si>
    <t>En compta (# 675)</t>
  </si>
  <si>
    <t>Fichier immos</t>
  </si>
  <si>
    <t>Valeurs nettes des immos sorties</t>
  </si>
  <si>
    <t>Ecart</t>
  </si>
  <si>
    <t>Amortissement
31/12/N-1</t>
  </si>
  <si>
    <t>Dotations</t>
  </si>
  <si>
    <t>Reprises</t>
  </si>
  <si>
    <t>Amortissement
31/12/N</t>
  </si>
  <si>
    <t>Contrôle des dotations</t>
  </si>
  <si>
    <t># 681</t>
  </si>
  <si>
    <t>Acquisitions des immobilisations</t>
  </si>
  <si>
    <t>Oui</t>
  </si>
  <si>
    <r>
      <t>Objectif</t>
    </r>
    <r>
      <rPr>
        <sz val="11"/>
        <rFont val="Calibri"/>
        <family val="2"/>
        <scheme val="minor"/>
      </rPr>
      <t xml:space="preserve">
Réalité des acquisitions de l'exercice audité et correcte évaluation
Contrôler les Droits et Obligations sur les immobilisations
</t>
    </r>
    <r>
      <rPr>
        <b/>
        <u/>
        <sz val="11"/>
        <rFont val="Calibri"/>
        <family val="2"/>
        <scheme val="minor"/>
      </rPr>
      <t>Travail effectué</t>
    </r>
    <r>
      <rPr>
        <sz val="11"/>
        <rFont val="Calibri"/>
        <family val="2"/>
        <scheme val="minor"/>
      </rPr>
      <t xml:space="preserve">
Sélectionner à partir du listing des acquisitions (X-Ref)  les acquisitions supérieures au SI et remonter à la facture afin de vérifier : 
 - les principes comptables (critère d'inscription à l'actif, mode et taux d'amortissement, conception du dérogatoire, détermination du coût d'acquisition notamment pour les biens acquis en devises)
 - la réalité des valeurs immobilisées : titres de propriété, pièces justificatives, inventaire physique, observation physique, …
 - le respect du prorata temporis pour la dotation aux amortissements
 - en cas d'amortissement dérogatoire, procéder à un contrôle spécifique sur ce point.</t>
    </r>
  </si>
  <si>
    <t>Non</t>
  </si>
  <si>
    <t>Montant</t>
  </si>
  <si>
    <t>Date de mise en service</t>
  </si>
  <si>
    <t xml:space="preserve">Caractère immobilisable </t>
  </si>
  <si>
    <t>Période amortie en N</t>
  </si>
  <si>
    <t>Mode
(L/D)</t>
  </si>
  <si>
    <t>Durée de vie</t>
  </si>
  <si>
    <t>Taux d'amort.</t>
  </si>
  <si>
    <t>Observation</t>
  </si>
  <si>
    <t>Sélection</t>
  </si>
  <si>
    <t>Total</t>
  </si>
  <si>
    <t>Scope</t>
  </si>
  <si>
    <t>Sorties d'immoblisations</t>
  </si>
  <si>
    <r>
      <t>Objectif</t>
    </r>
    <r>
      <rPr>
        <sz val="11"/>
        <rFont val="Calibri"/>
        <family val="2"/>
        <scheme val="minor"/>
      </rPr>
      <t xml:space="preserve">
Contrôler la réalité des cessions de l'exercice audité
</t>
    </r>
    <r>
      <rPr>
        <b/>
        <u/>
        <sz val="11"/>
        <rFont val="Calibri"/>
        <family val="2"/>
        <scheme val="minor"/>
      </rPr>
      <t>Travail effectué</t>
    </r>
    <r>
      <rPr>
        <sz val="11"/>
        <rFont val="Calibri"/>
        <family val="2"/>
        <scheme val="minor"/>
      </rPr>
      <t xml:space="preserve">
A partir du listing des sorties d'immobilisations (cf. tableau variation des immos), sélectionner les sorties d'immobilisations les plus significatives par rapport à la valeur nette et/ou à la plus(moins) value enregistrée
Valider les mises au rebut par rapprochement aux PV de mise au rebut ou tout autre document justifiant de la mise au rebut 
Valider les produits de cession (# 775) par rapprochement à la facture de vente et au relevé bancaire
Obtenir les grands livres #675 et #775 et valider les écritures de sorties d'immos</t>
    </r>
  </si>
  <si>
    <t>Valeur Nette Comptable</t>
  </si>
  <si>
    <t>Date de cession</t>
  </si>
  <si>
    <t>Prix de vente</t>
  </si>
  <si>
    <t>Plus/Moins values</t>
  </si>
  <si>
    <t>PV de mise au rebut</t>
  </si>
  <si>
    <t>Immobilisations en cours</t>
  </si>
  <si>
    <r>
      <t>Objectif</t>
    </r>
    <r>
      <rPr>
        <sz val="11"/>
        <rFont val="Calibri"/>
        <family val="2"/>
        <scheme val="minor"/>
      </rPr>
      <t xml:space="preserve">
S'assurer de la réalité des immos en cours à la clôture
</t>
    </r>
    <r>
      <rPr>
        <b/>
        <u/>
        <sz val="11"/>
        <rFont val="Calibri"/>
        <family val="2"/>
        <scheme val="minor"/>
      </rPr>
      <t>Travail effectué</t>
    </r>
    <r>
      <rPr>
        <sz val="11"/>
        <rFont val="Calibri"/>
        <family val="2"/>
        <scheme val="minor"/>
      </rPr>
      <t xml:space="preserve">
Revue des principales immobilisations en cours comptabilisées à la cloture. Penser à faire le lien avec le compte d'avances et acomptes versés aux fournisseurs (#4091) dans le cadre des avances versées sur des achats d'immobilisations
Vérification des coûts pris en compte (honoraires, salaires, frais accessoires, …)
Revue des dates de mises en services des immobilisations encours activées sur l'exercice N ou sur l'exercice N+1
Vérification que le compte d'immos en cours ne contient pas des projets abandonnés ou des éléments déjà en service
Cadrer les immos en cours avec le compte #722 de production immobilisée au P&amp;L pour les immobilisations produites en interne.</t>
    </r>
  </si>
  <si>
    <t>Date début travaux</t>
  </si>
  <si>
    <t>Projet interompu</t>
  </si>
  <si>
    <r>
      <t>Objectif</t>
    </r>
    <r>
      <rPr>
        <sz val="11"/>
        <rFont val="Calibri"/>
        <family val="2"/>
        <scheme val="minor"/>
      </rPr>
      <t xml:space="preserve">
Contrôle de l'absence de charges activables
</t>
    </r>
    <r>
      <rPr>
        <b/>
        <u/>
        <sz val="11"/>
        <rFont val="Calibri"/>
        <family val="2"/>
        <scheme val="minor"/>
      </rPr>
      <t>Travail effectué</t>
    </r>
    <r>
      <rPr>
        <sz val="11"/>
        <rFont val="Calibri"/>
        <family val="2"/>
        <scheme val="minor"/>
      </rPr>
      <t xml:space="preserve">
Effectuer une revue des frais généraux (comptes #6063 à #6068, tous les #615, …) à partir du grand livre et rechercher les charges activables en examinant les factures pour les achats &gt; au SI</t>
    </r>
  </si>
  <si>
    <t>Taux moyen d'amortissement</t>
  </si>
  <si>
    <r>
      <t>Objectif</t>
    </r>
    <r>
      <rPr>
        <sz val="11"/>
        <rFont val="Calibri"/>
        <family val="2"/>
        <scheme val="minor"/>
      </rPr>
      <t xml:space="preserve">
Contrôler l'exhaustivité des dotations aux amortissements
Contrôler la correcte évaluation des dotations aux amortissements.
</t>
    </r>
    <r>
      <rPr>
        <b/>
        <u/>
        <sz val="11"/>
        <rFont val="Calibri"/>
        <family val="2"/>
        <scheme val="minor"/>
      </rPr>
      <t>Travail effectué</t>
    </r>
    <r>
      <rPr>
        <sz val="11"/>
        <rFont val="Calibri"/>
        <family val="2"/>
        <scheme val="minor"/>
      </rPr>
      <t xml:space="preserve">
- Vérifier la cohérence globale de la dotation aux amortissements de l'exercice en effectuant un calcul de cohérence sur la base d'un taux moyen d'amortissement (hors immos non amortissables)
 - Vérifier la permanence des méthodes d'amortissements par rapprochement à N-1
 - Calculer le taux de vieillissement des immobilisations et vérifier la cohérence avec la politique d'investissement de l'entreprise</t>
    </r>
  </si>
  <si>
    <t>1/ Taux moyen d'amortissement</t>
  </si>
  <si>
    <t>N</t>
  </si>
  <si>
    <t>N-1</t>
  </si>
  <si>
    <t>Var</t>
  </si>
  <si>
    <t>Montant Immos brutes début exercice</t>
  </si>
  <si>
    <t>Montant Immos brutes fin exercice</t>
  </si>
  <si>
    <t>Montant moyen immos brutes</t>
  </si>
  <si>
    <t>Dotation Amortissements</t>
  </si>
  <si>
    <t>Taux moyen Amortissements</t>
  </si>
  <si>
    <t xml:space="preserve">Var: </t>
  </si>
  <si>
    <t xml:space="preserve">Impact: </t>
  </si>
  <si>
    <t>2/ Taux de viellissement des immos</t>
  </si>
  <si>
    <t>Montant des immos brutes fin de période</t>
  </si>
  <si>
    <t>Montant des amortissements cumulés fin de période</t>
  </si>
  <si>
    <t>Taux de viellissement des immos</t>
  </si>
  <si>
    <t>Feuille maitresse N</t>
  </si>
  <si>
    <t>Etat des immobilisations</t>
  </si>
  <si>
    <t>Etat des dotations</t>
  </si>
  <si>
    <t>Cumul des amortissements antérieurs</t>
  </si>
  <si>
    <t>Feuille maitresse</t>
  </si>
  <si>
    <t>BRA</t>
  </si>
  <si>
    <t>Cf. I0</t>
  </si>
  <si>
    <t>Calcul ABD AUDIT</t>
  </si>
  <si>
    <t>Ok RCA 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</si>
</sst>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 _€_-;\-* #,##0.00\ _€_-;_-* &quot;-&quot;??\ _€_-;_-@_-"/>
    <numFmt numFmtId="165" formatCode="#,##0.00\ &quot;F&quot;;[Red]\-#,##0.00\ &quot;F&quot;"/>
    <numFmt numFmtId="166" formatCode="_-* #,##0\ _€_-;\-* #,##0\ _€_-;_-* &quot;-&quot;??\ _€_-;_-@_-"/>
    <numFmt numFmtId="167" formatCode="#,##0;\(#,##0\);\-"/>
    <numFmt numFmtId="168" formatCode="_(* #,##0_);_(* \(#,##0\);_(* &quot;-&quot;_);_(@_)"/>
    <numFmt numFmtId="169" formatCode="0.0%"/>
  </numFmts>
  <fonts count="31" x14ac:knownFonts="1">
    <font>
      <sz val="10"/>
      <name val="Arial"/>
      <family val="2"/>
    </font>
    <font>
      <sz val="11"/>
      <color theme="1"/>
      <name val="Calibri"/>
      <family val="2"/>
      <scheme val="minor"/>
    </font>
    <font>
      <sz val="10"/>
      <name val="Arial"/>
      <family val="2"/>
    </font>
    <font>
      <sz val="12"/>
      <name val="Calibri"/>
      <family val="2"/>
      <scheme val="minor"/>
    </font>
    <font>
      <b/>
      <sz val="12"/>
      <name val="Calibri"/>
      <family val="2"/>
      <scheme val="minor"/>
    </font>
    <font>
      <u/>
      <sz val="12"/>
      <name val="Calibri"/>
      <family val="2"/>
      <scheme val="minor"/>
    </font>
    <font>
      <b/>
      <sz val="11"/>
      <name val="Calibri"/>
      <family val="2"/>
      <scheme val="minor"/>
    </font>
    <font>
      <sz val="8"/>
      <name val="Calibri"/>
      <family val="2"/>
      <scheme val="minor"/>
    </font>
    <font>
      <b/>
      <sz val="14"/>
      <name val="Calibri"/>
      <family val="2"/>
      <scheme val="minor"/>
    </font>
    <font>
      <sz val="14"/>
      <name val="Calibri"/>
      <family val="2"/>
      <scheme val="minor"/>
    </font>
    <font>
      <sz val="11"/>
      <name val="Calibri"/>
      <family val="2"/>
      <scheme val="minor"/>
    </font>
    <font>
      <sz val="9"/>
      <name val="Calibri"/>
      <family val="2"/>
      <scheme val="minor"/>
    </font>
    <font>
      <b/>
      <sz val="12"/>
      <color rgb="FFFF0000"/>
      <name val="Calibri"/>
      <family val="2"/>
      <scheme val="minor"/>
    </font>
    <font>
      <b/>
      <i/>
      <sz val="13"/>
      <name val="Calibri"/>
      <family val="2"/>
      <scheme val="minor"/>
    </font>
    <font>
      <b/>
      <sz val="17"/>
      <name val="Calibri"/>
      <family val="2"/>
      <scheme val="minor"/>
    </font>
    <font>
      <b/>
      <sz val="11"/>
      <color rgb="FFFF0000"/>
      <name val="Calibri"/>
      <family val="2"/>
      <scheme val="minor"/>
    </font>
    <font>
      <sz val="13"/>
      <name val="Calibri"/>
      <family val="2"/>
      <scheme val="minor"/>
    </font>
    <font>
      <i/>
      <sz val="11"/>
      <name val="Calibri"/>
      <family val="2"/>
      <scheme val="minor"/>
    </font>
    <font>
      <b/>
      <u/>
      <sz val="11"/>
      <name val="Calibri"/>
      <family val="2"/>
      <scheme val="minor"/>
    </font>
    <font>
      <b/>
      <i/>
      <sz val="11"/>
      <name val="Calibri"/>
      <family val="2"/>
      <scheme val="minor"/>
    </font>
    <font>
      <b/>
      <sz val="11"/>
      <color indexed="10"/>
      <name val="Calibri"/>
      <family val="2"/>
      <scheme val="minor"/>
    </font>
    <font>
      <sz val="12"/>
      <name val="Calibri"/>
      <family val="2"/>
      <scheme val="minor"/>
    </font>
    <font>
      <sz val="11"/>
      <name val="Calibri"/>
      <family val="2"/>
      <scheme val="minor"/>
    </font>
    <font>
      <b/>
      <sz val="11"/>
      <color rgb="FFFF0000"/>
      <name val="Wingdings 2"/>
      <family val="1"/>
      <charset val="2"/>
    </font>
    <font>
      <sz val="8"/>
      <name val="Calibri"/>
      <family val="2"/>
      <scheme val="minor"/>
    </font>
    <font>
      <b/>
      <sz val="11"/>
      <color rgb="FFFF0000"/>
      <name val="Wingdings"/>
      <charset val="2"/>
    </font>
    <font>
      <b/>
      <sz val="11"/>
      <color rgb="FFFF0000"/>
      <name val="Calibri"/>
      <family val="2"/>
    </font>
    <font>
      <b/>
      <sz val="11"/>
      <color rgb="FFFF0000"/>
      <name val="Wingdings 3"/>
      <family val="1"/>
      <charset val="2"/>
    </font>
    <font>
      <u/>
      <sz val="10"/>
      <color theme="10"/>
      <name val="Arial"/>
      <family val="2"/>
    </font>
    <font>
      <u/>
      <sz val="10"/>
      <color theme="10"/>
      <name val="Calibri"/>
      <family val="2"/>
      <scheme val="minor"/>
    </font>
    <font>
      <u/>
      <sz val="11"/>
      <color theme="10"/>
      <name val="Calibri"/>
      <family val="2"/>
      <scheme val="minor"/>
    </font>
  </fonts>
  <fills count="8">
    <fill>
      <patternFill patternType="none"/>
    </fill>
    <fill>
      <patternFill patternType="gray125"/>
    </fill>
    <fill>
      <patternFill patternType="solid">
        <fgColor indexed="27"/>
        <bgColor indexed="41"/>
      </patternFill>
    </fill>
    <fill>
      <patternFill patternType="solid">
        <fgColor theme="0" tint="-0.14999847407452621"/>
        <bgColor indexed="64"/>
      </patternFill>
    </fill>
    <fill>
      <patternFill patternType="solid">
        <fgColor theme="0"/>
        <bgColor indexed="64"/>
      </patternFill>
    </fill>
    <fill>
      <patternFill patternType="solid">
        <fgColor theme="0" tint="-0.14999847407452621"/>
        <bgColor auto="1"/>
      </patternFill>
    </fill>
    <fill>
      <patternFill patternType="solid">
        <fgColor indexed="65"/>
        <bgColor auto="1"/>
      </patternFill>
    </fill>
    <fill>
      <patternFill patternType="solid">
        <fgColor theme="6" tint="0.59999389629810485"/>
        <bgColor indexed="64"/>
      </patternFill>
    </fill>
  </fills>
  <borders count="61">
    <border>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dotted">
        <color indexed="64"/>
      </left>
      <right/>
      <top style="medium">
        <color indexed="64"/>
      </top>
      <bottom style="medium">
        <color indexed="64"/>
      </bottom>
      <diagonal/>
    </border>
    <border>
      <left style="thin">
        <color indexed="64"/>
      </left>
      <right style="thin">
        <color indexed="64"/>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indexed="64"/>
      </right>
      <top style="medium">
        <color auto="1"/>
      </top>
      <bottom style="thin">
        <color auto="1"/>
      </bottom>
      <diagonal/>
    </border>
    <border>
      <left style="medium">
        <color auto="1"/>
      </left>
      <right/>
      <top style="thin">
        <color auto="1"/>
      </top>
      <bottom style="thin">
        <color auto="1"/>
      </bottom>
      <diagonal/>
    </border>
    <border>
      <left/>
      <right style="medium">
        <color indexed="64"/>
      </right>
      <top style="thin">
        <color auto="1"/>
      </top>
      <bottom style="thin">
        <color auto="1"/>
      </bottom>
      <diagonal/>
    </border>
    <border>
      <left style="medium">
        <color auto="1"/>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medium">
        <color auto="1"/>
      </left>
      <right/>
      <top/>
      <bottom style="thin">
        <color auto="1"/>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diagonal/>
    </border>
    <border>
      <left style="dashed">
        <color auto="1"/>
      </left>
      <right style="medium">
        <color auto="1"/>
      </right>
      <top style="medium">
        <color auto="1"/>
      </top>
      <bottom/>
      <diagonal/>
    </border>
    <border>
      <left style="dashed">
        <color auto="1"/>
      </left>
      <right style="medium">
        <color auto="1"/>
      </right>
      <top/>
      <bottom style="medium">
        <color auto="1"/>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7">
    <xf numFmtId="0" fontId="0" fillId="0" borderId="0"/>
    <xf numFmtId="164" fontId="1" fillId="0" borderId="0" applyFont="0" applyFill="0" applyBorder="0" applyAlignment="0" applyProtection="0"/>
    <xf numFmtId="9" fontId="2" fillId="0" borderId="0" applyFont="0" applyFill="0" applyBorder="0" applyAlignment="0" applyProtection="0"/>
    <xf numFmtId="165" fontId="2" fillId="0" borderId="0" applyFont="0" applyFill="0" applyBorder="0" applyAlignment="0" applyProtection="0"/>
    <xf numFmtId="0" fontId="2" fillId="0" borderId="0"/>
    <xf numFmtId="49" fontId="2" fillId="2" borderId="0" applyFont="0" applyBorder="0" applyProtection="0">
      <alignment vertical="center" readingOrder="1"/>
    </xf>
    <xf numFmtId="0" fontId="28" fillId="0" borderId="0" applyNumberFormat="0" applyFill="0" applyBorder="0" applyAlignment="0" applyProtection="0"/>
  </cellStyleXfs>
  <cellXfs count="376">
    <xf numFmtId="0" fontId="0" fillId="0" borderId="0" xfId="0"/>
    <xf numFmtId="0" fontId="3" fillId="0" borderId="0" xfId="0" applyFont="1" applyAlignment="1" applyProtection="1">
      <alignment vertical="center"/>
      <protection locked="0"/>
    </xf>
    <xf numFmtId="0" fontId="5" fillId="0" borderId="0" xfId="0" applyFont="1" applyProtection="1">
      <protection locked="0"/>
    </xf>
    <xf numFmtId="49" fontId="6" fillId="0" borderId="0" xfId="0" applyNumberFormat="1" applyFont="1" applyAlignment="1" applyProtection="1">
      <alignment horizontal="right"/>
      <protection locked="0"/>
    </xf>
    <xf numFmtId="49" fontId="3" fillId="0" borderId="0" xfId="0" applyNumberFormat="1" applyFont="1" applyAlignment="1" applyProtection="1">
      <alignment horizontal="right"/>
      <protection locked="0"/>
    </xf>
    <xf numFmtId="0" fontId="6" fillId="0" borderId="0" xfId="0" applyFont="1" applyAlignment="1" applyProtection="1">
      <alignment horizontal="left"/>
      <protection locked="0"/>
    </xf>
    <xf numFmtId="0" fontId="4" fillId="0" borderId="0" xfId="0" applyFont="1" applyAlignment="1" applyProtection="1">
      <alignment horizontal="left"/>
      <protection locked="0"/>
    </xf>
    <xf numFmtId="0" fontId="3" fillId="0" borderId="0" xfId="0" applyFont="1" applyProtection="1">
      <protection locked="0"/>
    </xf>
    <xf numFmtId="49" fontId="4" fillId="0" borderId="0" xfId="0" applyNumberFormat="1" applyFont="1" applyAlignment="1" applyProtection="1">
      <alignment horizontal="right"/>
      <protection locked="0"/>
    </xf>
    <xf numFmtId="0" fontId="5" fillId="0" borderId="0" xfId="0" applyFont="1" applyAlignment="1" applyProtection="1">
      <alignment vertical="center"/>
      <protection locked="0"/>
    </xf>
    <xf numFmtId="14" fontId="8" fillId="0" borderId="18" xfId="0" applyNumberFormat="1" applyFont="1" applyBorder="1" applyAlignment="1" applyProtection="1">
      <alignment vertical="center"/>
      <protection locked="0"/>
    </xf>
    <xf numFmtId="14" fontId="8" fillId="0" borderId="19" xfId="0" applyNumberFormat="1" applyFont="1" applyBorder="1" applyAlignment="1" applyProtection="1">
      <alignment vertical="center"/>
      <protection locked="0"/>
    </xf>
    <xf numFmtId="14" fontId="8" fillId="0" borderId="20" xfId="0" applyNumberFormat="1" applyFont="1" applyBorder="1" applyAlignment="1" applyProtection="1">
      <alignment vertical="center"/>
      <protection locked="0"/>
    </xf>
    <xf numFmtId="14" fontId="8" fillId="0" borderId="21" xfId="0" applyNumberFormat="1" applyFont="1" applyBorder="1" applyAlignment="1" applyProtection="1">
      <alignment vertical="center"/>
      <protection locked="0"/>
    </xf>
    <xf numFmtId="14" fontId="8" fillId="0" borderId="0" xfId="0" applyNumberFormat="1" applyFont="1" applyAlignment="1" applyProtection="1">
      <alignment vertical="center"/>
      <protection locked="0"/>
    </xf>
    <xf numFmtId="14" fontId="8" fillId="0" borderId="22" xfId="0" applyNumberFormat="1" applyFont="1" applyBorder="1" applyAlignment="1" applyProtection="1">
      <alignment vertical="center"/>
      <protection locked="0"/>
    </xf>
    <xf numFmtId="14" fontId="11" fillId="0" borderId="0" xfId="0" applyNumberFormat="1" applyFont="1" applyAlignment="1" applyProtection="1">
      <alignment vertical="center"/>
      <protection locked="0"/>
    </xf>
    <xf numFmtId="0" fontId="6" fillId="0" borderId="18" xfId="0" applyFont="1" applyBorder="1" applyAlignment="1" applyProtection="1">
      <alignment vertical="center"/>
      <protection locked="0"/>
    </xf>
    <xf numFmtId="0" fontId="6" fillId="0" borderId="23" xfId="0" applyFont="1" applyBorder="1" applyAlignment="1" applyProtection="1">
      <alignment vertical="center"/>
      <protection locked="0"/>
    </xf>
    <xf numFmtId="0" fontId="6" fillId="0" borderId="0" xfId="0" applyFont="1" applyAlignment="1" applyProtection="1">
      <alignment vertical="center"/>
      <protection locked="0"/>
    </xf>
    <xf numFmtId="0" fontId="10" fillId="0" borderId="0" xfId="0" applyFont="1" applyAlignment="1" applyProtection="1">
      <alignment horizontal="center" vertical="center"/>
      <protection locked="0"/>
    </xf>
    <xf numFmtId="49" fontId="9" fillId="0" borderId="0" xfId="0" applyNumberFormat="1" applyFont="1" applyAlignment="1" applyProtection="1">
      <alignment horizontal="center" vertical="center"/>
      <protection locked="0"/>
    </xf>
    <xf numFmtId="14" fontId="10" fillId="0" borderId="0" xfId="0" applyNumberFormat="1" applyFont="1" applyAlignment="1" applyProtection="1">
      <alignment horizontal="center" vertical="center"/>
      <protection locked="0"/>
    </xf>
    <xf numFmtId="0" fontId="3" fillId="0" borderId="0" xfId="0" applyFont="1" applyAlignment="1" applyProtection="1">
      <alignment horizontal="left"/>
      <protection locked="0"/>
    </xf>
    <xf numFmtId="0" fontId="6" fillId="0" borderId="19" xfId="0" applyFont="1" applyBorder="1" applyAlignment="1" applyProtection="1">
      <alignment vertical="center" wrapText="1"/>
      <protection locked="0"/>
    </xf>
    <xf numFmtId="0" fontId="10" fillId="0" borderId="0" xfId="0" applyFont="1" applyProtection="1">
      <protection locked="0"/>
    </xf>
    <xf numFmtId="0" fontId="7" fillId="0" borderId="0" xfId="0" applyFont="1" applyAlignment="1" applyProtection="1">
      <alignment horizontal="center" vertical="center"/>
      <protection locked="0"/>
    </xf>
    <xf numFmtId="0" fontId="3" fillId="0" borderId="0" xfId="0" applyFont="1" applyAlignment="1">
      <alignment vertical="center"/>
    </xf>
    <xf numFmtId="0" fontId="3" fillId="0" borderId="0" xfId="0" applyFont="1"/>
    <xf numFmtId="0" fontId="10" fillId="0" borderId="0" xfId="0" applyFont="1" applyAlignment="1" applyProtection="1">
      <alignment vertical="center"/>
      <protection locked="0"/>
    </xf>
    <xf numFmtId="0" fontId="10" fillId="0" borderId="18" xfId="0" applyFont="1" applyBorder="1" applyProtection="1">
      <protection locked="0"/>
    </xf>
    <xf numFmtId="0" fontId="10" fillId="0" borderId="19" xfId="0" applyFont="1" applyBorder="1" applyProtection="1">
      <protection locked="0"/>
    </xf>
    <xf numFmtId="0" fontId="10" fillId="0" borderId="20" xfId="0" applyFont="1" applyBorder="1" applyProtection="1">
      <protection locked="0"/>
    </xf>
    <xf numFmtId="0" fontId="10" fillId="0" borderId="23" xfId="0" applyFont="1" applyBorder="1" applyAlignment="1" applyProtection="1">
      <alignment vertical="center"/>
      <protection locked="0"/>
    </xf>
    <xf numFmtId="0" fontId="10" fillId="0" borderId="24" xfId="0" applyFont="1" applyBorder="1" applyAlignment="1" applyProtection="1">
      <alignment vertical="center"/>
      <protection locked="0"/>
    </xf>
    <xf numFmtId="0" fontId="10" fillId="0" borderId="25" xfId="0" applyFont="1" applyBorder="1" applyAlignment="1" applyProtection="1">
      <alignment vertical="center"/>
      <protection locked="0"/>
    </xf>
    <xf numFmtId="0" fontId="6" fillId="0" borderId="0" xfId="0" applyFont="1" applyAlignment="1" applyProtection="1">
      <alignment horizontal="left" vertical="center"/>
      <protection locked="0"/>
    </xf>
    <xf numFmtId="0" fontId="4" fillId="0" borderId="0" xfId="0" applyFont="1" applyAlignment="1" applyProtection="1">
      <alignment horizontal="left" vertical="center"/>
      <protection locked="0"/>
    </xf>
    <xf numFmtId="49" fontId="4" fillId="0" borderId="0" xfId="0" applyNumberFormat="1" applyFont="1" applyAlignment="1" applyProtection="1">
      <alignment horizontal="right" vertical="center"/>
      <protection locked="0"/>
    </xf>
    <xf numFmtId="0" fontId="3" fillId="0" borderId="0" xfId="0" applyFont="1" applyAlignment="1" applyProtection="1">
      <alignment horizontal="left" vertical="center"/>
      <protection locked="0"/>
    </xf>
    <xf numFmtId="0" fontId="10" fillId="0" borderId="18" xfId="0" applyFont="1" applyBorder="1" applyAlignment="1" applyProtection="1">
      <alignment vertical="center"/>
      <protection locked="0"/>
    </xf>
    <xf numFmtId="0" fontId="10" fillId="0" borderId="19" xfId="0" applyFont="1" applyBorder="1" applyAlignment="1" applyProtection="1">
      <alignment vertical="center"/>
      <protection locked="0"/>
    </xf>
    <xf numFmtId="0" fontId="10" fillId="0" borderId="20" xfId="0" applyFont="1" applyBorder="1" applyAlignment="1" applyProtection="1">
      <alignment vertical="center"/>
      <protection locked="0"/>
    </xf>
    <xf numFmtId="167" fontId="10" fillId="0" borderId="0" xfId="0" applyNumberFormat="1" applyFont="1" applyAlignment="1">
      <alignment vertical="center"/>
    </xf>
    <xf numFmtId="167" fontId="6" fillId="0" borderId="11" xfId="0" applyNumberFormat="1" applyFont="1" applyBorder="1" applyAlignment="1">
      <alignment vertical="center"/>
    </xf>
    <xf numFmtId="0" fontId="10" fillId="0" borderId="0" xfId="0" applyFont="1" applyAlignment="1" applyProtection="1">
      <alignment vertical="center" wrapText="1"/>
      <protection locked="0"/>
    </xf>
    <xf numFmtId="0" fontId="10" fillId="0" borderId="21" xfId="0" applyFont="1" applyBorder="1" applyAlignment="1" applyProtection="1">
      <alignment vertical="center"/>
      <protection locked="0"/>
    </xf>
    <xf numFmtId="0" fontId="10" fillId="0" borderId="22" xfId="0" applyFont="1" applyBorder="1" applyAlignment="1" applyProtection="1">
      <alignment vertical="center"/>
      <protection locked="0"/>
    </xf>
    <xf numFmtId="0" fontId="18" fillId="0" borderId="0" xfId="0" applyFont="1" applyAlignment="1" applyProtection="1">
      <alignment vertical="center"/>
      <protection locked="0"/>
    </xf>
    <xf numFmtId="0" fontId="3" fillId="0" borderId="21" xfId="0" applyFont="1" applyBorder="1" applyAlignment="1" applyProtection="1">
      <alignment vertical="center"/>
      <protection locked="0"/>
    </xf>
    <xf numFmtId="0" fontId="3" fillId="0" borderId="22" xfId="0" applyFont="1" applyBorder="1" applyAlignment="1" applyProtection="1">
      <alignment vertical="center"/>
      <protection locked="0"/>
    </xf>
    <xf numFmtId="0" fontId="3" fillId="0" borderId="23" xfId="0" applyFont="1" applyBorder="1" applyAlignment="1" applyProtection="1">
      <alignment vertical="center"/>
      <protection locked="0"/>
    </xf>
    <xf numFmtId="0" fontId="3" fillId="0" borderId="24" xfId="0" applyFont="1" applyBorder="1" applyAlignment="1" applyProtection="1">
      <alignment vertical="center"/>
      <protection locked="0"/>
    </xf>
    <xf numFmtId="0" fontId="3" fillId="0" borderId="25" xfId="0" applyFont="1" applyBorder="1" applyAlignment="1" applyProtection="1">
      <alignment vertical="center"/>
      <protection locked="0"/>
    </xf>
    <xf numFmtId="14" fontId="10" fillId="0" borderId="14" xfId="0" applyNumberFormat="1" applyFont="1" applyBorder="1" applyAlignment="1" applyProtection="1">
      <alignment horizontal="right"/>
      <protection locked="0"/>
    </xf>
    <xf numFmtId="166" fontId="10" fillId="0" borderId="14" xfId="1" applyNumberFormat="1" applyFont="1" applyBorder="1" applyAlignment="1" applyProtection="1">
      <alignment horizontal="left"/>
      <protection locked="0"/>
    </xf>
    <xf numFmtId="166" fontId="10" fillId="0" borderId="14" xfId="1" applyNumberFormat="1" applyFont="1" applyBorder="1" applyAlignment="1" applyProtection="1">
      <alignment horizontal="center"/>
      <protection locked="0"/>
    </xf>
    <xf numFmtId="166" fontId="10" fillId="3" borderId="14" xfId="1" applyNumberFormat="1" applyFont="1" applyFill="1" applyBorder="1" applyAlignment="1" applyProtection="1">
      <alignment horizontal="center"/>
      <protection locked="0"/>
    </xf>
    <xf numFmtId="0" fontId="10" fillId="3" borderId="14" xfId="2" applyNumberFormat="1" applyFont="1" applyFill="1" applyBorder="1" applyAlignment="1" applyProtection="1">
      <alignment horizontal="right"/>
      <protection locked="0"/>
    </xf>
    <xf numFmtId="0" fontId="10" fillId="0" borderId="40" xfId="0" applyFont="1" applyBorder="1" applyAlignment="1" applyProtection="1">
      <alignment horizontal="center"/>
      <protection locked="0"/>
    </xf>
    <xf numFmtId="0" fontId="10" fillId="4" borderId="0" xfId="0" applyFont="1" applyFill="1" applyAlignment="1" applyProtection="1">
      <alignment vertical="center"/>
      <protection locked="0"/>
    </xf>
    <xf numFmtId="0" fontId="10" fillId="4" borderId="22" xfId="0" applyFont="1" applyFill="1" applyBorder="1" applyAlignment="1" applyProtection="1">
      <alignment vertical="center"/>
      <protection locked="0"/>
    </xf>
    <xf numFmtId="167" fontId="10" fillId="4" borderId="0" xfId="0" applyNumberFormat="1" applyFont="1" applyFill="1" applyAlignment="1">
      <alignment vertical="center"/>
    </xf>
    <xf numFmtId="0" fontId="10" fillId="0" borderId="21" xfId="0" applyFont="1" applyBorder="1" applyProtection="1">
      <protection locked="0"/>
    </xf>
    <xf numFmtId="0" fontId="10" fillId="0" borderId="0" xfId="0" applyFont="1" applyAlignment="1" applyProtection="1">
      <alignment horizontal="right"/>
      <protection locked="0"/>
    </xf>
    <xf numFmtId="166" fontId="10" fillId="3" borderId="14" xfId="0" applyNumberFormat="1" applyFont="1" applyFill="1" applyBorder="1" applyProtection="1">
      <protection locked="0"/>
    </xf>
    <xf numFmtId="0" fontId="10" fillId="0" borderId="22" xfId="0" applyFont="1" applyBorder="1" applyProtection="1">
      <protection locked="0"/>
    </xf>
    <xf numFmtId="0" fontId="10" fillId="0" borderId="23" xfId="0" applyFont="1" applyBorder="1" applyProtection="1">
      <protection locked="0"/>
    </xf>
    <xf numFmtId="0" fontId="10" fillId="0" borderId="24" xfId="0" applyFont="1" applyBorder="1" applyProtection="1">
      <protection locked="0"/>
    </xf>
    <xf numFmtId="0" fontId="10" fillId="0" borderId="25" xfId="0" applyFont="1" applyBorder="1" applyProtection="1">
      <protection locked="0"/>
    </xf>
    <xf numFmtId="0" fontId="15" fillId="0" borderId="14" xfId="0" applyFont="1" applyBorder="1" applyAlignment="1" applyProtection="1">
      <alignment horizontal="center" vertical="center"/>
      <protection locked="0"/>
    </xf>
    <xf numFmtId="0" fontId="10" fillId="0" borderId="14" xfId="0" applyFont="1" applyBorder="1" applyAlignment="1" applyProtection="1">
      <alignment horizontal="center"/>
      <protection locked="0"/>
    </xf>
    <xf numFmtId="0" fontId="10" fillId="0" borderId="41" xfId="0" applyFont="1" applyBorder="1" applyAlignment="1" applyProtection="1">
      <alignment vertical="center"/>
      <protection locked="0"/>
    </xf>
    <xf numFmtId="0" fontId="10" fillId="0" borderId="0" xfId="0" applyFont="1" applyAlignment="1">
      <alignment horizontal="right"/>
    </xf>
    <xf numFmtId="0" fontId="17" fillId="0" borderId="0" xfId="0" applyFont="1" applyAlignment="1">
      <alignment horizontal="centerContinuous" vertical="center"/>
    </xf>
    <xf numFmtId="0" fontId="17" fillId="0" borderId="0" xfId="0" applyFont="1" applyAlignment="1">
      <alignment horizontal="center" vertical="center"/>
    </xf>
    <xf numFmtId="0" fontId="10" fillId="0" borderId="21" xfId="0" applyFont="1" applyBorder="1" applyAlignment="1">
      <alignment horizontal="right"/>
    </xf>
    <xf numFmtId="0" fontId="15" fillId="0" borderId="0" xfId="0" applyFont="1" applyAlignment="1">
      <alignment horizontal="right" vertical="center"/>
    </xf>
    <xf numFmtId="168" fontId="10" fillId="0" borderId="36" xfId="0" applyNumberFormat="1" applyFont="1" applyBorder="1"/>
    <xf numFmtId="168" fontId="10" fillId="0" borderId="10" xfId="0" applyNumberFormat="1" applyFont="1" applyBorder="1"/>
    <xf numFmtId="0" fontId="10" fillId="0" borderId="21" xfId="0" applyFont="1" applyBorder="1"/>
    <xf numFmtId="0" fontId="10" fillId="0" borderId="0" xfId="0" applyFont="1"/>
    <xf numFmtId="0" fontId="20" fillId="0" borderId="0" xfId="0" applyFont="1" applyAlignment="1">
      <alignment horizontal="right"/>
    </xf>
    <xf numFmtId="168" fontId="10" fillId="0" borderId="0" xfId="0" applyNumberFormat="1" applyFont="1"/>
    <xf numFmtId="0" fontId="10" fillId="0" borderId="0" xfId="0" applyFont="1" applyAlignment="1">
      <alignment horizontal="center"/>
    </xf>
    <xf numFmtId="0" fontId="19" fillId="0" borderId="21" xfId="0" applyFont="1" applyBorder="1" applyAlignment="1">
      <alignment horizontal="left"/>
    </xf>
    <xf numFmtId="0" fontId="3" fillId="0" borderId="18" xfId="0" applyFont="1" applyBorder="1" applyAlignment="1" applyProtection="1">
      <alignment vertical="center"/>
      <protection locked="0"/>
    </xf>
    <xf numFmtId="0" fontId="3" fillId="0" borderId="19" xfId="0" applyFont="1" applyBorder="1" applyAlignment="1" applyProtection="1">
      <alignment vertical="center"/>
      <protection locked="0"/>
    </xf>
    <xf numFmtId="0" fontId="3" fillId="0" borderId="20" xfId="0" applyFont="1" applyBorder="1" applyAlignment="1" applyProtection="1">
      <alignment vertical="center"/>
      <protection locked="0"/>
    </xf>
    <xf numFmtId="0" fontId="10" fillId="0" borderId="23" xfId="0" applyFont="1" applyBorder="1"/>
    <xf numFmtId="0" fontId="10" fillId="0" borderId="24" xfId="0" applyFont="1" applyBorder="1"/>
    <xf numFmtId="0" fontId="10" fillId="0" borderId="24" xfId="0" applyFont="1" applyBorder="1" applyAlignment="1">
      <alignment horizontal="right"/>
    </xf>
    <xf numFmtId="168" fontId="10" fillId="0" borderId="24" xfId="0" applyNumberFormat="1" applyFont="1" applyBorder="1"/>
    <xf numFmtId="0" fontId="3" fillId="0" borderId="10" xfId="0" applyFont="1" applyBorder="1" applyAlignment="1" applyProtection="1">
      <alignment vertical="center"/>
      <protection locked="0"/>
    </xf>
    <xf numFmtId="0" fontId="3" fillId="0" borderId="6" xfId="0" applyFont="1" applyBorder="1" applyAlignment="1" applyProtection="1">
      <alignment vertical="center"/>
      <protection locked="0"/>
    </xf>
    <xf numFmtId="0" fontId="17" fillId="0" borderId="10" xfId="0" applyFont="1" applyBorder="1" applyAlignment="1">
      <alignment horizontal="centerContinuous" vertical="center"/>
    </xf>
    <xf numFmtId="166" fontId="10" fillId="3" borderId="2" xfId="0" applyNumberFormat="1" applyFont="1" applyFill="1" applyBorder="1" applyProtection="1">
      <protection locked="0"/>
    </xf>
    <xf numFmtId="166" fontId="10" fillId="3" borderId="8" xfId="0" applyNumberFormat="1" applyFont="1" applyFill="1" applyBorder="1" applyProtection="1">
      <protection locked="0"/>
    </xf>
    <xf numFmtId="9" fontId="10" fillId="3" borderId="8" xfId="2" applyFont="1" applyFill="1" applyBorder="1" applyAlignment="1" applyProtection="1">
      <alignment horizontal="center"/>
      <protection locked="0"/>
    </xf>
    <xf numFmtId="0" fontId="21" fillId="0" borderId="0" xfId="0" applyFont="1" applyAlignment="1" applyProtection="1">
      <alignment vertical="center"/>
      <protection locked="0"/>
    </xf>
    <xf numFmtId="0" fontId="21" fillId="0" borderId="0" xfId="0" applyFont="1" applyProtection="1">
      <protection locked="0"/>
    </xf>
    <xf numFmtId="0" fontId="22" fillId="0" borderId="0" xfId="0" applyFont="1" applyAlignment="1" applyProtection="1">
      <alignment horizontal="center" vertical="center"/>
      <protection locked="0"/>
    </xf>
    <xf numFmtId="0" fontId="23" fillId="0" borderId="0" xfId="0" applyFont="1" applyAlignment="1" applyProtection="1">
      <alignment horizontal="center"/>
      <protection locked="0"/>
    </xf>
    <xf numFmtId="0" fontId="24" fillId="0" borderId="0" xfId="0" applyFont="1" applyAlignment="1" applyProtection="1">
      <alignment horizontal="center" vertical="center"/>
      <protection locked="0"/>
    </xf>
    <xf numFmtId="0" fontId="25" fillId="0" borderId="0" xfId="0" applyFont="1" applyAlignment="1" applyProtection="1">
      <alignment horizontal="center"/>
      <protection locked="0"/>
    </xf>
    <xf numFmtId="0" fontId="26" fillId="0" borderId="0" xfId="0" applyFont="1" applyAlignment="1" applyProtection="1">
      <alignment horizontal="center"/>
      <protection locked="0"/>
    </xf>
    <xf numFmtId="0" fontId="27" fillId="0" borderId="0" xfId="0" applyFont="1" applyAlignment="1" applyProtection="1">
      <alignment horizontal="center"/>
      <protection locked="0"/>
    </xf>
    <xf numFmtId="0" fontId="22" fillId="0" borderId="0" xfId="0" applyFont="1" applyProtection="1">
      <protection locked="0"/>
    </xf>
    <xf numFmtId="0" fontId="11" fillId="0" borderId="42" xfId="0" applyFont="1" applyBorder="1" applyAlignment="1" applyProtection="1">
      <alignment horizontal="left" vertical="center"/>
      <protection locked="0"/>
    </xf>
    <xf numFmtId="14" fontId="11" fillId="0" borderId="43" xfId="0" applyNumberFormat="1" applyFont="1" applyBorder="1" applyAlignment="1" applyProtection="1">
      <alignment horizontal="left" vertical="center"/>
      <protection locked="0"/>
    </xf>
    <xf numFmtId="0" fontId="10" fillId="0" borderId="12" xfId="0" applyFont="1" applyBorder="1" applyAlignment="1" applyProtection="1">
      <alignment vertical="center"/>
      <protection locked="0"/>
    </xf>
    <xf numFmtId="0" fontId="6" fillId="0" borderId="0" xfId="0" applyFont="1" applyAlignment="1" applyProtection="1">
      <alignment horizontal="right"/>
      <protection locked="0"/>
    </xf>
    <xf numFmtId="0" fontId="4" fillId="0" borderId="0" xfId="0" applyFont="1" applyAlignment="1" applyProtection="1">
      <alignment horizontal="right"/>
      <protection locked="0"/>
    </xf>
    <xf numFmtId="0" fontId="10" fillId="0" borderId="24" xfId="0" applyFont="1" applyBorder="1" applyAlignment="1">
      <alignment horizontal="center"/>
    </xf>
    <xf numFmtId="166" fontId="10" fillId="0" borderId="11" xfId="1" applyNumberFormat="1" applyFont="1" applyBorder="1" applyAlignment="1" applyProtection="1">
      <alignment vertical="center"/>
      <protection locked="0"/>
    </xf>
    <xf numFmtId="166" fontId="10" fillId="3" borderId="11" xfId="1" applyNumberFormat="1" applyFont="1" applyFill="1" applyBorder="1" applyAlignment="1" applyProtection="1">
      <alignment vertical="center"/>
      <protection locked="0"/>
    </xf>
    <xf numFmtId="166" fontId="10" fillId="0" borderId="14" xfId="1" applyNumberFormat="1" applyFont="1" applyBorder="1" applyAlignment="1" applyProtection="1">
      <alignment vertical="center"/>
      <protection locked="0"/>
    </xf>
    <xf numFmtId="166" fontId="10" fillId="3" borderId="14" xfId="1" applyNumberFormat="1" applyFont="1" applyFill="1" applyBorder="1" applyAlignment="1" applyProtection="1">
      <alignment vertical="center"/>
      <protection locked="0"/>
    </xf>
    <xf numFmtId="0" fontId="10" fillId="0" borderId="7" xfId="0" applyFont="1" applyBorder="1" applyAlignment="1" applyProtection="1">
      <alignment vertical="center"/>
      <protection locked="0"/>
    </xf>
    <xf numFmtId="0" fontId="10" fillId="0" borderId="1" xfId="0" applyFont="1" applyBorder="1" applyAlignment="1" applyProtection="1">
      <alignment vertical="center"/>
      <protection locked="0"/>
    </xf>
    <xf numFmtId="0" fontId="10" fillId="3" borderId="11" xfId="0" applyFont="1" applyFill="1" applyBorder="1" applyAlignment="1" applyProtection="1">
      <alignment vertical="center"/>
      <protection locked="0"/>
    </xf>
    <xf numFmtId="166" fontId="10" fillId="0" borderId="27" xfId="1" applyNumberFormat="1" applyFont="1" applyBorder="1" applyAlignment="1" applyProtection="1">
      <alignment vertical="center" wrapText="1"/>
      <protection locked="0"/>
    </xf>
    <xf numFmtId="166" fontId="10" fillId="0" borderId="27" xfId="1" applyNumberFormat="1" applyFont="1" applyBorder="1" applyAlignment="1" applyProtection="1">
      <alignment vertical="center"/>
      <protection locked="0"/>
    </xf>
    <xf numFmtId="166" fontId="10" fillId="0" borderId="4" xfId="1" applyNumberFormat="1" applyFont="1" applyBorder="1" applyAlignment="1" applyProtection="1">
      <alignment vertical="center" wrapText="1"/>
      <protection locked="0"/>
    </xf>
    <xf numFmtId="166" fontId="10" fillId="0" borderId="4" xfId="1" applyNumberFormat="1" applyFont="1" applyBorder="1" applyAlignment="1" applyProtection="1">
      <alignment vertical="center"/>
      <protection locked="0"/>
    </xf>
    <xf numFmtId="166" fontId="10" fillId="0" borderId="9" xfId="1" applyNumberFormat="1" applyFont="1" applyBorder="1" applyAlignment="1" applyProtection="1">
      <alignment vertical="center" wrapText="1"/>
      <protection locked="0"/>
    </xf>
    <xf numFmtId="166" fontId="10" fillId="0" borderId="9" xfId="1" applyNumberFormat="1" applyFont="1" applyBorder="1" applyAlignment="1" applyProtection="1">
      <alignment vertical="center"/>
      <protection locked="0"/>
    </xf>
    <xf numFmtId="166" fontId="10" fillId="3" borderId="9" xfId="1" applyNumberFormat="1" applyFont="1" applyFill="1" applyBorder="1" applyAlignment="1" applyProtection="1">
      <alignment vertical="center" wrapText="1"/>
      <protection locked="0"/>
    </xf>
    <xf numFmtId="166" fontId="10" fillId="3" borderId="27" xfId="1" applyNumberFormat="1" applyFont="1" applyFill="1" applyBorder="1" applyAlignment="1" applyProtection="1">
      <alignment vertical="center" wrapText="1"/>
      <protection locked="0"/>
    </xf>
    <xf numFmtId="166" fontId="10" fillId="3" borderId="4" xfId="1" applyNumberFormat="1" applyFont="1" applyFill="1" applyBorder="1" applyAlignment="1" applyProtection="1">
      <alignment vertical="center" wrapText="1"/>
      <protection locked="0"/>
    </xf>
    <xf numFmtId="166" fontId="10" fillId="3" borderId="5" xfId="1" applyNumberFormat="1" applyFont="1" applyFill="1" applyBorder="1" applyAlignment="1" applyProtection="1">
      <alignment vertical="center" wrapText="1"/>
      <protection locked="0"/>
    </xf>
    <xf numFmtId="166" fontId="10" fillId="3" borderId="0" xfId="1" applyNumberFormat="1" applyFont="1" applyFill="1" applyBorder="1" applyAlignment="1">
      <alignment vertical="center"/>
    </xf>
    <xf numFmtId="166" fontId="10" fillId="3" borderId="12" xfId="1" applyNumberFormat="1" applyFont="1" applyFill="1" applyBorder="1" applyAlignment="1">
      <alignment vertical="center"/>
    </xf>
    <xf numFmtId="166" fontId="6" fillId="3" borderId="12" xfId="1" applyNumberFormat="1" applyFont="1" applyFill="1" applyBorder="1" applyAlignment="1">
      <alignment vertical="center"/>
    </xf>
    <xf numFmtId="166" fontId="10" fillId="3" borderId="14" xfId="1" applyNumberFormat="1" applyFont="1" applyFill="1" applyBorder="1" applyAlignment="1" applyProtection="1">
      <alignment vertical="center" wrapText="1"/>
      <protection locked="0"/>
    </xf>
    <xf numFmtId="0" fontId="10" fillId="0" borderId="14" xfId="0" applyFont="1" applyBorder="1" applyProtection="1">
      <protection locked="0"/>
    </xf>
    <xf numFmtId="0" fontId="10" fillId="0" borderId="3" xfId="0" applyFont="1" applyBorder="1" applyProtection="1">
      <protection locked="0"/>
    </xf>
    <xf numFmtId="166" fontId="10" fillId="3" borderId="8" xfId="0" applyNumberFormat="1" applyFont="1" applyFill="1" applyBorder="1" applyAlignment="1" applyProtection="1">
      <alignment vertical="center"/>
      <protection locked="0"/>
    </xf>
    <xf numFmtId="9" fontId="10" fillId="3" borderId="8" xfId="2" applyFont="1" applyFill="1" applyBorder="1" applyAlignment="1">
      <alignment vertical="center"/>
    </xf>
    <xf numFmtId="9" fontId="10" fillId="3" borderId="0" xfId="2" applyFont="1" applyFill="1" applyBorder="1" applyAlignment="1">
      <alignment vertical="center"/>
    </xf>
    <xf numFmtId="166" fontId="10" fillId="3" borderId="0" xfId="0" applyNumberFormat="1" applyFont="1" applyFill="1" applyAlignment="1" applyProtection="1">
      <alignment vertical="center"/>
      <protection locked="0"/>
    </xf>
    <xf numFmtId="166" fontId="10" fillId="4" borderId="0" xfId="1" applyNumberFormat="1" applyFont="1" applyFill="1" applyBorder="1" applyAlignment="1">
      <alignment vertical="center"/>
    </xf>
    <xf numFmtId="168" fontId="10" fillId="0" borderId="14" xfId="0" applyNumberFormat="1" applyFont="1" applyBorder="1"/>
    <xf numFmtId="168" fontId="10" fillId="0" borderId="12" xfId="0" applyNumberFormat="1" applyFont="1" applyBorder="1"/>
    <xf numFmtId="168" fontId="10" fillId="5" borderId="14" xfId="0" applyNumberFormat="1" applyFont="1" applyFill="1" applyBorder="1"/>
    <xf numFmtId="168" fontId="10" fillId="6" borderId="14" xfId="0" applyNumberFormat="1" applyFont="1" applyFill="1" applyBorder="1"/>
    <xf numFmtId="10" fontId="19" fillId="5" borderId="14" xfId="2" applyNumberFormat="1" applyFont="1" applyFill="1" applyBorder="1" applyAlignment="1"/>
    <xf numFmtId="0" fontId="3" fillId="0" borderId="7" xfId="0" applyFont="1" applyBorder="1" applyAlignment="1" applyProtection="1">
      <alignment vertical="center"/>
      <protection locked="0"/>
    </xf>
    <xf numFmtId="9" fontId="19" fillId="6" borderId="14" xfId="2" applyFont="1" applyFill="1" applyBorder="1" applyAlignment="1"/>
    <xf numFmtId="169" fontId="19" fillId="6" borderId="14" xfId="0" applyNumberFormat="1" applyFont="1" applyFill="1" applyBorder="1"/>
    <xf numFmtId="14" fontId="6" fillId="3" borderId="14" xfId="0" applyNumberFormat="1" applyFont="1" applyFill="1" applyBorder="1" applyAlignment="1">
      <alignment horizontal="center" vertical="center"/>
    </xf>
    <xf numFmtId="168" fontId="6" fillId="3" borderId="14" xfId="0" applyNumberFormat="1" applyFont="1" applyFill="1" applyBorder="1" applyAlignment="1">
      <alignment horizontal="center" vertical="center"/>
    </xf>
    <xf numFmtId="14" fontId="6" fillId="3" borderId="9" xfId="0" applyNumberFormat="1" applyFont="1" applyFill="1" applyBorder="1" applyAlignment="1">
      <alignment horizontal="center" vertical="center"/>
    </xf>
    <xf numFmtId="168" fontId="6" fillId="3" borderId="9" xfId="0" applyNumberFormat="1" applyFont="1" applyFill="1" applyBorder="1" applyAlignment="1">
      <alignment horizontal="center" vertical="center"/>
    </xf>
    <xf numFmtId="0" fontId="12" fillId="0" borderId="0" xfId="0" applyFont="1" applyAlignment="1" applyProtection="1">
      <alignment horizontal="center" vertical="center"/>
      <protection locked="0"/>
    </xf>
    <xf numFmtId="0" fontId="10" fillId="0" borderId="26" xfId="0" applyFont="1" applyBorder="1" applyAlignment="1" applyProtection="1">
      <alignment vertical="center" wrapText="1"/>
      <protection locked="0"/>
    </xf>
    <xf numFmtId="0" fontId="10" fillId="0" borderId="17" xfId="0" applyFont="1" applyBorder="1" applyAlignment="1" applyProtection="1">
      <alignment vertical="center" wrapText="1"/>
      <protection locked="0"/>
    </xf>
    <xf numFmtId="166" fontId="10" fillId="0" borderId="26" xfId="1" applyNumberFormat="1" applyFont="1" applyFill="1" applyBorder="1" applyAlignment="1" applyProtection="1">
      <alignment vertical="center" wrapText="1"/>
      <protection locked="0"/>
    </xf>
    <xf numFmtId="166" fontId="10" fillId="0" borderId="17" xfId="1" applyNumberFormat="1" applyFont="1" applyFill="1" applyBorder="1" applyAlignment="1" applyProtection="1">
      <alignment vertical="center" wrapText="1"/>
      <protection locked="0"/>
    </xf>
    <xf numFmtId="0" fontId="10" fillId="0" borderId="10" xfId="0" applyFont="1" applyBorder="1" applyAlignment="1" applyProtection="1">
      <alignment vertical="center"/>
      <protection locked="0"/>
    </xf>
    <xf numFmtId="0" fontId="10" fillId="0" borderId="10" xfId="0" applyFont="1" applyBorder="1" applyAlignment="1" applyProtection="1">
      <alignment vertical="center" wrapText="1"/>
      <protection locked="0"/>
    </xf>
    <xf numFmtId="49" fontId="10" fillId="0" borderId="12" xfId="0" applyNumberFormat="1" applyFont="1" applyBorder="1" applyAlignment="1" applyProtection="1">
      <alignment vertical="center"/>
      <protection locked="0"/>
    </xf>
    <xf numFmtId="0" fontId="6" fillId="7" borderId="14" xfId="0" applyFont="1" applyFill="1" applyBorder="1" applyAlignment="1" applyProtection="1">
      <alignment horizontal="center" vertical="center" wrapText="1"/>
      <protection locked="0"/>
    </xf>
    <xf numFmtId="0" fontId="6" fillId="7" borderId="11" xfId="0" applyFont="1" applyFill="1" applyBorder="1" applyAlignment="1" applyProtection="1">
      <alignment horizontal="center" vertical="center" wrapText="1"/>
      <protection locked="0"/>
    </xf>
    <xf numFmtId="0" fontId="10" fillId="0" borderId="44" xfId="0" applyFont="1" applyBorder="1" applyAlignment="1" applyProtection="1">
      <alignment vertical="center"/>
      <protection locked="0"/>
    </xf>
    <xf numFmtId="0" fontId="6" fillId="0" borderId="45" xfId="0" applyFont="1" applyBorder="1" applyAlignment="1" applyProtection="1">
      <alignment vertical="center"/>
      <protection locked="0"/>
    </xf>
    <xf numFmtId="0" fontId="10" fillId="0" borderId="46" xfId="0" applyFont="1" applyBorder="1" applyAlignment="1" applyProtection="1">
      <alignment vertical="center"/>
      <protection locked="0"/>
    </xf>
    <xf numFmtId="0" fontId="10" fillId="0" borderId="47" xfId="0" applyFont="1" applyBorder="1" applyAlignment="1" applyProtection="1">
      <alignment vertical="center"/>
      <protection locked="0"/>
    </xf>
    <xf numFmtId="166" fontId="10" fillId="0" borderId="44" xfId="1" applyNumberFormat="1" applyFont="1" applyBorder="1" applyAlignment="1" applyProtection="1">
      <alignment vertical="center" wrapText="1"/>
      <protection locked="0"/>
    </xf>
    <xf numFmtId="166" fontId="10" fillId="0" borderId="44" xfId="1" applyNumberFormat="1" applyFont="1" applyBorder="1" applyAlignment="1" applyProtection="1">
      <alignment vertical="center"/>
      <protection locked="0"/>
    </xf>
    <xf numFmtId="166" fontId="10" fillId="0" borderId="45" xfId="1" applyNumberFormat="1" applyFont="1" applyFill="1" applyBorder="1" applyAlignment="1" applyProtection="1">
      <alignment vertical="center"/>
      <protection locked="0"/>
    </xf>
    <xf numFmtId="166" fontId="15" fillId="0" borderId="44" xfId="1" applyNumberFormat="1" applyFont="1" applyFill="1" applyBorder="1" applyAlignment="1" applyProtection="1">
      <alignment vertical="center" wrapText="1"/>
      <protection locked="0"/>
    </xf>
    <xf numFmtId="0" fontId="10" fillId="0" borderId="48" xfId="0" applyFont="1" applyBorder="1" applyAlignment="1" applyProtection="1">
      <alignment vertical="center"/>
      <protection locked="0"/>
    </xf>
    <xf numFmtId="0" fontId="6" fillId="0" borderId="49" xfId="0" applyFont="1" applyBorder="1" applyAlignment="1" applyProtection="1">
      <alignment vertical="center"/>
      <protection locked="0"/>
    </xf>
    <xf numFmtId="0" fontId="10" fillId="0" borderId="50" xfId="0" applyFont="1" applyBorder="1" applyAlignment="1" applyProtection="1">
      <alignment vertical="center"/>
      <protection locked="0"/>
    </xf>
    <xf numFmtId="0" fontId="10" fillId="0" borderId="51" xfId="0" applyFont="1" applyBorder="1" applyAlignment="1" applyProtection="1">
      <alignment vertical="center"/>
      <protection locked="0"/>
    </xf>
    <xf numFmtId="166" fontId="10" fillId="0" borderId="48" xfId="1" applyNumberFormat="1" applyFont="1" applyBorder="1" applyAlignment="1" applyProtection="1">
      <alignment vertical="center" wrapText="1"/>
      <protection locked="0"/>
    </xf>
    <xf numFmtId="166" fontId="10" fillId="0" borderId="48" xfId="1" applyNumberFormat="1" applyFont="1" applyBorder="1" applyAlignment="1" applyProtection="1">
      <alignment vertical="center"/>
      <protection locked="0"/>
    </xf>
    <xf numFmtId="166" fontId="10" fillId="0" borderId="49" xfId="1" applyNumberFormat="1" applyFont="1" applyFill="1" applyBorder="1" applyAlignment="1" applyProtection="1">
      <alignment vertical="center"/>
      <protection locked="0"/>
    </xf>
    <xf numFmtId="166" fontId="15" fillId="0" borderId="48" xfId="1" applyNumberFormat="1" applyFont="1" applyFill="1" applyBorder="1" applyAlignment="1" applyProtection="1">
      <alignment vertical="center" wrapText="1"/>
      <protection locked="0"/>
    </xf>
    <xf numFmtId="0" fontId="10" fillId="0" borderId="52" xfId="0" applyFont="1" applyBorder="1" applyAlignment="1" applyProtection="1">
      <alignment vertical="center"/>
      <protection locked="0"/>
    </xf>
    <xf numFmtId="0" fontId="6" fillId="0" borderId="53" xfId="0" applyFont="1" applyBorder="1" applyAlignment="1" applyProtection="1">
      <alignment vertical="center"/>
      <protection locked="0"/>
    </xf>
    <xf numFmtId="0" fontId="10" fillId="0" borderId="54" xfId="0" applyFont="1" applyBorder="1" applyAlignment="1" applyProtection="1">
      <alignment vertical="center"/>
      <protection locked="0"/>
    </xf>
    <xf numFmtId="0" fontId="10" fillId="0" borderId="55" xfId="0" applyFont="1" applyBorder="1" applyAlignment="1" applyProtection="1">
      <alignment vertical="center"/>
      <protection locked="0"/>
    </xf>
    <xf numFmtId="166" fontId="10" fillId="0" borderId="52" xfId="1" applyNumberFormat="1" applyFont="1" applyBorder="1" applyAlignment="1" applyProtection="1">
      <alignment vertical="center" wrapText="1"/>
      <protection locked="0"/>
    </xf>
    <xf numFmtId="166" fontId="10" fillId="0" borderId="52" xfId="1" applyNumberFormat="1" applyFont="1" applyBorder="1" applyAlignment="1" applyProtection="1">
      <alignment vertical="center"/>
      <protection locked="0"/>
    </xf>
    <xf numFmtId="166" fontId="10" fillId="0" borderId="53" xfId="1" applyNumberFormat="1" applyFont="1" applyFill="1" applyBorder="1" applyAlignment="1" applyProtection="1">
      <alignment vertical="center"/>
      <protection locked="0"/>
    </xf>
    <xf numFmtId="166" fontId="15" fillId="0" borderId="52" xfId="1" applyNumberFormat="1" applyFont="1" applyFill="1" applyBorder="1" applyAlignment="1" applyProtection="1">
      <alignment vertical="center" wrapText="1"/>
      <protection locked="0"/>
    </xf>
    <xf numFmtId="0" fontId="6" fillId="3" borderId="14" xfId="0" applyFont="1" applyFill="1" applyBorder="1" applyAlignment="1" applyProtection="1">
      <alignment vertical="center" wrapText="1"/>
      <protection locked="0"/>
    </xf>
    <xf numFmtId="0" fontId="6" fillId="3" borderId="14" xfId="0" applyFont="1" applyFill="1" applyBorder="1" applyAlignment="1" applyProtection="1">
      <alignment horizontal="center" vertical="center" wrapText="1"/>
      <protection locked="0"/>
    </xf>
    <xf numFmtId="0" fontId="10" fillId="0" borderId="45" xfId="0" applyFont="1" applyBorder="1" applyAlignment="1" applyProtection="1">
      <alignment vertical="center"/>
      <protection locked="0"/>
    </xf>
    <xf numFmtId="166" fontId="10" fillId="0" borderId="44" xfId="1" applyNumberFormat="1" applyFont="1" applyFill="1" applyBorder="1" applyAlignment="1" applyProtection="1">
      <alignment vertical="center" wrapText="1"/>
      <protection locked="0"/>
    </xf>
    <xf numFmtId="166" fontId="10" fillId="0" borderId="44" xfId="1" applyNumberFormat="1" applyFont="1" applyFill="1" applyBorder="1" applyAlignment="1" applyProtection="1">
      <alignment vertical="center"/>
      <protection locked="0"/>
    </xf>
    <xf numFmtId="166" fontId="10" fillId="0" borderId="44" xfId="1" applyNumberFormat="1" applyFont="1" applyFill="1" applyBorder="1" applyAlignment="1" applyProtection="1">
      <alignment horizontal="center" vertical="center"/>
      <protection locked="0"/>
    </xf>
    <xf numFmtId="0" fontId="10" fillId="0" borderId="49" xfId="0" applyFont="1" applyBorder="1" applyAlignment="1" applyProtection="1">
      <alignment vertical="center"/>
      <protection locked="0"/>
    </xf>
    <xf numFmtId="166" fontId="10" fillId="0" borderId="48" xfId="1" applyNumberFormat="1" applyFont="1" applyFill="1" applyBorder="1" applyAlignment="1" applyProtection="1">
      <alignment vertical="center" wrapText="1"/>
      <protection locked="0"/>
    </xf>
    <xf numFmtId="166" fontId="10" fillId="0" borderId="48" xfId="1" applyNumberFormat="1" applyFont="1" applyFill="1" applyBorder="1" applyAlignment="1" applyProtection="1">
      <alignment vertical="center"/>
      <protection locked="0"/>
    </xf>
    <xf numFmtId="166" fontId="10" fillId="0" borderId="48" xfId="1" applyNumberFormat="1" applyFont="1" applyFill="1" applyBorder="1" applyAlignment="1" applyProtection="1">
      <alignment horizontal="center" vertical="center"/>
      <protection locked="0"/>
    </xf>
    <xf numFmtId="0" fontId="10" fillId="0" borderId="53" xfId="0" applyFont="1" applyBorder="1" applyAlignment="1" applyProtection="1">
      <alignment vertical="center"/>
      <protection locked="0"/>
    </xf>
    <xf numFmtId="166" fontId="10" fillId="0" borderId="52" xfId="1" applyNumberFormat="1" applyFont="1" applyFill="1" applyBorder="1" applyAlignment="1" applyProtection="1">
      <alignment vertical="center" wrapText="1"/>
      <protection locked="0"/>
    </xf>
    <xf numFmtId="166" fontId="10" fillId="0" borderId="52" xfId="1" applyNumberFormat="1" applyFont="1" applyFill="1" applyBorder="1" applyAlignment="1" applyProtection="1">
      <alignment vertical="center"/>
      <protection locked="0"/>
    </xf>
    <xf numFmtId="166" fontId="10" fillId="0" borderId="52" xfId="1" applyNumberFormat="1" applyFont="1" applyFill="1" applyBorder="1" applyAlignment="1" applyProtection="1">
      <alignment horizontal="center" vertical="center"/>
      <protection locked="0"/>
    </xf>
    <xf numFmtId="9" fontId="10" fillId="0" borderId="0" xfId="2" applyFont="1" applyFill="1" applyBorder="1" applyAlignment="1">
      <alignment vertical="center"/>
    </xf>
    <xf numFmtId="0" fontId="10" fillId="4" borderId="7" xfId="0" applyFont="1" applyFill="1" applyBorder="1" applyAlignment="1" applyProtection="1">
      <alignment vertical="center"/>
      <protection locked="0"/>
    </xf>
    <xf numFmtId="0" fontId="6" fillId="3" borderId="40" xfId="0" applyFont="1" applyFill="1" applyBorder="1" applyAlignment="1" applyProtection="1">
      <alignment vertical="center" wrapText="1"/>
      <protection locked="0"/>
    </xf>
    <xf numFmtId="0" fontId="6" fillId="3" borderId="14" xfId="0" applyFont="1" applyFill="1" applyBorder="1" applyAlignment="1" applyProtection="1">
      <alignment horizontal="center" vertical="center"/>
      <protection locked="0"/>
    </xf>
    <xf numFmtId="0" fontId="15" fillId="3" borderId="14" xfId="0" applyFont="1" applyFill="1" applyBorder="1" applyAlignment="1" applyProtection="1">
      <alignment horizontal="center" vertical="center" wrapText="1"/>
      <protection locked="0"/>
    </xf>
    <xf numFmtId="0" fontId="10" fillId="0" borderId="9" xfId="0" applyFont="1" applyBorder="1" applyAlignment="1" applyProtection="1">
      <alignment vertical="center"/>
      <protection locked="0"/>
    </xf>
    <xf numFmtId="0" fontId="10" fillId="0" borderId="11" xfId="0" applyFont="1" applyBorder="1" applyAlignment="1" applyProtection="1">
      <alignment horizontal="left" vertical="center"/>
      <protection locked="0"/>
    </xf>
    <xf numFmtId="0" fontId="10" fillId="0" borderId="12" xfId="0" applyFont="1" applyBorder="1" applyAlignment="1" applyProtection="1">
      <alignment horizontal="left" vertical="center"/>
      <protection locked="0"/>
    </xf>
    <xf numFmtId="0" fontId="10" fillId="0" borderId="32" xfId="0" applyFont="1" applyBorder="1" applyAlignment="1" applyProtection="1">
      <alignment horizontal="left" vertical="center"/>
      <protection locked="0"/>
    </xf>
    <xf numFmtId="0" fontId="10" fillId="3" borderId="12" xfId="0" applyFont="1" applyFill="1" applyBorder="1" applyAlignment="1" applyProtection="1">
      <alignment vertical="center"/>
      <protection locked="0"/>
    </xf>
    <xf numFmtId="0" fontId="10" fillId="3" borderId="13" xfId="0" applyFont="1" applyFill="1" applyBorder="1" applyAlignment="1" applyProtection="1">
      <alignment vertical="center"/>
      <protection locked="0"/>
    </xf>
    <xf numFmtId="0" fontId="3" fillId="3" borderId="12" xfId="0" applyFont="1" applyFill="1" applyBorder="1" applyAlignment="1" applyProtection="1">
      <alignment vertical="center"/>
      <protection locked="0"/>
    </xf>
    <xf numFmtId="0" fontId="3" fillId="3" borderId="13" xfId="0" applyFont="1" applyFill="1" applyBorder="1" applyAlignment="1" applyProtection="1">
      <alignment vertical="center"/>
      <protection locked="0"/>
    </xf>
    <xf numFmtId="166" fontId="10" fillId="0" borderId="14" xfId="1" applyNumberFormat="1" applyFont="1" applyFill="1" applyBorder="1" applyAlignment="1">
      <alignment vertical="center"/>
    </xf>
    <xf numFmtId="0" fontId="10" fillId="0" borderId="4" xfId="0" applyFont="1" applyBorder="1" applyAlignment="1" applyProtection="1">
      <alignment vertical="center"/>
      <protection locked="0"/>
    </xf>
    <xf numFmtId="0" fontId="10" fillId="0" borderId="27" xfId="0" applyFont="1" applyBorder="1" applyAlignment="1" applyProtection="1">
      <alignment vertical="center"/>
      <protection locked="0"/>
    </xf>
    <xf numFmtId="0" fontId="10" fillId="3" borderId="9" xfId="0" applyFont="1" applyFill="1" applyBorder="1" applyAlignment="1" applyProtection="1">
      <alignment vertical="center"/>
      <protection locked="0"/>
    </xf>
    <xf numFmtId="0" fontId="6" fillId="3" borderId="11" xfId="0" applyFont="1" applyFill="1" applyBorder="1" applyAlignment="1" applyProtection="1">
      <alignment horizontal="center" vertical="center" wrapText="1"/>
      <protection locked="0"/>
    </xf>
    <xf numFmtId="0" fontId="10" fillId="0" borderId="14" xfId="0" applyFont="1" applyBorder="1" applyAlignment="1" applyProtection="1">
      <alignment horizontal="left" vertical="center"/>
      <protection locked="0"/>
    </xf>
    <xf numFmtId="0" fontId="10" fillId="3" borderId="14" xfId="0" applyFont="1" applyFill="1" applyBorder="1" applyAlignment="1" applyProtection="1">
      <alignment vertical="center"/>
      <protection locked="0"/>
    </xf>
    <xf numFmtId="167" fontId="10" fillId="0" borderId="0" xfId="0" applyNumberFormat="1" applyFont="1" applyAlignment="1">
      <alignment horizontal="left" vertical="center" wrapText="1"/>
    </xf>
    <xf numFmtId="167" fontId="10" fillId="0" borderId="11" xfId="0" applyNumberFormat="1" applyFont="1" applyBorder="1" applyAlignment="1">
      <alignment horizontal="left" vertical="center" wrapText="1"/>
    </xf>
    <xf numFmtId="167" fontId="10" fillId="0" borderId="0" xfId="0" applyNumberFormat="1" applyFont="1" applyAlignment="1">
      <alignment horizontal="left" vertical="center"/>
    </xf>
    <xf numFmtId="167" fontId="6" fillId="0" borderId="11" xfId="0" applyNumberFormat="1" applyFont="1" applyBorder="1" applyAlignment="1">
      <alignment horizontal="left" vertical="center"/>
    </xf>
    <xf numFmtId="0" fontId="6" fillId="7" borderId="14" xfId="0" applyFont="1" applyFill="1" applyBorder="1" applyAlignment="1" applyProtection="1">
      <alignment horizontal="center" vertical="center"/>
      <protection locked="0"/>
    </xf>
    <xf numFmtId="10" fontId="10" fillId="5" borderId="0" xfId="2" applyNumberFormat="1" applyFont="1" applyFill="1" applyBorder="1" applyAlignment="1"/>
    <xf numFmtId="0" fontId="10" fillId="5" borderId="0" xfId="0" applyFont="1" applyFill="1"/>
    <xf numFmtId="166" fontId="10" fillId="0" borderId="4" xfId="1" applyNumberFormat="1" applyFont="1" applyFill="1" applyBorder="1" applyAlignment="1" applyProtection="1">
      <alignment vertical="center" wrapText="1"/>
      <protection locked="0"/>
    </xf>
    <xf numFmtId="166" fontId="10" fillId="0" borderId="27" xfId="1" applyNumberFormat="1" applyFont="1" applyFill="1" applyBorder="1" applyAlignment="1" applyProtection="1">
      <alignment vertical="center" wrapText="1"/>
      <protection locked="0"/>
    </xf>
    <xf numFmtId="166" fontId="10" fillId="0" borderId="5" xfId="1" applyNumberFormat="1" applyFont="1" applyFill="1" applyBorder="1" applyAlignment="1" applyProtection="1">
      <alignment vertical="center" wrapText="1"/>
      <protection locked="0"/>
    </xf>
    <xf numFmtId="0" fontId="10" fillId="0" borderId="14" xfId="0" applyFont="1" applyBorder="1" applyAlignment="1" applyProtection="1">
      <alignment horizontal="center" vertical="center"/>
      <protection locked="0"/>
    </xf>
    <xf numFmtId="0" fontId="6" fillId="0" borderId="56" xfId="0" applyFont="1" applyBorder="1" applyAlignment="1" applyProtection="1">
      <alignment horizontal="center"/>
      <protection locked="0"/>
    </xf>
    <xf numFmtId="0" fontId="10" fillId="0" borderId="57" xfId="0" applyFont="1" applyBorder="1" applyAlignment="1" applyProtection="1">
      <alignment horizontal="center" vertical="center"/>
      <protection locked="0"/>
    </xf>
    <xf numFmtId="0" fontId="10" fillId="0" borderId="58" xfId="0" applyFont="1" applyBorder="1" applyAlignment="1" applyProtection="1">
      <alignment horizontal="center" vertical="center"/>
      <protection locked="0"/>
    </xf>
    <xf numFmtId="0" fontId="10" fillId="0" borderId="59" xfId="0" applyFont="1" applyBorder="1" applyAlignment="1" applyProtection="1">
      <alignment horizontal="center"/>
      <protection locked="0"/>
    </xf>
    <xf numFmtId="14" fontId="17" fillId="0" borderId="60" xfId="0" applyNumberFormat="1" applyFont="1" applyBorder="1" applyAlignment="1" applyProtection="1">
      <alignment horizontal="center"/>
      <protection locked="0"/>
    </xf>
    <xf numFmtId="0" fontId="15" fillId="0" borderId="0" xfId="0" applyFont="1" applyAlignment="1" applyProtection="1">
      <alignment horizontal="center" vertical="center"/>
      <protection locked="0"/>
    </xf>
    <xf numFmtId="14" fontId="13" fillId="0" borderId="21" xfId="0" applyNumberFormat="1" applyFont="1" applyBorder="1" applyAlignment="1" applyProtection="1">
      <alignment horizontal="center" vertical="center"/>
      <protection locked="0"/>
    </xf>
    <xf numFmtId="0" fontId="0" fillId="0" borderId="0" xfId="0"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14" fontId="14" fillId="0" borderId="21" xfId="0" applyNumberFormat="1" applyFont="1" applyBorder="1" applyAlignment="1" applyProtection="1">
      <alignment horizontal="center" vertical="center"/>
      <protection locked="0"/>
    </xf>
    <xf numFmtId="14" fontId="14" fillId="0" borderId="0" xfId="0" applyNumberFormat="1" applyFont="1" applyAlignment="1" applyProtection="1">
      <alignment horizontal="center" vertical="center"/>
      <protection locked="0"/>
    </xf>
    <xf numFmtId="14" fontId="14" fillId="0" borderId="22" xfId="0" applyNumberFormat="1" applyFont="1" applyBorder="1" applyAlignment="1" applyProtection="1">
      <alignment horizontal="center" vertical="center"/>
      <protection locked="0"/>
    </xf>
    <xf numFmtId="14" fontId="14" fillId="0" borderId="23" xfId="0" applyNumberFormat="1" applyFont="1" applyBorder="1" applyAlignment="1" applyProtection="1">
      <alignment horizontal="center" vertical="center"/>
      <protection locked="0"/>
    </xf>
    <xf numFmtId="14" fontId="14" fillId="0" borderId="24" xfId="0" applyNumberFormat="1" applyFont="1" applyBorder="1" applyAlignment="1" applyProtection="1">
      <alignment horizontal="center" vertical="center"/>
      <protection locked="0"/>
    </xf>
    <xf numFmtId="14" fontId="14" fillId="0" borderId="25" xfId="0" applyNumberFormat="1" applyFont="1" applyBorder="1" applyAlignment="1" applyProtection="1">
      <alignment horizontal="center" vertical="center"/>
      <protection locked="0"/>
    </xf>
    <xf numFmtId="0" fontId="29" fillId="0" borderId="12" xfId="6" quotePrefix="1" applyFont="1" applyFill="1" applyBorder="1" applyAlignment="1" applyProtection="1">
      <alignment horizontal="left" vertical="center"/>
      <protection locked="0"/>
    </xf>
    <xf numFmtId="0" fontId="29" fillId="0" borderId="32" xfId="6" applyFont="1" applyFill="1" applyBorder="1" applyAlignment="1" applyProtection="1">
      <alignment horizontal="left" vertical="center"/>
      <protection locked="0"/>
    </xf>
    <xf numFmtId="0" fontId="29" fillId="0" borderId="12" xfId="6" applyFont="1" applyFill="1" applyBorder="1" applyAlignment="1" applyProtection="1">
      <alignment horizontal="left" vertical="center"/>
      <protection locked="0"/>
    </xf>
    <xf numFmtId="0" fontId="6" fillId="0" borderId="15" xfId="0" applyFont="1" applyBorder="1" applyAlignment="1" applyProtection="1">
      <alignment horizontal="center" vertical="center" wrapText="1"/>
      <protection locked="0"/>
    </xf>
    <xf numFmtId="0" fontId="6" fillId="0" borderId="16" xfId="0" applyFont="1" applyBorder="1" applyAlignment="1" applyProtection="1">
      <alignment horizontal="center" vertical="center" wrapText="1"/>
      <protection locked="0"/>
    </xf>
    <xf numFmtId="0" fontId="15" fillId="0" borderId="36" xfId="0" applyFont="1" applyBorder="1" applyAlignment="1" applyProtection="1">
      <alignment horizontal="center" vertical="center"/>
      <protection locked="0"/>
    </xf>
    <xf numFmtId="0" fontId="15" fillId="0" borderId="6" xfId="0" applyFont="1" applyBorder="1" applyAlignment="1" applyProtection="1">
      <alignment horizontal="center" vertical="center"/>
      <protection locked="0"/>
    </xf>
    <xf numFmtId="0" fontId="15" fillId="0" borderId="31" xfId="0" applyFont="1" applyBorder="1" applyAlignment="1" applyProtection="1">
      <alignment horizontal="center" vertical="center"/>
      <protection locked="0"/>
    </xf>
    <xf numFmtId="0" fontId="15" fillId="0" borderId="13" xfId="0" applyFont="1" applyBorder="1" applyAlignment="1" applyProtection="1">
      <alignment horizontal="center" vertical="center"/>
      <protection locked="0"/>
    </xf>
    <xf numFmtId="0" fontId="29" fillId="0" borderId="29" xfId="6" applyFont="1" applyFill="1" applyBorder="1" applyAlignment="1" applyProtection="1">
      <alignment horizontal="left" vertical="center"/>
      <protection locked="0"/>
    </xf>
    <xf numFmtId="0" fontId="29" fillId="0" borderId="30" xfId="6" applyFont="1" applyFill="1" applyBorder="1" applyAlignment="1" applyProtection="1">
      <alignment horizontal="left" vertical="center"/>
      <protection locked="0"/>
    </xf>
    <xf numFmtId="0" fontId="6" fillId="0" borderId="15" xfId="0" applyFont="1" applyBorder="1" applyAlignment="1" applyProtection="1">
      <alignment horizontal="left" vertical="center" wrapText="1" indent="2"/>
      <protection locked="0"/>
    </xf>
    <xf numFmtId="0" fontId="6" fillId="0" borderId="16" xfId="0" applyFont="1" applyBorder="1" applyAlignment="1" applyProtection="1">
      <alignment horizontal="left" vertical="center" wrapText="1" indent="2"/>
      <protection locked="0"/>
    </xf>
    <xf numFmtId="49" fontId="16" fillId="0" borderId="18" xfId="0" applyNumberFormat="1" applyFont="1" applyBorder="1" applyAlignment="1" applyProtection="1">
      <alignment horizontal="center" vertical="center"/>
      <protection locked="0"/>
    </xf>
    <xf numFmtId="49" fontId="16" fillId="0" borderId="19" xfId="0" applyNumberFormat="1" applyFont="1" applyBorder="1" applyAlignment="1" applyProtection="1">
      <alignment horizontal="center" vertical="center"/>
      <protection locked="0"/>
    </xf>
    <xf numFmtId="49" fontId="16" fillId="0" borderId="20" xfId="0" applyNumberFormat="1" applyFont="1" applyBorder="1" applyAlignment="1" applyProtection="1">
      <alignment horizontal="center" vertical="center"/>
      <protection locked="0"/>
    </xf>
    <xf numFmtId="49" fontId="16" fillId="0" borderId="23" xfId="0" applyNumberFormat="1" applyFont="1" applyBorder="1" applyAlignment="1" applyProtection="1">
      <alignment horizontal="center" vertical="center"/>
      <protection locked="0"/>
    </xf>
    <xf numFmtId="49" fontId="16" fillId="0" borderId="24" xfId="0" applyNumberFormat="1" applyFont="1" applyBorder="1" applyAlignment="1" applyProtection="1">
      <alignment horizontal="center" vertical="center"/>
      <protection locked="0"/>
    </xf>
    <xf numFmtId="49" fontId="16" fillId="0" borderId="25" xfId="0" applyNumberFormat="1" applyFont="1" applyBorder="1" applyAlignment="1" applyProtection="1">
      <alignment horizontal="center" vertical="center"/>
      <protection locked="0"/>
    </xf>
    <xf numFmtId="0" fontId="4" fillId="0" borderId="19" xfId="0" applyFont="1" applyBorder="1" applyAlignment="1" applyProtection="1">
      <alignment horizontal="center" vertical="center"/>
      <protection locked="0"/>
    </xf>
    <xf numFmtId="0" fontId="4" fillId="0" borderId="20" xfId="0" applyFont="1" applyBorder="1" applyAlignment="1" applyProtection="1">
      <alignment horizontal="center" vertical="center"/>
      <protection locked="0"/>
    </xf>
    <xf numFmtId="0" fontId="12" fillId="0" borderId="24" xfId="0" applyFont="1" applyBorder="1" applyAlignment="1" applyProtection="1">
      <alignment horizontal="center" vertical="center"/>
      <protection locked="0"/>
    </xf>
    <xf numFmtId="0" fontId="12" fillId="0" borderId="25" xfId="0" applyFont="1" applyBorder="1" applyAlignment="1" applyProtection="1">
      <alignment horizontal="center" vertical="center"/>
      <protection locked="0"/>
    </xf>
    <xf numFmtId="0" fontId="3" fillId="0" borderId="19" xfId="0" applyFont="1" applyBorder="1" applyAlignment="1" applyProtection="1">
      <alignment horizontal="left" vertical="top"/>
      <protection locked="0"/>
    </xf>
    <xf numFmtId="0" fontId="3" fillId="0" borderId="20" xfId="0" applyFont="1" applyBorder="1" applyAlignment="1" applyProtection="1">
      <alignment horizontal="left" vertical="top"/>
      <protection locked="0"/>
    </xf>
    <xf numFmtId="0" fontId="3" fillId="0" borderId="21" xfId="0" applyFont="1" applyBorder="1" applyAlignment="1" applyProtection="1">
      <alignment horizontal="left" vertical="top"/>
      <protection locked="0"/>
    </xf>
    <xf numFmtId="0" fontId="3" fillId="0" borderId="0" xfId="0" applyFont="1" applyAlignment="1" applyProtection="1">
      <alignment horizontal="left" vertical="top"/>
      <protection locked="0"/>
    </xf>
    <xf numFmtId="0" fontId="3" fillId="0" borderId="22" xfId="0" applyFont="1" applyBorder="1" applyAlignment="1" applyProtection="1">
      <alignment horizontal="left" vertical="top"/>
      <protection locked="0"/>
    </xf>
    <xf numFmtId="0" fontId="3" fillId="0" borderId="23" xfId="0" applyFont="1" applyBorder="1" applyAlignment="1" applyProtection="1">
      <alignment horizontal="left" vertical="top"/>
      <protection locked="0"/>
    </xf>
    <xf numFmtId="0" fontId="3" fillId="0" borderId="24" xfId="0" applyFont="1" applyBorder="1" applyAlignment="1" applyProtection="1">
      <alignment horizontal="left" vertical="top"/>
      <protection locked="0"/>
    </xf>
    <xf numFmtId="0" fontId="3" fillId="0" borderId="25" xfId="0" applyFont="1" applyBorder="1" applyAlignment="1" applyProtection="1">
      <alignment horizontal="left" vertical="top"/>
      <protection locked="0"/>
    </xf>
    <xf numFmtId="0" fontId="6" fillId="0" borderId="28" xfId="0" applyFont="1" applyBorder="1" applyAlignment="1" applyProtection="1">
      <alignment horizontal="center"/>
      <protection locked="0"/>
    </xf>
    <xf numFmtId="0" fontId="6" fillId="0" borderId="29" xfId="0" applyFont="1" applyBorder="1" applyAlignment="1" applyProtection="1">
      <alignment horizontal="center"/>
      <protection locked="0"/>
    </xf>
    <xf numFmtId="0" fontId="6" fillId="0" borderId="30" xfId="0" applyFont="1" applyBorder="1" applyAlignment="1" applyProtection="1">
      <alignment horizontal="center"/>
      <protection locked="0"/>
    </xf>
    <xf numFmtId="0" fontId="6" fillId="0" borderId="16" xfId="0" applyFont="1" applyBorder="1" applyAlignment="1" applyProtection="1">
      <alignment horizontal="center" wrapText="1"/>
      <protection locked="0"/>
    </xf>
    <xf numFmtId="0" fontId="6" fillId="0" borderId="17" xfId="0" applyFont="1" applyBorder="1" applyAlignment="1" applyProtection="1">
      <alignment horizontal="center" wrapText="1"/>
      <protection locked="0"/>
    </xf>
    <xf numFmtId="0" fontId="6" fillId="0" borderId="38" xfId="0" applyFont="1" applyBorder="1" applyAlignment="1" applyProtection="1">
      <alignment horizontal="left" vertical="center" wrapText="1" indent="3"/>
      <protection locked="0"/>
    </xf>
    <xf numFmtId="0" fontId="6" fillId="0" borderId="16" xfId="0" applyFont="1" applyBorder="1" applyAlignment="1" applyProtection="1">
      <alignment horizontal="left" vertical="center" wrapText="1" indent="3"/>
      <protection locked="0"/>
    </xf>
    <xf numFmtId="0" fontId="6" fillId="0" borderId="15" xfId="0" applyFont="1" applyBorder="1" applyAlignment="1" applyProtection="1">
      <alignment horizontal="center" vertical="center"/>
      <protection locked="0"/>
    </xf>
    <xf numFmtId="0" fontId="6" fillId="0" borderId="37" xfId="0" applyFont="1" applyBorder="1" applyAlignment="1" applyProtection="1">
      <alignment horizontal="center" vertical="center"/>
      <protection locked="0"/>
    </xf>
    <xf numFmtId="0" fontId="12" fillId="0" borderId="18" xfId="0" applyFont="1" applyBorder="1" applyAlignment="1" applyProtection="1">
      <alignment horizontal="left" vertical="top"/>
      <protection locked="0"/>
    </xf>
    <xf numFmtId="0" fontId="6" fillId="0" borderId="18" xfId="0" applyFont="1" applyBorder="1" applyAlignment="1" applyProtection="1">
      <alignment horizontal="left"/>
      <protection locked="0"/>
    </xf>
    <xf numFmtId="0" fontId="6" fillId="0" borderId="19" xfId="0" applyFont="1" applyBorder="1" applyAlignment="1" applyProtection="1">
      <alignment horizontal="left"/>
      <protection locked="0"/>
    </xf>
    <xf numFmtId="0" fontId="6" fillId="0" borderId="20" xfId="0" applyFont="1" applyBorder="1" applyAlignment="1" applyProtection="1">
      <alignment horizontal="left"/>
      <protection locked="0"/>
    </xf>
    <xf numFmtId="0" fontId="15" fillId="0" borderId="33" xfId="0" applyFont="1" applyBorder="1" applyAlignment="1" applyProtection="1">
      <alignment horizontal="center" vertical="center"/>
      <protection locked="0"/>
    </xf>
    <xf numFmtId="0" fontId="15" fillId="0" borderId="39" xfId="0" applyFont="1" applyBorder="1" applyAlignment="1" applyProtection="1">
      <alignment horizontal="center" vertical="center"/>
      <protection locked="0"/>
    </xf>
    <xf numFmtId="0" fontId="28" fillId="0" borderId="34" xfId="6" applyFill="1" applyBorder="1" applyAlignment="1" applyProtection="1">
      <alignment horizontal="left" vertical="center"/>
      <protection locked="0"/>
    </xf>
    <xf numFmtId="0" fontId="28" fillId="0" borderId="35" xfId="6" applyFill="1" applyBorder="1" applyAlignment="1" applyProtection="1">
      <alignment horizontal="left" vertical="center"/>
      <protection locked="0"/>
    </xf>
    <xf numFmtId="0" fontId="10" fillId="0" borderId="34" xfId="0" applyFont="1" applyBorder="1" applyAlignment="1" applyProtection="1">
      <alignment horizontal="left" vertical="center"/>
      <protection locked="0"/>
    </xf>
    <xf numFmtId="0" fontId="15" fillId="0" borderId="11" xfId="0" applyFont="1" applyBorder="1" applyAlignment="1" applyProtection="1">
      <alignment horizontal="center" vertical="center"/>
      <protection locked="0"/>
    </xf>
    <xf numFmtId="0" fontId="18" fillId="0" borderId="15" xfId="0" applyFont="1" applyBorder="1" applyAlignment="1" applyProtection="1">
      <alignment horizontal="left" vertical="top" wrapText="1"/>
      <protection locked="0"/>
    </xf>
    <xf numFmtId="0" fontId="10" fillId="0" borderId="16" xfId="0" applyFont="1" applyBorder="1" applyAlignment="1" applyProtection="1">
      <alignment horizontal="left" vertical="top"/>
      <protection locked="0"/>
    </xf>
    <xf numFmtId="0" fontId="10" fillId="0" borderId="17" xfId="0" applyFont="1" applyBorder="1" applyAlignment="1" applyProtection="1">
      <alignment horizontal="left" vertical="top"/>
      <protection locked="0"/>
    </xf>
    <xf numFmtId="0" fontId="6" fillId="0" borderId="28" xfId="0" applyFont="1" applyBorder="1" applyAlignment="1" applyProtection="1">
      <alignment horizontal="left"/>
      <protection locked="0"/>
    </xf>
    <xf numFmtId="0" fontId="6" fillId="0" borderId="29" xfId="0" applyFont="1" applyBorder="1" applyAlignment="1" applyProtection="1">
      <alignment horizontal="left"/>
      <protection locked="0"/>
    </xf>
    <xf numFmtId="0" fontId="6" fillId="0" borderId="30" xfId="0" applyFont="1" applyBorder="1" applyAlignment="1" applyProtection="1">
      <alignment horizontal="left"/>
      <protection locked="0"/>
    </xf>
    <xf numFmtId="0" fontId="10" fillId="0" borderId="23" xfId="0" applyFont="1" applyBorder="1" applyAlignment="1" applyProtection="1">
      <alignment horizontal="left" vertical="top" wrapText="1"/>
      <protection locked="0"/>
    </xf>
    <xf numFmtId="0" fontId="10" fillId="0" borderId="24" xfId="0" applyFont="1" applyBorder="1" applyAlignment="1" applyProtection="1">
      <alignment horizontal="left" vertical="top"/>
      <protection locked="0"/>
    </xf>
    <xf numFmtId="0" fontId="10" fillId="0" borderId="25" xfId="0" applyFont="1" applyBorder="1" applyAlignment="1" applyProtection="1">
      <alignment horizontal="left" vertical="top"/>
      <protection locked="0"/>
    </xf>
    <xf numFmtId="0" fontId="15" fillId="3" borderId="11" xfId="0" applyFont="1" applyFill="1" applyBorder="1" applyAlignment="1" applyProtection="1">
      <alignment horizontal="center" vertical="center"/>
      <protection locked="0"/>
    </xf>
    <xf numFmtId="0" fontId="15" fillId="3" borderId="13" xfId="0" applyFont="1" applyFill="1" applyBorder="1" applyAlignment="1" applyProtection="1">
      <alignment horizontal="center" vertical="center"/>
      <protection locked="0"/>
    </xf>
    <xf numFmtId="0" fontId="10" fillId="0" borderId="26" xfId="0" applyFont="1" applyBorder="1" applyAlignment="1" applyProtection="1">
      <alignment horizontal="center" vertical="center" wrapText="1"/>
      <protection locked="0"/>
    </xf>
    <xf numFmtId="0" fontId="10" fillId="0" borderId="17" xfId="0" applyFont="1" applyBorder="1" applyAlignment="1" applyProtection="1">
      <alignment horizontal="center" vertical="center" wrapText="1"/>
      <protection locked="0"/>
    </xf>
    <xf numFmtId="14" fontId="13" fillId="0" borderId="18" xfId="0" applyNumberFormat="1" applyFont="1" applyBorder="1" applyAlignment="1" applyProtection="1">
      <alignment horizontal="center" vertical="center"/>
      <protection locked="0"/>
    </xf>
    <xf numFmtId="14" fontId="13" fillId="0" borderId="19" xfId="0" applyNumberFormat="1" applyFont="1" applyBorder="1" applyAlignment="1" applyProtection="1">
      <alignment horizontal="center" vertical="center"/>
      <protection locked="0"/>
    </xf>
    <xf numFmtId="14" fontId="13" fillId="0" borderId="20" xfId="0" applyNumberFormat="1" applyFont="1" applyBorder="1" applyAlignment="1" applyProtection="1">
      <alignment horizontal="center" vertical="center"/>
      <protection locked="0"/>
    </xf>
    <xf numFmtId="14" fontId="13" fillId="0" borderId="23" xfId="0" applyNumberFormat="1" applyFont="1" applyBorder="1" applyAlignment="1" applyProtection="1">
      <alignment horizontal="center" vertical="center"/>
      <protection locked="0"/>
    </xf>
    <xf numFmtId="14" fontId="13" fillId="0" borderId="24" xfId="0" applyNumberFormat="1" applyFont="1" applyBorder="1" applyAlignment="1" applyProtection="1">
      <alignment horizontal="center" vertical="center"/>
      <protection locked="0"/>
    </xf>
    <xf numFmtId="14" fontId="13" fillId="0" borderId="25" xfId="0" applyNumberFormat="1"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10" fillId="0" borderId="20" xfId="0" applyFont="1" applyBorder="1" applyAlignment="1" applyProtection="1">
      <alignment horizontal="center" vertical="center"/>
      <protection locked="0"/>
    </xf>
    <xf numFmtId="0" fontId="4" fillId="0" borderId="18" xfId="0" applyFont="1" applyBorder="1" applyAlignment="1" applyProtection="1">
      <alignment horizontal="center" vertical="center"/>
      <protection locked="0"/>
    </xf>
    <xf numFmtId="14" fontId="17" fillId="0" borderId="23" xfId="0" applyNumberFormat="1" applyFont="1" applyBorder="1" applyAlignment="1" applyProtection="1">
      <alignment horizontal="center" vertical="center"/>
      <protection locked="0"/>
    </xf>
    <xf numFmtId="0" fontId="17" fillId="0" borderId="25" xfId="0" applyFont="1" applyBorder="1" applyAlignment="1" applyProtection="1">
      <alignment horizontal="center" vertical="center"/>
      <protection locked="0"/>
    </xf>
    <xf numFmtId="0" fontId="12" fillId="0" borderId="23" xfId="0" applyFont="1" applyBorder="1" applyAlignment="1" applyProtection="1">
      <alignment horizontal="center" vertical="center"/>
      <protection locked="0"/>
    </xf>
    <xf numFmtId="166" fontId="10" fillId="0" borderId="26" xfId="1" applyNumberFormat="1" applyFont="1" applyFill="1" applyBorder="1" applyAlignment="1" applyProtection="1">
      <alignment horizontal="center" vertical="center" wrapText="1"/>
      <protection locked="0"/>
    </xf>
    <xf numFmtId="166" fontId="10" fillId="0" borderId="17" xfId="1" applyNumberFormat="1" applyFont="1" applyFill="1" applyBorder="1" applyAlignment="1" applyProtection="1">
      <alignment horizontal="center" vertical="center" wrapText="1"/>
      <protection locked="0"/>
    </xf>
    <xf numFmtId="0" fontId="30" fillId="0" borderId="16" xfId="6" applyFont="1" applyBorder="1" applyAlignment="1" applyProtection="1">
      <alignment horizontal="center" vertical="center"/>
      <protection locked="0"/>
    </xf>
    <xf numFmtId="0" fontId="6" fillId="0" borderId="15" xfId="0" applyFont="1" applyBorder="1" applyAlignment="1" applyProtection="1">
      <alignment horizontal="left" vertical="center" wrapText="1"/>
      <protection locked="0"/>
    </xf>
    <xf numFmtId="0" fontId="6" fillId="0" borderId="16" xfId="0" applyFont="1" applyBorder="1" applyAlignment="1" applyProtection="1">
      <alignment horizontal="left" vertical="center" wrapText="1"/>
      <protection locked="0"/>
    </xf>
    <xf numFmtId="0" fontId="6" fillId="3" borderId="11" xfId="0" applyFont="1" applyFill="1" applyBorder="1" applyAlignment="1" applyProtection="1">
      <alignment horizontal="center" vertical="center"/>
      <protection locked="0"/>
    </xf>
    <xf numFmtId="0" fontId="6" fillId="3" borderId="12" xfId="0" applyFont="1" applyFill="1" applyBorder="1" applyAlignment="1" applyProtection="1">
      <alignment horizontal="center" vertical="center"/>
      <protection locked="0"/>
    </xf>
    <xf numFmtId="0" fontId="6" fillId="3" borderId="13" xfId="0" applyFont="1" applyFill="1" applyBorder="1" applyAlignment="1" applyProtection="1">
      <alignment horizontal="center" vertical="center"/>
      <protection locked="0"/>
    </xf>
    <xf numFmtId="0" fontId="6" fillId="3" borderId="14" xfId="0" applyFont="1" applyFill="1" applyBorder="1" applyAlignment="1" applyProtection="1">
      <alignment horizontal="center" vertical="center"/>
      <protection locked="0"/>
    </xf>
    <xf numFmtId="0" fontId="18" fillId="0" borderId="15" xfId="0" applyFont="1" applyBorder="1" applyAlignment="1" applyProtection="1">
      <alignment horizontal="left" vertical="center" wrapText="1"/>
      <protection locked="0"/>
    </xf>
    <xf numFmtId="0" fontId="10" fillId="0" borderId="16" xfId="0" applyFont="1" applyBorder="1" applyAlignment="1" applyProtection="1">
      <alignment horizontal="left" vertical="center"/>
      <protection locked="0"/>
    </xf>
    <xf numFmtId="0" fontId="10" fillId="0" borderId="17" xfId="0" applyFont="1" applyBorder="1" applyAlignment="1" applyProtection="1">
      <alignment horizontal="left" vertical="center"/>
      <protection locked="0"/>
    </xf>
    <xf numFmtId="0" fontId="6" fillId="0" borderId="28" xfId="0" applyFont="1" applyBorder="1" applyAlignment="1" applyProtection="1">
      <alignment horizontal="left" vertical="center"/>
      <protection locked="0"/>
    </xf>
    <xf numFmtId="0" fontId="6" fillId="0" borderId="29" xfId="0" applyFont="1" applyBorder="1" applyAlignment="1" applyProtection="1">
      <alignment horizontal="left" vertical="center"/>
      <protection locked="0"/>
    </xf>
    <xf numFmtId="0" fontId="6" fillId="0" borderId="30" xfId="0" applyFont="1" applyBorder="1" applyAlignment="1" applyProtection="1">
      <alignment horizontal="left" vertical="center"/>
      <protection locked="0"/>
    </xf>
    <xf numFmtId="0" fontId="10" fillId="0" borderId="11" xfId="0" applyFont="1" applyBorder="1" applyAlignment="1" applyProtection="1">
      <alignment horizontal="center" vertical="center"/>
      <protection locked="0"/>
    </xf>
    <xf numFmtId="0" fontId="10" fillId="0" borderId="12" xfId="0" applyFont="1" applyBorder="1" applyAlignment="1" applyProtection="1">
      <alignment horizontal="center" vertical="center"/>
      <protection locked="0"/>
    </xf>
    <xf numFmtId="0" fontId="10" fillId="0" borderId="13" xfId="0" applyFont="1" applyBorder="1" applyAlignment="1" applyProtection="1">
      <alignment horizontal="center" vertical="center"/>
      <protection locked="0"/>
    </xf>
    <xf numFmtId="0" fontId="6" fillId="3" borderId="11" xfId="0" applyFont="1" applyFill="1" applyBorder="1" applyAlignment="1" applyProtection="1">
      <alignment horizontal="center" vertical="center" wrapText="1"/>
      <protection locked="0"/>
    </xf>
    <xf numFmtId="0" fontId="6" fillId="3" borderId="12" xfId="0" applyFont="1" applyFill="1" applyBorder="1" applyAlignment="1" applyProtection="1">
      <alignment horizontal="center" vertical="center" wrapText="1"/>
      <protection locked="0"/>
    </xf>
    <xf numFmtId="0" fontId="6" fillId="3" borderId="32" xfId="0" applyFont="1" applyFill="1" applyBorder="1" applyAlignment="1" applyProtection="1">
      <alignment horizontal="center" vertical="center" wrapText="1"/>
      <protection locked="0"/>
    </xf>
    <xf numFmtId="0" fontId="17" fillId="0" borderId="23" xfId="0" applyFont="1" applyBorder="1" applyAlignment="1" applyProtection="1">
      <alignment horizontal="left" vertical="top" wrapText="1"/>
      <protection locked="0"/>
    </xf>
    <xf numFmtId="0" fontId="6" fillId="7" borderId="11" xfId="0" applyFont="1" applyFill="1" applyBorder="1" applyAlignment="1" applyProtection="1">
      <alignment horizontal="center" vertical="center"/>
      <protection locked="0"/>
    </xf>
    <xf numFmtId="0" fontId="6" fillId="7" borderId="12" xfId="0" applyFont="1" applyFill="1" applyBorder="1" applyAlignment="1" applyProtection="1">
      <alignment horizontal="center" vertical="center"/>
      <protection locked="0"/>
    </xf>
    <xf numFmtId="0" fontId="6" fillId="7" borderId="13" xfId="0" applyFont="1" applyFill="1" applyBorder="1" applyAlignment="1" applyProtection="1">
      <alignment horizontal="center" vertical="center"/>
      <protection locked="0"/>
    </xf>
    <xf numFmtId="0" fontId="15" fillId="7" borderId="11" xfId="0" applyFont="1" applyFill="1" applyBorder="1" applyAlignment="1" applyProtection="1">
      <alignment horizontal="center" vertical="center" wrapText="1"/>
      <protection locked="0"/>
    </xf>
    <xf numFmtId="0" fontId="15" fillId="7" borderId="13" xfId="0" applyFont="1" applyFill="1" applyBorder="1" applyAlignment="1" applyProtection="1">
      <alignment horizontal="center" vertical="center" wrapText="1"/>
      <protection locked="0"/>
    </xf>
    <xf numFmtId="166" fontId="15" fillId="0" borderId="45" xfId="1" applyNumberFormat="1" applyFont="1" applyFill="1" applyBorder="1" applyAlignment="1" applyProtection="1">
      <alignment horizontal="center" vertical="center" wrapText="1"/>
      <protection locked="0"/>
    </xf>
    <xf numFmtId="166" fontId="15" fillId="0" borderId="47" xfId="1" applyNumberFormat="1" applyFont="1" applyFill="1" applyBorder="1" applyAlignment="1" applyProtection="1">
      <alignment horizontal="center" vertical="center" wrapText="1"/>
      <protection locked="0"/>
    </xf>
    <xf numFmtId="166" fontId="15" fillId="0" borderId="49" xfId="1" applyNumberFormat="1" applyFont="1" applyFill="1" applyBorder="1" applyAlignment="1" applyProtection="1">
      <alignment horizontal="center" vertical="center" wrapText="1"/>
      <protection locked="0"/>
    </xf>
    <xf numFmtId="166" fontId="15" fillId="0" borderId="51" xfId="1" applyNumberFormat="1" applyFont="1" applyFill="1" applyBorder="1" applyAlignment="1" applyProtection="1">
      <alignment horizontal="center" vertical="center" wrapText="1"/>
      <protection locked="0"/>
    </xf>
    <xf numFmtId="166" fontId="15" fillId="0" borderId="53" xfId="1" applyNumberFormat="1" applyFont="1" applyFill="1" applyBorder="1" applyAlignment="1" applyProtection="1">
      <alignment horizontal="center" vertical="center" wrapText="1"/>
      <protection locked="0"/>
    </xf>
    <xf numFmtId="166" fontId="15" fillId="0" borderId="55" xfId="1" applyNumberFormat="1" applyFont="1" applyFill="1" applyBorder="1" applyAlignment="1" applyProtection="1">
      <alignment horizontal="center" vertical="center" wrapText="1"/>
      <protection locked="0"/>
    </xf>
    <xf numFmtId="168" fontId="19" fillId="0" borderId="40" xfId="0" applyNumberFormat="1" applyFont="1" applyBorder="1" applyAlignment="1">
      <alignment horizontal="left"/>
    </xf>
    <xf numFmtId="168" fontId="19" fillId="0" borderId="14" xfId="0" applyNumberFormat="1" applyFont="1" applyBorder="1" applyAlignment="1">
      <alignment horizontal="left"/>
    </xf>
    <xf numFmtId="168" fontId="10" fillId="0" borderId="31" xfId="0" applyNumberFormat="1" applyFont="1" applyBorder="1" applyAlignment="1">
      <alignment horizontal="left"/>
    </xf>
    <xf numFmtId="168" fontId="10" fillId="0" borderId="12" xfId="0" applyNumberFormat="1" applyFont="1" applyBorder="1" applyAlignment="1">
      <alignment horizontal="left"/>
    </xf>
    <xf numFmtId="168" fontId="10" fillId="0" borderId="40" xfId="0" applyNumberFormat="1" applyFont="1" applyBorder="1" applyAlignment="1">
      <alignment horizontal="left"/>
    </xf>
    <xf numFmtId="168" fontId="10" fillId="0" borderId="14" xfId="0" applyNumberFormat="1" applyFont="1" applyBorder="1" applyAlignment="1">
      <alignment horizontal="left"/>
    </xf>
    <xf numFmtId="0" fontId="19" fillId="0" borderId="14" xfId="0" applyFont="1" applyBorder="1" applyAlignment="1">
      <alignment horizontal="left"/>
    </xf>
    <xf numFmtId="0" fontId="10" fillId="0" borderId="14" xfId="0" applyFont="1" applyBorder="1" applyAlignment="1">
      <alignment horizontal="left"/>
    </xf>
    <xf numFmtId="0" fontId="10" fillId="0" borderId="0" xfId="0" applyFont="1" applyAlignment="1">
      <alignment horizontal="right"/>
    </xf>
    <xf numFmtId="0" fontId="12" fillId="0" borderId="19" xfId="0" applyFont="1" applyBorder="1" applyAlignment="1" applyProtection="1">
      <alignment horizontal="left" vertical="top"/>
      <protection locked="0"/>
    </xf>
    <xf numFmtId="0" fontId="12" fillId="0" borderId="20" xfId="0" applyFont="1" applyBorder="1" applyAlignment="1" applyProtection="1">
      <alignment horizontal="left" vertical="top"/>
      <protection locked="0"/>
    </xf>
    <xf numFmtId="0" fontId="12" fillId="0" borderId="21" xfId="0" applyFont="1" applyBorder="1" applyAlignment="1" applyProtection="1">
      <alignment horizontal="left" vertical="top"/>
      <protection locked="0"/>
    </xf>
    <xf numFmtId="0" fontId="12" fillId="0" borderId="0" xfId="0" applyFont="1" applyAlignment="1" applyProtection="1">
      <alignment horizontal="left" vertical="top"/>
      <protection locked="0"/>
    </xf>
    <xf numFmtId="0" fontId="12" fillId="0" borderId="22" xfId="0" applyFont="1" applyBorder="1" applyAlignment="1" applyProtection="1">
      <alignment horizontal="left" vertical="top"/>
      <protection locked="0"/>
    </xf>
    <xf numFmtId="0" fontId="12" fillId="0" borderId="23" xfId="0" applyFont="1" applyBorder="1" applyAlignment="1" applyProtection="1">
      <alignment horizontal="left" vertical="top"/>
      <protection locked="0"/>
    </xf>
    <xf numFmtId="0" fontId="12" fillId="0" borderId="24" xfId="0" applyFont="1" applyBorder="1" applyAlignment="1" applyProtection="1">
      <alignment horizontal="left" vertical="top"/>
      <protection locked="0"/>
    </xf>
    <xf numFmtId="0" fontId="12" fillId="0" borderId="25" xfId="0" applyFont="1" applyBorder="1" applyAlignment="1" applyProtection="1">
      <alignment horizontal="left" vertical="top"/>
      <protection locked="0"/>
    </xf>
  </cellXfs>
  <cellStyles count="7">
    <cellStyle name="Lien hypertexte" xfId="6" builtinId="8"/>
    <cellStyle name="Milliers" xfId="1" builtinId="3"/>
    <cellStyle name="Milliers 2_DA CAC VASA 12.07" xfId="3" xr:uid="{00000000-0005-0000-0000-000002000000}"/>
    <cellStyle name="Normal" xfId="0" builtinId="0"/>
    <cellStyle name="Normal 2" xfId="4" xr:uid="{00000000-0005-0000-0000-000004000000}"/>
    <cellStyle name="Pourcentage" xfId="2" builtinId="5"/>
    <cellStyle name="Texte de fond" xfId="5" xr:uid="{00000000-0005-0000-0000-000006000000}"/>
  </cellStyles>
  <dxfs count="0"/>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876300</xdr:colOff>
      <xdr:row>18</xdr:row>
      <xdr:rowOff>0</xdr:rowOff>
    </xdr:from>
    <xdr:to>
      <xdr:col>6</xdr:col>
      <xdr:colOff>882543</xdr:colOff>
      <xdr:row>18</xdr:row>
      <xdr:rowOff>9525</xdr:rowOff>
    </xdr:to>
    <xdr:pic>
      <xdr:nvPicPr>
        <xdr:cNvPr id="4" name="Picture 6" descr="ly">
          <a:extLst>
            <a:ext uri="{FF2B5EF4-FFF2-40B4-BE49-F238E27FC236}">
              <a16:creationId xmlns:a16="http://schemas.microsoft.com/office/drawing/2014/main" id="{D8C5AB04-98C9-42BB-8E99-864FE2AD52D6}"/>
            </a:ext>
          </a:extLst>
        </xdr:cNvPr>
        <xdr:cNvPicPr>
          <a:picLocks noChangeAspect="1" noChangeArrowheads="1"/>
        </xdr:cNvPicPr>
      </xdr:nvPicPr>
      <xdr:blipFill>
        <a:blip xmlns:r="http://schemas.openxmlformats.org/officeDocument/2006/relationships" r:embed="rId1">
          <a:lum bright="-100000" contrast="-100000"/>
        </a:blip>
        <a:srcRect/>
        <a:stretch>
          <a:fillRect/>
        </a:stretch>
      </xdr:blipFill>
      <xdr:spPr bwMode="auto">
        <a:xfrm>
          <a:off x="6200775" y="4629150"/>
          <a:ext cx="0" cy="9525"/>
        </a:xfrm>
        <a:prstGeom prst="rect">
          <a:avLst/>
        </a:prstGeom>
        <a:noFill/>
        <a:ln w="9525">
          <a:noFill/>
          <a:miter lim="800000"/>
          <a:headEnd/>
          <a:tailEnd/>
        </a:ln>
      </xdr:spPr>
    </xdr:pic>
    <xdr:clientData/>
  </xdr:twoCellAnchor>
  <xdr:twoCellAnchor editAs="oneCell">
    <xdr:from>
      <xdr:col>7</xdr:col>
      <xdr:colOff>0</xdr:colOff>
      <xdr:row>34</xdr:row>
      <xdr:rowOff>0</xdr:rowOff>
    </xdr:from>
    <xdr:to>
      <xdr:col>7</xdr:col>
      <xdr:colOff>6244</xdr:colOff>
      <xdr:row>34</xdr:row>
      <xdr:rowOff>9525</xdr:rowOff>
    </xdr:to>
    <xdr:pic>
      <xdr:nvPicPr>
        <xdr:cNvPr id="5" name="Picture 6" descr="ly">
          <a:extLst>
            <a:ext uri="{FF2B5EF4-FFF2-40B4-BE49-F238E27FC236}">
              <a16:creationId xmlns:a16="http://schemas.microsoft.com/office/drawing/2014/main" id="{31453D10-5447-486D-AD74-79F4DB2E5298}"/>
            </a:ext>
          </a:extLst>
        </xdr:cNvPr>
        <xdr:cNvPicPr>
          <a:picLocks noChangeAspect="1" noChangeArrowheads="1"/>
        </xdr:cNvPicPr>
      </xdr:nvPicPr>
      <xdr:blipFill>
        <a:blip xmlns:r="http://schemas.openxmlformats.org/officeDocument/2006/relationships" r:embed="rId1">
          <a:lum bright="-100000" contrast="-100000"/>
        </a:blip>
        <a:srcRect/>
        <a:stretch>
          <a:fillRect/>
        </a:stretch>
      </xdr:blipFill>
      <xdr:spPr bwMode="auto">
        <a:xfrm>
          <a:off x="6200775" y="8963025"/>
          <a:ext cx="0" cy="9525"/>
        </a:xfrm>
        <a:prstGeom prst="rect">
          <a:avLst/>
        </a:prstGeom>
        <a:noFill/>
        <a:ln w="9525">
          <a:noFill/>
          <a:miter lim="800000"/>
          <a:headEnd/>
          <a:tailEnd/>
        </a:ln>
      </xdr:spPr>
    </xdr:pic>
    <xdr:clientData/>
  </xdr:twoCellAnchor>
  <xdr:twoCellAnchor editAs="oneCell">
    <xdr:from>
      <xdr:col>7</xdr:col>
      <xdr:colOff>0</xdr:colOff>
      <xdr:row>34</xdr:row>
      <xdr:rowOff>0</xdr:rowOff>
    </xdr:from>
    <xdr:to>
      <xdr:col>7</xdr:col>
      <xdr:colOff>6244</xdr:colOff>
      <xdr:row>34</xdr:row>
      <xdr:rowOff>9525</xdr:rowOff>
    </xdr:to>
    <xdr:pic>
      <xdr:nvPicPr>
        <xdr:cNvPr id="6" name="Picture 6" descr="ly">
          <a:extLst>
            <a:ext uri="{FF2B5EF4-FFF2-40B4-BE49-F238E27FC236}">
              <a16:creationId xmlns:a16="http://schemas.microsoft.com/office/drawing/2014/main" id="{636B8577-3D39-4CAE-BF43-9F1164E1D8E1}"/>
            </a:ext>
          </a:extLst>
        </xdr:cNvPr>
        <xdr:cNvPicPr>
          <a:picLocks noChangeAspect="1" noChangeArrowheads="1"/>
        </xdr:cNvPicPr>
      </xdr:nvPicPr>
      <xdr:blipFill>
        <a:blip xmlns:r="http://schemas.openxmlformats.org/officeDocument/2006/relationships" r:embed="rId1">
          <a:lum bright="-100000" contrast="-100000"/>
        </a:blip>
        <a:srcRect/>
        <a:stretch>
          <a:fillRect/>
        </a:stretch>
      </xdr:blipFill>
      <xdr:spPr bwMode="auto">
        <a:xfrm>
          <a:off x="6200775" y="8963025"/>
          <a:ext cx="0" cy="9525"/>
        </a:xfrm>
        <a:prstGeom prst="rect">
          <a:avLst/>
        </a:prstGeom>
        <a:noFill/>
        <a:ln w="9525">
          <a:noFill/>
          <a:miter lim="800000"/>
          <a:headEnd/>
          <a:tailEnd/>
        </a:ln>
      </xdr:spPr>
    </xdr:pic>
    <xdr:clientData/>
  </xdr:twoCellAnchor>
  <xdr:oneCellAnchor>
    <xdr:from>
      <xdr:col>6</xdr:col>
      <xdr:colOff>876300</xdr:colOff>
      <xdr:row>34</xdr:row>
      <xdr:rowOff>0</xdr:rowOff>
    </xdr:from>
    <xdr:ext cx="1465" cy="9525"/>
    <xdr:pic>
      <xdr:nvPicPr>
        <xdr:cNvPr id="7" name="Picture 6" descr="ly">
          <a:extLst>
            <a:ext uri="{FF2B5EF4-FFF2-40B4-BE49-F238E27FC236}">
              <a16:creationId xmlns:a16="http://schemas.microsoft.com/office/drawing/2014/main" id="{50EF4BA0-C60D-4003-AC86-F8D69E931F63}"/>
            </a:ext>
          </a:extLst>
        </xdr:cNvPr>
        <xdr:cNvPicPr>
          <a:picLocks noChangeAspect="1" noChangeArrowheads="1"/>
        </xdr:cNvPicPr>
      </xdr:nvPicPr>
      <xdr:blipFill>
        <a:blip xmlns:r="http://schemas.openxmlformats.org/officeDocument/2006/relationships" r:embed="rId1">
          <a:lum bright="-100000" contrast="-100000"/>
        </a:blip>
        <a:srcRect/>
        <a:stretch>
          <a:fillRect/>
        </a:stretch>
      </xdr:blipFill>
      <xdr:spPr bwMode="auto">
        <a:xfrm>
          <a:off x="4866542" y="6938596"/>
          <a:ext cx="1465" cy="9525"/>
        </a:xfrm>
        <a:prstGeom prst="rect">
          <a:avLst/>
        </a:prstGeom>
        <a:noFill/>
        <a:ln w="9525">
          <a:noFill/>
          <a:miter lim="800000"/>
          <a:headEnd/>
          <a:tailEnd/>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vdclyo\Collaborateurs\CHA\CAC%20-%20Dossier%20annuel%20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de Garde"/>
      <sheetName val="Dossier Annuel"/>
      <sheetName val="Programme de travail"/>
      <sheetName val="Seuils de signification"/>
      <sheetName val="Quest Lutte contre blanchiment"/>
      <sheetName val="Quest Maintien mission"/>
      <sheetName val="Quest Fin de mission"/>
      <sheetName val="Quest Evènements post."/>
      <sheetName val="Quest Continuité exploi"/>
      <sheetName val="Quest Fraudes"/>
      <sheetName val="Quest Text légaux"/>
      <sheetName val="Quest Expert compt."/>
      <sheetName val="Quest Dirigeant"/>
      <sheetName val="Prépa. Décalration act."/>
      <sheetName val="Contrôle Annexe"/>
      <sheetName val="Contrôle Juridique (SAS)"/>
      <sheetName val="Contrôle Juridique (SA)"/>
      <sheetName val="Synthèse des ajustements"/>
      <sheetName val="B synth"/>
      <sheetName val="b10 quest"/>
      <sheetName val="B20"/>
      <sheetName val="B30"/>
      <sheetName val="B 40"/>
      <sheetName val="B 50"/>
      <sheetName val="B 60"/>
      <sheetName val="C synth"/>
      <sheetName val="C 10"/>
      <sheetName val="C 20"/>
      <sheetName val="D synth"/>
      <sheetName val="D.10 quest"/>
      <sheetName val="D15"/>
      <sheetName val="D 20"/>
      <sheetName val="D 30"/>
      <sheetName val="D 40"/>
      <sheetName val="D 50 "/>
      <sheetName val="D 55"/>
      <sheetName val="D60"/>
      <sheetName val="E synthèse"/>
      <sheetName val="E10 quest"/>
      <sheetName val="E 20"/>
      <sheetName val="E 30"/>
      <sheetName val="E 35"/>
      <sheetName val="E 40"/>
      <sheetName val="E 50"/>
      <sheetName val="E 60"/>
      <sheetName val="E 70"/>
      <sheetName val="E 75"/>
      <sheetName val="E80"/>
      <sheetName val="E85"/>
      <sheetName val="E 90"/>
      <sheetName val="F synthèse"/>
      <sheetName val="F10 quest"/>
      <sheetName val="F 20"/>
      <sheetName val="F 30"/>
      <sheetName val="F 40"/>
      <sheetName val="F50"/>
      <sheetName val="F60"/>
      <sheetName val="G synthèse"/>
      <sheetName val="H synthèse"/>
      <sheetName val="H10 quest"/>
      <sheetName val=" J synthèse"/>
      <sheetName val="K synthèse"/>
      <sheetName val="K 10"/>
      <sheetName val="L synthèse"/>
      <sheetName val="M synthèse"/>
      <sheetName val="M.10 quest"/>
      <sheetName val="M 20"/>
      <sheetName val="M 30"/>
      <sheetName val="M 35"/>
      <sheetName val="M 40"/>
      <sheetName val="M 50"/>
      <sheetName val="M 60"/>
      <sheetName val="M 65"/>
      <sheetName val="M70"/>
      <sheetName val="M75"/>
      <sheetName val="N synthèse"/>
      <sheetName val="N.10 quest"/>
      <sheetName val="N 01"/>
      <sheetName val="N 20"/>
      <sheetName val="N 30"/>
      <sheetName val="N 40"/>
      <sheetName val="N 50"/>
      <sheetName val="N 60"/>
      <sheetName val="P synth"/>
      <sheetName val="P10 quest"/>
      <sheetName val="P 20"/>
      <sheetName val="P 301"/>
      <sheetName val="P 302"/>
      <sheetName val="P 40"/>
      <sheetName val="P 50"/>
      <sheetName val="P 55"/>
      <sheetName val="P 60"/>
      <sheetName val="P 70"/>
      <sheetName val="P 80"/>
      <sheetName val="S synth"/>
      <sheetName val="T synth"/>
      <sheetName val="Tableau pour NDS"/>
      <sheetName val="BILAN ACTIF"/>
      <sheetName val="BILAN PASSIF"/>
      <sheetName val="SI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ow r="24">
          <cell r="F24">
            <v>0</v>
          </cell>
          <cell r="H24">
            <v>0</v>
          </cell>
        </row>
        <row r="29">
          <cell r="F29">
            <v>0</v>
          </cell>
          <cell r="H29">
            <v>0</v>
          </cell>
        </row>
        <row r="34">
          <cell r="F34">
            <v>0</v>
          </cell>
          <cell r="H34">
            <v>0</v>
          </cell>
        </row>
        <row r="54">
          <cell r="F54">
            <v>0</v>
          </cell>
          <cell r="H54">
            <v>0</v>
          </cell>
        </row>
        <row r="56">
          <cell r="F56" t="str">
            <v>#DC{£AED=1}</v>
          </cell>
          <cell r="H56" t="str">
            <v>#DC{£AED_1=1}</v>
          </cell>
        </row>
        <row r="58">
          <cell r="F58" t="e">
            <v>#VALUE!</v>
          </cell>
          <cell r="H58" t="e">
            <v>#VALUE!</v>
          </cell>
        </row>
      </sheetData>
      <sheetData sheetId="99">
        <row r="8">
          <cell r="B8" t="str">
            <v>#DC{£DS1=1}</v>
          </cell>
          <cell r="D8" t="str">
            <v>#DC{£DS1_1=1}</v>
          </cell>
        </row>
      </sheetData>
    </sheetDataSet>
  </externalBook>
</externalLink>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W32"/>
  <sheetViews>
    <sheetView showGridLines="0" tabSelected="1" zoomScale="90" zoomScaleNormal="90" workbookViewId="0">
      <selection activeCell="C37" sqref="C37"/>
    </sheetView>
  </sheetViews>
  <sheetFormatPr baseColWidth="10" defaultColWidth="11.42578125" defaultRowHeight="15.75" x14ac:dyDescent="0.25"/>
  <cols>
    <col min="1" max="12" width="14.7109375" style="100" customWidth="1"/>
    <col min="13" max="13" width="23.28515625" style="100" customWidth="1"/>
    <col min="14" max="15" width="14.7109375" style="100" customWidth="1"/>
    <col min="16" max="16" width="8.28515625" style="100" customWidth="1"/>
    <col min="17" max="17" width="11.42578125" style="100" hidden="1" customWidth="1"/>
    <col min="18" max="16384" width="11.42578125" style="100"/>
  </cols>
  <sheetData>
    <row r="1" spans="1:23" s="99" customFormat="1" ht="15" customHeight="1" x14ac:dyDescent="0.2">
      <c r="A1" s="10"/>
      <c r="B1" s="11"/>
      <c r="C1" s="11"/>
      <c r="D1" s="239" t="s">
        <v>0</v>
      </c>
      <c r="E1" s="240"/>
      <c r="F1" s="240"/>
      <c r="G1" s="240"/>
      <c r="H1" s="240"/>
      <c r="I1" s="240"/>
      <c r="J1" s="240"/>
      <c r="K1" s="240"/>
      <c r="L1" s="240"/>
      <c r="M1" s="241"/>
      <c r="N1" s="11"/>
      <c r="O1" s="12"/>
      <c r="P1" s="1"/>
      <c r="Q1" s="27" t="s">
        <v>1</v>
      </c>
      <c r="R1" s="1"/>
      <c r="S1" s="1"/>
      <c r="T1" s="1"/>
      <c r="U1" s="1"/>
      <c r="V1" s="1"/>
      <c r="W1" s="1"/>
    </row>
    <row r="2" spans="1:23" s="99" customFormat="1" ht="15" customHeight="1" thickBot="1" x14ac:dyDescent="0.25">
      <c r="A2" s="13"/>
      <c r="B2" s="14"/>
      <c r="C2" s="14"/>
      <c r="D2" s="242"/>
      <c r="E2" s="243"/>
      <c r="F2" s="243"/>
      <c r="G2" s="243"/>
      <c r="H2" s="243"/>
      <c r="I2" s="243"/>
      <c r="J2" s="243"/>
      <c r="K2" s="243"/>
      <c r="L2" s="243"/>
      <c r="M2" s="244"/>
      <c r="N2" s="14"/>
      <c r="O2" s="15"/>
      <c r="P2" s="1"/>
      <c r="Q2" s="27" t="s">
        <v>2</v>
      </c>
      <c r="R2" s="1"/>
      <c r="S2" s="1"/>
      <c r="T2" s="1"/>
      <c r="U2" s="1"/>
      <c r="V2" s="1"/>
      <c r="W2" s="1"/>
    </row>
    <row r="3" spans="1:23" ht="15" customHeight="1" x14ac:dyDescent="0.25">
      <c r="A3" s="245" t="s">
        <v>3</v>
      </c>
      <c r="B3" s="246"/>
      <c r="C3" s="246"/>
      <c r="D3" s="246"/>
      <c r="E3" s="246"/>
      <c r="F3" s="246"/>
      <c r="G3" s="246"/>
      <c r="H3" s="246"/>
      <c r="I3" s="246"/>
      <c r="J3" s="246"/>
      <c r="K3" s="246"/>
      <c r="L3" s="246"/>
      <c r="M3" s="246"/>
      <c r="N3" s="246"/>
      <c r="O3" s="247"/>
      <c r="P3" s="7"/>
      <c r="Q3" s="28"/>
      <c r="R3" s="7"/>
      <c r="S3" s="7"/>
      <c r="T3" s="3"/>
      <c r="U3" s="7"/>
      <c r="V3" s="5"/>
      <c r="W3" s="6"/>
    </row>
    <row r="4" spans="1:23" ht="15" customHeight="1" x14ac:dyDescent="0.25">
      <c r="A4" s="245"/>
      <c r="B4" s="246"/>
      <c r="C4" s="246"/>
      <c r="D4" s="246"/>
      <c r="E4" s="246"/>
      <c r="F4" s="246"/>
      <c r="G4" s="246"/>
      <c r="H4" s="246"/>
      <c r="I4" s="246"/>
      <c r="J4" s="246"/>
      <c r="K4" s="246"/>
      <c r="L4" s="246"/>
      <c r="M4" s="246"/>
      <c r="N4" s="246"/>
      <c r="O4" s="247"/>
      <c r="P4" s="7"/>
      <c r="Q4" s="27" t="s">
        <v>4</v>
      </c>
      <c r="R4" s="2"/>
      <c r="S4" s="7"/>
      <c r="T4" s="3"/>
      <c r="U4" s="7"/>
      <c r="V4" s="5"/>
      <c r="W4" s="6"/>
    </row>
    <row r="5" spans="1:23" ht="15" customHeight="1" thickBot="1" x14ac:dyDescent="0.3">
      <c r="A5" s="248"/>
      <c r="B5" s="249"/>
      <c r="C5" s="249"/>
      <c r="D5" s="249"/>
      <c r="E5" s="249"/>
      <c r="F5" s="249"/>
      <c r="G5" s="249"/>
      <c r="H5" s="249"/>
      <c r="I5" s="249"/>
      <c r="J5" s="249"/>
      <c r="K5" s="249"/>
      <c r="L5" s="249"/>
      <c r="M5" s="249"/>
      <c r="N5" s="249"/>
      <c r="O5" s="250"/>
      <c r="P5" s="7"/>
      <c r="Q5" s="27" t="s">
        <v>5</v>
      </c>
      <c r="R5" s="7"/>
      <c r="S5" s="8"/>
      <c r="T5" s="4"/>
      <c r="U5" s="23"/>
      <c r="V5" s="23"/>
      <c r="W5" s="23"/>
    </row>
    <row r="6" spans="1:23" ht="15" customHeight="1" x14ac:dyDescent="0.25">
      <c r="A6" s="17" t="s">
        <v>6</v>
      </c>
      <c r="B6" s="108" t="s">
        <v>143</v>
      </c>
      <c r="C6" s="17" t="s">
        <v>7</v>
      </c>
      <c r="D6" s="108"/>
      <c r="E6" s="264" t="s">
        <v>8</v>
      </c>
      <c r="F6" s="265"/>
      <c r="G6" s="265"/>
      <c r="H6" s="265"/>
      <c r="I6" s="265"/>
      <c r="J6" s="265"/>
      <c r="K6" s="265"/>
      <c r="L6" s="266"/>
      <c r="M6" s="236" t="s">
        <v>9</v>
      </c>
      <c r="N6" s="270" t="s">
        <v>10</v>
      </c>
      <c r="O6" s="271"/>
      <c r="P6" s="7"/>
      <c r="Q6" s="28" t="s">
        <v>11</v>
      </c>
      <c r="R6" s="9"/>
      <c r="S6" s="7"/>
      <c r="T6" s="1"/>
      <c r="U6" s="1"/>
      <c r="V6" s="7"/>
      <c r="W6" s="7"/>
    </row>
    <row r="7" spans="1:23" ht="15" customHeight="1" thickBot="1" x14ac:dyDescent="0.3">
      <c r="A7" s="18" t="s">
        <v>12</v>
      </c>
      <c r="B7" s="109"/>
      <c r="C7" s="18" t="s">
        <v>12</v>
      </c>
      <c r="D7" s="109"/>
      <c r="E7" s="267"/>
      <c r="F7" s="268"/>
      <c r="G7" s="268"/>
      <c r="H7" s="268"/>
      <c r="I7" s="268"/>
      <c r="J7" s="268"/>
      <c r="K7" s="268"/>
      <c r="L7" s="269"/>
      <c r="M7" s="237" t="s">
        <v>13</v>
      </c>
      <c r="N7" s="272" t="s">
        <v>14</v>
      </c>
      <c r="O7" s="273"/>
      <c r="P7" s="7"/>
      <c r="Q7" s="27" t="s">
        <v>15</v>
      </c>
      <c r="R7" s="7"/>
      <c r="S7" s="7"/>
      <c r="T7" s="7"/>
      <c r="U7" s="7"/>
      <c r="V7" s="7"/>
      <c r="W7" s="7"/>
    </row>
    <row r="8" spans="1:23" ht="21" customHeight="1" thickBot="1" x14ac:dyDescent="0.3">
      <c r="A8" s="19"/>
      <c r="B8" s="16"/>
      <c r="C8" s="20"/>
      <c r="D8" s="20"/>
      <c r="E8" s="21"/>
      <c r="F8" s="21"/>
      <c r="G8" s="21"/>
      <c r="H8" s="21"/>
      <c r="I8" s="21"/>
      <c r="J8" s="21"/>
      <c r="K8" s="21"/>
      <c r="L8" s="21"/>
      <c r="M8" s="22"/>
      <c r="N8" s="154"/>
      <c r="O8" s="154"/>
      <c r="P8" s="7"/>
      <c r="Q8" s="27" t="s">
        <v>16</v>
      </c>
      <c r="R8" s="7"/>
      <c r="S8" s="7"/>
      <c r="T8" s="7"/>
      <c r="U8" s="7"/>
      <c r="V8" s="7"/>
      <c r="W8" s="7"/>
    </row>
    <row r="9" spans="1:23" s="101" customFormat="1" ht="31.5" customHeight="1" thickBot="1" x14ac:dyDescent="0.3">
      <c r="A9" s="262" t="s">
        <v>17</v>
      </c>
      <c r="B9" s="263"/>
      <c r="C9" s="263"/>
      <c r="D9" s="155" t="s">
        <v>5</v>
      </c>
      <c r="E9" s="156"/>
      <c r="F9" s="254" t="s">
        <v>18</v>
      </c>
      <c r="G9" s="255"/>
      <c r="H9" s="255"/>
      <c r="I9" s="255"/>
      <c r="J9" s="157"/>
      <c r="K9" s="158"/>
      <c r="L9" s="254" t="s">
        <v>19</v>
      </c>
      <c r="M9" s="255"/>
      <c r="N9" s="155" t="s">
        <v>16</v>
      </c>
      <c r="O9" s="156"/>
      <c r="P9" s="20"/>
      <c r="Q9" s="28" t="s">
        <v>20</v>
      </c>
      <c r="R9" s="20"/>
      <c r="S9" s="102"/>
      <c r="T9" s="20"/>
      <c r="U9" s="20"/>
      <c r="V9" s="20"/>
      <c r="W9" s="20"/>
    </row>
    <row r="10" spans="1:23" s="103" customFormat="1" ht="21" customHeight="1" thickBot="1" x14ac:dyDescent="0.25">
      <c r="A10" s="24"/>
      <c r="B10" s="24"/>
      <c r="C10" s="24"/>
      <c r="D10" s="24"/>
      <c r="E10" s="24"/>
      <c r="F10" s="24"/>
      <c r="G10" s="24"/>
      <c r="H10" s="24"/>
      <c r="I10" s="24"/>
      <c r="J10" s="24"/>
      <c r="K10" s="24"/>
      <c r="L10" s="24"/>
      <c r="M10" s="24"/>
      <c r="N10" s="24"/>
      <c r="O10" s="24"/>
      <c r="P10" s="26"/>
      <c r="Q10" s="26"/>
      <c r="R10" s="26"/>
      <c r="S10" s="26"/>
      <c r="T10" s="26"/>
      <c r="U10" s="26"/>
      <c r="V10" s="26"/>
      <c r="W10" s="26"/>
    </row>
    <row r="11" spans="1:23" ht="15" customHeight="1" thickBot="1" x14ac:dyDescent="0.3">
      <c r="A11" s="289" t="s">
        <v>21</v>
      </c>
      <c r="B11" s="290"/>
      <c r="C11" s="287" t="s">
        <v>22</v>
      </c>
      <c r="D11" s="288"/>
      <c r="E11" s="288"/>
      <c r="F11" s="288"/>
      <c r="G11" s="288"/>
      <c r="H11" s="288"/>
      <c r="I11" s="288"/>
      <c r="J11" s="288"/>
      <c r="K11" s="288"/>
      <c r="L11" s="288"/>
      <c r="M11" s="233" t="s">
        <v>23</v>
      </c>
      <c r="N11" s="285" t="s">
        <v>24</v>
      </c>
      <c r="O11" s="286"/>
      <c r="P11" s="102"/>
      <c r="Q11" s="7"/>
      <c r="R11" s="7"/>
      <c r="S11" s="7"/>
      <c r="T11" s="7"/>
      <c r="U11" s="7"/>
      <c r="V11" s="7"/>
      <c r="W11" s="7"/>
    </row>
    <row r="12" spans="1:23" s="99" customFormat="1" ht="15" customHeight="1" x14ac:dyDescent="0.25">
      <c r="A12" s="256" t="s">
        <v>25</v>
      </c>
      <c r="B12" s="257"/>
      <c r="C12" s="159" t="s">
        <v>26</v>
      </c>
      <c r="D12" s="160"/>
      <c r="E12" s="160"/>
      <c r="F12" s="160"/>
      <c r="G12" s="160"/>
      <c r="H12" s="160"/>
      <c r="I12" s="160"/>
      <c r="J12" s="160"/>
      <c r="K12" s="160"/>
      <c r="L12" s="160"/>
      <c r="M12" s="234" t="s">
        <v>1</v>
      </c>
      <c r="N12" s="260" t="s">
        <v>27</v>
      </c>
      <c r="O12" s="261"/>
      <c r="P12" s="102" t="s">
        <v>28</v>
      </c>
      <c r="Q12" s="7"/>
      <c r="R12" s="7" t="s">
        <v>29</v>
      </c>
      <c r="S12" s="1"/>
      <c r="T12" s="1"/>
      <c r="U12" s="1"/>
      <c r="V12" s="1"/>
      <c r="W12" s="1"/>
    </row>
    <row r="13" spans="1:23" s="99" customFormat="1" ht="15" customHeight="1" x14ac:dyDescent="0.2">
      <c r="A13" s="258" t="s">
        <v>30</v>
      </c>
      <c r="B13" s="259"/>
      <c r="C13" s="110" t="s">
        <v>31</v>
      </c>
      <c r="D13" s="110"/>
      <c r="E13" s="110"/>
      <c r="F13" s="110"/>
      <c r="G13" s="110"/>
      <c r="H13" s="110"/>
      <c r="I13" s="110"/>
      <c r="J13" s="110"/>
      <c r="K13" s="110"/>
      <c r="L13" s="110"/>
      <c r="M13" s="234" t="s">
        <v>1</v>
      </c>
      <c r="N13" s="253" t="s">
        <v>32</v>
      </c>
      <c r="O13" s="252"/>
      <c r="P13" s="104" t="s">
        <v>33</v>
      </c>
      <c r="Q13" s="1"/>
      <c r="R13" s="1" t="s">
        <v>34</v>
      </c>
      <c r="S13" s="1"/>
      <c r="T13" s="104"/>
      <c r="U13" s="1"/>
      <c r="V13" s="1"/>
      <c r="W13" s="1"/>
    </row>
    <row r="14" spans="1:23" s="99" customFormat="1" ht="15" customHeight="1" x14ac:dyDescent="0.25">
      <c r="A14" s="258" t="s">
        <v>35</v>
      </c>
      <c r="B14" s="259"/>
      <c r="C14" s="110" t="s">
        <v>36</v>
      </c>
      <c r="D14" s="110"/>
      <c r="E14" s="110"/>
      <c r="F14" s="110"/>
      <c r="G14" s="110"/>
      <c r="H14" s="110"/>
      <c r="I14" s="110"/>
      <c r="J14" s="110"/>
      <c r="K14" s="110"/>
      <c r="L14" s="110"/>
      <c r="M14" s="234" t="s">
        <v>1</v>
      </c>
      <c r="N14" s="253" t="s">
        <v>37</v>
      </c>
      <c r="O14" s="252"/>
      <c r="P14" s="105" t="s">
        <v>38</v>
      </c>
      <c r="Q14" s="1"/>
      <c r="R14" s="1" t="s">
        <v>39</v>
      </c>
      <c r="S14" s="1"/>
      <c r="T14" s="1"/>
      <c r="U14" s="1"/>
      <c r="V14" s="1"/>
      <c r="W14" s="1"/>
    </row>
    <row r="15" spans="1:23" s="99" customFormat="1" ht="15" customHeight="1" x14ac:dyDescent="0.2">
      <c r="A15" s="258" t="s">
        <v>40</v>
      </c>
      <c r="B15" s="259"/>
      <c r="C15" s="110" t="s">
        <v>41</v>
      </c>
      <c r="D15" s="110"/>
      <c r="E15" s="110"/>
      <c r="F15" s="110"/>
      <c r="G15" s="110"/>
      <c r="H15" s="110"/>
      <c r="I15" s="110"/>
      <c r="J15" s="110"/>
      <c r="K15" s="110"/>
      <c r="L15" s="110"/>
      <c r="M15" s="234" t="s">
        <v>1</v>
      </c>
      <c r="N15" s="251" t="s">
        <v>42</v>
      </c>
      <c r="O15" s="252"/>
      <c r="P15" s="104" t="s">
        <v>43</v>
      </c>
      <c r="Q15" s="1"/>
      <c r="R15" s="1" t="s">
        <v>44</v>
      </c>
      <c r="S15" s="1"/>
      <c r="T15" s="1"/>
      <c r="U15" s="1"/>
      <c r="V15" s="1"/>
      <c r="W15" s="1"/>
    </row>
    <row r="16" spans="1:23" s="99" customFormat="1" ht="15" customHeight="1" x14ac:dyDescent="0.2">
      <c r="A16" s="258" t="s">
        <v>45</v>
      </c>
      <c r="B16" s="259"/>
      <c r="C16" s="110" t="s">
        <v>46</v>
      </c>
      <c r="D16" s="110"/>
      <c r="E16" s="110"/>
      <c r="F16" s="110"/>
      <c r="G16" s="110"/>
      <c r="H16" s="110"/>
      <c r="I16" s="110"/>
      <c r="J16" s="110"/>
      <c r="K16" s="110"/>
      <c r="L16" s="110"/>
      <c r="M16" s="234" t="s">
        <v>1</v>
      </c>
      <c r="N16" s="253" t="s">
        <v>47</v>
      </c>
      <c r="O16" s="252"/>
      <c r="P16" s="106" t="s">
        <v>48</v>
      </c>
      <c r="Q16" s="1"/>
      <c r="R16" s="1" t="s">
        <v>44</v>
      </c>
      <c r="S16" s="1"/>
      <c r="T16" s="1"/>
      <c r="U16" s="1"/>
      <c r="V16" s="1"/>
      <c r="W16" s="1"/>
    </row>
    <row r="17" spans="1:20" s="99" customFormat="1" ht="15" customHeight="1" x14ac:dyDescent="0.2">
      <c r="A17" s="258" t="s">
        <v>49</v>
      </c>
      <c r="B17" s="259"/>
      <c r="C17" s="110" t="s">
        <v>50</v>
      </c>
      <c r="D17" s="110"/>
      <c r="E17" s="110"/>
      <c r="F17" s="110"/>
      <c r="G17" s="110"/>
      <c r="H17" s="110"/>
      <c r="I17" s="110"/>
      <c r="J17" s="110"/>
      <c r="K17" s="110"/>
      <c r="L17" s="110"/>
      <c r="M17" s="234" t="s">
        <v>1</v>
      </c>
      <c r="N17" s="253" t="s">
        <v>51</v>
      </c>
      <c r="O17" s="252"/>
      <c r="P17" s="106" t="s">
        <v>52</v>
      </c>
      <c r="Q17" s="1"/>
      <c r="R17" s="1" t="s">
        <v>44</v>
      </c>
      <c r="S17" s="1"/>
      <c r="T17" s="1"/>
    </row>
    <row r="18" spans="1:20" s="99" customFormat="1" ht="15" customHeight="1" x14ac:dyDescent="0.2">
      <c r="A18" s="258" t="s">
        <v>53</v>
      </c>
      <c r="B18" s="259"/>
      <c r="C18" s="161" t="str">
        <f>'I700 Taux moyen d''amortissement'!E6</f>
        <v>Taux moyen d'amortissement</v>
      </c>
      <c r="D18" s="110"/>
      <c r="E18" s="110"/>
      <c r="F18" s="110"/>
      <c r="G18" s="110"/>
      <c r="H18" s="110"/>
      <c r="I18" s="110"/>
      <c r="J18" s="110"/>
      <c r="K18" s="110"/>
      <c r="L18" s="110"/>
      <c r="M18" s="234" t="s">
        <v>1</v>
      </c>
      <c r="N18" s="253" t="s">
        <v>54</v>
      </c>
      <c r="O18" s="252"/>
      <c r="P18" s="104" t="s">
        <v>55</v>
      </c>
      <c r="Q18" s="1"/>
      <c r="R18" s="1" t="s">
        <v>56</v>
      </c>
      <c r="S18" s="1"/>
      <c r="T18" s="1"/>
    </row>
    <row r="19" spans="1:20" s="99" customFormat="1" ht="15" customHeight="1" thickBot="1" x14ac:dyDescent="0.25">
      <c r="A19" s="295"/>
      <c r="B19" s="296"/>
      <c r="C19" s="299"/>
      <c r="D19" s="299"/>
      <c r="E19" s="299"/>
      <c r="F19" s="299"/>
      <c r="G19" s="299"/>
      <c r="H19" s="299"/>
      <c r="I19" s="299"/>
      <c r="J19" s="299"/>
      <c r="K19" s="299"/>
      <c r="L19" s="299"/>
      <c r="M19" s="235"/>
      <c r="N19" s="297"/>
      <c r="O19" s="298"/>
      <c r="P19" s="106"/>
      <c r="Q19" s="1"/>
      <c r="R19" s="1"/>
      <c r="S19" s="1"/>
      <c r="T19" s="1"/>
    </row>
    <row r="20" spans="1:20" s="107" customFormat="1" ht="21" customHeight="1" thickBot="1" x14ac:dyDescent="0.3">
      <c r="A20" s="25"/>
      <c r="B20" s="25"/>
      <c r="C20" s="25"/>
      <c r="D20" s="25"/>
      <c r="E20" s="25"/>
      <c r="F20" s="25"/>
      <c r="G20" s="25"/>
      <c r="H20" s="25"/>
      <c r="I20" s="25"/>
      <c r="J20" s="25"/>
      <c r="K20" s="25"/>
      <c r="L20" s="25"/>
      <c r="M20" s="25"/>
      <c r="N20" s="25"/>
      <c r="O20" s="25"/>
      <c r="P20" s="106"/>
      <c r="Q20" s="25"/>
      <c r="R20" s="25"/>
      <c r="S20" s="25"/>
      <c r="T20" s="104"/>
    </row>
    <row r="21" spans="1:20" s="107" customFormat="1" thickBot="1" x14ac:dyDescent="0.3">
      <c r="A21" s="292" t="s">
        <v>57</v>
      </c>
      <c r="B21" s="293"/>
      <c r="C21" s="293"/>
      <c r="D21" s="293"/>
      <c r="E21" s="293"/>
      <c r="F21" s="293"/>
      <c r="G21" s="293"/>
      <c r="H21" s="293"/>
      <c r="I21" s="293"/>
      <c r="J21" s="293"/>
      <c r="K21" s="293"/>
      <c r="L21" s="293"/>
      <c r="M21" s="293"/>
      <c r="N21" s="293"/>
      <c r="O21" s="294"/>
      <c r="P21" s="25"/>
      <c r="Q21" s="25"/>
      <c r="R21" s="25"/>
      <c r="S21" s="25"/>
      <c r="T21" s="25"/>
    </row>
    <row r="22" spans="1:20" s="7" customFormat="1" ht="9.9499999999999993" customHeight="1" x14ac:dyDescent="0.25">
      <c r="A22" s="291" t="s">
        <v>144</v>
      </c>
      <c r="B22" s="274"/>
      <c r="C22" s="274"/>
      <c r="D22" s="274"/>
      <c r="E22" s="274"/>
      <c r="F22" s="274"/>
      <c r="G22" s="274"/>
      <c r="H22" s="274"/>
      <c r="I22" s="274"/>
      <c r="J22" s="274"/>
      <c r="K22" s="274"/>
      <c r="L22" s="274"/>
      <c r="M22" s="274"/>
      <c r="N22" s="274"/>
      <c r="O22" s="275"/>
    </row>
    <row r="23" spans="1:20" s="7" customFormat="1" ht="9.9499999999999993" customHeight="1" x14ac:dyDescent="0.25">
      <c r="A23" s="276"/>
      <c r="B23" s="277"/>
      <c r="C23" s="277"/>
      <c r="D23" s="277"/>
      <c r="E23" s="277"/>
      <c r="F23" s="277"/>
      <c r="G23" s="277"/>
      <c r="H23" s="277"/>
      <c r="I23" s="277"/>
      <c r="J23" s="277"/>
      <c r="K23" s="277"/>
      <c r="L23" s="277"/>
      <c r="M23" s="277"/>
      <c r="N23" s="277"/>
      <c r="O23" s="278"/>
    </row>
    <row r="24" spans="1:20" s="7" customFormat="1" ht="9.9499999999999993" customHeight="1" x14ac:dyDescent="0.25">
      <c r="A24" s="276"/>
      <c r="B24" s="277"/>
      <c r="C24" s="277"/>
      <c r="D24" s="277"/>
      <c r="E24" s="277"/>
      <c r="F24" s="277"/>
      <c r="G24" s="277"/>
      <c r="H24" s="277"/>
      <c r="I24" s="277"/>
      <c r="J24" s="277"/>
      <c r="K24" s="277"/>
      <c r="L24" s="277"/>
      <c r="M24" s="277"/>
      <c r="N24" s="277"/>
      <c r="O24" s="278"/>
    </row>
    <row r="25" spans="1:20" s="7" customFormat="1" ht="9.9499999999999993" customHeight="1" thickBot="1" x14ac:dyDescent="0.3">
      <c r="A25" s="279"/>
      <c r="B25" s="280"/>
      <c r="C25" s="280"/>
      <c r="D25" s="280"/>
      <c r="E25" s="280"/>
      <c r="F25" s="280"/>
      <c r="G25" s="280"/>
      <c r="H25" s="280"/>
      <c r="I25" s="280"/>
      <c r="J25" s="280"/>
      <c r="K25" s="280"/>
      <c r="L25" s="280"/>
      <c r="M25" s="280"/>
      <c r="N25" s="280"/>
      <c r="O25" s="281"/>
    </row>
    <row r="26" spans="1:20" s="107" customFormat="1" ht="21" customHeight="1" thickBot="1" x14ac:dyDescent="0.3">
      <c r="A26" s="25"/>
      <c r="B26" s="25"/>
      <c r="C26" s="25"/>
      <c r="D26" s="25"/>
      <c r="E26" s="25"/>
      <c r="F26" s="25"/>
      <c r="G26" s="25"/>
      <c r="H26" s="25"/>
      <c r="I26" s="25"/>
      <c r="J26" s="25"/>
      <c r="K26" s="25"/>
      <c r="L26" s="25"/>
      <c r="M26" s="25"/>
      <c r="N26" s="25"/>
      <c r="O26" s="25"/>
      <c r="P26" s="25"/>
      <c r="Q26" s="25"/>
      <c r="R26" s="25"/>
      <c r="S26" s="25"/>
      <c r="T26" s="25"/>
    </row>
    <row r="27" spans="1:20" s="107" customFormat="1" thickBot="1" x14ac:dyDescent="0.3">
      <c r="A27" s="282" t="s">
        <v>58</v>
      </c>
      <c r="B27" s="283"/>
      <c r="C27" s="283"/>
      <c r="D27" s="283"/>
      <c r="E27" s="283"/>
      <c r="F27" s="283"/>
      <c r="G27" s="283"/>
      <c r="H27" s="283"/>
      <c r="I27" s="283"/>
      <c r="J27" s="283"/>
      <c r="K27" s="283"/>
      <c r="L27" s="283"/>
      <c r="M27" s="283"/>
      <c r="N27" s="283"/>
      <c r="O27" s="284"/>
      <c r="P27" s="25"/>
      <c r="Q27" s="25"/>
      <c r="R27" s="25"/>
      <c r="S27" s="25"/>
      <c r="T27" s="25"/>
    </row>
    <row r="28" spans="1:20" s="7" customFormat="1" ht="9.9499999999999993" customHeight="1" x14ac:dyDescent="0.25">
      <c r="A28" s="291"/>
      <c r="B28" s="368"/>
      <c r="C28" s="368"/>
      <c r="D28" s="368"/>
      <c r="E28" s="368"/>
      <c r="F28" s="368"/>
      <c r="G28" s="368"/>
      <c r="H28" s="368"/>
      <c r="I28" s="368"/>
      <c r="J28" s="368"/>
      <c r="K28" s="368"/>
      <c r="L28" s="368"/>
      <c r="M28" s="368"/>
      <c r="N28" s="368"/>
      <c r="O28" s="369"/>
    </row>
    <row r="29" spans="1:20" s="7" customFormat="1" ht="9.9499999999999993" customHeight="1" x14ac:dyDescent="0.25">
      <c r="A29" s="370"/>
      <c r="B29" s="371"/>
      <c r="C29" s="371"/>
      <c r="D29" s="371"/>
      <c r="E29" s="371"/>
      <c r="F29" s="371"/>
      <c r="G29" s="371"/>
      <c r="H29" s="371"/>
      <c r="I29" s="371"/>
      <c r="J29" s="371"/>
      <c r="K29" s="371"/>
      <c r="L29" s="371"/>
      <c r="M29" s="371"/>
      <c r="N29" s="371"/>
      <c r="O29" s="372"/>
    </row>
    <row r="30" spans="1:20" s="7" customFormat="1" ht="9.9499999999999993" customHeight="1" x14ac:dyDescent="0.25">
      <c r="A30" s="370"/>
      <c r="B30" s="371"/>
      <c r="C30" s="371"/>
      <c r="D30" s="371"/>
      <c r="E30" s="371"/>
      <c r="F30" s="371"/>
      <c r="G30" s="371"/>
      <c r="H30" s="371"/>
      <c r="I30" s="371"/>
      <c r="J30" s="371"/>
      <c r="K30" s="371"/>
      <c r="L30" s="371"/>
      <c r="M30" s="371"/>
      <c r="N30" s="371"/>
      <c r="O30" s="372"/>
    </row>
    <row r="31" spans="1:20" s="7" customFormat="1" ht="9.9499999999999993" customHeight="1" x14ac:dyDescent="0.25">
      <c r="A31" s="370"/>
      <c r="B31" s="371"/>
      <c r="C31" s="371"/>
      <c r="D31" s="371"/>
      <c r="E31" s="371"/>
      <c r="F31" s="371"/>
      <c r="G31" s="371"/>
      <c r="H31" s="371"/>
      <c r="I31" s="371"/>
      <c r="J31" s="371"/>
      <c r="K31" s="371"/>
      <c r="L31" s="371"/>
      <c r="M31" s="371"/>
      <c r="N31" s="371"/>
      <c r="O31" s="372"/>
    </row>
    <row r="32" spans="1:20" s="7" customFormat="1" ht="9.9499999999999993" customHeight="1" thickBot="1" x14ac:dyDescent="0.3">
      <c r="A32" s="373"/>
      <c r="B32" s="374"/>
      <c r="C32" s="374"/>
      <c r="D32" s="374"/>
      <c r="E32" s="374"/>
      <c r="F32" s="374"/>
      <c r="G32" s="374"/>
      <c r="H32" s="374"/>
      <c r="I32" s="374"/>
      <c r="J32" s="374"/>
      <c r="K32" s="374"/>
      <c r="L32" s="374"/>
      <c r="M32" s="374"/>
      <c r="N32" s="374"/>
      <c r="O32" s="375"/>
    </row>
  </sheetData>
  <sheetProtection formatCells="0" formatColumns="0" formatRows="0" insertColumns="0" insertRows="0" insertHyperlinks="0" deleteColumns="0" deleteRows="0" sort="0" autoFilter="0" pivotTables="0"/>
  <mergeCells count="32">
    <mergeCell ref="L9:M9"/>
    <mergeCell ref="A28:O32"/>
    <mergeCell ref="A27:O27"/>
    <mergeCell ref="N11:O11"/>
    <mergeCell ref="C11:L11"/>
    <mergeCell ref="A11:B11"/>
    <mergeCell ref="A18:B18"/>
    <mergeCell ref="A22:O25"/>
    <mergeCell ref="A21:O21"/>
    <mergeCell ref="A19:B19"/>
    <mergeCell ref="A17:B17"/>
    <mergeCell ref="N13:O13"/>
    <mergeCell ref="N19:O19"/>
    <mergeCell ref="C19:L19"/>
    <mergeCell ref="N18:O18"/>
    <mergeCell ref="N17:O17"/>
    <mergeCell ref="D1:M2"/>
    <mergeCell ref="A3:O5"/>
    <mergeCell ref="N15:O15"/>
    <mergeCell ref="N16:O16"/>
    <mergeCell ref="F9:I9"/>
    <mergeCell ref="N14:O14"/>
    <mergeCell ref="A12:B12"/>
    <mergeCell ref="A13:B13"/>
    <mergeCell ref="N12:O12"/>
    <mergeCell ref="A9:C9"/>
    <mergeCell ref="A14:B14"/>
    <mergeCell ref="A15:B15"/>
    <mergeCell ref="A16:B16"/>
    <mergeCell ref="E6:L7"/>
    <mergeCell ref="N6:O6"/>
    <mergeCell ref="N7:O7"/>
  </mergeCells>
  <dataValidations count="3">
    <dataValidation type="list" showInputMessage="1" showErrorMessage="1" sqref="D9:E9" xr:uid="{00000000-0002-0000-0000-000000000000}">
      <formula1>RAS</formula1>
    </dataValidation>
    <dataValidation type="list" allowBlank="1" showInputMessage="1" showErrorMessage="1" sqref="N9:O9" xr:uid="{00000000-0002-0000-0000-000001000000}">
      <formula1>Diligences</formula1>
    </dataValidation>
    <dataValidation type="list" allowBlank="1" showInputMessage="1" showErrorMessage="1" sqref="M12:M19" xr:uid="{00000000-0002-0000-0000-000002000000}">
      <formula1>Etat</formula1>
    </dataValidation>
  </dataValidations>
  <hyperlinks>
    <hyperlink ref="N12:O12" location="'I100 Centralisation immos.'!A1" display="I100 Centralisation immos." xr:uid="{00000000-0004-0000-0000-000000000000}"/>
    <hyperlink ref="N13:O13" location="'I200 Variation immos'!A1" display="I200 Variation immos" xr:uid="{00000000-0004-0000-0000-000001000000}"/>
    <hyperlink ref="N14:O14" location="'I300 Acquisitions immos'!A1" display="I300 Acquisitions immos" xr:uid="{00000000-0004-0000-0000-000002000000}"/>
    <hyperlink ref="N15:O15" location="'I400 Sorties immos'!A1" display="I400 Sorties immos" xr:uid="{00000000-0004-0000-0000-000003000000}"/>
    <hyperlink ref="N16:O16" location="'I500 Immos en cours'!A1" display="I500 Immos en cours" xr:uid="{00000000-0004-0000-0000-000004000000}"/>
    <hyperlink ref="N17:O17" location="'I600 Charges activables'!A1" display="I600 Charges activables" xr:uid="{00000000-0004-0000-0000-000005000000}"/>
    <hyperlink ref="N18:O18" location="'I700 Taux moyen d''amortissement'!A1" display="I700 Taux moyen d''amortissement" xr:uid="{00000000-0004-0000-0000-000006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ignoredErrors>
    <ignoredError sqref="C18"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U35"/>
  <sheetViews>
    <sheetView showGridLines="0" zoomScale="90" zoomScaleNormal="90" workbookViewId="0"/>
  </sheetViews>
  <sheetFormatPr baseColWidth="10" defaultColWidth="11.42578125" defaultRowHeight="15.75" x14ac:dyDescent="0.25"/>
  <cols>
    <col min="1" max="4" width="14.7109375" style="7" customWidth="1"/>
    <col min="5" max="5" width="24.7109375" style="7" customWidth="1"/>
    <col min="6" max="6" width="19.7109375" style="7" customWidth="1"/>
    <col min="7" max="8" width="14.7109375" style="7" customWidth="1"/>
    <col min="9" max="9" width="18.5703125" style="7" customWidth="1"/>
    <col min="10" max="10" width="17.42578125" style="7" customWidth="1"/>
    <col min="11" max="16" width="10" style="7" customWidth="1"/>
    <col min="17" max="17" width="11.42578125" style="7"/>
    <col min="18" max="18" width="0" style="7" hidden="1" customWidth="1"/>
    <col min="19" max="16384" width="11.42578125" style="7"/>
  </cols>
  <sheetData>
    <row r="1" spans="1:21" s="1" customFormat="1" ht="15" customHeight="1" x14ac:dyDescent="0.2">
      <c r="A1" s="10"/>
      <c r="B1" s="11"/>
      <c r="C1" s="11"/>
      <c r="D1" s="314" t="str">
        <f>'I Synthèse'!D1:M2</f>
        <v>#NomClient</v>
      </c>
      <c r="E1" s="315"/>
      <c r="F1" s="315"/>
      <c r="G1" s="315"/>
      <c r="H1" s="315"/>
      <c r="I1" s="315"/>
      <c r="J1" s="315"/>
      <c r="K1" s="315"/>
      <c r="L1" s="315"/>
      <c r="M1" s="316"/>
      <c r="N1" s="11"/>
      <c r="O1" s="11"/>
      <c r="P1" s="12"/>
      <c r="R1" s="27" t="s">
        <v>59</v>
      </c>
    </row>
    <row r="2" spans="1:21" s="1" customFormat="1" ht="15" customHeight="1" thickBot="1" x14ac:dyDescent="0.25">
      <c r="A2" s="13"/>
      <c r="B2" s="14"/>
      <c r="C2" s="14"/>
      <c r="D2" s="317"/>
      <c r="E2" s="318"/>
      <c r="F2" s="318"/>
      <c r="G2" s="318"/>
      <c r="H2" s="318"/>
      <c r="I2" s="318"/>
      <c r="J2" s="318"/>
      <c r="K2" s="318"/>
      <c r="L2" s="318"/>
      <c r="M2" s="319"/>
      <c r="N2" s="14"/>
      <c r="O2" s="14"/>
      <c r="P2" s="15"/>
      <c r="R2" s="27" t="s">
        <v>60</v>
      </c>
    </row>
    <row r="3" spans="1:21" ht="15" customHeight="1" x14ac:dyDescent="0.25">
      <c r="A3" s="245" t="s">
        <v>3</v>
      </c>
      <c r="B3" s="246"/>
      <c r="C3" s="246"/>
      <c r="D3" s="246"/>
      <c r="E3" s="246"/>
      <c r="F3" s="246"/>
      <c r="G3" s="246"/>
      <c r="H3" s="246"/>
      <c r="I3" s="246"/>
      <c r="J3" s="246"/>
      <c r="K3" s="246"/>
      <c r="L3" s="246"/>
      <c r="M3" s="246"/>
      <c r="N3" s="246"/>
      <c r="O3" s="246"/>
      <c r="P3" s="247"/>
      <c r="R3" s="28" t="s">
        <v>61</v>
      </c>
      <c r="T3" s="5"/>
      <c r="U3" s="6"/>
    </row>
    <row r="4" spans="1:21" ht="15" customHeight="1" x14ac:dyDescent="0.25">
      <c r="A4" s="245"/>
      <c r="B4" s="246"/>
      <c r="C4" s="246"/>
      <c r="D4" s="246"/>
      <c r="E4" s="246"/>
      <c r="F4" s="246"/>
      <c r="G4" s="246"/>
      <c r="H4" s="246"/>
      <c r="I4" s="246"/>
      <c r="J4" s="246"/>
      <c r="K4" s="246"/>
      <c r="L4" s="246"/>
      <c r="M4" s="246"/>
      <c r="N4" s="246"/>
      <c r="O4" s="246"/>
      <c r="P4" s="247"/>
      <c r="R4" s="27" t="s">
        <v>4</v>
      </c>
      <c r="S4" s="2"/>
      <c r="T4" s="5"/>
      <c r="U4" s="6"/>
    </row>
    <row r="5" spans="1:21" ht="15" customHeight="1" thickBot="1" x14ac:dyDescent="0.3">
      <c r="A5" s="248"/>
      <c r="B5" s="249"/>
      <c r="C5" s="249"/>
      <c r="D5" s="249"/>
      <c r="E5" s="249"/>
      <c r="F5" s="249"/>
      <c r="G5" s="249"/>
      <c r="H5" s="249"/>
      <c r="I5" s="249"/>
      <c r="J5" s="249"/>
      <c r="K5" s="249"/>
      <c r="L5" s="249"/>
      <c r="M5" s="249"/>
      <c r="N5" s="249"/>
      <c r="O5" s="249"/>
      <c r="P5" s="250"/>
      <c r="R5" s="27" t="s">
        <v>5</v>
      </c>
      <c r="T5" s="23"/>
      <c r="U5" s="23"/>
    </row>
    <row r="6" spans="1:21" ht="15" customHeight="1" x14ac:dyDescent="0.25">
      <c r="A6" s="17" t="s">
        <v>6</v>
      </c>
      <c r="B6" s="108" t="str">
        <f>'I Synthèse'!B6</f>
        <v>BRA</v>
      </c>
      <c r="C6" s="17" t="s">
        <v>7</v>
      </c>
      <c r="D6" s="108">
        <f>'I Synthèse'!D6</f>
        <v>0</v>
      </c>
      <c r="E6" s="264" t="s">
        <v>63</v>
      </c>
      <c r="F6" s="265"/>
      <c r="G6" s="265"/>
      <c r="H6" s="265"/>
      <c r="I6" s="265"/>
      <c r="J6" s="265"/>
      <c r="K6" s="265"/>
      <c r="L6" s="266"/>
      <c r="M6" s="320" t="s">
        <v>9</v>
      </c>
      <c r="N6" s="321"/>
      <c r="O6" s="322" t="s">
        <v>10</v>
      </c>
      <c r="P6" s="271"/>
      <c r="R6" s="28" t="s">
        <v>11</v>
      </c>
      <c r="S6" s="9"/>
    </row>
    <row r="7" spans="1:21" ht="15" customHeight="1" thickBot="1" x14ac:dyDescent="0.3">
      <c r="A7" s="18" t="s">
        <v>12</v>
      </c>
      <c r="B7" s="109">
        <f>'I Synthèse'!B7</f>
        <v>0</v>
      </c>
      <c r="C7" s="18" t="s">
        <v>12</v>
      </c>
      <c r="D7" s="109">
        <f>'I Synthèse'!D7</f>
        <v>0</v>
      </c>
      <c r="E7" s="267"/>
      <c r="F7" s="268"/>
      <c r="G7" s="268"/>
      <c r="H7" s="268"/>
      <c r="I7" s="268"/>
      <c r="J7" s="268"/>
      <c r="K7" s="268"/>
      <c r="L7" s="269"/>
      <c r="M7" s="323" t="str">
        <f>'I Synthèse'!M7:M7</f>
        <v>#DateClôture</v>
      </c>
      <c r="N7" s="324"/>
      <c r="O7" s="325" t="s">
        <v>25</v>
      </c>
      <c r="P7" s="273"/>
      <c r="R7" s="27" t="s">
        <v>15</v>
      </c>
    </row>
    <row r="8" spans="1:21" ht="21" customHeight="1" thickBot="1" x14ac:dyDescent="0.3">
      <c r="A8" s="19"/>
      <c r="B8" s="16"/>
      <c r="C8" s="20"/>
      <c r="D8" s="20"/>
      <c r="E8" s="21"/>
      <c r="F8" s="21"/>
      <c r="G8" s="21"/>
      <c r="H8" s="21"/>
      <c r="I8" s="21"/>
      <c r="J8" s="21"/>
      <c r="K8" s="21"/>
      <c r="L8" s="21"/>
      <c r="M8" s="22"/>
      <c r="N8" s="20"/>
      <c r="O8" s="328" t="s">
        <v>62</v>
      </c>
      <c r="P8" s="328"/>
      <c r="R8" s="27" t="s">
        <v>16</v>
      </c>
    </row>
    <row r="9" spans="1:21" s="20" customFormat="1" ht="31.5" customHeight="1" thickBot="1" x14ac:dyDescent="0.3">
      <c r="A9" s="262" t="s">
        <v>17</v>
      </c>
      <c r="B9" s="263"/>
      <c r="C9" s="263"/>
      <c r="D9" s="312" t="str">
        <f>'I Synthèse'!D9:E9</f>
        <v>Modéré</v>
      </c>
      <c r="E9" s="313"/>
      <c r="F9" s="254" t="s">
        <v>18</v>
      </c>
      <c r="G9" s="255"/>
      <c r="H9" s="255"/>
      <c r="I9" s="255"/>
      <c r="J9" s="326">
        <f>'I Synthèse'!J9:K9</f>
        <v>0</v>
      </c>
      <c r="K9" s="327"/>
      <c r="L9" s="254" t="s">
        <v>19</v>
      </c>
      <c r="M9" s="255"/>
      <c r="N9" s="255"/>
      <c r="O9" s="312" t="str">
        <f>'I Synthèse'!N9</f>
        <v>PE</v>
      </c>
      <c r="P9" s="313"/>
      <c r="R9" s="28" t="s">
        <v>20</v>
      </c>
    </row>
    <row r="10" spans="1:21" s="20" customFormat="1" ht="21" customHeight="1" thickBot="1" x14ac:dyDescent="0.25">
      <c r="A10" s="24"/>
      <c r="B10" s="24"/>
      <c r="C10" s="24"/>
      <c r="D10" s="24"/>
      <c r="E10" s="24"/>
      <c r="F10" s="24"/>
      <c r="G10" s="24"/>
      <c r="H10" s="24"/>
      <c r="I10" s="24"/>
      <c r="J10" s="24"/>
      <c r="K10" s="24"/>
      <c r="L10" s="24"/>
      <c r="M10" s="24"/>
      <c r="N10" s="24"/>
      <c r="O10" s="24"/>
      <c r="P10" s="24"/>
      <c r="Q10" s="26"/>
      <c r="R10" s="26"/>
      <c r="S10" s="26"/>
    </row>
    <row r="11" spans="1:21" s="25" customFormat="1" ht="76.5" customHeight="1" thickBot="1" x14ac:dyDescent="0.3">
      <c r="A11" s="301" t="s">
        <v>64</v>
      </c>
      <c r="B11" s="302"/>
      <c r="C11" s="302"/>
      <c r="D11" s="302"/>
      <c r="E11" s="302"/>
      <c r="F11" s="302"/>
      <c r="G11" s="302"/>
      <c r="H11" s="302"/>
      <c r="I11" s="302"/>
      <c r="J11" s="302"/>
      <c r="K11" s="302"/>
      <c r="L11" s="302"/>
      <c r="M11" s="302"/>
      <c r="N11" s="302"/>
      <c r="O11" s="302"/>
      <c r="P11" s="303"/>
      <c r="Q11" s="7"/>
      <c r="R11" s="7"/>
      <c r="S11" s="7"/>
    </row>
    <row r="12" spans="1:21" s="25" customFormat="1" ht="9" customHeight="1" thickBot="1" x14ac:dyDescent="0.3">
      <c r="Q12" s="1"/>
      <c r="R12" s="1"/>
      <c r="S12" s="1"/>
    </row>
    <row r="13" spans="1:21" s="25" customFormat="1" x14ac:dyDescent="0.25">
      <c r="A13" s="304" t="s">
        <v>65</v>
      </c>
      <c r="B13" s="305"/>
      <c r="C13" s="305"/>
      <c r="D13" s="305"/>
      <c r="E13" s="305"/>
      <c r="F13" s="305"/>
      <c r="G13" s="305"/>
      <c r="H13" s="305"/>
      <c r="I13" s="305"/>
      <c r="J13" s="305"/>
      <c r="K13" s="305"/>
      <c r="L13" s="305"/>
      <c r="M13" s="305"/>
      <c r="N13" s="305"/>
      <c r="O13" s="305"/>
      <c r="P13" s="306"/>
      <c r="Q13" s="1"/>
      <c r="R13" s="1"/>
      <c r="S13" s="1"/>
    </row>
    <row r="14" spans="1:21" s="25" customFormat="1" ht="60" customHeight="1" thickBot="1" x14ac:dyDescent="0.3">
      <c r="A14" s="307"/>
      <c r="B14" s="308"/>
      <c r="C14" s="308"/>
      <c r="D14" s="308"/>
      <c r="E14" s="308"/>
      <c r="F14" s="308"/>
      <c r="G14" s="308"/>
      <c r="H14" s="308"/>
      <c r="I14" s="308"/>
      <c r="J14" s="308"/>
      <c r="K14" s="308"/>
      <c r="L14" s="308"/>
      <c r="M14" s="308"/>
      <c r="N14" s="308"/>
      <c r="O14" s="308"/>
      <c r="P14" s="309"/>
      <c r="Q14" s="1"/>
      <c r="R14" s="1"/>
      <c r="S14" s="1"/>
    </row>
    <row r="15" spans="1:21" s="25" customFormat="1" ht="21" customHeight="1" thickBot="1" x14ac:dyDescent="0.3">
      <c r="Q15" s="1"/>
      <c r="R15" s="1"/>
      <c r="S15" s="1"/>
    </row>
    <row r="16" spans="1:21" s="25" customFormat="1" x14ac:dyDescent="0.25">
      <c r="A16" s="30"/>
      <c r="B16" s="31"/>
      <c r="C16" s="31"/>
      <c r="D16" s="31"/>
      <c r="E16" s="31"/>
      <c r="F16" s="31"/>
      <c r="G16" s="31"/>
      <c r="H16" s="31"/>
      <c r="I16" s="31"/>
      <c r="J16" s="31"/>
      <c r="K16" s="31"/>
      <c r="L16" s="31"/>
      <c r="M16" s="31"/>
      <c r="N16" s="31"/>
      <c r="O16" s="31"/>
      <c r="P16" s="32"/>
      <c r="Q16" s="1"/>
      <c r="R16" s="1"/>
      <c r="S16" s="1"/>
    </row>
    <row r="17" spans="1:19" s="29" customFormat="1" ht="39.75" customHeight="1" x14ac:dyDescent="0.2">
      <c r="A17" s="46"/>
      <c r="F17" s="219" t="s">
        <v>66</v>
      </c>
      <c r="G17" s="310" t="s">
        <v>21</v>
      </c>
      <c r="H17" s="311"/>
      <c r="I17" s="219" t="s">
        <v>67</v>
      </c>
      <c r="J17" s="189" t="s">
        <v>68</v>
      </c>
      <c r="M17" s="1"/>
      <c r="N17" s="1"/>
      <c r="O17" s="1"/>
      <c r="P17" s="47"/>
    </row>
    <row r="18" spans="1:19" s="29" customFormat="1" ht="39.75" customHeight="1" x14ac:dyDescent="0.25">
      <c r="D18" s="220" t="s">
        <v>69</v>
      </c>
      <c r="E18" s="220"/>
      <c r="F18" s="114">
        <f>+'I200 Variation immos'!I32:I32</f>
        <v>0</v>
      </c>
      <c r="G18" s="300"/>
      <c r="H18" s="259"/>
      <c r="I18" s="114">
        <f>+'I200 Variation immos'!I54:I54</f>
        <v>0</v>
      </c>
      <c r="J18" s="116">
        <f>+F18-I18</f>
        <v>0</v>
      </c>
      <c r="K18" s="25"/>
      <c r="L18" s="25"/>
      <c r="M18" s="1"/>
      <c r="N18" s="1"/>
      <c r="O18" s="1"/>
      <c r="P18" s="47"/>
    </row>
    <row r="19" spans="1:19" s="29" customFormat="1" ht="39.75" customHeight="1" x14ac:dyDescent="0.25">
      <c r="D19" s="220" t="s">
        <v>70</v>
      </c>
      <c r="E19" s="220"/>
      <c r="F19" s="114"/>
      <c r="G19" s="300"/>
      <c r="H19" s="259"/>
      <c r="I19" s="114"/>
      <c r="J19" s="116">
        <f>+F19-I19</f>
        <v>0</v>
      </c>
      <c r="K19" s="25"/>
      <c r="L19" s="25"/>
      <c r="M19" s="25"/>
      <c r="N19" s="25"/>
      <c r="O19" s="25"/>
      <c r="P19" s="47"/>
    </row>
    <row r="20" spans="1:19" s="29" customFormat="1" ht="39.75" customHeight="1" x14ac:dyDescent="0.25">
      <c r="D20" s="220" t="s">
        <v>71</v>
      </c>
      <c r="E20" s="220"/>
      <c r="F20" s="115">
        <f>F18-F19</f>
        <v>0</v>
      </c>
      <c r="G20" s="300"/>
      <c r="H20" s="259"/>
      <c r="I20" s="115">
        <f>I18-I19</f>
        <v>0</v>
      </c>
      <c r="J20" s="117">
        <f>J18-J19</f>
        <v>0</v>
      </c>
      <c r="K20" s="7"/>
      <c r="L20" s="7"/>
      <c r="M20" s="25"/>
      <c r="N20" s="25"/>
      <c r="O20" s="25"/>
      <c r="P20" s="47"/>
    </row>
    <row r="21" spans="1:19" s="29" customFormat="1" thickBot="1" x14ac:dyDescent="0.3">
      <c r="A21" s="33"/>
      <c r="B21" s="34"/>
      <c r="C21" s="34"/>
      <c r="D21" s="34"/>
      <c r="E21" s="34"/>
      <c r="F21" s="34"/>
      <c r="G21" s="34"/>
      <c r="H21" s="34"/>
      <c r="I21" s="34"/>
      <c r="J21" s="34"/>
      <c r="K21" s="34"/>
      <c r="L21" s="34"/>
      <c r="M21" s="34"/>
      <c r="N21" s="34"/>
      <c r="O21" s="34"/>
      <c r="P21" s="35"/>
      <c r="Q21" s="25"/>
      <c r="R21" s="25"/>
      <c r="S21" s="25"/>
    </row>
    <row r="22" spans="1:19" s="25" customFormat="1" x14ac:dyDescent="0.25">
      <c r="K22" s="7"/>
      <c r="L22" s="7"/>
    </row>
    <row r="23" spans="1:19" s="25" customFormat="1" x14ac:dyDescent="0.25">
      <c r="K23" s="7"/>
      <c r="L23" s="7"/>
    </row>
    <row r="24" spans="1:19" x14ac:dyDescent="0.25">
      <c r="Q24" s="25"/>
      <c r="R24" s="25"/>
      <c r="S24" s="25"/>
    </row>
    <row r="25" spans="1:19" x14ac:dyDescent="0.25">
      <c r="Q25" s="25"/>
      <c r="R25" s="25"/>
      <c r="S25" s="25"/>
    </row>
    <row r="26" spans="1:19" x14ac:dyDescent="0.25">
      <c r="Q26" s="25"/>
      <c r="R26" s="25"/>
      <c r="S26" s="25"/>
    </row>
    <row r="27" spans="1:19" x14ac:dyDescent="0.25">
      <c r="Q27" s="25"/>
      <c r="R27" s="25"/>
      <c r="S27" s="25"/>
    </row>
    <row r="28" spans="1:19" x14ac:dyDescent="0.25">
      <c r="Q28" s="25"/>
      <c r="R28" s="25"/>
      <c r="S28" s="25"/>
    </row>
    <row r="29" spans="1:19" x14ac:dyDescent="0.25">
      <c r="Q29" s="25"/>
      <c r="R29" s="25"/>
      <c r="S29" s="25"/>
    </row>
    <row r="30" spans="1:19" x14ac:dyDescent="0.25">
      <c r="Q30" s="25"/>
      <c r="R30" s="25"/>
      <c r="S30" s="25"/>
    </row>
    <row r="31" spans="1:19" x14ac:dyDescent="0.25">
      <c r="Q31" s="25"/>
      <c r="R31" s="25"/>
      <c r="S31" s="25"/>
    </row>
    <row r="32" spans="1:19" x14ac:dyDescent="0.25">
      <c r="Q32" s="25"/>
      <c r="R32" s="25"/>
      <c r="S32" s="25"/>
    </row>
    <row r="33" spans="17:19" x14ac:dyDescent="0.25">
      <c r="Q33" s="25"/>
      <c r="R33" s="25"/>
      <c r="S33" s="25"/>
    </row>
    <row r="34" spans="17:19" x14ac:dyDescent="0.25">
      <c r="Q34" s="25"/>
      <c r="R34" s="25"/>
      <c r="S34" s="25"/>
    </row>
    <row r="35" spans="17:19" x14ac:dyDescent="0.25">
      <c r="Q35" s="25"/>
      <c r="R35" s="25"/>
      <c r="S35" s="25"/>
    </row>
  </sheetData>
  <sheetProtection formatCells="0" formatColumns="0" formatRows="0" insertColumns="0" insertRows="0" insertHyperlinks="0" deleteColumns="0" deleteRows="0" sort="0" autoFilter="0" pivotTables="0"/>
  <mergeCells count="21">
    <mergeCell ref="O9:P9"/>
    <mergeCell ref="D1:M2"/>
    <mergeCell ref="A3:P5"/>
    <mergeCell ref="E6:L7"/>
    <mergeCell ref="M6:N6"/>
    <mergeCell ref="O6:P6"/>
    <mergeCell ref="M7:N7"/>
    <mergeCell ref="O7:P7"/>
    <mergeCell ref="A9:C9"/>
    <mergeCell ref="D9:E9"/>
    <mergeCell ref="F9:I9"/>
    <mergeCell ref="J9:K9"/>
    <mergeCell ref="L9:N9"/>
    <mergeCell ref="O8:P8"/>
    <mergeCell ref="G19:H19"/>
    <mergeCell ref="G20:H20"/>
    <mergeCell ref="A11:P11"/>
    <mergeCell ref="A13:P13"/>
    <mergeCell ref="A14:P14"/>
    <mergeCell ref="G17:H17"/>
    <mergeCell ref="G18:H18"/>
  </mergeCells>
  <dataValidations count="2">
    <dataValidation type="list" allowBlank="1" showInputMessage="1" showErrorMessage="1" sqref="O9:P9" xr:uid="{00000000-0002-0000-0200-000000000000}">
      <formula1>Diligences</formula1>
    </dataValidation>
    <dataValidation type="list" showInputMessage="1" showErrorMessage="1" sqref="D9:E9" xr:uid="{00000000-0002-0000-0200-000001000000}">
      <formula1>RAS</formula1>
    </dataValidation>
  </dataValidations>
  <hyperlinks>
    <hyperlink ref="O8:P8" location="'I Synthèse'!A1" display="I Synthèse" xr:uid="{00000000-0004-0000-02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ignoredErrors>
    <ignoredError sqref="M7"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dimension ref="A1:U60"/>
  <sheetViews>
    <sheetView showGridLines="0" topLeftCell="A2" zoomScale="80" zoomScaleNormal="80" zoomScaleSheetLayoutView="85" workbookViewId="0">
      <selection activeCell="I33" sqref="I33"/>
    </sheetView>
  </sheetViews>
  <sheetFormatPr baseColWidth="10" defaultColWidth="11.42578125" defaultRowHeight="15.75" x14ac:dyDescent="0.25"/>
  <cols>
    <col min="1" max="1" width="12.85546875" style="1" customWidth="1"/>
    <col min="2" max="2" width="16.5703125" style="1" customWidth="1"/>
    <col min="3" max="3" width="18.85546875" style="1" customWidth="1"/>
    <col min="4" max="4" width="24.28515625" style="1" customWidth="1"/>
    <col min="5" max="5" width="14.7109375" style="1" customWidth="1"/>
    <col min="6" max="6" width="19.28515625" style="1" customWidth="1"/>
    <col min="7" max="7" width="19" style="1" customWidth="1"/>
    <col min="8" max="9" width="18.7109375" style="1" customWidth="1"/>
    <col min="10" max="10" width="18.5703125" style="1" customWidth="1"/>
    <col min="11" max="11" width="16.85546875" style="1" customWidth="1"/>
    <col min="12" max="12" width="17.28515625" style="1" customWidth="1"/>
    <col min="13" max="16" width="10.140625" style="1" customWidth="1"/>
    <col min="17" max="17" width="11.42578125" style="7"/>
    <col min="18" max="18" width="0" style="7" hidden="1" customWidth="1"/>
    <col min="19" max="19" width="11.42578125" style="7"/>
    <col min="20" max="16384" width="11.42578125" style="1"/>
  </cols>
  <sheetData>
    <row r="1" spans="1:21" ht="15" customHeight="1" x14ac:dyDescent="0.2">
      <c r="A1" s="10"/>
      <c r="B1" s="11"/>
      <c r="C1" s="11"/>
      <c r="D1" s="314" t="str">
        <f>'I Synthèse'!D1:M2</f>
        <v>#NomClient</v>
      </c>
      <c r="E1" s="315"/>
      <c r="F1" s="315"/>
      <c r="G1" s="315"/>
      <c r="H1" s="315"/>
      <c r="I1" s="315"/>
      <c r="J1" s="315"/>
      <c r="K1" s="315"/>
      <c r="L1" s="315"/>
      <c r="M1" s="316"/>
      <c r="N1" s="11"/>
      <c r="O1" s="11"/>
      <c r="P1" s="12"/>
      <c r="Q1" s="1"/>
      <c r="R1" s="27" t="s">
        <v>59</v>
      </c>
      <c r="S1" s="1"/>
    </row>
    <row r="2" spans="1:21" ht="15" customHeight="1" thickBot="1" x14ac:dyDescent="0.25">
      <c r="A2" s="13"/>
      <c r="B2" s="14"/>
      <c r="C2" s="14"/>
      <c r="D2" s="317"/>
      <c r="E2" s="318"/>
      <c r="F2" s="318"/>
      <c r="G2" s="318"/>
      <c r="H2" s="318"/>
      <c r="I2" s="318"/>
      <c r="J2" s="318"/>
      <c r="K2" s="318"/>
      <c r="L2" s="318"/>
      <c r="M2" s="319"/>
      <c r="N2" s="14"/>
      <c r="O2" s="14"/>
      <c r="P2" s="15"/>
      <c r="Q2" s="1"/>
      <c r="R2" s="27" t="s">
        <v>60</v>
      </c>
      <c r="S2" s="1"/>
    </row>
    <row r="3" spans="1:21" ht="15" customHeight="1" x14ac:dyDescent="0.25">
      <c r="A3" s="245" t="s">
        <v>3</v>
      </c>
      <c r="B3" s="246"/>
      <c r="C3" s="246"/>
      <c r="D3" s="246"/>
      <c r="E3" s="246"/>
      <c r="F3" s="246"/>
      <c r="G3" s="246"/>
      <c r="H3" s="246"/>
      <c r="I3" s="246"/>
      <c r="J3" s="246"/>
      <c r="K3" s="246"/>
      <c r="L3" s="246"/>
      <c r="M3" s="246"/>
      <c r="N3" s="246"/>
      <c r="O3" s="246"/>
      <c r="P3" s="247"/>
      <c r="R3" s="28" t="s">
        <v>61</v>
      </c>
      <c r="T3" s="36"/>
      <c r="U3" s="37"/>
    </row>
    <row r="4" spans="1:21" ht="15" customHeight="1" x14ac:dyDescent="0.25">
      <c r="A4" s="245"/>
      <c r="B4" s="246"/>
      <c r="C4" s="246"/>
      <c r="D4" s="246"/>
      <c r="E4" s="246"/>
      <c r="F4" s="246"/>
      <c r="G4" s="246"/>
      <c r="H4" s="246"/>
      <c r="I4" s="246"/>
      <c r="J4" s="246"/>
      <c r="K4" s="246"/>
      <c r="L4" s="246"/>
      <c r="M4" s="246"/>
      <c r="N4" s="246"/>
      <c r="O4" s="246"/>
      <c r="P4" s="247"/>
      <c r="R4" s="27" t="s">
        <v>4</v>
      </c>
      <c r="S4" s="2"/>
      <c r="T4" s="36"/>
      <c r="U4" s="37"/>
    </row>
    <row r="5" spans="1:21" ht="15" customHeight="1" thickBot="1" x14ac:dyDescent="0.3">
      <c r="A5" s="248"/>
      <c r="B5" s="249"/>
      <c r="C5" s="249"/>
      <c r="D5" s="249"/>
      <c r="E5" s="249"/>
      <c r="F5" s="249"/>
      <c r="G5" s="249"/>
      <c r="H5" s="249"/>
      <c r="I5" s="249"/>
      <c r="J5" s="249"/>
      <c r="K5" s="249"/>
      <c r="L5" s="249"/>
      <c r="M5" s="249"/>
      <c r="N5" s="249"/>
      <c r="O5" s="249"/>
      <c r="P5" s="250"/>
      <c r="R5" s="27" t="s">
        <v>5</v>
      </c>
      <c r="T5" s="39"/>
      <c r="U5" s="39"/>
    </row>
    <row r="6" spans="1:21" ht="15" customHeight="1" x14ac:dyDescent="0.25">
      <c r="A6" s="17" t="s">
        <v>6</v>
      </c>
      <c r="B6" s="108" t="str">
        <f>'I Synthèse'!B6</f>
        <v>BRA</v>
      </c>
      <c r="C6" s="17" t="s">
        <v>7</v>
      </c>
      <c r="D6" s="108">
        <f>'I Synthèse'!D6</f>
        <v>0</v>
      </c>
      <c r="E6" s="264" t="s">
        <v>72</v>
      </c>
      <c r="F6" s="265"/>
      <c r="G6" s="265"/>
      <c r="H6" s="265"/>
      <c r="I6" s="265"/>
      <c r="J6" s="265"/>
      <c r="K6" s="265"/>
      <c r="L6" s="266"/>
      <c r="M6" s="320" t="s">
        <v>9</v>
      </c>
      <c r="N6" s="321"/>
      <c r="O6" s="270" t="s">
        <v>10</v>
      </c>
      <c r="P6" s="271"/>
      <c r="R6" s="28" t="s">
        <v>11</v>
      </c>
      <c r="S6" s="9"/>
    </row>
    <row r="7" spans="1:21" ht="15" customHeight="1" thickBot="1" x14ac:dyDescent="0.3">
      <c r="A7" s="18" t="s">
        <v>12</v>
      </c>
      <c r="B7" s="109">
        <f>'I Synthèse'!B7</f>
        <v>0</v>
      </c>
      <c r="C7" s="18" t="s">
        <v>12</v>
      </c>
      <c r="D7" s="109">
        <f>'I Synthèse'!D7</f>
        <v>0</v>
      </c>
      <c r="E7" s="267"/>
      <c r="F7" s="268"/>
      <c r="G7" s="268"/>
      <c r="H7" s="268"/>
      <c r="I7" s="268"/>
      <c r="J7" s="268"/>
      <c r="K7" s="268"/>
      <c r="L7" s="269"/>
      <c r="M7" s="323" t="str">
        <f>'I Synthèse'!M7:M7</f>
        <v>#DateClôture</v>
      </c>
      <c r="N7" s="324"/>
      <c r="O7" s="272" t="s">
        <v>30</v>
      </c>
      <c r="P7" s="273"/>
      <c r="R7" s="27" t="s">
        <v>15</v>
      </c>
    </row>
    <row r="8" spans="1:21" ht="21" customHeight="1" thickBot="1" x14ac:dyDescent="0.3">
      <c r="A8" s="19"/>
      <c r="B8" s="16"/>
      <c r="C8" s="20"/>
      <c r="D8" s="20"/>
      <c r="E8" s="21"/>
      <c r="F8" s="21"/>
      <c r="G8" s="21"/>
      <c r="H8" s="21"/>
      <c r="I8" s="21"/>
      <c r="J8" s="21"/>
      <c r="K8" s="21"/>
      <c r="L8" s="21"/>
      <c r="M8" s="22"/>
      <c r="N8" s="20"/>
      <c r="O8" s="328" t="s">
        <v>62</v>
      </c>
      <c r="P8" s="328"/>
      <c r="R8" s="27" t="s">
        <v>16</v>
      </c>
    </row>
    <row r="9" spans="1:21" s="20" customFormat="1" ht="31.5" customHeight="1" thickBot="1" x14ac:dyDescent="0.3">
      <c r="A9" s="329" t="s">
        <v>17</v>
      </c>
      <c r="B9" s="330"/>
      <c r="C9" s="330"/>
      <c r="D9" s="312" t="str">
        <f>'I Synthèse'!D9:E9</f>
        <v>Modéré</v>
      </c>
      <c r="E9" s="313"/>
      <c r="F9" s="254" t="s">
        <v>18</v>
      </c>
      <c r="G9" s="255"/>
      <c r="H9" s="255"/>
      <c r="I9" s="255"/>
      <c r="J9" s="326">
        <f>'I Synthèse'!J9:K9</f>
        <v>0</v>
      </c>
      <c r="K9" s="327"/>
      <c r="L9" s="254" t="s">
        <v>19</v>
      </c>
      <c r="M9" s="255"/>
      <c r="N9" s="255"/>
      <c r="O9" s="312" t="str">
        <f>'I Synthèse'!N9</f>
        <v>PE</v>
      </c>
      <c r="P9" s="313"/>
      <c r="R9" s="28" t="s">
        <v>20</v>
      </c>
    </row>
    <row r="10" spans="1:21" s="20" customFormat="1" ht="21" customHeight="1" thickBot="1" x14ac:dyDescent="0.25">
      <c r="A10" s="24"/>
      <c r="B10" s="24"/>
      <c r="C10" s="24"/>
      <c r="D10" s="24"/>
      <c r="E10" s="24"/>
      <c r="F10" s="24"/>
      <c r="G10" s="24"/>
      <c r="H10" s="24"/>
      <c r="I10" s="24"/>
      <c r="J10" s="24"/>
      <c r="K10" s="24"/>
      <c r="L10" s="24"/>
      <c r="M10" s="24"/>
      <c r="N10" s="24"/>
      <c r="O10" s="24"/>
      <c r="P10" s="24"/>
      <c r="Q10" s="26"/>
      <c r="R10" s="26"/>
      <c r="S10" s="26"/>
    </row>
    <row r="11" spans="1:21" s="29" customFormat="1" ht="106.5" customHeight="1" thickBot="1" x14ac:dyDescent="0.3">
      <c r="A11" s="335" t="s">
        <v>73</v>
      </c>
      <c r="B11" s="336"/>
      <c r="C11" s="336"/>
      <c r="D11" s="336"/>
      <c r="E11" s="336"/>
      <c r="F11" s="336"/>
      <c r="G11" s="336"/>
      <c r="H11" s="336"/>
      <c r="I11" s="336"/>
      <c r="J11" s="336"/>
      <c r="K11" s="336"/>
      <c r="L11" s="336"/>
      <c r="M11" s="336"/>
      <c r="N11" s="336"/>
      <c r="O11" s="336"/>
      <c r="P11" s="337"/>
      <c r="Q11" s="7"/>
      <c r="R11" s="7"/>
      <c r="S11" s="7"/>
    </row>
    <row r="12" spans="1:21" s="29" customFormat="1" ht="9" customHeight="1" thickBot="1" x14ac:dyDescent="0.25">
      <c r="Q12" s="1"/>
      <c r="R12" s="1"/>
      <c r="S12" s="1"/>
    </row>
    <row r="13" spans="1:21" s="29" customFormat="1" x14ac:dyDescent="0.2">
      <c r="A13" s="338" t="s">
        <v>65</v>
      </c>
      <c r="B13" s="339"/>
      <c r="C13" s="339"/>
      <c r="D13" s="339"/>
      <c r="E13" s="339"/>
      <c r="F13" s="339"/>
      <c r="G13" s="339"/>
      <c r="H13" s="339"/>
      <c r="I13" s="339"/>
      <c r="J13" s="339"/>
      <c r="K13" s="339"/>
      <c r="L13" s="339"/>
      <c r="M13" s="339"/>
      <c r="N13" s="339"/>
      <c r="O13" s="339"/>
      <c r="P13" s="340"/>
      <c r="Q13" s="1"/>
      <c r="R13" s="1"/>
      <c r="S13" s="1"/>
    </row>
    <row r="14" spans="1:21" s="29" customFormat="1" ht="60" customHeight="1" thickBot="1" x14ac:dyDescent="0.25">
      <c r="A14" s="307"/>
      <c r="B14" s="308"/>
      <c r="C14" s="308"/>
      <c r="D14" s="308"/>
      <c r="E14" s="308"/>
      <c r="F14" s="308"/>
      <c r="G14" s="308"/>
      <c r="H14" s="308"/>
      <c r="I14" s="308"/>
      <c r="J14" s="308"/>
      <c r="K14" s="308"/>
      <c r="L14" s="308"/>
      <c r="M14" s="308"/>
      <c r="N14" s="308"/>
      <c r="O14" s="308"/>
      <c r="P14" s="309"/>
      <c r="Q14" s="1"/>
      <c r="R14" s="1"/>
      <c r="S14" s="1"/>
    </row>
    <row r="15" spans="1:21" s="29" customFormat="1" ht="21" customHeight="1" thickBot="1" x14ac:dyDescent="0.25">
      <c r="Q15" s="1"/>
      <c r="R15" s="1"/>
      <c r="S15" s="1"/>
    </row>
    <row r="16" spans="1:21" s="29" customFormat="1" x14ac:dyDescent="0.2">
      <c r="A16" s="40"/>
      <c r="B16" s="41"/>
      <c r="C16" s="41"/>
      <c r="D16" s="41"/>
      <c r="E16" s="41"/>
      <c r="F16" s="41"/>
      <c r="G16" s="41"/>
      <c r="H16" s="41"/>
      <c r="I16" s="41"/>
      <c r="J16" s="41"/>
      <c r="K16" s="41"/>
      <c r="L16" s="41"/>
      <c r="M16" s="41"/>
      <c r="N16" s="41"/>
      <c r="O16" s="41"/>
      <c r="P16" s="42"/>
      <c r="Q16" s="1"/>
      <c r="R16" s="1"/>
      <c r="S16" s="1"/>
    </row>
    <row r="17" spans="1:19" s="29" customFormat="1" x14ac:dyDescent="0.2">
      <c r="A17" s="46"/>
      <c r="B17" s="341" t="s">
        <v>142</v>
      </c>
      <c r="C17" s="342"/>
      <c r="D17" s="342"/>
      <c r="E17" s="342"/>
      <c r="F17" s="343"/>
      <c r="G17" s="300" t="s">
        <v>139</v>
      </c>
      <c r="H17" s="259"/>
      <c r="J17" s="232" t="s">
        <v>142</v>
      </c>
      <c r="P17" s="47"/>
      <c r="Q17" s="1"/>
      <c r="R17" s="1"/>
      <c r="S17" s="1"/>
    </row>
    <row r="18" spans="1:19" s="29" customFormat="1" ht="30" customHeight="1" x14ac:dyDescent="0.2">
      <c r="A18" s="72"/>
      <c r="B18" s="189" t="s">
        <v>74</v>
      </c>
      <c r="C18" s="331" t="s">
        <v>75</v>
      </c>
      <c r="D18" s="332"/>
      <c r="E18" s="333"/>
      <c r="F18" s="189" t="s">
        <v>76</v>
      </c>
      <c r="G18" s="205" t="s">
        <v>77</v>
      </c>
      <c r="H18" s="205" t="s">
        <v>78</v>
      </c>
      <c r="I18" s="189" t="s">
        <v>79</v>
      </c>
      <c r="J18" s="189" t="s">
        <v>138</v>
      </c>
      <c r="K18" s="189" t="s">
        <v>87</v>
      </c>
      <c r="L18" s="189" t="s">
        <v>80</v>
      </c>
      <c r="P18" s="47"/>
    </row>
    <row r="19" spans="1:19" s="29" customFormat="1" ht="15" x14ac:dyDescent="0.2">
      <c r="A19" s="72"/>
      <c r="B19" s="216"/>
      <c r="C19" s="118"/>
      <c r="F19" s="123"/>
      <c r="G19" s="124"/>
      <c r="H19" s="124"/>
      <c r="I19" s="129">
        <f t="shared" ref="I19:I31" si="0">F19+G19-H19</f>
        <v>0</v>
      </c>
      <c r="J19" s="229"/>
      <c r="K19" s="129">
        <f>J19-I19</f>
        <v>0</v>
      </c>
      <c r="L19" s="129">
        <f t="shared" ref="L19:L31" si="1">I19-I41</f>
        <v>0</v>
      </c>
      <c r="P19" s="47"/>
    </row>
    <row r="20" spans="1:19" s="29" customFormat="1" ht="15" x14ac:dyDescent="0.2">
      <c r="A20" s="72"/>
      <c r="B20" s="217"/>
      <c r="C20" s="118"/>
      <c r="F20" s="121"/>
      <c r="G20" s="122"/>
      <c r="H20" s="122"/>
      <c r="I20" s="128">
        <f t="shared" si="0"/>
        <v>0</v>
      </c>
      <c r="J20" s="230"/>
      <c r="K20" s="128">
        <f t="shared" ref="K20:K31" si="2">J20-I20</f>
        <v>0</v>
      </c>
      <c r="L20" s="128">
        <f t="shared" si="1"/>
        <v>0</v>
      </c>
      <c r="P20" s="47"/>
    </row>
    <row r="21" spans="1:19" s="29" customFormat="1" ht="15" x14ac:dyDescent="0.2">
      <c r="A21" s="72"/>
      <c r="B21" s="217"/>
      <c r="C21" s="118"/>
      <c r="F21" s="121"/>
      <c r="G21" s="122"/>
      <c r="H21" s="122"/>
      <c r="I21" s="128">
        <f t="shared" si="0"/>
        <v>0</v>
      </c>
      <c r="J21" s="230"/>
      <c r="K21" s="128">
        <f t="shared" si="2"/>
        <v>0</v>
      </c>
      <c r="L21" s="128">
        <f t="shared" si="1"/>
        <v>0</v>
      </c>
      <c r="P21" s="47"/>
    </row>
    <row r="22" spans="1:19" s="29" customFormat="1" ht="15" x14ac:dyDescent="0.2">
      <c r="A22" s="72"/>
      <c r="B22" s="217"/>
      <c r="C22" s="118"/>
      <c r="F22" s="121"/>
      <c r="G22" s="122"/>
      <c r="H22" s="122"/>
      <c r="I22" s="128">
        <f t="shared" si="0"/>
        <v>0</v>
      </c>
      <c r="J22" s="230"/>
      <c r="K22" s="128">
        <f t="shared" si="2"/>
        <v>0</v>
      </c>
      <c r="L22" s="128">
        <f t="shared" si="1"/>
        <v>0</v>
      </c>
      <c r="P22" s="47"/>
    </row>
    <row r="23" spans="1:19" s="29" customFormat="1" ht="15" x14ac:dyDescent="0.2">
      <c r="A23" s="72"/>
      <c r="B23" s="217"/>
      <c r="C23" s="118"/>
      <c r="F23" s="121"/>
      <c r="G23" s="122"/>
      <c r="H23" s="122"/>
      <c r="I23" s="128">
        <f t="shared" si="0"/>
        <v>0</v>
      </c>
      <c r="J23" s="230"/>
      <c r="K23" s="128">
        <f t="shared" si="2"/>
        <v>0</v>
      </c>
      <c r="L23" s="128">
        <f t="shared" si="1"/>
        <v>0</v>
      </c>
      <c r="P23" s="47"/>
    </row>
    <row r="24" spans="1:19" s="29" customFormat="1" ht="15" x14ac:dyDescent="0.2">
      <c r="A24" s="72"/>
      <c r="B24" s="217"/>
      <c r="C24" s="118"/>
      <c r="F24" s="121"/>
      <c r="G24" s="122"/>
      <c r="H24" s="122"/>
      <c r="I24" s="128">
        <f t="shared" si="0"/>
        <v>0</v>
      </c>
      <c r="J24" s="230"/>
      <c r="K24" s="128">
        <f t="shared" si="2"/>
        <v>0</v>
      </c>
      <c r="L24" s="128">
        <f t="shared" si="1"/>
        <v>0</v>
      </c>
      <c r="P24" s="47"/>
    </row>
    <row r="25" spans="1:19" s="29" customFormat="1" ht="15" x14ac:dyDescent="0.2">
      <c r="A25" s="72"/>
      <c r="B25" s="217"/>
      <c r="C25" s="118"/>
      <c r="F25" s="121"/>
      <c r="G25" s="122"/>
      <c r="H25" s="122"/>
      <c r="I25" s="128">
        <f t="shared" si="0"/>
        <v>0</v>
      </c>
      <c r="J25" s="230"/>
      <c r="K25" s="128">
        <f t="shared" si="2"/>
        <v>0</v>
      </c>
      <c r="L25" s="128">
        <f t="shared" si="1"/>
        <v>0</v>
      </c>
      <c r="P25" s="47"/>
    </row>
    <row r="26" spans="1:19" s="29" customFormat="1" ht="15" x14ac:dyDescent="0.2">
      <c r="A26" s="72"/>
      <c r="B26" s="217"/>
      <c r="C26" s="118"/>
      <c r="F26" s="121"/>
      <c r="G26" s="122"/>
      <c r="H26" s="122"/>
      <c r="I26" s="128">
        <f t="shared" si="0"/>
        <v>0</v>
      </c>
      <c r="J26" s="230"/>
      <c r="K26" s="128">
        <f t="shared" si="2"/>
        <v>0</v>
      </c>
      <c r="L26" s="128">
        <f t="shared" si="1"/>
        <v>0</v>
      </c>
      <c r="P26" s="47"/>
    </row>
    <row r="27" spans="1:19" s="29" customFormat="1" ht="15" x14ac:dyDescent="0.2">
      <c r="A27" s="72"/>
      <c r="B27" s="217"/>
      <c r="C27" s="118"/>
      <c r="F27" s="121"/>
      <c r="G27" s="122"/>
      <c r="H27" s="122"/>
      <c r="I27" s="128">
        <f t="shared" si="0"/>
        <v>0</v>
      </c>
      <c r="J27" s="230"/>
      <c r="K27" s="128">
        <f t="shared" si="2"/>
        <v>0</v>
      </c>
      <c r="L27" s="128">
        <f t="shared" si="1"/>
        <v>0</v>
      </c>
      <c r="P27" s="47"/>
    </row>
    <row r="28" spans="1:19" s="29" customFormat="1" ht="15" x14ac:dyDescent="0.2">
      <c r="A28" s="72"/>
      <c r="B28" s="217"/>
      <c r="C28" s="118"/>
      <c r="F28" s="121"/>
      <c r="G28" s="122"/>
      <c r="H28" s="122"/>
      <c r="I28" s="128">
        <f t="shared" si="0"/>
        <v>0</v>
      </c>
      <c r="J28" s="230"/>
      <c r="K28" s="128">
        <f t="shared" si="2"/>
        <v>0</v>
      </c>
      <c r="L28" s="128">
        <f t="shared" si="1"/>
        <v>0</v>
      </c>
      <c r="P28" s="47"/>
    </row>
    <row r="29" spans="1:19" s="29" customFormat="1" ht="15" x14ac:dyDescent="0.2">
      <c r="A29" s="72"/>
      <c r="B29" s="217"/>
      <c r="C29" s="118"/>
      <c r="F29" s="121"/>
      <c r="G29" s="122"/>
      <c r="H29" s="122"/>
      <c r="I29" s="128">
        <f t="shared" si="0"/>
        <v>0</v>
      </c>
      <c r="J29" s="230"/>
      <c r="K29" s="128">
        <f t="shared" si="2"/>
        <v>0</v>
      </c>
      <c r="L29" s="128">
        <f t="shared" si="1"/>
        <v>0</v>
      </c>
      <c r="P29" s="47"/>
    </row>
    <row r="30" spans="1:19" s="29" customFormat="1" ht="15" x14ac:dyDescent="0.2">
      <c r="A30" s="72"/>
      <c r="B30" s="217"/>
      <c r="C30" s="118"/>
      <c r="F30" s="121"/>
      <c r="G30" s="122"/>
      <c r="H30" s="122"/>
      <c r="I30" s="128">
        <f t="shared" si="0"/>
        <v>0</v>
      </c>
      <c r="J30" s="230"/>
      <c r="K30" s="128">
        <f t="shared" si="2"/>
        <v>0</v>
      </c>
      <c r="L30" s="128">
        <f t="shared" si="1"/>
        <v>0</v>
      </c>
      <c r="P30" s="47"/>
    </row>
    <row r="31" spans="1:19" s="29" customFormat="1" ht="15" x14ac:dyDescent="0.2">
      <c r="A31" s="72"/>
      <c r="B31" s="207"/>
      <c r="C31" s="118"/>
      <c r="F31" s="125"/>
      <c r="G31" s="126"/>
      <c r="H31" s="126"/>
      <c r="I31" s="130">
        <f t="shared" si="0"/>
        <v>0</v>
      </c>
      <c r="J31" s="231"/>
      <c r="K31" s="130">
        <f t="shared" si="2"/>
        <v>0</v>
      </c>
      <c r="L31" s="127">
        <f t="shared" si="1"/>
        <v>0</v>
      </c>
      <c r="P31" s="47"/>
    </row>
    <row r="32" spans="1:19" s="29" customFormat="1" ht="15" x14ac:dyDescent="0.2">
      <c r="A32" s="72"/>
      <c r="B32" s="218"/>
      <c r="C32" s="120" t="s">
        <v>81</v>
      </c>
      <c r="D32" s="211"/>
      <c r="E32" s="212"/>
      <c r="F32" s="127">
        <f t="shared" ref="F32:L32" si="3">SUM(F19:F31)</f>
        <v>0</v>
      </c>
      <c r="G32" s="127">
        <f t="shared" si="3"/>
        <v>0</v>
      </c>
      <c r="H32" s="127">
        <f t="shared" si="3"/>
        <v>0</v>
      </c>
      <c r="I32" s="127">
        <f t="shared" si="3"/>
        <v>0</v>
      </c>
      <c r="J32" s="127">
        <f t="shared" si="3"/>
        <v>0</v>
      </c>
      <c r="K32" s="127">
        <f t="shared" si="3"/>
        <v>0</v>
      </c>
      <c r="L32" s="127">
        <f t="shared" si="3"/>
        <v>0</v>
      </c>
      <c r="P32" s="47"/>
    </row>
    <row r="33" spans="1:19" s="29" customFormat="1" ht="15" x14ac:dyDescent="0.25">
      <c r="A33" s="46"/>
      <c r="F33" s="238" t="s">
        <v>146</v>
      </c>
      <c r="P33" s="47"/>
      <c r="Q33" s="25"/>
      <c r="R33" s="25"/>
      <c r="S33" s="25"/>
    </row>
    <row r="34" spans="1:19" s="29" customFormat="1" ht="15" x14ac:dyDescent="0.25">
      <c r="G34" s="48" t="s">
        <v>82</v>
      </c>
      <c r="H34" s="48"/>
      <c r="P34" s="47"/>
      <c r="Q34" s="25"/>
      <c r="R34" s="25"/>
      <c r="S34" s="25"/>
    </row>
    <row r="35" spans="1:19" s="29" customFormat="1" ht="15" x14ac:dyDescent="0.2">
      <c r="G35" s="222" t="s">
        <v>83</v>
      </c>
      <c r="H35" s="131">
        <f>H32</f>
        <v>0</v>
      </c>
      <c r="J35" s="43" t="s">
        <v>84</v>
      </c>
      <c r="K35" s="215"/>
      <c r="P35" s="47"/>
    </row>
    <row r="36" spans="1:19" s="29" customFormat="1" ht="45" x14ac:dyDescent="0.2">
      <c r="G36" s="222" t="s">
        <v>141</v>
      </c>
      <c r="H36" s="131">
        <f>H54</f>
        <v>0</v>
      </c>
      <c r="J36" s="43" t="s">
        <v>85</v>
      </c>
      <c r="K36" s="131">
        <f>H37</f>
        <v>0</v>
      </c>
      <c r="P36" s="47"/>
    </row>
    <row r="37" spans="1:19" s="29" customFormat="1" ht="30" x14ac:dyDescent="0.2">
      <c r="G37" s="223" t="s">
        <v>86</v>
      </c>
      <c r="H37" s="132">
        <f>H35-H36</f>
        <v>0</v>
      </c>
      <c r="J37" s="44" t="s">
        <v>87</v>
      </c>
      <c r="K37" s="133">
        <f>+K35-K36</f>
        <v>0</v>
      </c>
      <c r="P37" s="47"/>
    </row>
    <row r="38" spans="1:19" s="29" customFormat="1" x14ac:dyDescent="0.25">
      <c r="A38" s="46"/>
      <c r="P38" s="47"/>
      <c r="Q38" s="7"/>
      <c r="R38" s="7"/>
      <c r="S38" s="7"/>
    </row>
    <row r="39" spans="1:19" s="29" customFormat="1" x14ac:dyDescent="0.25">
      <c r="A39" s="46"/>
      <c r="B39" s="341" t="s">
        <v>142</v>
      </c>
      <c r="C39" s="342"/>
      <c r="D39" s="342"/>
      <c r="E39" s="342"/>
      <c r="F39" s="343"/>
      <c r="G39" s="300" t="s">
        <v>140</v>
      </c>
      <c r="H39" s="259"/>
      <c r="J39" s="232" t="s">
        <v>142</v>
      </c>
      <c r="P39" s="47"/>
      <c r="Q39" s="7"/>
      <c r="R39" s="7"/>
      <c r="S39" s="7"/>
    </row>
    <row r="40" spans="1:19" s="29" customFormat="1" ht="30" customHeight="1" x14ac:dyDescent="0.2">
      <c r="A40" s="72"/>
      <c r="B40" s="189" t="s">
        <v>74</v>
      </c>
      <c r="C40" s="334" t="s">
        <v>75</v>
      </c>
      <c r="D40" s="334"/>
      <c r="E40" s="334"/>
      <c r="F40" s="189" t="s">
        <v>88</v>
      </c>
      <c r="G40" s="189" t="s">
        <v>89</v>
      </c>
      <c r="H40" s="189" t="s">
        <v>90</v>
      </c>
      <c r="I40" s="189" t="s">
        <v>91</v>
      </c>
      <c r="J40" s="189" t="s">
        <v>138</v>
      </c>
      <c r="K40" s="189" t="s">
        <v>87</v>
      </c>
      <c r="P40" s="47"/>
    </row>
    <row r="41" spans="1:19" s="29" customFormat="1" ht="15" x14ac:dyDescent="0.2">
      <c r="A41" s="72"/>
      <c r="B41" s="217"/>
      <c r="C41" s="118"/>
      <c r="F41" s="121"/>
      <c r="G41" s="122"/>
      <c r="H41" s="122"/>
      <c r="I41" s="128">
        <f>F41+G41-H41</f>
        <v>0</v>
      </c>
      <c r="J41" s="128"/>
      <c r="K41" s="128">
        <f>J41-I41</f>
        <v>0</v>
      </c>
      <c r="P41" s="47"/>
    </row>
    <row r="42" spans="1:19" s="29" customFormat="1" ht="15" x14ac:dyDescent="0.2">
      <c r="A42" s="72"/>
      <c r="B42" s="217"/>
      <c r="C42" s="118"/>
      <c r="F42" s="121"/>
      <c r="G42" s="122"/>
      <c r="H42" s="122"/>
      <c r="I42" s="128">
        <f>F42+G42-H42</f>
        <v>0</v>
      </c>
      <c r="J42" s="128"/>
      <c r="K42" s="128">
        <f t="shared" ref="K42:K53" si="4">J42-I42</f>
        <v>0</v>
      </c>
      <c r="P42" s="47"/>
    </row>
    <row r="43" spans="1:19" s="29" customFormat="1" ht="15" x14ac:dyDescent="0.2">
      <c r="A43" s="72"/>
      <c r="B43" s="217"/>
      <c r="C43" s="118"/>
      <c r="F43" s="121"/>
      <c r="G43" s="122"/>
      <c r="H43" s="122"/>
      <c r="I43" s="128">
        <f>F43+G43-H43</f>
        <v>0</v>
      </c>
      <c r="J43" s="128"/>
      <c r="K43" s="128">
        <f t="shared" si="4"/>
        <v>0</v>
      </c>
      <c r="P43" s="47"/>
    </row>
    <row r="44" spans="1:19" s="29" customFormat="1" ht="15" x14ac:dyDescent="0.2">
      <c r="A44" s="72"/>
      <c r="B44" s="217"/>
      <c r="C44" s="118"/>
      <c r="F44" s="121"/>
      <c r="G44" s="122"/>
      <c r="H44" s="122"/>
      <c r="I44" s="128">
        <f>F44+G44-H44</f>
        <v>0</v>
      </c>
      <c r="J44" s="128"/>
      <c r="K44" s="128">
        <f t="shared" si="4"/>
        <v>0</v>
      </c>
      <c r="P44" s="47"/>
    </row>
    <row r="45" spans="1:19" s="29" customFormat="1" ht="15" x14ac:dyDescent="0.2">
      <c r="A45" s="72"/>
      <c r="B45" s="217"/>
      <c r="C45" s="118"/>
      <c r="F45" s="121"/>
      <c r="G45" s="122"/>
      <c r="H45" s="122"/>
      <c r="I45" s="128">
        <f t="shared" ref="I45:I53" si="5">F45+G45-H45</f>
        <v>0</v>
      </c>
      <c r="J45" s="128"/>
      <c r="K45" s="128">
        <f t="shared" si="4"/>
        <v>0</v>
      </c>
      <c r="P45" s="47"/>
    </row>
    <row r="46" spans="1:19" s="29" customFormat="1" ht="15" x14ac:dyDescent="0.2">
      <c r="A46" s="72"/>
      <c r="B46" s="217"/>
      <c r="C46" s="118"/>
      <c r="F46" s="121"/>
      <c r="G46" s="122"/>
      <c r="H46" s="122"/>
      <c r="I46" s="128">
        <f t="shared" si="5"/>
        <v>0</v>
      </c>
      <c r="J46" s="128"/>
      <c r="K46" s="128">
        <f t="shared" si="4"/>
        <v>0</v>
      </c>
      <c r="P46" s="47"/>
    </row>
    <row r="47" spans="1:19" s="29" customFormat="1" ht="15" x14ac:dyDescent="0.2">
      <c r="A47" s="72"/>
      <c r="B47" s="217"/>
      <c r="C47" s="118"/>
      <c r="F47" s="121"/>
      <c r="G47" s="122"/>
      <c r="H47" s="122"/>
      <c r="I47" s="128">
        <f t="shared" si="5"/>
        <v>0</v>
      </c>
      <c r="J47" s="128"/>
      <c r="K47" s="128">
        <f t="shared" si="4"/>
        <v>0</v>
      </c>
      <c r="P47" s="47"/>
    </row>
    <row r="48" spans="1:19" s="29" customFormat="1" ht="15" x14ac:dyDescent="0.2">
      <c r="A48" s="72"/>
      <c r="B48" s="217"/>
      <c r="C48" s="118"/>
      <c r="F48" s="121"/>
      <c r="G48" s="122"/>
      <c r="H48" s="122"/>
      <c r="I48" s="128">
        <f t="shared" si="5"/>
        <v>0</v>
      </c>
      <c r="J48" s="128"/>
      <c r="K48" s="128">
        <f t="shared" si="4"/>
        <v>0</v>
      </c>
      <c r="P48" s="47"/>
    </row>
    <row r="49" spans="1:19" s="29" customFormat="1" ht="15" x14ac:dyDescent="0.2">
      <c r="A49" s="72"/>
      <c r="B49" s="217"/>
      <c r="C49" s="118"/>
      <c r="F49" s="121"/>
      <c r="G49" s="122"/>
      <c r="H49" s="122"/>
      <c r="I49" s="128">
        <f t="shared" si="5"/>
        <v>0</v>
      </c>
      <c r="J49" s="128"/>
      <c r="K49" s="128">
        <f t="shared" si="4"/>
        <v>0</v>
      </c>
      <c r="P49" s="47"/>
    </row>
    <row r="50" spans="1:19" s="29" customFormat="1" ht="15" x14ac:dyDescent="0.2">
      <c r="A50" s="72"/>
      <c r="B50" s="217"/>
      <c r="C50" s="118"/>
      <c r="F50" s="121"/>
      <c r="G50" s="122"/>
      <c r="H50" s="122"/>
      <c r="I50" s="128">
        <f t="shared" si="5"/>
        <v>0</v>
      </c>
      <c r="J50" s="128"/>
      <c r="K50" s="128">
        <f t="shared" si="4"/>
        <v>0</v>
      </c>
      <c r="P50" s="47"/>
    </row>
    <row r="51" spans="1:19" s="29" customFormat="1" ht="15" x14ac:dyDescent="0.2">
      <c r="A51" s="72"/>
      <c r="B51" s="217"/>
      <c r="C51" s="118"/>
      <c r="F51" s="121"/>
      <c r="G51" s="122"/>
      <c r="H51" s="122"/>
      <c r="I51" s="128">
        <f t="shared" si="5"/>
        <v>0</v>
      </c>
      <c r="J51" s="128"/>
      <c r="K51" s="128">
        <f t="shared" si="4"/>
        <v>0</v>
      </c>
      <c r="P51" s="47"/>
    </row>
    <row r="52" spans="1:19" x14ac:dyDescent="0.2">
      <c r="A52" s="72"/>
      <c r="B52" s="217"/>
      <c r="C52" s="118"/>
      <c r="D52" s="29"/>
      <c r="E52" s="29"/>
      <c r="F52" s="121"/>
      <c r="G52" s="122"/>
      <c r="H52" s="122"/>
      <c r="I52" s="128">
        <f t="shared" si="5"/>
        <v>0</v>
      </c>
      <c r="J52" s="128"/>
      <c r="K52" s="128">
        <f t="shared" si="4"/>
        <v>0</v>
      </c>
      <c r="P52" s="50"/>
      <c r="Q52" s="1"/>
      <c r="R52" s="1"/>
      <c r="S52" s="1"/>
    </row>
    <row r="53" spans="1:19" x14ac:dyDescent="0.2">
      <c r="A53" s="72"/>
      <c r="B53" s="217"/>
      <c r="C53" s="118"/>
      <c r="D53" s="29"/>
      <c r="E53" s="29"/>
      <c r="F53" s="121"/>
      <c r="G53" s="122"/>
      <c r="H53" s="122"/>
      <c r="I53" s="128">
        <f t="shared" si="5"/>
        <v>0</v>
      </c>
      <c r="J53" s="128"/>
      <c r="K53" s="128">
        <f t="shared" si="4"/>
        <v>0</v>
      </c>
      <c r="P53" s="50"/>
      <c r="Q53" s="1"/>
      <c r="R53" s="1"/>
      <c r="S53" s="1"/>
    </row>
    <row r="54" spans="1:19" x14ac:dyDescent="0.2">
      <c r="A54" s="72"/>
      <c r="B54" s="221"/>
      <c r="C54" s="120" t="s">
        <v>81</v>
      </c>
      <c r="D54" s="213"/>
      <c r="E54" s="214"/>
      <c r="F54" s="134">
        <f t="shared" ref="F54:K54" si="6">SUM(F41:F53)</f>
        <v>0</v>
      </c>
      <c r="G54" s="134">
        <f t="shared" si="6"/>
        <v>0</v>
      </c>
      <c r="H54" s="134">
        <f t="shared" si="6"/>
        <v>0</v>
      </c>
      <c r="I54" s="134">
        <f t="shared" si="6"/>
        <v>0</v>
      </c>
      <c r="J54" s="134">
        <f t="shared" si="6"/>
        <v>0</v>
      </c>
      <c r="K54" s="134">
        <f t="shared" si="6"/>
        <v>0</v>
      </c>
      <c r="P54" s="50"/>
      <c r="Q54" s="1"/>
      <c r="R54" s="1"/>
      <c r="S54" s="1"/>
    </row>
    <row r="55" spans="1:19" x14ac:dyDescent="0.25">
      <c r="A55" s="49"/>
      <c r="F55" s="238" t="s">
        <v>146</v>
      </c>
      <c r="P55" s="50"/>
      <c r="S55" s="1"/>
    </row>
    <row r="56" spans="1:19" x14ac:dyDescent="0.25">
      <c r="A56" s="49"/>
      <c r="F56" s="48" t="s">
        <v>92</v>
      </c>
      <c r="G56" s="48"/>
      <c r="H56" s="29"/>
      <c r="I56" s="29"/>
      <c r="P56" s="50"/>
      <c r="S56" s="1"/>
    </row>
    <row r="57" spans="1:19" x14ac:dyDescent="0.25">
      <c r="A57" s="49"/>
      <c r="F57" s="224" t="s">
        <v>93</v>
      </c>
      <c r="G57" s="215"/>
      <c r="K57" s="7"/>
      <c r="L57" s="7"/>
      <c r="P57" s="50"/>
      <c r="Q57" s="1"/>
      <c r="R57" s="1"/>
      <c r="S57" s="1"/>
    </row>
    <row r="58" spans="1:19" ht="30" x14ac:dyDescent="0.25">
      <c r="A58" s="49"/>
      <c r="F58" s="222" t="s">
        <v>69</v>
      </c>
      <c r="G58" s="131">
        <f>G54</f>
        <v>0</v>
      </c>
      <c r="K58" s="7"/>
      <c r="L58" s="7"/>
      <c r="P58" s="50"/>
      <c r="Q58" s="1"/>
      <c r="R58" s="1"/>
      <c r="S58" s="1"/>
    </row>
    <row r="59" spans="1:19" x14ac:dyDescent="0.25">
      <c r="A59" s="49"/>
      <c r="F59" s="225" t="s">
        <v>87</v>
      </c>
      <c r="G59" s="132">
        <f>G57-G58</f>
        <v>0</v>
      </c>
      <c r="K59" s="7"/>
      <c r="L59" s="7"/>
      <c r="P59" s="50"/>
      <c r="Q59" s="1"/>
      <c r="R59" s="1"/>
      <c r="S59" s="1"/>
    </row>
    <row r="60" spans="1:19" ht="16.5" thickBot="1" x14ac:dyDescent="0.3">
      <c r="A60" s="51"/>
      <c r="B60" s="52"/>
      <c r="C60" s="52"/>
      <c r="D60" s="52"/>
      <c r="E60" s="52"/>
      <c r="F60" s="52"/>
      <c r="G60" s="52"/>
      <c r="H60" s="52"/>
      <c r="I60" s="52"/>
      <c r="J60" s="52"/>
      <c r="K60" s="52"/>
      <c r="L60" s="52"/>
      <c r="M60" s="52"/>
      <c r="N60" s="52"/>
      <c r="O60" s="52"/>
      <c r="P60" s="53"/>
    </row>
  </sheetData>
  <sheetProtection formatCells="0" formatColumns="0" formatRows="0" insertColumns="0" insertRows="0" insertHyperlinks="0" deleteColumns="0" deleteRows="0" sort="0" autoFilter="0" pivotTables="0"/>
  <mergeCells count="23">
    <mergeCell ref="C18:E18"/>
    <mergeCell ref="C40:E40"/>
    <mergeCell ref="A11:P11"/>
    <mergeCell ref="A13:P13"/>
    <mergeCell ref="A14:P14"/>
    <mergeCell ref="G17:H17"/>
    <mergeCell ref="G39:H39"/>
    <mergeCell ref="B17:F17"/>
    <mergeCell ref="B39:F39"/>
    <mergeCell ref="D1:M2"/>
    <mergeCell ref="A3:P5"/>
    <mergeCell ref="E6:L7"/>
    <mergeCell ref="M6:N6"/>
    <mergeCell ref="O6:P6"/>
    <mergeCell ref="M7:N7"/>
    <mergeCell ref="O7:P7"/>
    <mergeCell ref="O8:P8"/>
    <mergeCell ref="A9:C9"/>
    <mergeCell ref="D9:E9"/>
    <mergeCell ref="F9:I9"/>
    <mergeCell ref="J9:K9"/>
    <mergeCell ref="L9:N9"/>
    <mergeCell ref="O9:P9"/>
  </mergeCells>
  <dataValidations count="2">
    <dataValidation type="list" allowBlank="1" showInputMessage="1" showErrorMessage="1" sqref="O9:P9" xr:uid="{00000000-0002-0000-0300-000000000000}">
      <formula1>Diligences</formula1>
    </dataValidation>
    <dataValidation type="list" showInputMessage="1" showErrorMessage="1" sqref="D9:E9" xr:uid="{00000000-0002-0000-0300-000001000000}">
      <formula1>RAS</formula1>
    </dataValidation>
  </dataValidations>
  <hyperlinks>
    <hyperlink ref="O8:P8" location="'I Synthèse'!A1" display="I Synthèse" xr:uid="{00000000-0004-0000-03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ignoredErrors>
    <ignoredError sqref="F34:J35 F19:I32 K20:L32 J32 F47:H51 F54:I54 F41:H44 I39 F40:I40 F45:H45 J45 J47:J51 I41:J44 J52:J53 J46 I45 I47:I51 I46 K46 I52:I53 K52:K53 K41:K44 K47:K51 K45 F38:J38 F37 I37:J37 F36 H36:J36 L19 G33:J33"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dimension ref="A1:S35"/>
  <sheetViews>
    <sheetView showGridLines="0" topLeftCell="A9" zoomScale="90" zoomScaleNormal="90" workbookViewId="0">
      <selection activeCell="J18" sqref="J18"/>
    </sheetView>
  </sheetViews>
  <sheetFormatPr baseColWidth="10" defaultColWidth="11.42578125" defaultRowHeight="15.75" x14ac:dyDescent="0.25"/>
  <cols>
    <col min="1" max="16" width="14.28515625" style="7" customWidth="1"/>
    <col min="17" max="17" width="11.42578125" style="7"/>
    <col min="18" max="18" width="9.28515625" style="7" hidden="1" customWidth="1"/>
    <col min="19" max="16384" width="11.42578125" style="7"/>
  </cols>
  <sheetData>
    <row r="1" spans="1:19" s="1" customFormat="1" ht="15" customHeight="1" x14ac:dyDescent="0.2">
      <c r="A1" s="10"/>
      <c r="B1" s="11"/>
      <c r="C1" s="11"/>
      <c r="D1" s="314" t="str">
        <f>'I Synthèse'!D1:M2</f>
        <v>#NomClient</v>
      </c>
      <c r="E1" s="315"/>
      <c r="F1" s="315"/>
      <c r="G1" s="315"/>
      <c r="H1" s="315"/>
      <c r="I1" s="315"/>
      <c r="J1" s="315"/>
      <c r="K1" s="315"/>
      <c r="L1" s="315"/>
      <c r="M1" s="316"/>
      <c r="N1" s="11"/>
      <c r="O1" s="11"/>
      <c r="P1" s="12"/>
      <c r="R1" s="27" t="s">
        <v>59</v>
      </c>
    </row>
    <row r="2" spans="1:19" s="1" customFormat="1" ht="15" customHeight="1" thickBot="1" x14ac:dyDescent="0.25">
      <c r="A2" s="13"/>
      <c r="B2" s="14"/>
      <c r="C2" s="14"/>
      <c r="D2" s="317"/>
      <c r="E2" s="318"/>
      <c r="F2" s="318"/>
      <c r="G2" s="318"/>
      <c r="H2" s="318"/>
      <c r="I2" s="318"/>
      <c r="J2" s="318"/>
      <c r="K2" s="318"/>
      <c r="L2" s="318"/>
      <c r="M2" s="319"/>
      <c r="N2" s="14"/>
      <c r="O2" s="14"/>
      <c r="P2" s="15"/>
      <c r="R2" s="27" t="s">
        <v>60</v>
      </c>
    </row>
    <row r="3" spans="1:19" ht="15" customHeight="1" x14ac:dyDescent="0.25">
      <c r="A3" s="245" t="s">
        <v>3</v>
      </c>
      <c r="B3" s="246"/>
      <c r="C3" s="246"/>
      <c r="D3" s="246"/>
      <c r="E3" s="246"/>
      <c r="F3" s="246"/>
      <c r="G3" s="246"/>
      <c r="H3" s="246"/>
      <c r="I3" s="246"/>
      <c r="J3" s="246"/>
      <c r="K3" s="246"/>
      <c r="L3" s="246"/>
      <c r="M3" s="246"/>
      <c r="N3" s="246"/>
      <c r="O3" s="246"/>
      <c r="P3" s="247"/>
      <c r="R3" s="28" t="s">
        <v>61</v>
      </c>
    </row>
    <row r="4" spans="1:19" ht="15" customHeight="1" x14ac:dyDescent="0.25">
      <c r="A4" s="245"/>
      <c r="B4" s="246"/>
      <c r="C4" s="246"/>
      <c r="D4" s="246"/>
      <c r="E4" s="246"/>
      <c r="F4" s="246"/>
      <c r="G4" s="246"/>
      <c r="H4" s="246"/>
      <c r="I4" s="246"/>
      <c r="J4" s="246"/>
      <c r="K4" s="246"/>
      <c r="L4" s="246"/>
      <c r="M4" s="246"/>
      <c r="N4" s="246"/>
      <c r="O4" s="246"/>
      <c r="P4" s="247"/>
      <c r="R4" s="27" t="s">
        <v>4</v>
      </c>
    </row>
    <row r="5" spans="1:19" ht="15" customHeight="1" thickBot="1" x14ac:dyDescent="0.3">
      <c r="A5" s="248"/>
      <c r="B5" s="249"/>
      <c r="C5" s="249"/>
      <c r="D5" s="249"/>
      <c r="E5" s="249"/>
      <c r="F5" s="249"/>
      <c r="G5" s="249"/>
      <c r="H5" s="249"/>
      <c r="I5" s="249"/>
      <c r="J5" s="249"/>
      <c r="K5" s="249"/>
      <c r="L5" s="249"/>
      <c r="M5" s="249"/>
      <c r="N5" s="249"/>
      <c r="O5" s="249"/>
      <c r="P5" s="250"/>
      <c r="Q5" s="8"/>
      <c r="R5" s="27" t="s">
        <v>5</v>
      </c>
      <c r="S5" s="23"/>
    </row>
    <row r="6" spans="1:19" ht="15" customHeight="1" x14ac:dyDescent="0.25">
      <c r="A6" s="17" t="s">
        <v>6</v>
      </c>
      <c r="B6" s="108" t="str">
        <f>'I Synthèse'!B6</f>
        <v>BRA</v>
      </c>
      <c r="C6" s="17" t="s">
        <v>7</v>
      </c>
      <c r="D6" s="108">
        <f>'I Synthèse'!D6</f>
        <v>0</v>
      </c>
      <c r="E6" s="264" t="s">
        <v>94</v>
      </c>
      <c r="F6" s="265"/>
      <c r="G6" s="265"/>
      <c r="H6" s="265"/>
      <c r="I6" s="265"/>
      <c r="J6" s="265"/>
      <c r="K6" s="265"/>
      <c r="L6" s="266"/>
      <c r="M6" s="320" t="s">
        <v>9</v>
      </c>
      <c r="N6" s="321"/>
      <c r="O6" s="270" t="s">
        <v>10</v>
      </c>
      <c r="P6" s="271"/>
      <c r="R6" s="28" t="s">
        <v>11</v>
      </c>
      <c r="S6" s="1"/>
    </row>
    <row r="7" spans="1:19" ht="15" customHeight="1" thickBot="1" x14ac:dyDescent="0.3">
      <c r="A7" s="18" t="s">
        <v>12</v>
      </c>
      <c r="B7" s="109">
        <f>'I Synthèse'!B7</f>
        <v>0</v>
      </c>
      <c r="C7" s="18" t="s">
        <v>12</v>
      </c>
      <c r="D7" s="109">
        <f>'I Synthèse'!D7</f>
        <v>0</v>
      </c>
      <c r="E7" s="267"/>
      <c r="F7" s="268"/>
      <c r="G7" s="268"/>
      <c r="H7" s="268"/>
      <c r="I7" s="268"/>
      <c r="J7" s="268"/>
      <c r="K7" s="268"/>
      <c r="L7" s="269"/>
      <c r="M7" s="323" t="str">
        <f>+'I Synthèse'!M7</f>
        <v>#DateClôture</v>
      </c>
      <c r="N7" s="324"/>
      <c r="O7" s="272" t="s">
        <v>35</v>
      </c>
      <c r="P7" s="273"/>
      <c r="R7" s="27" t="s">
        <v>15</v>
      </c>
    </row>
    <row r="8" spans="1:19" ht="21" customHeight="1" thickBot="1" x14ac:dyDescent="0.3">
      <c r="A8" s="19"/>
      <c r="B8" s="16"/>
      <c r="C8" s="20"/>
      <c r="D8" s="20"/>
      <c r="E8" s="21"/>
      <c r="F8" s="21"/>
      <c r="G8" s="21"/>
      <c r="H8" s="21"/>
      <c r="I8" s="21"/>
      <c r="J8" s="21"/>
      <c r="K8" s="21"/>
      <c r="L8" s="21"/>
      <c r="M8" s="22"/>
      <c r="N8" s="20"/>
      <c r="O8" s="328" t="s">
        <v>62</v>
      </c>
      <c r="P8" s="328"/>
      <c r="R8" s="27" t="s">
        <v>16</v>
      </c>
    </row>
    <row r="9" spans="1:19" s="20" customFormat="1" ht="31.5" customHeight="1" thickBot="1" x14ac:dyDescent="0.3">
      <c r="A9" s="262" t="s">
        <v>17</v>
      </c>
      <c r="B9" s="263"/>
      <c r="C9" s="263"/>
      <c r="D9" s="312" t="str">
        <f>'I Synthèse'!D9:E9</f>
        <v>Modéré</v>
      </c>
      <c r="E9" s="313"/>
      <c r="F9" s="254" t="s">
        <v>18</v>
      </c>
      <c r="G9" s="255"/>
      <c r="H9" s="255"/>
      <c r="I9" s="255"/>
      <c r="J9" s="326">
        <f>'I Synthèse'!J9:K9</f>
        <v>0</v>
      </c>
      <c r="K9" s="327"/>
      <c r="L9" s="254" t="s">
        <v>19</v>
      </c>
      <c r="M9" s="255"/>
      <c r="N9" s="255"/>
      <c r="O9" s="312" t="str">
        <f>'I Synthèse'!N9</f>
        <v>PE</v>
      </c>
      <c r="P9" s="313"/>
      <c r="R9" s="28" t="s">
        <v>20</v>
      </c>
    </row>
    <row r="10" spans="1:19" s="20" customFormat="1" ht="21" customHeight="1" thickBot="1" x14ac:dyDescent="0.3">
      <c r="A10" s="24"/>
      <c r="B10" s="24"/>
      <c r="C10" s="24"/>
      <c r="D10" s="24"/>
      <c r="E10" s="24"/>
      <c r="F10" s="24"/>
      <c r="G10" s="24"/>
      <c r="H10" s="24"/>
      <c r="I10" s="24"/>
      <c r="J10" s="24"/>
      <c r="K10" s="24"/>
      <c r="L10" s="24"/>
      <c r="M10" s="24"/>
      <c r="N10" s="24"/>
      <c r="O10" s="24"/>
      <c r="P10" s="24"/>
      <c r="R10" s="28" t="s">
        <v>95</v>
      </c>
    </row>
    <row r="11" spans="1:19" s="25" customFormat="1" ht="160.5" customHeight="1" thickBot="1" x14ac:dyDescent="0.3">
      <c r="A11" s="301" t="s">
        <v>96</v>
      </c>
      <c r="B11" s="302"/>
      <c r="C11" s="302"/>
      <c r="D11" s="302"/>
      <c r="E11" s="302"/>
      <c r="F11" s="302"/>
      <c r="G11" s="302"/>
      <c r="H11" s="302"/>
      <c r="I11" s="302"/>
      <c r="J11" s="302"/>
      <c r="K11" s="302"/>
      <c r="L11" s="302"/>
      <c r="M11" s="302"/>
      <c r="N11" s="302"/>
      <c r="O11" s="302"/>
      <c r="P11" s="303"/>
      <c r="R11" s="28" t="s">
        <v>97</v>
      </c>
    </row>
    <row r="12" spans="1:19" s="25" customFormat="1" ht="9" customHeight="1" thickBot="1" x14ac:dyDescent="0.3">
      <c r="R12" s="1"/>
    </row>
    <row r="13" spans="1:19" s="25" customFormat="1" x14ac:dyDescent="0.25">
      <c r="A13" s="292" t="s">
        <v>65</v>
      </c>
      <c r="B13" s="293"/>
      <c r="C13" s="293"/>
      <c r="D13" s="293"/>
      <c r="E13" s="293"/>
      <c r="F13" s="293"/>
      <c r="G13" s="293"/>
      <c r="H13" s="293"/>
      <c r="I13" s="293"/>
      <c r="J13" s="293"/>
      <c r="K13" s="293"/>
      <c r="L13" s="293"/>
      <c r="M13" s="293"/>
      <c r="N13" s="293"/>
      <c r="O13" s="293"/>
      <c r="P13" s="294"/>
      <c r="R13" s="1"/>
    </row>
    <row r="14" spans="1:19" s="25" customFormat="1" ht="75.75" customHeight="1" thickBot="1" x14ac:dyDescent="0.3">
      <c r="A14" s="347"/>
      <c r="B14" s="308"/>
      <c r="C14" s="308"/>
      <c r="D14" s="308"/>
      <c r="E14" s="308"/>
      <c r="F14" s="308"/>
      <c r="G14" s="308"/>
      <c r="H14" s="308"/>
      <c r="I14" s="308"/>
      <c r="J14" s="308"/>
      <c r="K14" s="308"/>
      <c r="L14" s="308"/>
      <c r="M14" s="308"/>
      <c r="N14" s="308"/>
      <c r="O14" s="308"/>
      <c r="P14" s="309"/>
      <c r="R14" s="1"/>
    </row>
    <row r="15" spans="1:19" s="25" customFormat="1" ht="21" customHeight="1" thickBot="1" x14ac:dyDescent="0.3">
      <c r="R15" s="1"/>
    </row>
    <row r="16" spans="1:19" s="25" customFormat="1" ht="15" customHeight="1" x14ac:dyDescent="0.25">
      <c r="A16" s="30"/>
      <c r="B16" s="31"/>
      <c r="C16" s="31"/>
      <c r="D16" s="31"/>
      <c r="E16" s="31"/>
      <c r="F16" s="31"/>
      <c r="G16" s="31"/>
      <c r="H16" s="31"/>
      <c r="I16" s="31"/>
      <c r="J16" s="31"/>
      <c r="K16" s="31"/>
      <c r="L16" s="31"/>
      <c r="M16" s="31"/>
      <c r="N16" s="31"/>
      <c r="O16" s="31"/>
      <c r="P16" s="32"/>
      <c r="R16" s="1"/>
    </row>
    <row r="17" spans="1:17" s="45" customFormat="1" ht="30" customHeight="1" x14ac:dyDescent="0.2">
      <c r="A17" s="204" t="s">
        <v>74</v>
      </c>
      <c r="B17" s="188" t="s">
        <v>75</v>
      </c>
      <c r="C17" s="189" t="s">
        <v>98</v>
      </c>
      <c r="D17" s="189" t="s">
        <v>99</v>
      </c>
      <c r="E17" s="189" t="s">
        <v>100</v>
      </c>
      <c r="F17" s="189" t="s">
        <v>101</v>
      </c>
      <c r="G17" s="189" t="s">
        <v>102</v>
      </c>
      <c r="H17" s="189" t="s">
        <v>103</v>
      </c>
      <c r="I17" s="189" t="s">
        <v>104</v>
      </c>
      <c r="J17" s="189" t="s">
        <v>145</v>
      </c>
      <c r="K17" s="189" t="s">
        <v>85</v>
      </c>
      <c r="L17" s="189" t="s">
        <v>87</v>
      </c>
      <c r="M17" s="189" t="s">
        <v>10</v>
      </c>
      <c r="N17" s="344" t="s">
        <v>105</v>
      </c>
      <c r="O17" s="345"/>
      <c r="P17" s="346"/>
      <c r="Q17" s="1"/>
    </row>
    <row r="18" spans="1:17" s="25" customFormat="1" x14ac:dyDescent="0.25">
      <c r="A18" s="59"/>
      <c r="B18" s="135"/>
      <c r="C18" s="55"/>
      <c r="D18" s="54"/>
      <c r="E18" s="54"/>
      <c r="F18" s="57" t="str">
        <f>IF(D18&lt;&gt;"",DAYS360(D18,$M$7),"Faux")</f>
        <v>Faux</v>
      </c>
      <c r="G18" s="71"/>
      <c r="H18" s="56"/>
      <c r="I18" s="58" t="e">
        <f>1/H18</f>
        <v>#DIV/0!</v>
      </c>
      <c r="J18" s="57" t="e">
        <f>(C18*I18)*(F18/360)</f>
        <v>#DIV/0!</v>
      </c>
      <c r="K18" s="56"/>
      <c r="L18" s="57" t="e">
        <f>IF(J18="","",J18-K18)</f>
        <v>#DIV/0!</v>
      </c>
      <c r="M18" s="70"/>
      <c r="N18" s="208"/>
      <c r="O18" s="209"/>
      <c r="P18" s="210"/>
      <c r="Q18" s="1"/>
    </row>
    <row r="19" spans="1:17" s="25" customFormat="1" ht="15" x14ac:dyDescent="0.25">
      <c r="A19" s="59"/>
      <c r="B19" s="135"/>
      <c r="C19" s="55"/>
      <c r="D19" s="54"/>
      <c r="E19" s="54"/>
      <c r="F19" s="57" t="str">
        <f t="shared" ref="F19:F28" si="0">IF(D19&lt;&gt;"",DAYS360(D19,$M$7),"Faux")</f>
        <v>Faux</v>
      </c>
      <c r="G19" s="71"/>
      <c r="H19" s="56"/>
      <c r="I19" s="58" t="e">
        <f t="shared" ref="I19:I28" si="1">1/H19</f>
        <v>#DIV/0!</v>
      </c>
      <c r="J19" s="57" t="e">
        <f t="shared" ref="J19:J28" si="2">(C19*I19)*(F19/360)</f>
        <v>#DIV/0!</v>
      </c>
      <c r="K19" s="56"/>
      <c r="L19" s="57" t="e">
        <f t="shared" ref="L19:L28" si="3">IF(J19="","",J19-K19)</f>
        <v>#DIV/0!</v>
      </c>
      <c r="M19" s="70"/>
      <c r="N19" s="208"/>
      <c r="O19" s="209"/>
      <c r="P19" s="210"/>
    </row>
    <row r="20" spans="1:17" s="25" customFormat="1" ht="15" x14ac:dyDescent="0.25">
      <c r="A20" s="59"/>
      <c r="B20" s="135"/>
      <c r="C20" s="55"/>
      <c r="D20" s="54"/>
      <c r="E20" s="54"/>
      <c r="F20" s="57" t="str">
        <f t="shared" si="0"/>
        <v>Faux</v>
      </c>
      <c r="G20" s="71"/>
      <c r="H20" s="56"/>
      <c r="I20" s="58" t="e">
        <f t="shared" si="1"/>
        <v>#DIV/0!</v>
      </c>
      <c r="J20" s="57" t="e">
        <f t="shared" si="2"/>
        <v>#DIV/0!</v>
      </c>
      <c r="K20" s="56"/>
      <c r="L20" s="57" t="e">
        <f t="shared" si="3"/>
        <v>#DIV/0!</v>
      </c>
      <c r="M20" s="70"/>
      <c r="N20" s="208"/>
      <c r="O20" s="209"/>
      <c r="P20" s="210"/>
    </row>
    <row r="21" spans="1:17" s="25" customFormat="1" ht="15" x14ac:dyDescent="0.25">
      <c r="A21" s="59"/>
      <c r="B21" s="135"/>
      <c r="C21" s="55"/>
      <c r="D21" s="54"/>
      <c r="E21" s="54"/>
      <c r="F21" s="57" t="str">
        <f t="shared" si="0"/>
        <v>Faux</v>
      </c>
      <c r="G21" s="71"/>
      <c r="H21" s="56"/>
      <c r="I21" s="58" t="e">
        <f t="shared" si="1"/>
        <v>#DIV/0!</v>
      </c>
      <c r="J21" s="57" t="e">
        <f t="shared" si="2"/>
        <v>#DIV/0!</v>
      </c>
      <c r="K21" s="56"/>
      <c r="L21" s="57" t="e">
        <f t="shared" si="3"/>
        <v>#DIV/0!</v>
      </c>
      <c r="M21" s="70"/>
      <c r="N21" s="208"/>
      <c r="O21" s="209"/>
      <c r="P21" s="210"/>
    </row>
    <row r="22" spans="1:17" s="25" customFormat="1" ht="15" x14ac:dyDescent="0.25">
      <c r="A22" s="59"/>
      <c r="B22" s="135"/>
      <c r="C22" s="55"/>
      <c r="D22" s="54"/>
      <c r="E22" s="54"/>
      <c r="F22" s="57" t="str">
        <f t="shared" si="0"/>
        <v>Faux</v>
      </c>
      <c r="G22" s="71"/>
      <c r="H22" s="56"/>
      <c r="I22" s="58" t="e">
        <f t="shared" si="1"/>
        <v>#DIV/0!</v>
      </c>
      <c r="J22" s="57" t="e">
        <f t="shared" si="2"/>
        <v>#DIV/0!</v>
      </c>
      <c r="K22" s="56"/>
      <c r="L22" s="57" t="e">
        <f t="shared" si="3"/>
        <v>#DIV/0!</v>
      </c>
      <c r="M22" s="70"/>
      <c r="N22" s="208"/>
      <c r="O22" s="209"/>
      <c r="P22" s="210"/>
    </row>
    <row r="23" spans="1:17" s="25" customFormat="1" ht="15" x14ac:dyDescent="0.25">
      <c r="A23" s="59"/>
      <c r="B23" s="135"/>
      <c r="C23" s="55"/>
      <c r="D23" s="54"/>
      <c r="E23" s="54"/>
      <c r="F23" s="57" t="str">
        <f t="shared" si="0"/>
        <v>Faux</v>
      </c>
      <c r="G23" s="71"/>
      <c r="H23" s="56"/>
      <c r="I23" s="58" t="e">
        <f t="shared" si="1"/>
        <v>#DIV/0!</v>
      </c>
      <c r="J23" s="57" t="e">
        <f t="shared" si="2"/>
        <v>#DIV/0!</v>
      </c>
      <c r="K23" s="56"/>
      <c r="L23" s="57" t="e">
        <f t="shared" si="3"/>
        <v>#DIV/0!</v>
      </c>
      <c r="M23" s="70"/>
      <c r="N23" s="208"/>
      <c r="O23" s="209"/>
      <c r="P23" s="210"/>
    </row>
    <row r="24" spans="1:17" s="25" customFormat="1" ht="15" x14ac:dyDescent="0.25">
      <c r="A24" s="59"/>
      <c r="B24" s="135"/>
      <c r="C24" s="55"/>
      <c r="D24" s="54"/>
      <c r="E24" s="54"/>
      <c r="F24" s="57" t="str">
        <f t="shared" si="0"/>
        <v>Faux</v>
      </c>
      <c r="G24" s="71"/>
      <c r="H24" s="56"/>
      <c r="I24" s="58" t="e">
        <f t="shared" si="1"/>
        <v>#DIV/0!</v>
      </c>
      <c r="J24" s="57" t="e">
        <f t="shared" si="2"/>
        <v>#DIV/0!</v>
      </c>
      <c r="K24" s="56"/>
      <c r="L24" s="57" t="e">
        <f t="shared" si="3"/>
        <v>#DIV/0!</v>
      </c>
      <c r="M24" s="70"/>
      <c r="N24" s="208"/>
      <c r="O24" s="209"/>
      <c r="P24" s="210"/>
    </row>
    <row r="25" spans="1:17" s="25" customFormat="1" ht="15" x14ac:dyDescent="0.25">
      <c r="A25" s="59"/>
      <c r="B25" s="135"/>
      <c r="C25" s="55"/>
      <c r="D25" s="54"/>
      <c r="E25" s="54"/>
      <c r="F25" s="57" t="str">
        <f t="shared" si="0"/>
        <v>Faux</v>
      </c>
      <c r="G25" s="71"/>
      <c r="H25" s="56"/>
      <c r="I25" s="58" t="e">
        <f t="shared" si="1"/>
        <v>#DIV/0!</v>
      </c>
      <c r="J25" s="57" t="e">
        <f t="shared" si="2"/>
        <v>#DIV/0!</v>
      </c>
      <c r="K25" s="56"/>
      <c r="L25" s="57" t="e">
        <f t="shared" si="3"/>
        <v>#DIV/0!</v>
      </c>
      <c r="M25" s="70"/>
      <c r="N25" s="208"/>
      <c r="O25" s="209"/>
      <c r="P25" s="210"/>
    </row>
    <row r="26" spans="1:17" s="25" customFormat="1" ht="15" x14ac:dyDescent="0.25">
      <c r="A26" s="59"/>
      <c r="B26" s="135"/>
      <c r="C26" s="55"/>
      <c r="D26" s="54"/>
      <c r="E26" s="54"/>
      <c r="F26" s="57" t="str">
        <f t="shared" si="0"/>
        <v>Faux</v>
      </c>
      <c r="G26" s="71"/>
      <c r="H26" s="56"/>
      <c r="I26" s="58" t="e">
        <f t="shared" si="1"/>
        <v>#DIV/0!</v>
      </c>
      <c r="J26" s="57" t="e">
        <f t="shared" si="2"/>
        <v>#DIV/0!</v>
      </c>
      <c r="K26" s="56"/>
      <c r="L26" s="57" t="e">
        <f t="shared" si="3"/>
        <v>#DIV/0!</v>
      </c>
      <c r="M26" s="70"/>
      <c r="N26" s="208"/>
      <c r="O26" s="209"/>
      <c r="P26" s="210"/>
    </row>
    <row r="27" spans="1:17" s="25" customFormat="1" ht="15" x14ac:dyDescent="0.25">
      <c r="A27" s="59"/>
      <c r="B27" s="135"/>
      <c r="C27" s="55"/>
      <c r="D27" s="54"/>
      <c r="E27" s="54"/>
      <c r="F27" s="57" t="str">
        <f t="shared" si="0"/>
        <v>Faux</v>
      </c>
      <c r="G27" s="71"/>
      <c r="H27" s="56"/>
      <c r="I27" s="58" t="e">
        <f t="shared" si="1"/>
        <v>#DIV/0!</v>
      </c>
      <c r="J27" s="57" t="e">
        <f t="shared" si="2"/>
        <v>#DIV/0!</v>
      </c>
      <c r="K27" s="56"/>
      <c r="L27" s="57" t="e">
        <f t="shared" si="3"/>
        <v>#DIV/0!</v>
      </c>
      <c r="M27" s="70"/>
      <c r="N27" s="208"/>
      <c r="O27" s="209"/>
      <c r="P27" s="210"/>
    </row>
    <row r="28" spans="1:17" s="25" customFormat="1" ht="15" x14ac:dyDescent="0.25">
      <c r="A28" s="59"/>
      <c r="B28" s="135"/>
      <c r="C28" s="55"/>
      <c r="D28" s="54"/>
      <c r="E28" s="54"/>
      <c r="F28" s="57" t="str">
        <f t="shared" si="0"/>
        <v>Faux</v>
      </c>
      <c r="G28" s="71"/>
      <c r="H28" s="56"/>
      <c r="I28" s="58" t="e">
        <f t="shared" si="1"/>
        <v>#DIV/0!</v>
      </c>
      <c r="J28" s="57" t="e">
        <f t="shared" si="2"/>
        <v>#DIV/0!</v>
      </c>
      <c r="K28" s="56"/>
      <c r="L28" s="57" t="e">
        <f t="shared" si="3"/>
        <v>#DIV/0!</v>
      </c>
      <c r="M28" s="70"/>
      <c r="N28" s="208"/>
      <c r="O28" s="209"/>
      <c r="P28" s="210"/>
    </row>
    <row r="29" spans="1:17" s="25" customFormat="1" ht="15" x14ac:dyDescent="0.25">
      <c r="A29" s="63"/>
      <c r="B29" s="111" t="s">
        <v>106</v>
      </c>
      <c r="C29" s="96">
        <f>SUM(C18:C28)</f>
        <v>0</v>
      </c>
      <c r="I29" s="64" t="s">
        <v>107</v>
      </c>
      <c r="J29" s="65" t="e">
        <f>SUM(J18:J28)</f>
        <v>#DIV/0!</v>
      </c>
      <c r="K29" s="65">
        <f>SUM(K18:K28)</f>
        <v>0</v>
      </c>
      <c r="L29" s="65" t="e">
        <f>SUM(L18:L28)</f>
        <v>#DIV/0!</v>
      </c>
      <c r="N29" s="136"/>
      <c r="P29" s="66"/>
    </row>
    <row r="30" spans="1:17" s="25" customFormat="1" ht="15" x14ac:dyDescent="0.25">
      <c r="A30" s="63"/>
      <c r="B30" s="111" t="s">
        <v>107</v>
      </c>
      <c r="C30" s="97">
        <f>'I200 Variation immos'!G32</f>
        <v>0</v>
      </c>
      <c r="P30" s="66"/>
    </row>
    <row r="31" spans="1:17" s="25" customFormat="1" ht="15" x14ac:dyDescent="0.25">
      <c r="A31" s="63"/>
      <c r="B31" s="111" t="s">
        <v>108</v>
      </c>
      <c r="C31" s="98" t="e">
        <f>C29/C30</f>
        <v>#DIV/0!</v>
      </c>
      <c r="P31" s="66"/>
    </row>
    <row r="32" spans="1:17" s="25" customFormat="1" thickBot="1" x14ac:dyDescent="0.3">
      <c r="A32" s="67"/>
      <c r="B32" s="68"/>
      <c r="C32" s="68"/>
      <c r="D32" s="68"/>
      <c r="E32" s="68"/>
      <c r="F32" s="68"/>
      <c r="G32" s="68"/>
      <c r="H32" s="68"/>
      <c r="I32" s="68"/>
      <c r="J32" s="68"/>
      <c r="K32" s="68"/>
      <c r="L32" s="68"/>
      <c r="M32" s="68"/>
      <c r="N32" s="68"/>
      <c r="O32" s="68"/>
      <c r="P32" s="69"/>
    </row>
    <row r="33" spans="18:18" x14ac:dyDescent="0.25">
      <c r="R33" s="25"/>
    </row>
    <row r="34" spans="18:18" x14ac:dyDescent="0.25">
      <c r="R34" s="25"/>
    </row>
    <row r="35" spans="18:18" x14ac:dyDescent="0.25">
      <c r="R35" s="25"/>
    </row>
  </sheetData>
  <sheetProtection formatCells="0" formatColumns="0" formatRows="0" insertColumns="0" insertRows="0" insertHyperlinks="0" deleteColumns="0" deleteRows="0" sort="0" autoFilter="0" pivotTables="0"/>
  <mergeCells count="18">
    <mergeCell ref="O8:P8"/>
    <mergeCell ref="N17:P17"/>
    <mergeCell ref="A11:P11"/>
    <mergeCell ref="A13:P13"/>
    <mergeCell ref="A14:P14"/>
    <mergeCell ref="O9:P9"/>
    <mergeCell ref="A9:C9"/>
    <mergeCell ref="D9:E9"/>
    <mergeCell ref="F9:I9"/>
    <mergeCell ref="J9:K9"/>
    <mergeCell ref="L9:N9"/>
    <mergeCell ref="D1:M2"/>
    <mergeCell ref="A3:P5"/>
    <mergeCell ref="E6:L7"/>
    <mergeCell ref="M6:N6"/>
    <mergeCell ref="O6:P6"/>
    <mergeCell ref="M7:N7"/>
    <mergeCell ref="O7:P7"/>
  </mergeCells>
  <dataValidations count="3">
    <dataValidation type="list" allowBlank="1" showInputMessage="1" showErrorMessage="1" sqref="E18:E28" xr:uid="{00000000-0002-0000-0400-000000000000}">
      <formula1>$R$10:$R$11</formula1>
    </dataValidation>
    <dataValidation type="list" allowBlank="1" showInputMessage="1" showErrorMessage="1" sqref="O9:P9" xr:uid="{00000000-0002-0000-0400-000001000000}">
      <formula1>Diligences</formula1>
    </dataValidation>
    <dataValidation type="list" showInputMessage="1" showErrorMessage="1" sqref="D9:E9" xr:uid="{00000000-0002-0000-0400-000002000000}">
      <formula1>RAS</formula1>
    </dataValidation>
  </dataValidations>
  <hyperlinks>
    <hyperlink ref="O8:P8" location="'I Synthèse'!A1" display="I Synthèse" xr:uid="{00000000-0004-0000-0400-000000000000}"/>
  </hyperlinks>
  <printOptions horizontalCentered="1"/>
  <pageMargins left="0.27559055118110237" right="0.27559055118110237" top="0.39370078740157483" bottom="0.39370078740157483" header="0.51181102362204722" footer="0.51181102362204722"/>
  <pageSetup paperSize="9" scale="65" orientation="landscape" r:id="rId1"/>
  <headerFooter alignWithMargins="0"/>
  <ignoredErrors>
    <ignoredError sqref="F19:F28 K19:K28"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dimension ref="A1:U43"/>
  <sheetViews>
    <sheetView showGridLines="0" zoomScale="90" zoomScaleNormal="90" zoomScaleSheetLayoutView="85" workbookViewId="0">
      <selection activeCell="A11" sqref="A11:P11"/>
    </sheetView>
  </sheetViews>
  <sheetFormatPr baseColWidth="10" defaultColWidth="11.42578125" defaultRowHeight="15.75" x14ac:dyDescent="0.25"/>
  <cols>
    <col min="1" max="3" width="10" style="1" customWidth="1"/>
    <col min="4" max="7" width="14.7109375" style="1" customWidth="1"/>
    <col min="8" max="8" width="19.5703125" style="1" customWidth="1"/>
    <col min="9" max="10" width="16.85546875" style="1" customWidth="1"/>
    <col min="11" max="11" width="17.5703125" style="1" customWidth="1"/>
    <col min="12" max="12" width="19.140625" style="1" customWidth="1"/>
    <col min="13" max="13" width="18.5703125" style="1" customWidth="1"/>
    <col min="14" max="16" width="10" style="1" customWidth="1"/>
    <col min="17" max="17" width="11.42578125" style="1" customWidth="1"/>
    <col min="18" max="18" width="12" style="7" hidden="1" customWidth="1"/>
    <col min="19" max="16384" width="11.42578125" style="1"/>
  </cols>
  <sheetData>
    <row r="1" spans="1:21" ht="15" customHeight="1" x14ac:dyDescent="0.2">
      <c r="A1" s="10"/>
      <c r="B1" s="11"/>
      <c r="C1" s="11"/>
      <c r="D1" s="314" t="str">
        <f>'I Synthèse'!D1:M2</f>
        <v>#NomClient</v>
      </c>
      <c r="E1" s="315"/>
      <c r="F1" s="315"/>
      <c r="G1" s="315"/>
      <c r="H1" s="315"/>
      <c r="I1" s="315"/>
      <c r="J1" s="315"/>
      <c r="K1" s="315"/>
      <c r="L1" s="315"/>
      <c r="M1" s="316"/>
      <c r="N1" s="11"/>
      <c r="O1" s="11"/>
      <c r="P1" s="12"/>
      <c r="R1" s="27" t="s">
        <v>59</v>
      </c>
    </row>
    <row r="2" spans="1:21" ht="15" customHeight="1" thickBot="1" x14ac:dyDescent="0.25">
      <c r="A2" s="13"/>
      <c r="B2" s="14"/>
      <c r="C2" s="14"/>
      <c r="D2" s="317"/>
      <c r="E2" s="318"/>
      <c r="F2" s="318"/>
      <c r="G2" s="318"/>
      <c r="H2" s="318"/>
      <c r="I2" s="318"/>
      <c r="J2" s="318"/>
      <c r="K2" s="318"/>
      <c r="L2" s="318"/>
      <c r="M2" s="319"/>
      <c r="N2" s="14"/>
      <c r="O2" s="14"/>
      <c r="P2" s="15"/>
      <c r="R2" s="27" t="s">
        <v>60</v>
      </c>
    </row>
    <row r="3" spans="1:21" ht="15" customHeight="1" x14ac:dyDescent="0.25">
      <c r="A3" s="245" t="s">
        <v>3</v>
      </c>
      <c r="B3" s="246"/>
      <c r="C3" s="246"/>
      <c r="D3" s="246"/>
      <c r="E3" s="246"/>
      <c r="F3" s="246"/>
      <c r="G3" s="246"/>
      <c r="H3" s="246"/>
      <c r="I3" s="246"/>
      <c r="J3" s="246"/>
      <c r="K3" s="246"/>
      <c r="L3" s="246"/>
      <c r="M3" s="246"/>
      <c r="N3" s="246"/>
      <c r="O3" s="246"/>
      <c r="P3" s="247"/>
      <c r="R3" s="28" t="s">
        <v>61</v>
      </c>
      <c r="T3" s="36"/>
      <c r="U3" s="37"/>
    </row>
    <row r="4" spans="1:21" ht="15" customHeight="1" x14ac:dyDescent="0.2">
      <c r="A4" s="245"/>
      <c r="B4" s="246"/>
      <c r="C4" s="246"/>
      <c r="D4" s="246"/>
      <c r="E4" s="246"/>
      <c r="F4" s="246"/>
      <c r="G4" s="246"/>
      <c r="H4" s="246"/>
      <c r="I4" s="246"/>
      <c r="J4" s="246"/>
      <c r="K4" s="246"/>
      <c r="L4" s="246"/>
      <c r="M4" s="246"/>
      <c r="N4" s="246"/>
      <c r="O4" s="246"/>
      <c r="P4" s="247"/>
      <c r="R4" s="27" t="s">
        <v>4</v>
      </c>
      <c r="T4" s="36"/>
      <c r="U4" s="37"/>
    </row>
    <row r="5" spans="1:21" ht="15" customHeight="1" thickBot="1" x14ac:dyDescent="0.25">
      <c r="A5" s="248"/>
      <c r="B5" s="249"/>
      <c r="C5" s="249"/>
      <c r="D5" s="249"/>
      <c r="E5" s="249"/>
      <c r="F5" s="249"/>
      <c r="G5" s="249"/>
      <c r="H5" s="249"/>
      <c r="I5" s="249"/>
      <c r="J5" s="249"/>
      <c r="K5" s="249"/>
      <c r="L5" s="249"/>
      <c r="M5" s="249"/>
      <c r="N5" s="249"/>
      <c r="O5" s="249"/>
      <c r="P5" s="250"/>
      <c r="Q5" s="38"/>
      <c r="R5" s="27" t="s">
        <v>5</v>
      </c>
      <c r="S5" s="39"/>
      <c r="T5" s="39"/>
      <c r="U5" s="39"/>
    </row>
    <row r="6" spans="1:21" ht="15" customHeight="1" x14ac:dyDescent="0.25">
      <c r="A6" s="17" t="s">
        <v>6</v>
      </c>
      <c r="B6" s="108" t="str">
        <f>'I Synthèse'!B6</f>
        <v>BRA</v>
      </c>
      <c r="C6" s="17" t="s">
        <v>7</v>
      </c>
      <c r="D6" s="108">
        <f>'I Synthèse'!D6</f>
        <v>0</v>
      </c>
      <c r="E6" s="264" t="s">
        <v>109</v>
      </c>
      <c r="F6" s="265"/>
      <c r="G6" s="265"/>
      <c r="H6" s="265"/>
      <c r="I6" s="265"/>
      <c r="J6" s="265"/>
      <c r="K6" s="265"/>
      <c r="L6" s="266"/>
      <c r="M6" s="320" t="s">
        <v>9</v>
      </c>
      <c r="N6" s="321"/>
      <c r="O6" s="270" t="s">
        <v>10</v>
      </c>
      <c r="P6" s="271"/>
      <c r="R6" s="28" t="s">
        <v>11</v>
      </c>
    </row>
    <row r="7" spans="1:21" ht="15" customHeight="1" thickBot="1" x14ac:dyDescent="0.25">
      <c r="A7" s="18" t="s">
        <v>12</v>
      </c>
      <c r="B7" s="109">
        <f>'I Synthèse'!B7</f>
        <v>0</v>
      </c>
      <c r="C7" s="18" t="s">
        <v>12</v>
      </c>
      <c r="D7" s="109">
        <f>'I Synthèse'!D7</f>
        <v>0</v>
      </c>
      <c r="E7" s="267"/>
      <c r="F7" s="268"/>
      <c r="G7" s="268"/>
      <c r="H7" s="268"/>
      <c r="I7" s="268"/>
      <c r="J7" s="268"/>
      <c r="K7" s="268"/>
      <c r="L7" s="269"/>
      <c r="M7" s="323" t="str">
        <f>'I Synthèse'!M7:M7</f>
        <v>#DateClôture</v>
      </c>
      <c r="N7" s="324"/>
      <c r="O7" s="272" t="s">
        <v>40</v>
      </c>
      <c r="P7" s="273"/>
      <c r="R7" s="27" t="s">
        <v>15</v>
      </c>
    </row>
    <row r="8" spans="1:21" ht="21" customHeight="1" thickBot="1" x14ac:dyDescent="0.25">
      <c r="A8" s="19"/>
      <c r="B8" s="16"/>
      <c r="C8" s="20"/>
      <c r="D8" s="20"/>
      <c r="E8" s="21"/>
      <c r="F8" s="21"/>
      <c r="G8" s="21"/>
      <c r="H8" s="21"/>
      <c r="I8" s="21"/>
      <c r="J8" s="21"/>
      <c r="K8" s="21"/>
      <c r="L8" s="21"/>
      <c r="M8" s="22"/>
      <c r="N8" s="20"/>
      <c r="O8" s="328" t="s">
        <v>62</v>
      </c>
      <c r="P8" s="328"/>
      <c r="R8" s="27" t="s">
        <v>16</v>
      </c>
    </row>
    <row r="9" spans="1:21" s="20" customFormat="1" ht="31.5" customHeight="1" thickBot="1" x14ac:dyDescent="0.3">
      <c r="A9" s="329" t="s">
        <v>17</v>
      </c>
      <c r="B9" s="330"/>
      <c r="C9" s="330"/>
      <c r="D9" s="312" t="str">
        <f>'I Synthèse'!D9:E9</f>
        <v>Modéré</v>
      </c>
      <c r="E9" s="313"/>
      <c r="F9" s="254" t="s">
        <v>18</v>
      </c>
      <c r="G9" s="255"/>
      <c r="H9" s="255"/>
      <c r="I9" s="255"/>
      <c r="J9" s="326">
        <f>'I Synthèse'!J9:K9</f>
        <v>0</v>
      </c>
      <c r="K9" s="327"/>
      <c r="L9" s="254" t="s">
        <v>19</v>
      </c>
      <c r="M9" s="255"/>
      <c r="N9" s="255"/>
      <c r="O9" s="312" t="str">
        <f>'I Synthèse'!N9</f>
        <v>PE</v>
      </c>
      <c r="P9" s="313"/>
      <c r="R9" s="28" t="s">
        <v>20</v>
      </c>
    </row>
    <row r="10" spans="1:21" s="20" customFormat="1" ht="21" customHeight="1" thickBot="1" x14ac:dyDescent="0.3">
      <c r="A10" s="24"/>
      <c r="B10" s="24"/>
      <c r="C10" s="24"/>
      <c r="D10" s="24"/>
      <c r="E10" s="24"/>
      <c r="F10" s="24"/>
      <c r="G10" s="24"/>
      <c r="H10" s="24"/>
      <c r="I10" s="24"/>
      <c r="J10" s="24"/>
      <c r="K10" s="24"/>
      <c r="L10" s="24"/>
      <c r="M10" s="24"/>
      <c r="N10" s="24"/>
      <c r="O10" s="24"/>
      <c r="P10" s="24"/>
      <c r="R10" s="28" t="s">
        <v>95</v>
      </c>
    </row>
    <row r="11" spans="1:21" s="29" customFormat="1" ht="142.5" customHeight="1" thickBot="1" x14ac:dyDescent="0.3">
      <c r="A11" s="335" t="s">
        <v>110</v>
      </c>
      <c r="B11" s="336"/>
      <c r="C11" s="336"/>
      <c r="D11" s="336"/>
      <c r="E11" s="336"/>
      <c r="F11" s="336"/>
      <c r="G11" s="336"/>
      <c r="H11" s="336"/>
      <c r="I11" s="336"/>
      <c r="J11" s="336"/>
      <c r="K11" s="336"/>
      <c r="L11" s="336"/>
      <c r="M11" s="336"/>
      <c r="N11" s="336"/>
      <c r="O11" s="336"/>
      <c r="P11" s="337"/>
      <c r="R11" s="28" t="s">
        <v>97</v>
      </c>
    </row>
    <row r="12" spans="1:21" s="29" customFormat="1" ht="9" customHeight="1" thickBot="1" x14ac:dyDescent="0.25">
      <c r="R12" s="1"/>
    </row>
    <row r="13" spans="1:21" s="29" customFormat="1" x14ac:dyDescent="0.2">
      <c r="A13" s="338" t="s">
        <v>65</v>
      </c>
      <c r="B13" s="339"/>
      <c r="C13" s="339"/>
      <c r="D13" s="339"/>
      <c r="E13" s="339"/>
      <c r="F13" s="339"/>
      <c r="G13" s="339"/>
      <c r="H13" s="339"/>
      <c r="I13" s="339"/>
      <c r="J13" s="339"/>
      <c r="K13" s="339"/>
      <c r="L13" s="339"/>
      <c r="M13" s="339"/>
      <c r="N13" s="339"/>
      <c r="O13" s="339"/>
      <c r="P13" s="340"/>
      <c r="R13" s="1"/>
    </row>
    <row r="14" spans="1:21" s="29" customFormat="1" ht="60" customHeight="1" thickBot="1" x14ac:dyDescent="0.25">
      <c r="A14" s="307"/>
      <c r="B14" s="308"/>
      <c r="C14" s="308"/>
      <c r="D14" s="308"/>
      <c r="E14" s="308"/>
      <c r="F14" s="308"/>
      <c r="G14" s="308"/>
      <c r="H14" s="308"/>
      <c r="I14" s="308"/>
      <c r="J14" s="308"/>
      <c r="K14" s="308"/>
      <c r="L14" s="308"/>
      <c r="M14" s="308"/>
      <c r="N14" s="308"/>
      <c r="O14" s="308"/>
      <c r="P14" s="309"/>
      <c r="R14" s="1"/>
    </row>
    <row r="15" spans="1:21" s="29" customFormat="1" ht="21" customHeight="1" thickBot="1" x14ac:dyDescent="0.25">
      <c r="R15" s="1"/>
    </row>
    <row r="16" spans="1:21" s="29" customFormat="1" x14ac:dyDescent="0.2">
      <c r="A16" s="40"/>
      <c r="B16" s="41"/>
      <c r="C16" s="41"/>
      <c r="D16" s="41"/>
      <c r="E16" s="41"/>
      <c r="F16" s="41"/>
      <c r="G16" s="41"/>
      <c r="H16" s="41"/>
      <c r="I16" s="41"/>
      <c r="J16" s="41"/>
      <c r="K16" s="41"/>
      <c r="L16" s="41"/>
      <c r="M16" s="41"/>
      <c r="N16" s="41"/>
      <c r="O16" s="41"/>
      <c r="P16" s="42"/>
      <c r="R16" s="1"/>
    </row>
    <row r="17" spans="3:18" s="29" customFormat="1" ht="30" customHeight="1" x14ac:dyDescent="0.2">
      <c r="C17" s="189" t="s">
        <v>74</v>
      </c>
      <c r="D17" s="331" t="s">
        <v>75</v>
      </c>
      <c r="E17" s="332"/>
      <c r="F17" s="332"/>
      <c r="G17" s="333"/>
      <c r="H17" s="189" t="s">
        <v>111</v>
      </c>
      <c r="I17" s="205" t="s">
        <v>112</v>
      </c>
      <c r="J17" s="205" t="s">
        <v>113</v>
      </c>
      <c r="K17" s="205" t="s">
        <v>114</v>
      </c>
      <c r="L17" s="189" t="s">
        <v>115</v>
      </c>
      <c r="M17" s="206" t="s">
        <v>10</v>
      </c>
      <c r="P17" s="47"/>
    </row>
    <row r="18" spans="3:18" s="29" customFormat="1" ht="15" x14ac:dyDescent="0.2">
      <c r="C18" s="164"/>
      <c r="D18" s="190"/>
      <c r="E18" s="166"/>
      <c r="F18" s="166"/>
      <c r="G18" s="167"/>
      <c r="H18" s="191"/>
      <c r="I18" s="192"/>
      <c r="J18" s="192"/>
      <c r="K18" s="192">
        <f t="shared" ref="K18:K30" si="0">H18-J18</f>
        <v>0</v>
      </c>
      <c r="L18" s="193"/>
      <c r="M18" s="171"/>
      <c r="P18" s="47"/>
    </row>
    <row r="19" spans="3:18" s="29" customFormat="1" ht="15" x14ac:dyDescent="0.2">
      <c r="C19" s="172"/>
      <c r="D19" s="194"/>
      <c r="E19" s="174"/>
      <c r="F19" s="174"/>
      <c r="G19" s="174"/>
      <c r="H19" s="195"/>
      <c r="I19" s="196"/>
      <c r="J19" s="196"/>
      <c r="K19" s="196">
        <f t="shared" si="0"/>
        <v>0</v>
      </c>
      <c r="L19" s="197"/>
      <c r="M19" s="179"/>
      <c r="P19" s="47"/>
    </row>
    <row r="20" spans="3:18" s="29" customFormat="1" ht="15" x14ac:dyDescent="0.2">
      <c r="C20" s="172"/>
      <c r="D20" s="194"/>
      <c r="E20" s="174"/>
      <c r="F20" s="174"/>
      <c r="G20" s="174"/>
      <c r="H20" s="195"/>
      <c r="I20" s="196"/>
      <c r="J20" s="196"/>
      <c r="K20" s="196">
        <f t="shared" si="0"/>
        <v>0</v>
      </c>
      <c r="L20" s="197"/>
      <c r="M20" s="179"/>
      <c r="P20" s="47"/>
    </row>
    <row r="21" spans="3:18" s="29" customFormat="1" ht="15" x14ac:dyDescent="0.2">
      <c r="C21" s="172"/>
      <c r="D21" s="194"/>
      <c r="E21" s="174"/>
      <c r="F21" s="174"/>
      <c r="G21" s="174"/>
      <c r="H21" s="195"/>
      <c r="I21" s="196"/>
      <c r="J21" s="196"/>
      <c r="K21" s="196">
        <f t="shared" si="0"/>
        <v>0</v>
      </c>
      <c r="L21" s="197"/>
      <c r="M21" s="179"/>
      <c r="P21" s="47"/>
    </row>
    <row r="22" spans="3:18" s="29" customFormat="1" ht="15" x14ac:dyDescent="0.2">
      <c r="C22" s="172"/>
      <c r="D22" s="194"/>
      <c r="E22" s="174"/>
      <c r="F22" s="174"/>
      <c r="G22" s="174"/>
      <c r="H22" s="195"/>
      <c r="I22" s="196"/>
      <c r="J22" s="196"/>
      <c r="K22" s="196">
        <f t="shared" si="0"/>
        <v>0</v>
      </c>
      <c r="L22" s="197"/>
      <c r="M22" s="179"/>
      <c r="P22" s="47"/>
    </row>
    <row r="23" spans="3:18" s="29" customFormat="1" ht="15" x14ac:dyDescent="0.2">
      <c r="C23" s="172"/>
      <c r="D23" s="194"/>
      <c r="E23" s="174"/>
      <c r="F23" s="174"/>
      <c r="G23" s="174"/>
      <c r="H23" s="195"/>
      <c r="I23" s="196"/>
      <c r="J23" s="196"/>
      <c r="K23" s="196">
        <f t="shared" si="0"/>
        <v>0</v>
      </c>
      <c r="L23" s="197"/>
      <c r="M23" s="179"/>
      <c r="P23" s="47"/>
    </row>
    <row r="24" spans="3:18" s="29" customFormat="1" ht="15" x14ac:dyDescent="0.2">
      <c r="C24" s="172"/>
      <c r="D24" s="194"/>
      <c r="E24" s="174"/>
      <c r="F24" s="174"/>
      <c r="G24" s="174"/>
      <c r="H24" s="195"/>
      <c r="I24" s="196"/>
      <c r="J24" s="196"/>
      <c r="K24" s="196">
        <f t="shared" si="0"/>
        <v>0</v>
      </c>
      <c r="L24" s="197"/>
      <c r="M24" s="179"/>
      <c r="P24" s="47"/>
    </row>
    <row r="25" spans="3:18" s="29" customFormat="1" ht="15" x14ac:dyDescent="0.2">
      <c r="C25" s="172"/>
      <c r="D25" s="194"/>
      <c r="E25" s="174"/>
      <c r="F25" s="174"/>
      <c r="G25" s="174"/>
      <c r="H25" s="195"/>
      <c r="I25" s="196"/>
      <c r="J25" s="196"/>
      <c r="K25" s="196">
        <f t="shared" si="0"/>
        <v>0</v>
      </c>
      <c r="L25" s="197"/>
      <c r="M25" s="179"/>
      <c r="P25" s="47"/>
    </row>
    <row r="26" spans="3:18" s="29" customFormat="1" ht="15" x14ac:dyDescent="0.2">
      <c r="C26" s="172"/>
      <c r="D26" s="194"/>
      <c r="E26" s="174"/>
      <c r="F26" s="174"/>
      <c r="G26" s="174"/>
      <c r="H26" s="195"/>
      <c r="I26" s="196"/>
      <c r="J26" s="196"/>
      <c r="K26" s="196">
        <f t="shared" si="0"/>
        <v>0</v>
      </c>
      <c r="L26" s="197"/>
      <c r="M26" s="179"/>
      <c r="P26" s="47"/>
    </row>
    <row r="27" spans="3:18" s="29" customFormat="1" ht="15" x14ac:dyDescent="0.2">
      <c r="C27" s="172"/>
      <c r="D27" s="194"/>
      <c r="E27" s="174"/>
      <c r="F27" s="174"/>
      <c r="G27" s="174"/>
      <c r="H27" s="195"/>
      <c r="I27" s="196"/>
      <c r="J27" s="196"/>
      <c r="K27" s="196">
        <f t="shared" si="0"/>
        <v>0</v>
      </c>
      <c r="L27" s="197"/>
      <c r="M27" s="179"/>
      <c r="P27" s="47"/>
    </row>
    <row r="28" spans="3:18" s="29" customFormat="1" ht="15" x14ac:dyDescent="0.2">
      <c r="C28" s="172"/>
      <c r="D28" s="194"/>
      <c r="E28" s="174"/>
      <c r="F28" s="174"/>
      <c r="G28" s="174"/>
      <c r="H28" s="195"/>
      <c r="I28" s="196"/>
      <c r="J28" s="196"/>
      <c r="K28" s="196">
        <f t="shared" si="0"/>
        <v>0</v>
      </c>
      <c r="L28" s="197"/>
      <c r="M28" s="179"/>
      <c r="P28" s="47"/>
    </row>
    <row r="29" spans="3:18" s="29" customFormat="1" ht="15" x14ac:dyDescent="0.2">
      <c r="C29" s="172"/>
      <c r="D29" s="194"/>
      <c r="E29" s="174"/>
      <c r="F29" s="174"/>
      <c r="G29" s="174"/>
      <c r="H29" s="195"/>
      <c r="I29" s="196"/>
      <c r="J29" s="196"/>
      <c r="K29" s="196">
        <f t="shared" si="0"/>
        <v>0</v>
      </c>
      <c r="L29" s="197"/>
      <c r="M29" s="179"/>
      <c r="P29" s="47"/>
    </row>
    <row r="30" spans="3:18" s="29" customFormat="1" ht="15" x14ac:dyDescent="0.2">
      <c r="C30" s="180"/>
      <c r="D30" s="198"/>
      <c r="E30" s="182"/>
      <c r="F30" s="182"/>
      <c r="G30" s="182"/>
      <c r="H30" s="199"/>
      <c r="I30" s="200"/>
      <c r="J30" s="200"/>
      <c r="K30" s="200">
        <f t="shared" si="0"/>
        <v>0</v>
      </c>
      <c r="L30" s="201"/>
      <c r="M30" s="187"/>
      <c r="P30" s="47"/>
    </row>
    <row r="31" spans="3:18" s="29" customFormat="1" x14ac:dyDescent="0.25">
      <c r="G31" s="112" t="s">
        <v>106</v>
      </c>
      <c r="H31" s="137">
        <f>SUM(H18:H30)</f>
        <v>0</v>
      </c>
      <c r="I31" s="119"/>
      <c r="P31" s="47"/>
    </row>
    <row r="32" spans="3:18" s="60" customFormat="1" x14ac:dyDescent="0.25">
      <c r="G32" s="112" t="s">
        <v>107</v>
      </c>
      <c r="H32" s="137">
        <f>'I200 Variation immos'!H32</f>
        <v>0</v>
      </c>
      <c r="I32" s="203"/>
      <c r="J32" s="29"/>
      <c r="P32" s="61"/>
      <c r="R32" s="29"/>
    </row>
    <row r="33" spans="1:20" s="60" customFormat="1" x14ac:dyDescent="0.25">
      <c r="G33" s="112" t="s">
        <v>108</v>
      </c>
      <c r="H33" s="138" t="e">
        <f>H31/H32</f>
        <v>#DIV/0!</v>
      </c>
      <c r="I33" s="203"/>
      <c r="J33" s="202"/>
      <c r="L33" s="62"/>
      <c r="P33" s="61"/>
    </row>
    <row r="34" spans="1:20" ht="16.5" thickBot="1" x14ac:dyDescent="0.3">
      <c r="A34" s="51"/>
      <c r="B34" s="52"/>
      <c r="C34" s="52"/>
      <c r="D34" s="52"/>
      <c r="E34" s="52"/>
      <c r="F34" s="52"/>
      <c r="G34" s="52"/>
      <c r="H34" s="52"/>
      <c r="I34" s="52"/>
      <c r="J34" s="52"/>
      <c r="K34" s="52"/>
      <c r="L34" s="52"/>
      <c r="M34" s="52"/>
      <c r="N34" s="52"/>
      <c r="O34" s="52"/>
      <c r="P34" s="53"/>
      <c r="R34" s="25"/>
      <c r="S34" s="29"/>
      <c r="T34" s="29"/>
    </row>
    <row r="35" spans="1:20" x14ac:dyDescent="0.25">
      <c r="R35" s="25"/>
      <c r="S35" s="29"/>
      <c r="T35" s="29"/>
    </row>
    <row r="36" spans="1:20" x14ac:dyDescent="0.25">
      <c r="S36" s="29"/>
      <c r="T36" s="29"/>
    </row>
    <row r="37" spans="1:20" x14ac:dyDescent="0.25">
      <c r="S37" s="29"/>
      <c r="T37" s="29"/>
    </row>
    <row r="38" spans="1:20" x14ac:dyDescent="0.25">
      <c r="S38" s="29"/>
      <c r="T38" s="29"/>
    </row>
    <row r="39" spans="1:20" x14ac:dyDescent="0.25">
      <c r="S39" s="29"/>
      <c r="T39" s="29"/>
    </row>
    <row r="40" spans="1:20" x14ac:dyDescent="0.25">
      <c r="S40" s="29"/>
      <c r="T40" s="29"/>
    </row>
    <row r="41" spans="1:20" x14ac:dyDescent="0.25">
      <c r="S41" s="29"/>
      <c r="T41" s="29"/>
    </row>
    <row r="42" spans="1:20" x14ac:dyDescent="0.25">
      <c r="S42" s="29"/>
      <c r="T42" s="29"/>
    </row>
    <row r="43" spans="1:20" x14ac:dyDescent="0.25">
      <c r="S43" s="29"/>
      <c r="T43" s="29"/>
    </row>
  </sheetData>
  <sheetProtection formatCells="0" formatColumns="0" formatRows="0" insertColumns="0" insertRows="0" insertHyperlinks="0" deleteColumns="0" deleteRows="0" sort="0" autoFilter="0" pivotTables="0"/>
  <mergeCells count="18">
    <mergeCell ref="A13:P13"/>
    <mergeCell ref="D17:G17"/>
    <mergeCell ref="A14:P14"/>
    <mergeCell ref="L9:N9"/>
    <mergeCell ref="O9:P9"/>
    <mergeCell ref="J9:K9"/>
    <mergeCell ref="D1:M2"/>
    <mergeCell ref="A3:P5"/>
    <mergeCell ref="E6:L7"/>
    <mergeCell ref="M6:N6"/>
    <mergeCell ref="O6:P6"/>
    <mergeCell ref="M7:N7"/>
    <mergeCell ref="O7:P7"/>
    <mergeCell ref="O8:P8"/>
    <mergeCell ref="A9:C9"/>
    <mergeCell ref="D9:E9"/>
    <mergeCell ref="F9:I9"/>
    <mergeCell ref="A11:P11"/>
  </mergeCells>
  <dataValidations count="3">
    <dataValidation type="list" allowBlank="1" showInputMessage="1" showErrorMessage="1" sqref="L18:L30" xr:uid="{00000000-0002-0000-0500-000000000000}">
      <formula1>$R$10:$R$11</formula1>
    </dataValidation>
    <dataValidation type="list" allowBlank="1" showInputMessage="1" showErrorMessage="1" sqref="O9:P9" xr:uid="{00000000-0002-0000-0500-000001000000}">
      <formula1>Diligences</formula1>
    </dataValidation>
    <dataValidation type="list" showInputMessage="1" showErrorMessage="1" sqref="D9:E9" xr:uid="{00000000-0002-0000-0500-000002000000}">
      <formula1>RAS</formula1>
    </dataValidation>
  </dataValidations>
  <hyperlinks>
    <hyperlink ref="O8:P8" location="'I Synthèse'!A1" display="I Synthèse" xr:uid="{00000000-0004-0000-05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7"/>
  <dimension ref="A1:U35"/>
  <sheetViews>
    <sheetView showGridLines="0" zoomScale="90" zoomScaleNormal="90" zoomScaleSheetLayoutView="85" workbookViewId="0">
      <selection activeCell="O10" sqref="O10"/>
    </sheetView>
  </sheetViews>
  <sheetFormatPr baseColWidth="10" defaultColWidth="11.42578125" defaultRowHeight="15.75" x14ac:dyDescent="0.25"/>
  <cols>
    <col min="1" max="12" width="14.7109375" style="1" customWidth="1"/>
    <col min="13" max="16" width="13.140625" style="1" customWidth="1"/>
    <col min="17" max="17" width="11.42578125" style="1"/>
    <col min="18" max="18" width="14.140625" style="7" hidden="1" customWidth="1"/>
    <col min="19" max="16384" width="11.42578125" style="1"/>
  </cols>
  <sheetData>
    <row r="1" spans="1:21" ht="15" customHeight="1" x14ac:dyDescent="0.2">
      <c r="A1" s="10"/>
      <c r="B1" s="11"/>
      <c r="C1" s="11"/>
      <c r="D1" s="314" t="str">
        <f>'I Synthèse'!D1:M2</f>
        <v>#NomClient</v>
      </c>
      <c r="E1" s="315"/>
      <c r="F1" s="315"/>
      <c r="G1" s="315"/>
      <c r="H1" s="315"/>
      <c r="I1" s="315"/>
      <c r="J1" s="315"/>
      <c r="K1" s="315"/>
      <c r="L1" s="315"/>
      <c r="M1" s="316"/>
      <c r="N1" s="11"/>
      <c r="O1" s="11"/>
      <c r="P1" s="12"/>
      <c r="R1" s="27" t="s">
        <v>59</v>
      </c>
    </row>
    <row r="2" spans="1:21" ht="15" customHeight="1" thickBot="1" x14ac:dyDescent="0.25">
      <c r="A2" s="13"/>
      <c r="B2" s="14"/>
      <c r="C2" s="14"/>
      <c r="D2" s="317"/>
      <c r="E2" s="318"/>
      <c r="F2" s="318"/>
      <c r="G2" s="318"/>
      <c r="H2" s="318"/>
      <c r="I2" s="318"/>
      <c r="J2" s="318"/>
      <c r="K2" s="318"/>
      <c r="L2" s="318"/>
      <c r="M2" s="319"/>
      <c r="N2" s="14"/>
      <c r="O2" s="14"/>
      <c r="P2" s="15"/>
      <c r="R2" s="27" t="s">
        <v>60</v>
      </c>
    </row>
    <row r="3" spans="1:21" ht="15" customHeight="1" x14ac:dyDescent="0.25">
      <c r="A3" s="245" t="s">
        <v>3</v>
      </c>
      <c r="B3" s="246"/>
      <c r="C3" s="246"/>
      <c r="D3" s="246"/>
      <c r="E3" s="246"/>
      <c r="F3" s="246"/>
      <c r="G3" s="246"/>
      <c r="H3" s="246"/>
      <c r="I3" s="246"/>
      <c r="J3" s="246"/>
      <c r="K3" s="246"/>
      <c r="L3" s="246"/>
      <c r="M3" s="246"/>
      <c r="N3" s="246"/>
      <c r="O3" s="246"/>
      <c r="P3" s="247"/>
      <c r="R3" s="28" t="s">
        <v>61</v>
      </c>
      <c r="T3" s="36"/>
      <c r="U3" s="37"/>
    </row>
    <row r="4" spans="1:21" ht="15" customHeight="1" x14ac:dyDescent="0.2">
      <c r="A4" s="245"/>
      <c r="B4" s="246"/>
      <c r="C4" s="246"/>
      <c r="D4" s="246"/>
      <c r="E4" s="246"/>
      <c r="F4" s="246"/>
      <c r="G4" s="246"/>
      <c r="H4" s="246"/>
      <c r="I4" s="246"/>
      <c r="J4" s="246"/>
      <c r="K4" s="246"/>
      <c r="L4" s="246"/>
      <c r="M4" s="246"/>
      <c r="N4" s="246"/>
      <c r="O4" s="246"/>
      <c r="P4" s="247"/>
      <c r="R4" s="27" t="s">
        <v>4</v>
      </c>
      <c r="T4" s="36"/>
      <c r="U4" s="37"/>
    </row>
    <row r="5" spans="1:21" ht="15" customHeight="1" thickBot="1" x14ac:dyDescent="0.25">
      <c r="A5" s="248"/>
      <c r="B5" s="249"/>
      <c r="C5" s="249"/>
      <c r="D5" s="249"/>
      <c r="E5" s="249"/>
      <c r="F5" s="249"/>
      <c r="G5" s="249"/>
      <c r="H5" s="249"/>
      <c r="I5" s="249"/>
      <c r="J5" s="249"/>
      <c r="K5" s="249"/>
      <c r="L5" s="249"/>
      <c r="M5" s="249"/>
      <c r="N5" s="249"/>
      <c r="O5" s="249"/>
      <c r="P5" s="250"/>
      <c r="Q5" s="38"/>
      <c r="R5" s="27" t="s">
        <v>5</v>
      </c>
      <c r="S5" s="39"/>
      <c r="T5" s="39"/>
      <c r="U5" s="39"/>
    </row>
    <row r="6" spans="1:21" ht="15" customHeight="1" x14ac:dyDescent="0.25">
      <c r="A6" s="17" t="s">
        <v>6</v>
      </c>
      <c r="B6" s="108" t="str">
        <f>'I Synthèse'!B6</f>
        <v>BRA</v>
      </c>
      <c r="C6" s="17" t="s">
        <v>7</v>
      </c>
      <c r="D6" s="108">
        <f>'I Synthèse'!D6</f>
        <v>0</v>
      </c>
      <c r="E6" s="264" t="s">
        <v>116</v>
      </c>
      <c r="F6" s="265"/>
      <c r="G6" s="265"/>
      <c r="H6" s="265"/>
      <c r="I6" s="265"/>
      <c r="J6" s="265"/>
      <c r="K6" s="265"/>
      <c r="L6" s="266"/>
      <c r="M6" s="320" t="s">
        <v>9</v>
      </c>
      <c r="N6" s="321"/>
      <c r="O6" s="270" t="s">
        <v>10</v>
      </c>
      <c r="P6" s="271"/>
      <c r="R6" s="28" t="s">
        <v>11</v>
      </c>
    </row>
    <row r="7" spans="1:21" ht="15" customHeight="1" thickBot="1" x14ac:dyDescent="0.25">
      <c r="A7" s="18" t="s">
        <v>12</v>
      </c>
      <c r="B7" s="109">
        <f>'I Synthèse'!B7</f>
        <v>0</v>
      </c>
      <c r="C7" s="18" t="s">
        <v>12</v>
      </c>
      <c r="D7" s="109">
        <f>'I Synthèse'!D7</f>
        <v>0</v>
      </c>
      <c r="E7" s="267"/>
      <c r="F7" s="268"/>
      <c r="G7" s="268"/>
      <c r="H7" s="268"/>
      <c r="I7" s="268"/>
      <c r="J7" s="268"/>
      <c r="K7" s="268"/>
      <c r="L7" s="269"/>
      <c r="M7" s="323" t="str">
        <f>'I Synthèse'!M7:M7</f>
        <v>#DateClôture</v>
      </c>
      <c r="N7" s="324"/>
      <c r="O7" s="272" t="s">
        <v>45</v>
      </c>
      <c r="P7" s="273"/>
      <c r="R7" s="27" t="s">
        <v>15</v>
      </c>
    </row>
    <row r="8" spans="1:21" ht="21" customHeight="1" thickBot="1" x14ac:dyDescent="0.25">
      <c r="A8" s="19"/>
      <c r="B8" s="16"/>
      <c r="C8" s="20"/>
      <c r="D8" s="20"/>
      <c r="E8" s="21"/>
      <c r="F8" s="21"/>
      <c r="G8" s="21"/>
      <c r="H8" s="21"/>
      <c r="I8" s="21"/>
      <c r="J8" s="21"/>
      <c r="K8" s="21"/>
      <c r="L8" s="21"/>
      <c r="M8" s="22"/>
      <c r="N8" s="20"/>
      <c r="O8" s="328" t="s">
        <v>62</v>
      </c>
      <c r="P8" s="328"/>
      <c r="R8" s="27" t="s">
        <v>16</v>
      </c>
    </row>
    <row r="9" spans="1:21" s="20" customFormat="1" ht="31.5" customHeight="1" thickBot="1" x14ac:dyDescent="0.3">
      <c r="A9" s="329" t="s">
        <v>17</v>
      </c>
      <c r="B9" s="330"/>
      <c r="C9" s="330"/>
      <c r="D9" s="312" t="str">
        <f>'I Synthèse'!D9:E9</f>
        <v>Modéré</v>
      </c>
      <c r="E9" s="313"/>
      <c r="F9" s="254" t="s">
        <v>18</v>
      </c>
      <c r="G9" s="255"/>
      <c r="H9" s="255"/>
      <c r="I9" s="255"/>
      <c r="J9" s="326">
        <f>'I Synthèse'!J9:K9</f>
        <v>0</v>
      </c>
      <c r="K9" s="327"/>
      <c r="L9" s="254" t="s">
        <v>19</v>
      </c>
      <c r="M9" s="255"/>
      <c r="N9" s="255"/>
      <c r="O9" s="312" t="str">
        <f>'I Synthèse'!N9</f>
        <v>PE</v>
      </c>
      <c r="P9" s="313"/>
      <c r="R9" s="28" t="s">
        <v>20</v>
      </c>
    </row>
    <row r="10" spans="1:21" s="20" customFormat="1" ht="21" customHeight="1" thickBot="1" x14ac:dyDescent="0.3">
      <c r="A10" s="24"/>
      <c r="B10" s="24"/>
      <c r="C10" s="24"/>
      <c r="D10" s="24"/>
      <c r="E10" s="24"/>
      <c r="F10" s="24"/>
      <c r="G10" s="24"/>
      <c r="H10" s="24"/>
      <c r="I10" s="24"/>
      <c r="J10" s="24"/>
      <c r="K10" s="24"/>
      <c r="L10" s="24"/>
      <c r="M10" s="24"/>
      <c r="N10" s="24"/>
      <c r="O10" s="24"/>
      <c r="P10" s="24"/>
      <c r="R10" s="28" t="s">
        <v>95</v>
      </c>
    </row>
    <row r="11" spans="1:21" s="29" customFormat="1" ht="156" customHeight="1" thickBot="1" x14ac:dyDescent="0.3">
      <c r="A11" s="335" t="s">
        <v>117</v>
      </c>
      <c r="B11" s="336"/>
      <c r="C11" s="336"/>
      <c r="D11" s="336"/>
      <c r="E11" s="336"/>
      <c r="F11" s="336"/>
      <c r="G11" s="336"/>
      <c r="H11" s="336"/>
      <c r="I11" s="336"/>
      <c r="J11" s="336"/>
      <c r="K11" s="336"/>
      <c r="L11" s="336"/>
      <c r="M11" s="336"/>
      <c r="N11" s="336"/>
      <c r="O11" s="336"/>
      <c r="P11" s="337"/>
      <c r="R11" s="28" t="s">
        <v>97</v>
      </c>
    </row>
    <row r="12" spans="1:21" s="29" customFormat="1" ht="9" customHeight="1" thickBot="1" x14ac:dyDescent="0.25">
      <c r="R12" s="1"/>
    </row>
    <row r="13" spans="1:21" s="29" customFormat="1" x14ac:dyDescent="0.2">
      <c r="A13" s="338" t="s">
        <v>65</v>
      </c>
      <c r="B13" s="339"/>
      <c r="C13" s="339"/>
      <c r="D13" s="339"/>
      <c r="E13" s="339"/>
      <c r="F13" s="339"/>
      <c r="G13" s="339"/>
      <c r="H13" s="339"/>
      <c r="I13" s="339"/>
      <c r="J13" s="339"/>
      <c r="K13" s="339"/>
      <c r="L13" s="339"/>
      <c r="M13" s="339"/>
      <c r="N13" s="339"/>
      <c r="O13" s="339"/>
      <c r="P13" s="340"/>
      <c r="R13" s="1"/>
    </row>
    <row r="14" spans="1:21" s="29" customFormat="1" ht="60" customHeight="1" thickBot="1" x14ac:dyDescent="0.25">
      <c r="A14" s="307"/>
      <c r="B14" s="308"/>
      <c r="C14" s="308"/>
      <c r="D14" s="308"/>
      <c r="E14" s="308"/>
      <c r="F14" s="308"/>
      <c r="G14" s="308"/>
      <c r="H14" s="308"/>
      <c r="I14" s="308"/>
      <c r="J14" s="308"/>
      <c r="K14" s="308"/>
      <c r="L14" s="308"/>
      <c r="M14" s="308"/>
      <c r="N14" s="308"/>
      <c r="O14" s="308"/>
      <c r="P14" s="309"/>
      <c r="R14" s="1"/>
    </row>
    <row r="15" spans="1:21" s="29" customFormat="1" ht="21" customHeight="1" thickBot="1" x14ac:dyDescent="0.25">
      <c r="R15" s="1"/>
    </row>
    <row r="16" spans="1:21" s="29" customFormat="1" x14ac:dyDescent="0.2">
      <c r="A16" s="40"/>
      <c r="B16" s="41"/>
      <c r="C16" s="41"/>
      <c r="D16" s="41"/>
      <c r="E16" s="41"/>
      <c r="F16" s="41"/>
      <c r="G16" s="41"/>
      <c r="H16" s="41"/>
      <c r="I16" s="41"/>
      <c r="J16" s="41"/>
      <c r="K16" s="41"/>
      <c r="L16" s="41"/>
      <c r="M16" s="41"/>
      <c r="N16" s="41"/>
      <c r="O16" s="41"/>
      <c r="P16" s="42"/>
      <c r="R16" s="1"/>
    </row>
    <row r="17" spans="2:16" s="29" customFormat="1" ht="30" customHeight="1" x14ac:dyDescent="0.2">
      <c r="B17" s="226" t="s">
        <v>74</v>
      </c>
      <c r="C17" s="348" t="s">
        <v>75</v>
      </c>
      <c r="D17" s="349"/>
      <c r="E17" s="349"/>
      <c r="F17" s="350"/>
      <c r="G17" s="162" t="s">
        <v>98</v>
      </c>
      <c r="H17" s="162" t="s">
        <v>118</v>
      </c>
      <c r="I17" s="162" t="s">
        <v>99</v>
      </c>
      <c r="J17" s="163" t="s">
        <v>119</v>
      </c>
      <c r="K17" s="351" t="s">
        <v>10</v>
      </c>
      <c r="L17" s="352"/>
      <c r="P17" s="47"/>
    </row>
    <row r="18" spans="2:16" s="29" customFormat="1" ht="15" x14ac:dyDescent="0.2">
      <c r="B18" s="164"/>
      <c r="C18" s="165"/>
      <c r="D18" s="166"/>
      <c r="E18" s="166"/>
      <c r="F18" s="167"/>
      <c r="G18" s="168"/>
      <c r="H18" s="169"/>
      <c r="I18" s="169"/>
      <c r="J18" s="170"/>
      <c r="K18" s="353"/>
      <c r="L18" s="354"/>
      <c r="P18" s="47"/>
    </row>
    <row r="19" spans="2:16" s="29" customFormat="1" ht="15" x14ac:dyDescent="0.2">
      <c r="B19" s="172"/>
      <c r="C19" s="173"/>
      <c r="D19" s="174"/>
      <c r="E19" s="174"/>
      <c r="F19" s="175"/>
      <c r="G19" s="176"/>
      <c r="H19" s="177"/>
      <c r="I19" s="177"/>
      <c r="J19" s="178"/>
      <c r="K19" s="355"/>
      <c r="L19" s="356"/>
      <c r="P19" s="47"/>
    </row>
    <row r="20" spans="2:16" s="29" customFormat="1" ht="15" x14ac:dyDescent="0.2">
      <c r="B20" s="172"/>
      <c r="C20" s="173"/>
      <c r="D20" s="174"/>
      <c r="E20" s="174"/>
      <c r="F20" s="175"/>
      <c r="G20" s="176"/>
      <c r="H20" s="177"/>
      <c r="I20" s="177"/>
      <c r="J20" s="178"/>
      <c r="K20" s="355"/>
      <c r="L20" s="356"/>
      <c r="P20" s="47"/>
    </row>
    <row r="21" spans="2:16" s="29" customFormat="1" ht="15" x14ac:dyDescent="0.2">
      <c r="B21" s="172"/>
      <c r="C21" s="173"/>
      <c r="D21" s="174"/>
      <c r="E21" s="174"/>
      <c r="F21" s="175"/>
      <c r="G21" s="176"/>
      <c r="H21" s="177"/>
      <c r="I21" s="177"/>
      <c r="J21" s="178"/>
      <c r="K21" s="355"/>
      <c r="L21" s="356"/>
      <c r="P21" s="47"/>
    </row>
    <row r="22" spans="2:16" s="29" customFormat="1" ht="15" x14ac:dyDescent="0.2">
      <c r="B22" s="172"/>
      <c r="C22" s="173"/>
      <c r="D22" s="174"/>
      <c r="E22" s="174"/>
      <c r="F22" s="175"/>
      <c r="G22" s="176"/>
      <c r="H22" s="177"/>
      <c r="I22" s="177"/>
      <c r="J22" s="178"/>
      <c r="K22" s="355"/>
      <c r="L22" s="356"/>
      <c r="P22" s="47"/>
    </row>
    <row r="23" spans="2:16" s="29" customFormat="1" ht="15" x14ac:dyDescent="0.2">
      <c r="B23" s="172"/>
      <c r="C23" s="173"/>
      <c r="D23" s="174"/>
      <c r="E23" s="174"/>
      <c r="F23" s="175"/>
      <c r="G23" s="176"/>
      <c r="H23" s="177"/>
      <c r="I23" s="177"/>
      <c r="J23" s="178"/>
      <c r="K23" s="355"/>
      <c r="L23" s="356"/>
      <c r="P23" s="47"/>
    </row>
    <row r="24" spans="2:16" s="29" customFormat="1" ht="15" x14ac:dyDescent="0.2">
      <c r="B24" s="172"/>
      <c r="C24" s="173"/>
      <c r="D24" s="174"/>
      <c r="E24" s="174"/>
      <c r="F24" s="175"/>
      <c r="G24" s="176"/>
      <c r="H24" s="177"/>
      <c r="I24" s="177"/>
      <c r="J24" s="178"/>
      <c r="K24" s="355"/>
      <c r="L24" s="356"/>
      <c r="P24" s="47"/>
    </row>
    <row r="25" spans="2:16" s="29" customFormat="1" ht="15" x14ac:dyDescent="0.2">
      <c r="B25" s="172"/>
      <c r="C25" s="173"/>
      <c r="D25" s="174"/>
      <c r="E25" s="174"/>
      <c r="F25" s="175"/>
      <c r="G25" s="176"/>
      <c r="H25" s="177"/>
      <c r="I25" s="177"/>
      <c r="J25" s="178"/>
      <c r="K25" s="355"/>
      <c r="L25" s="356"/>
      <c r="P25" s="47"/>
    </row>
    <row r="26" spans="2:16" s="29" customFormat="1" ht="15" x14ac:dyDescent="0.2">
      <c r="B26" s="172"/>
      <c r="C26" s="173"/>
      <c r="D26" s="174"/>
      <c r="E26" s="174"/>
      <c r="F26" s="175"/>
      <c r="G26" s="176"/>
      <c r="H26" s="177"/>
      <c r="I26" s="177"/>
      <c r="J26" s="178"/>
      <c r="K26" s="355"/>
      <c r="L26" s="356"/>
      <c r="P26" s="47"/>
    </row>
    <row r="27" spans="2:16" s="29" customFormat="1" ht="15" x14ac:dyDescent="0.2">
      <c r="B27" s="172"/>
      <c r="C27" s="173"/>
      <c r="D27" s="174"/>
      <c r="E27" s="174"/>
      <c r="F27" s="175"/>
      <c r="G27" s="176"/>
      <c r="H27" s="177"/>
      <c r="I27" s="177"/>
      <c r="J27" s="178"/>
      <c r="K27" s="355"/>
      <c r="L27" s="356"/>
      <c r="P27" s="47"/>
    </row>
    <row r="28" spans="2:16" s="29" customFormat="1" ht="15" x14ac:dyDescent="0.2">
      <c r="B28" s="172"/>
      <c r="C28" s="173"/>
      <c r="D28" s="174"/>
      <c r="E28" s="174"/>
      <c r="F28" s="175"/>
      <c r="G28" s="176"/>
      <c r="H28" s="177"/>
      <c r="I28" s="177"/>
      <c r="J28" s="178"/>
      <c r="K28" s="355"/>
      <c r="L28" s="356"/>
      <c r="P28" s="47"/>
    </row>
    <row r="29" spans="2:16" s="29" customFormat="1" ht="15" x14ac:dyDescent="0.2">
      <c r="B29" s="172"/>
      <c r="C29" s="173"/>
      <c r="D29" s="174"/>
      <c r="E29" s="174"/>
      <c r="F29" s="175"/>
      <c r="G29" s="176"/>
      <c r="H29" s="177"/>
      <c r="I29" s="177"/>
      <c r="J29" s="178"/>
      <c r="K29" s="355"/>
      <c r="L29" s="356"/>
      <c r="P29" s="47"/>
    </row>
    <row r="30" spans="2:16" s="29" customFormat="1" ht="15" x14ac:dyDescent="0.2">
      <c r="B30" s="180"/>
      <c r="C30" s="181"/>
      <c r="D30" s="182"/>
      <c r="E30" s="182"/>
      <c r="F30" s="183"/>
      <c r="G30" s="184"/>
      <c r="H30" s="185"/>
      <c r="I30" s="185"/>
      <c r="J30" s="186"/>
      <c r="K30" s="357"/>
      <c r="L30" s="358"/>
      <c r="P30" s="47"/>
    </row>
    <row r="31" spans="2:16" s="29" customFormat="1" x14ac:dyDescent="0.25">
      <c r="F31" s="112" t="s">
        <v>106</v>
      </c>
      <c r="G31" s="140">
        <f>SUM(G18:G30)</f>
        <v>0</v>
      </c>
      <c r="N31" s="60"/>
      <c r="P31" s="47"/>
    </row>
    <row r="32" spans="2:16" s="60" customFormat="1" x14ac:dyDescent="0.25">
      <c r="F32" s="112" t="s">
        <v>107</v>
      </c>
      <c r="G32" s="140">
        <f>'I200 Variation immos'!I30+'I200 Variation immos'!I31</f>
        <v>0</v>
      </c>
      <c r="P32" s="61"/>
    </row>
    <row r="33" spans="1:18" s="60" customFormat="1" x14ac:dyDescent="0.25">
      <c r="F33" s="112" t="s">
        <v>108</v>
      </c>
      <c r="G33" s="139" t="e">
        <f>G31/G32</f>
        <v>#DIV/0!</v>
      </c>
      <c r="K33" s="141"/>
      <c r="P33" s="61"/>
    </row>
    <row r="34" spans="1:18" ht="16.5" thickBot="1" x14ac:dyDescent="0.3">
      <c r="A34" s="51"/>
      <c r="B34" s="52"/>
      <c r="C34" s="52"/>
      <c r="D34" s="52"/>
      <c r="E34" s="52"/>
      <c r="F34" s="52"/>
      <c r="G34" s="52"/>
      <c r="H34" s="52"/>
      <c r="I34" s="52"/>
      <c r="J34" s="52"/>
      <c r="K34" s="52"/>
      <c r="L34" s="52"/>
      <c r="M34" s="52"/>
      <c r="N34" s="52"/>
      <c r="O34" s="52"/>
      <c r="P34" s="53"/>
      <c r="Q34" s="25"/>
      <c r="R34" s="1"/>
    </row>
    <row r="35" spans="1:18" x14ac:dyDescent="0.25">
      <c r="R35" s="25"/>
    </row>
  </sheetData>
  <sheetProtection formatCells="0" formatColumns="0" formatRows="0" insertColumns="0" insertRows="0" insertHyperlinks="0" deleteColumns="0" deleteRows="0" sort="0" autoFilter="0" pivotTables="0"/>
  <mergeCells count="32">
    <mergeCell ref="K30:L30"/>
    <mergeCell ref="K25:L25"/>
    <mergeCell ref="K26:L26"/>
    <mergeCell ref="K27:L27"/>
    <mergeCell ref="K28:L28"/>
    <mergeCell ref="K29:L29"/>
    <mergeCell ref="K20:L20"/>
    <mergeCell ref="K21:L21"/>
    <mergeCell ref="K22:L22"/>
    <mergeCell ref="K23:L23"/>
    <mergeCell ref="K24:L24"/>
    <mergeCell ref="C17:F17"/>
    <mergeCell ref="K17:L17"/>
    <mergeCell ref="K18:L18"/>
    <mergeCell ref="K19:L19"/>
    <mergeCell ref="A11:P11"/>
    <mergeCell ref="A13:P13"/>
    <mergeCell ref="A14:P14"/>
    <mergeCell ref="D1:M2"/>
    <mergeCell ref="A3:P5"/>
    <mergeCell ref="E6:L7"/>
    <mergeCell ref="M6:N6"/>
    <mergeCell ref="O6:P6"/>
    <mergeCell ref="M7:N7"/>
    <mergeCell ref="O7:P7"/>
    <mergeCell ref="O8:P8"/>
    <mergeCell ref="A9:C9"/>
    <mergeCell ref="D9:E9"/>
    <mergeCell ref="F9:I9"/>
    <mergeCell ref="J9:K9"/>
    <mergeCell ref="L9:N9"/>
    <mergeCell ref="O9:P9"/>
  </mergeCells>
  <dataValidations count="3">
    <dataValidation type="list" allowBlank="1" showInputMessage="1" showErrorMessage="1" sqref="J18:J30" xr:uid="{00000000-0002-0000-0600-000000000000}">
      <formula1>$R$10:$R$11</formula1>
    </dataValidation>
    <dataValidation type="list" allowBlank="1" showInputMessage="1" showErrorMessage="1" sqref="O9:P9" xr:uid="{00000000-0002-0000-0600-000001000000}">
      <formula1>Diligences</formula1>
    </dataValidation>
    <dataValidation type="list" showInputMessage="1" showErrorMessage="1" sqref="D9:E9" xr:uid="{00000000-0002-0000-0600-000002000000}">
      <formula1>RAS</formula1>
    </dataValidation>
  </dataValidations>
  <hyperlinks>
    <hyperlink ref="O8:P8" location="'I Synthèse'!A1" display="I Synthèse" xr:uid="{00000000-0004-0000-06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9"/>
  <dimension ref="A1:U14"/>
  <sheetViews>
    <sheetView showGridLines="0" zoomScale="90" zoomScaleNormal="90" zoomScaleSheetLayoutView="85" workbookViewId="0">
      <selection activeCell="O10" sqref="O10"/>
    </sheetView>
  </sheetViews>
  <sheetFormatPr baseColWidth="10" defaultColWidth="11.42578125" defaultRowHeight="15.75" x14ac:dyDescent="0.25"/>
  <cols>
    <col min="1" max="16" width="14.28515625" style="1" customWidth="1"/>
    <col min="17" max="17" width="11.42578125" style="1"/>
    <col min="18" max="18" width="11.42578125" style="7" hidden="1" customWidth="1"/>
    <col min="19" max="16384" width="11.42578125" style="1"/>
  </cols>
  <sheetData>
    <row r="1" spans="1:21" ht="15" customHeight="1" x14ac:dyDescent="0.2">
      <c r="A1" s="10"/>
      <c r="B1" s="11"/>
      <c r="C1" s="11"/>
      <c r="D1" s="314" t="str">
        <f>'I Synthèse'!D1:M2</f>
        <v>#NomClient</v>
      </c>
      <c r="E1" s="315"/>
      <c r="F1" s="315"/>
      <c r="G1" s="315"/>
      <c r="H1" s="315"/>
      <c r="I1" s="315"/>
      <c r="J1" s="315"/>
      <c r="K1" s="315"/>
      <c r="L1" s="315"/>
      <c r="M1" s="316"/>
      <c r="N1" s="11"/>
      <c r="O1" s="11"/>
      <c r="P1" s="12"/>
      <c r="R1" s="27" t="s">
        <v>95</v>
      </c>
    </row>
    <row r="2" spans="1:21" ht="15" customHeight="1" thickBot="1" x14ac:dyDescent="0.25">
      <c r="A2" s="13"/>
      <c r="B2" s="14"/>
      <c r="C2" s="14"/>
      <c r="D2" s="317"/>
      <c r="E2" s="318"/>
      <c r="F2" s="318"/>
      <c r="G2" s="318"/>
      <c r="H2" s="318"/>
      <c r="I2" s="318"/>
      <c r="J2" s="318"/>
      <c r="K2" s="318"/>
      <c r="L2" s="318"/>
      <c r="M2" s="319"/>
      <c r="N2" s="14"/>
      <c r="O2" s="14"/>
      <c r="P2" s="15"/>
      <c r="R2" s="27" t="s">
        <v>97</v>
      </c>
    </row>
    <row r="3" spans="1:21" ht="15" customHeight="1" x14ac:dyDescent="0.25">
      <c r="A3" s="245" t="s">
        <v>3</v>
      </c>
      <c r="B3" s="246"/>
      <c r="C3" s="246"/>
      <c r="D3" s="246"/>
      <c r="E3" s="246"/>
      <c r="F3" s="246"/>
      <c r="G3" s="246"/>
      <c r="H3" s="246"/>
      <c r="I3" s="246"/>
      <c r="J3" s="246"/>
      <c r="K3" s="246"/>
      <c r="L3" s="246"/>
      <c r="M3" s="246"/>
      <c r="N3" s="246"/>
      <c r="O3" s="246"/>
      <c r="P3" s="247"/>
      <c r="R3" s="28"/>
      <c r="T3" s="36"/>
      <c r="U3" s="37"/>
    </row>
    <row r="4" spans="1:21" ht="15" customHeight="1" x14ac:dyDescent="0.2">
      <c r="A4" s="245"/>
      <c r="B4" s="246"/>
      <c r="C4" s="246"/>
      <c r="D4" s="246"/>
      <c r="E4" s="246"/>
      <c r="F4" s="246"/>
      <c r="G4" s="246"/>
      <c r="H4" s="246"/>
      <c r="I4" s="246"/>
      <c r="J4" s="246"/>
      <c r="K4" s="246"/>
      <c r="L4" s="246"/>
      <c r="M4" s="246"/>
      <c r="N4" s="246"/>
      <c r="O4" s="246"/>
      <c r="P4" s="247"/>
      <c r="R4" s="27" t="s">
        <v>4</v>
      </c>
      <c r="T4" s="36"/>
      <c r="U4" s="37"/>
    </row>
    <row r="5" spans="1:21" ht="15" customHeight="1" thickBot="1" x14ac:dyDescent="0.25">
      <c r="A5" s="248"/>
      <c r="B5" s="249"/>
      <c r="C5" s="249"/>
      <c r="D5" s="249"/>
      <c r="E5" s="249"/>
      <c r="F5" s="249"/>
      <c r="G5" s="249"/>
      <c r="H5" s="249"/>
      <c r="I5" s="249"/>
      <c r="J5" s="249"/>
      <c r="K5" s="249"/>
      <c r="L5" s="249"/>
      <c r="M5" s="249"/>
      <c r="N5" s="249"/>
      <c r="O5" s="249"/>
      <c r="P5" s="250"/>
      <c r="Q5" s="38"/>
      <c r="R5" s="27" t="s">
        <v>5</v>
      </c>
      <c r="S5" s="39"/>
      <c r="T5" s="39"/>
      <c r="U5" s="39"/>
    </row>
    <row r="6" spans="1:21" ht="15" customHeight="1" x14ac:dyDescent="0.25">
      <c r="A6" s="17" t="s">
        <v>6</v>
      </c>
      <c r="B6" s="108" t="str">
        <f>'I Synthèse'!B6</f>
        <v>BRA</v>
      </c>
      <c r="C6" s="17" t="s">
        <v>7</v>
      </c>
      <c r="D6" s="108">
        <f>'I Synthèse'!D6</f>
        <v>0</v>
      </c>
      <c r="E6" s="264" t="s">
        <v>50</v>
      </c>
      <c r="F6" s="265"/>
      <c r="G6" s="265"/>
      <c r="H6" s="265"/>
      <c r="I6" s="265"/>
      <c r="J6" s="265"/>
      <c r="K6" s="265"/>
      <c r="L6" s="266"/>
      <c r="M6" s="320" t="s">
        <v>9</v>
      </c>
      <c r="N6" s="321"/>
      <c r="O6" s="270" t="s">
        <v>10</v>
      </c>
      <c r="P6" s="271"/>
      <c r="R6" s="28" t="s">
        <v>11</v>
      </c>
    </row>
    <row r="7" spans="1:21" ht="15" customHeight="1" thickBot="1" x14ac:dyDescent="0.25">
      <c r="A7" s="18" t="s">
        <v>12</v>
      </c>
      <c r="B7" s="109">
        <f>'I Synthèse'!B7</f>
        <v>0</v>
      </c>
      <c r="C7" s="18" t="s">
        <v>12</v>
      </c>
      <c r="D7" s="109">
        <f>'I Synthèse'!D7</f>
        <v>0</v>
      </c>
      <c r="E7" s="267"/>
      <c r="F7" s="268"/>
      <c r="G7" s="268"/>
      <c r="H7" s="268"/>
      <c r="I7" s="268"/>
      <c r="J7" s="268"/>
      <c r="K7" s="268"/>
      <c r="L7" s="269"/>
      <c r="M7" s="323" t="str">
        <f>'I Synthèse'!M7:M7</f>
        <v>#DateClôture</v>
      </c>
      <c r="N7" s="324"/>
      <c r="O7" s="272" t="s">
        <v>49</v>
      </c>
      <c r="P7" s="273"/>
      <c r="R7" s="27" t="s">
        <v>15</v>
      </c>
    </row>
    <row r="8" spans="1:21" ht="21" customHeight="1" thickBot="1" x14ac:dyDescent="0.25">
      <c r="A8" s="19"/>
      <c r="B8" s="16"/>
      <c r="C8" s="20"/>
      <c r="D8" s="20"/>
      <c r="E8" s="21"/>
      <c r="F8" s="21"/>
      <c r="G8" s="21"/>
      <c r="H8" s="21"/>
      <c r="I8" s="21"/>
      <c r="J8" s="21"/>
      <c r="K8" s="21"/>
      <c r="L8" s="21"/>
      <c r="M8" s="22"/>
      <c r="N8" s="20"/>
      <c r="O8" s="328" t="s">
        <v>62</v>
      </c>
      <c r="P8" s="328"/>
      <c r="R8" s="27" t="s">
        <v>16</v>
      </c>
    </row>
    <row r="9" spans="1:21" s="20" customFormat="1" ht="31.5" customHeight="1" thickBot="1" x14ac:dyDescent="0.3">
      <c r="A9" s="329" t="s">
        <v>17</v>
      </c>
      <c r="B9" s="330"/>
      <c r="C9" s="330"/>
      <c r="D9" s="312" t="str">
        <f>'I Synthèse'!D9:E9</f>
        <v>Modéré</v>
      </c>
      <c r="E9" s="313"/>
      <c r="F9" s="254" t="s">
        <v>18</v>
      </c>
      <c r="G9" s="255"/>
      <c r="H9" s="255"/>
      <c r="I9" s="255"/>
      <c r="J9" s="326">
        <f>'I Synthèse'!J9:K9</f>
        <v>0</v>
      </c>
      <c r="K9" s="327"/>
      <c r="L9" s="254" t="s">
        <v>19</v>
      </c>
      <c r="M9" s="255"/>
      <c r="N9" s="255"/>
      <c r="O9" s="312" t="str">
        <f>'I Synthèse'!N9</f>
        <v>PE</v>
      </c>
      <c r="P9" s="313"/>
      <c r="R9" s="28" t="s">
        <v>20</v>
      </c>
    </row>
    <row r="10" spans="1:21" s="20" customFormat="1" ht="21" customHeight="1" thickBot="1" x14ac:dyDescent="0.25">
      <c r="A10" s="24"/>
      <c r="B10" s="24"/>
      <c r="C10" s="24"/>
      <c r="D10" s="24"/>
      <c r="E10" s="24"/>
      <c r="F10" s="24"/>
      <c r="G10" s="24"/>
      <c r="H10" s="24"/>
      <c r="I10" s="24"/>
      <c r="J10" s="24"/>
      <c r="K10" s="24"/>
      <c r="L10" s="24"/>
      <c r="M10" s="24"/>
      <c r="N10" s="24"/>
      <c r="O10" s="24"/>
      <c r="P10" s="24"/>
      <c r="R10" s="26"/>
    </row>
    <row r="11" spans="1:21" s="29" customFormat="1" ht="91.5" customHeight="1" thickBot="1" x14ac:dyDescent="0.3">
      <c r="A11" s="335" t="s">
        <v>120</v>
      </c>
      <c r="B11" s="336"/>
      <c r="C11" s="336"/>
      <c r="D11" s="336"/>
      <c r="E11" s="336"/>
      <c r="F11" s="336"/>
      <c r="G11" s="336"/>
      <c r="H11" s="336"/>
      <c r="I11" s="336"/>
      <c r="J11" s="336"/>
      <c r="K11" s="336"/>
      <c r="L11" s="336"/>
      <c r="M11" s="336"/>
      <c r="N11" s="336"/>
      <c r="O11" s="336"/>
      <c r="P11" s="337"/>
      <c r="R11" s="7"/>
    </row>
    <row r="12" spans="1:21" s="29" customFormat="1" ht="9" customHeight="1" thickBot="1" x14ac:dyDescent="0.25">
      <c r="R12" s="1"/>
    </row>
    <row r="13" spans="1:21" s="29" customFormat="1" x14ac:dyDescent="0.2">
      <c r="A13" s="338" t="s">
        <v>65</v>
      </c>
      <c r="B13" s="339"/>
      <c r="C13" s="339"/>
      <c r="D13" s="339"/>
      <c r="E13" s="339"/>
      <c r="F13" s="339"/>
      <c r="G13" s="339"/>
      <c r="H13" s="339"/>
      <c r="I13" s="339"/>
      <c r="J13" s="339"/>
      <c r="K13" s="339"/>
      <c r="L13" s="339"/>
      <c r="M13" s="339"/>
      <c r="N13" s="339"/>
      <c r="O13" s="339"/>
      <c r="P13" s="340"/>
      <c r="R13" s="1"/>
    </row>
    <row r="14" spans="1:21" s="29" customFormat="1" ht="138.75" customHeight="1" thickBot="1" x14ac:dyDescent="0.25">
      <c r="A14" s="307"/>
      <c r="B14" s="308"/>
      <c r="C14" s="308"/>
      <c r="D14" s="308"/>
      <c r="E14" s="308"/>
      <c r="F14" s="308"/>
      <c r="G14" s="308"/>
      <c r="H14" s="308"/>
      <c r="I14" s="308"/>
      <c r="J14" s="308"/>
      <c r="K14" s="308"/>
      <c r="L14" s="308"/>
      <c r="M14" s="308"/>
      <c r="N14" s="308"/>
      <c r="O14" s="308"/>
      <c r="P14" s="309"/>
      <c r="R14" s="1"/>
    </row>
  </sheetData>
  <sheetProtection formatCells="0" formatColumns="0" formatRows="0" insertColumns="0" insertRows="0" insertHyperlinks="0" deleteColumns="0" deleteRows="0" sort="0" autoFilter="0" pivotTables="0"/>
  <mergeCells count="17">
    <mergeCell ref="D1:M2"/>
    <mergeCell ref="A3:P5"/>
    <mergeCell ref="E6:L7"/>
    <mergeCell ref="M6:N6"/>
    <mergeCell ref="O6:P6"/>
    <mergeCell ref="M7:N7"/>
    <mergeCell ref="O7:P7"/>
    <mergeCell ref="O8:P8"/>
    <mergeCell ref="A11:P11"/>
    <mergeCell ref="A13:P13"/>
    <mergeCell ref="A14:P14"/>
    <mergeCell ref="A9:C9"/>
    <mergeCell ref="D9:E9"/>
    <mergeCell ref="F9:I9"/>
    <mergeCell ref="J9:K9"/>
    <mergeCell ref="L9:N9"/>
    <mergeCell ref="O9:P9"/>
  </mergeCells>
  <dataValidations count="2">
    <dataValidation type="list" allowBlank="1" showInputMessage="1" showErrorMessage="1" sqref="O9:P9" xr:uid="{00000000-0002-0000-0700-000000000000}">
      <formula1>Diligences</formula1>
    </dataValidation>
    <dataValidation type="list" showInputMessage="1" showErrorMessage="1" sqref="D9:E9" xr:uid="{00000000-0002-0000-0700-000001000000}">
      <formula1>RAS</formula1>
    </dataValidation>
  </dataValidations>
  <hyperlinks>
    <hyperlink ref="O8:P8" location="'I Synthèse'!A1" display="I Synthèse" xr:uid="{00000000-0004-0000-07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2"/>
  <dimension ref="A1:U39"/>
  <sheetViews>
    <sheetView showGridLines="0" zoomScale="90" zoomScaleNormal="90" zoomScaleSheetLayoutView="85" workbookViewId="0"/>
  </sheetViews>
  <sheetFormatPr baseColWidth="10" defaultColWidth="11.42578125" defaultRowHeight="15.75" x14ac:dyDescent="0.25"/>
  <cols>
    <col min="1" max="8" width="14.7109375" style="1" customWidth="1"/>
    <col min="9" max="16" width="12.28515625" style="1" customWidth="1"/>
    <col min="17" max="17" width="11.42578125" style="1"/>
    <col min="18" max="18" width="11.42578125" style="7" hidden="1" customWidth="1"/>
    <col min="19" max="16384" width="11.42578125" style="1"/>
  </cols>
  <sheetData>
    <row r="1" spans="1:21" ht="15" customHeight="1" x14ac:dyDescent="0.2">
      <c r="A1" s="10"/>
      <c r="B1" s="11"/>
      <c r="C1" s="11"/>
      <c r="D1" s="314" t="str">
        <f>'I Synthèse'!D1:M2</f>
        <v>#NomClient</v>
      </c>
      <c r="E1" s="315"/>
      <c r="F1" s="315"/>
      <c r="G1" s="315"/>
      <c r="H1" s="315"/>
      <c r="I1" s="315"/>
      <c r="J1" s="315"/>
      <c r="K1" s="315"/>
      <c r="L1" s="315"/>
      <c r="M1" s="316"/>
      <c r="N1" s="11"/>
      <c r="O1" s="11"/>
      <c r="P1" s="12"/>
      <c r="R1" s="27" t="s">
        <v>95</v>
      </c>
    </row>
    <row r="2" spans="1:21" ht="15" customHeight="1" thickBot="1" x14ac:dyDescent="0.25">
      <c r="A2" s="13"/>
      <c r="B2" s="14"/>
      <c r="C2" s="14"/>
      <c r="D2" s="317"/>
      <c r="E2" s="318"/>
      <c r="F2" s="318"/>
      <c r="G2" s="318"/>
      <c r="H2" s="318"/>
      <c r="I2" s="318"/>
      <c r="J2" s="318"/>
      <c r="K2" s="318"/>
      <c r="L2" s="318"/>
      <c r="M2" s="319"/>
      <c r="N2" s="14"/>
      <c r="O2" s="14"/>
      <c r="P2" s="15"/>
      <c r="R2" s="27" t="s">
        <v>97</v>
      </c>
    </row>
    <row r="3" spans="1:21" ht="15" customHeight="1" x14ac:dyDescent="0.25">
      <c r="A3" s="245" t="s">
        <v>3</v>
      </c>
      <c r="B3" s="246"/>
      <c r="C3" s="246"/>
      <c r="D3" s="246"/>
      <c r="E3" s="246"/>
      <c r="F3" s="246"/>
      <c r="G3" s="246"/>
      <c r="H3" s="246"/>
      <c r="I3" s="246"/>
      <c r="J3" s="246"/>
      <c r="K3" s="246"/>
      <c r="L3" s="246"/>
      <c r="M3" s="246"/>
      <c r="N3" s="246"/>
      <c r="O3" s="246"/>
      <c r="P3" s="247"/>
      <c r="R3" s="28"/>
      <c r="T3" s="36"/>
      <c r="U3" s="37"/>
    </row>
    <row r="4" spans="1:21" ht="15" customHeight="1" x14ac:dyDescent="0.2">
      <c r="A4" s="245"/>
      <c r="B4" s="246"/>
      <c r="C4" s="246"/>
      <c r="D4" s="246"/>
      <c r="E4" s="246"/>
      <c r="F4" s="246"/>
      <c r="G4" s="246"/>
      <c r="H4" s="246"/>
      <c r="I4" s="246"/>
      <c r="J4" s="246"/>
      <c r="K4" s="246"/>
      <c r="L4" s="246"/>
      <c r="M4" s="246"/>
      <c r="N4" s="246"/>
      <c r="O4" s="246"/>
      <c r="P4" s="247"/>
      <c r="R4" s="27" t="s">
        <v>4</v>
      </c>
      <c r="T4" s="36"/>
      <c r="U4" s="37"/>
    </row>
    <row r="5" spans="1:21" ht="15" customHeight="1" thickBot="1" x14ac:dyDescent="0.25">
      <c r="A5" s="248"/>
      <c r="B5" s="249"/>
      <c r="C5" s="249"/>
      <c r="D5" s="249"/>
      <c r="E5" s="249"/>
      <c r="F5" s="249"/>
      <c r="G5" s="249"/>
      <c r="H5" s="249"/>
      <c r="I5" s="249"/>
      <c r="J5" s="249"/>
      <c r="K5" s="249"/>
      <c r="L5" s="249"/>
      <c r="M5" s="249"/>
      <c r="N5" s="249"/>
      <c r="O5" s="249"/>
      <c r="P5" s="250"/>
      <c r="Q5" s="38"/>
      <c r="R5" s="27" t="s">
        <v>5</v>
      </c>
      <c r="S5" s="39"/>
      <c r="T5" s="39"/>
      <c r="U5" s="39"/>
    </row>
    <row r="6" spans="1:21" ht="15" customHeight="1" x14ac:dyDescent="0.25">
      <c r="A6" s="17" t="s">
        <v>6</v>
      </c>
      <c r="B6" s="108" t="str">
        <f>'I Synthèse'!B6</f>
        <v>BRA</v>
      </c>
      <c r="C6" s="17" t="s">
        <v>7</v>
      </c>
      <c r="D6" s="108">
        <f>'I Synthèse'!D6</f>
        <v>0</v>
      </c>
      <c r="E6" s="264" t="s">
        <v>121</v>
      </c>
      <c r="F6" s="265"/>
      <c r="G6" s="265"/>
      <c r="H6" s="265"/>
      <c r="I6" s="265"/>
      <c r="J6" s="265"/>
      <c r="K6" s="265"/>
      <c r="L6" s="266"/>
      <c r="M6" s="320" t="s">
        <v>9</v>
      </c>
      <c r="N6" s="321"/>
      <c r="O6" s="270" t="s">
        <v>10</v>
      </c>
      <c r="P6" s="271"/>
      <c r="R6" s="28" t="s">
        <v>11</v>
      </c>
    </row>
    <row r="7" spans="1:21" ht="15" customHeight="1" thickBot="1" x14ac:dyDescent="0.25">
      <c r="A7" s="18" t="s">
        <v>12</v>
      </c>
      <c r="B7" s="109">
        <f>'I Synthèse'!B7</f>
        <v>0</v>
      </c>
      <c r="C7" s="18" t="s">
        <v>12</v>
      </c>
      <c r="D7" s="109">
        <f>'I Synthèse'!D7</f>
        <v>0</v>
      </c>
      <c r="E7" s="267"/>
      <c r="F7" s="268"/>
      <c r="G7" s="268"/>
      <c r="H7" s="268"/>
      <c r="I7" s="268"/>
      <c r="J7" s="268"/>
      <c r="K7" s="268"/>
      <c r="L7" s="269"/>
      <c r="M7" s="323" t="str">
        <f>'I Synthèse'!M7:M7</f>
        <v>#DateClôture</v>
      </c>
      <c r="N7" s="324"/>
      <c r="O7" s="272" t="s">
        <v>53</v>
      </c>
      <c r="P7" s="273"/>
      <c r="R7" s="27" t="s">
        <v>15</v>
      </c>
    </row>
    <row r="8" spans="1:21" ht="21" customHeight="1" thickBot="1" x14ac:dyDescent="0.25">
      <c r="A8" s="19"/>
      <c r="B8" s="16"/>
      <c r="C8" s="20"/>
      <c r="D8" s="20"/>
      <c r="E8" s="21"/>
      <c r="F8" s="21"/>
      <c r="G8" s="21"/>
      <c r="H8" s="21"/>
      <c r="I8" s="21"/>
      <c r="J8" s="21"/>
      <c r="K8" s="21"/>
      <c r="L8" s="21"/>
      <c r="M8" s="22"/>
      <c r="N8" s="20"/>
      <c r="O8" s="328" t="s">
        <v>62</v>
      </c>
      <c r="P8" s="328"/>
      <c r="R8" s="27" t="s">
        <v>16</v>
      </c>
    </row>
    <row r="9" spans="1:21" s="20" customFormat="1" ht="31.5" customHeight="1" thickBot="1" x14ac:dyDescent="0.3">
      <c r="A9" s="329" t="s">
        <v>17</v>
      </c>
      <c r="B9" s="330"/>
      <c r="C9" s="330"/>
      <c r="D9" s="312" t="str">
        <f>'I Synthèse'!D9:E9</f>
        <v>Modéré</v>
      </c>
      <c r="E9" s="313"/>
      <c r="F9" s="254" t="s">
        <v>18</v>
      </c>
      <c r="G9" s="255"/>
      <c r="H9" s="255"/>
      <c r="I9" s="255"/>
      <c r="J9" s="326">
        <f>'I Synthèse'!J9:K9</f>
        <v>0</v>
      </c>
      <c r="K9" s="327"/>
      <c r="L9" s="254" t="s">
        <v>19</v>
      </c>
      <c r="M9" s="255"/>
      <c r="N9" s="255"/>
      <c r="O9" s="312" t="str">
        <f>'I Synthèse'!N9</f>
        <v>PE</v>
      </c>
      <c r="P9" s="313"/>
      <c r="R9" s="28" t="s">
        <v>20</v>
      </c>
    </row>
    <row r="10" spans="1:21" s="20" customFormat="1" ht="21" customHeight="1" thickBot="1" x14ac:dyDescent="0.25">
      <c r="A10" s="24"/>
      <c r="B10" s="24"/>
      <c r="C10" s="24"/>
      <c r="D10" s="24"/>
      <c r="E10" s="24"/>
      <c r="F10" s="24"/>
      <c r="G10" s="24"/>
      <c r="H10" s="24"/>
      <c r="I10" s="24"/>
      <c r="J10" s="24"/>
      <c r="K10" s="24"/>
      <c r="L10" s="24"/>
      <c r="M10" s="24"/>
      <c r="N10" s="24"/>
      <c r="O10" s="24"/>
      <c r="P10" s="24"/>
      <c r="R10" s="26"/>
    </row>
    <row r="11" spans="1:21" s="29" customFormat="1" ht="141" customHeight="1" thickBot="1" x14ac:dyDescent="0.3">
      <c r="A11" s="335" t="s">
        <v>122</v>
      </c>
      <c r="B11" s="336"/>
      <c r="C11" s="336"/>
      <c r="D11" s="336"/>
      <c r="E11" s="336"/>
      <c r="F11" s="336"/>
      <c r="G11" s="336"/>
      <c r="H11" s="336"/>
      <c r="I11" s="336"/>
      <c r="J11" s="336"/>
      <c r="K11" s="336"/>
      <c r="L11" s="336"/>
      <c r="M11" s="336"/>
      <c r="N11" s="336"/>
      <c r="O11" s="336"/>
      <c r="P11" s="337"/>
      <c r="R11" s="7"/>
    </row>
    <row r="12" spans="1:21" s="29" customFormat="1" ht="9" customHeight="1" thickBot="1" x14ac:dyDescent="0.25">
      <c r="R12" s="1"/>
    </row>
    <row r="13" spans="1:21" s="29" customFormat="1" x14ac:dyDescent="0.2">
      <c r="A13" s="338" t="s">
        <v>65</v>
      </c>
      <c r="B13" s="339"/>
      <c r="C13" s="339"/>
      <c r="D13" s="339"/>
      <c r="E13" s="339"/>
      <c r="F13" s="339"/>
      <c r="G13" s="339"/>
      <c r="H13" s="339"/>
      <c r="I13" s="339"/>
      <c r="J13" s="339"/>
      <c r="K13" s="339"/>
      <c r="L13" s="339"/>
      <c r="M13" s="339"/>
      <c r="N13" s="339"/>
      <c r="O13" s="339"/>
      <c r="P13" s="340"/>
      <c r="R13" s="1"/>
    </row>
    <row r="14" spans="1:21" s="29" customFormat="1" ht="138.75" customHeight="1" thickBot="1" x14ac:dyDescent="0.25">
      <c r="A14" s="307"/>
      <c r="B14" s="308"/>
      <c r="C14" s="308"/>
      <c r="D14" s="308"/>
      <c r="E14" s="308"/>
      <c r="F14" s="308"/>
      <c r="G14" s="308"/>
      <c r="H14" s="308"/>
      <c r="I14" s="308"/>
      <c r="J14" s="308"/>
      <c r="K14" s="308"/>
      <c r="L14" s="308"/>
      <c r="M14" s="308"/>
      <c r="N14" s="308"/>
      <c r="O14" s="308"/>
      <c r="P14" s="309"/>
      <c r="R14" s="1"/>
    </row>
    <row r="15" spans="1:21" ht="16.5" thickBot="1" x14ac:dyDescent="0.3"/>
    <row r="16" spans="1:21" x14ac:dyDescent="0.25">
      <c r="A16" s="86"/>
      <c r="B16" s="87"/>
      <c r="C16" s="87"/>
      <c r="D16" s="87"/>
      <c r="E16" s="87"/>
      <c r="F16" s="87"/>
      <c r="G16" s="87"/>
      <c r="H16" s="87"/>
      <c r="I16" s="87"/>
      <c r="J16" s="87"/>
      <c r="K16" s="87"/>
      <c r="L16" s="87"/>
      <c r="M16" s="87"/>
      <c r="N16" s="87"/>
      <c r="O16" s="87"/>
      <c r="P16" s="88"/>
    </row>
    <row r="17" spans="1:18" x14ac:dyDescent="0.25">
      <c r="A17" s="85" t="s">
        <v>123</v>
      </c>
      <c r="B17" s="73"/>
      <c r="C17" s="74"/>
      <c r="D17" s="75"/>
      <c r="E17" s="75"/>
      <c r="F17" s="74"/>
      <c r="P17" s="50"/>
    </row>
    <row r="18" spans="1:18" x14ac:dyDescent="0.25">
      <c r="A18" s="76"/>
      <c r="B18" s="73"/>
      <c r="C18" s="77"/>
      <c r="D18" s="77"/>
      <c r="E18" s="75"/>
      <c r="F18" s="95"/>
      <c r="G18" s="93"/>
      <c r="H18" s="93"/>
      <c r="P18" s="50"/>
    </row>
    <row r="19" spans="1:18" x14ac:dyDescent="0.25">
      <c r="A19" s="78"/>
      <c r="B19" s="79"/>
      <c r="C19" s="93"/>
      <c r="D19" s="93"/>
      <c r="E19" s="94"/>
      <c r="F19" s="152" t="s">
        <v>124</v>
      </c>
      <c r="G19" s="152" t="s">
        <v>125</v>
      </c>
      <c r="H19" s="153" t="s">
        <v>126</v>
      </c>
      <c r="I19" s="147"/>
      <c r="O19" s="7"/>
      <c r="P19" s="50"/>
      <c r="R19" s="1"/>
    </row>
    <row r="20" spans="1:18" x14ac:dyDescent="0.25">
      <c r="A20" s="363" t="s">
        <v>127</v>
      </c>
      <c r="B20" s="364"/>
      <c r="C20" s="364"/>
      <c r="D20" s="364"/>
      <c r="E20" s="364"/>
      <c r="F20" s="144">
        <f>G21</f>
        <v>0</v>
      </c>
      <c r="G20" s="142"/>
      <c r="H20" s="144">
        <f>F20-G20</f>
        <v>0</v>
      </c>
      <c r="O20" s="7"/>
      <c r="P20" s="50"/>
      <c r="R20" s="1"/>
    </row>
    <row r="21" spans="1:18" x14ac:dyDescent="0.25">
      <c r="A21" s="363" t="s">
        <v>128</v>
      </c>
      <c r="B21" s="364"/>
      <c r="C21" s="364"/>
      <c r="D21" s="364"/>
      <c r="E21" s="364"/>
      <c r="F21" s="145"/>
      <c r="G21" s="142"/>
      <c r="H21" s="144">
        <f>F21-G21</f>
        <v>0</v>
      </c>
      <c r="O21" s="7"/>
      <c r="P21" s="50"/>
      <c r="R21" s="1"/>
    </row>
    <row r="22" spans="1:18" x14ac:dyDescent="0.25">
      <c r="A22" s="363" t="s">
        <v>129</v>
      </c>
      <c r="B22" s="364"/>
      <c r="C22" s="364"/>
      <c r="D22" s="364"/>
      <c r="E22" s="364"/>
      <c r="F22" s="144">
        <f>(F20+F21)/2</f>
        <v>0</v>
      </c>
      <c r="G22" s="144">
        <f>(G20+G21)/2</f>
        <v>0</v>
      </c>
      <c r="H22" s="144">
        <f>F22-G22</f>
        <v>0</v>
      </c>
      <c r="O22" s="7"/>
      <c r="P22" s="50"/>
      <c r="R22" s="1"/>
    </row>
    <row r="23" spans="1:18" x14ac:dyDescent="0.25">
      <c r="A23" s="361"/>
      <c r="B23" s="362"/>
      <c r="C23" s="362"/>
      <c r="D23" s="362"/>
      <c r="E23" s="362"/>
      <c r="F23" s="143"/>
      <c r="G23" s="143"/>
      <c r="H23" s="143"/>
      <c r="O23" s="7"/>
      <c r="P23" s="50"/>
      <c r="R23" s="1"/>
    </row>
    <row r="24" spans="1:18" x14ac:dyDescent="0.25">
      <c r="A24" s="363" t="s">
        <v>130</v>
      </c>
      <c r="B24" s="364"/>
      <c r="C24" s="364"/>
      <c r="D24" s="364"/>
      <c r="E24" s="364"/>
      <c r="F24" s="142"/>
      <c r="G24" s="142"/>
      <c r="H24" s="144">
        <f>F24-G24</f>
        <v>0</v>
      </c>
      <c r="O24" s="7"/>
      <c r="P24" s="50"/>
      <c r="R24" s="1"/>
    </row>
    <row r="25" spans="1:18" x14ac:dyDescent="0.25">
      <c r="A25" s="361"/>
      <c r="B25" s="362"/>
      <c r="C25" s="362"/>
      <c r="D25" s="362"/>
      <c r="E25" s="362"/>
      <c r="F25" s="143"/>
      <c r="G25" s="143"/>
      <c r="H25" s="143"/>
      <c r="O25" s="7"/>
      <c r="P25" s="50"/>
      <c r="R25" s="1"/>
    </row>
    <row r="26" spans="1:18" x14ac:dyDescent="0.25">
      <c r="A26" s="359" t="s">
        <v>131</v>
      </c>
      <c r="B26" s="360"/>
      <c r="C26" s="360"/>
      <c r="D26" s="360"/>
      <c r="E26" s="360"/>
      <c r="F26" s="146" t="e">
        <f>F24/F22</f>
        <v>#DIV/0!</v>
      </c>
      <c r="G26" s="146" t="e">
        <f>G24/G22</f>
        <v>#DIV/0!</v>
      </c>
      <c r="H26" s="146" t="e">
        <f>F26-G26</f>
        <v>#DIV/0!</v>
      </c>
      <c r="O26" s="7"/>
      <c r="P26" s="50"/>
      <c r="R26" s="1"/>
    </row>
    <row r="27" spans="1:18" x14ac:dyDescent="0.25">
      <c r="A27" s="80"/>
      <c r="B27" s="81"/>
      <c r="C27" s="82"/>
      <c r="D27" s="82"/>
      <c r="E27" s="81"/>
      <c r="F27" s="81"/>
      <c r="O27" s="7"/>
      <c r="P27" s="50"/>
      <c r="R27" s="1"/>
    </row>
    <row r="28" spans="1:18" x14ac:dyDescent="0.25">
      <c r="A28" s="80"/>
      <c r="B28" s="81"/>
      <c r="D28" s="367" t="s">
        <v>132</v>
      </c>
      <c r="E28" s="367"/>
      <c r="F28" s="227" t="e">
        <f>H26</f>
        <v>#DIV/0!</v>
      </c>
      <c r="O28" s="7"/>
      <c r="P28" s="50"/>
      <c r="R28" s="1"/>
    </row>
    <row r="29" spans="1:18" x14ac:dyDescent="0.25">
      <c r="A29" s="80"/>
      <c r="B29" s="81"/>
      <c r="D29" s="367" t="s">
        <v>133</v>
      </c>
      <c r="E29" s="367"/>
      <c r="F29" s="228" t="e">
        <f>F28*F22</f>
        <v>#DIV/0!</v>
      </c>
      <c r="O29" s="7"/>
      <c r="P29" s="50"/>
      <c r="R29" s="1"/>
    </row>
    <row r="30" spans="1:18" ht="16.5" thickBot="1" x14ac:dyDescent="0.3">
      <c r="A30" s="89"/>
      <c r="B30" s="90"/>
      <c r="C30" s="91"/>
      <c r="D30" s="92"/>
      <c r="E30" s="113"/>
      <c r="F30" s="90"/>
      <c r="G30" s="52"/>
      <c r="H30" s="52"/>
      <c r="I30" s="52"/>
      <c r="J30" s="52"/>
      <c r="K30" s="52"/>
      <c r="L30" s="52"/>
      <c r="M30" s="52"/>
      <c r="N30" s="52"/>
      <c r="O30" s="52"/>
      <c r="P30" s="53"/>
    </row>
    <row r="31" spans="1:18" ht="16.5" thickBot="1" x14ac:dyDescent="0.3">
      <c r="A31" s="89"/>
      <c r="B31" s="90"/>
      <c r="C31" s="91"/>
      <c r="D31" s="92"/>
      <c r="E31" s="113"/>
      <c r="F31" s="90"/>
      <c r="G31" s="52"/>
      <c r="H31" s="52"/>
      <c r="I31" s="52"/>
      <c r="J31" s="52"/>
      <c r="K31" s="52"/>
      <c r="L31" s="52"/>
      <c r="M31" s="52"/>
      <c r="N31" s="52"/>
      <c r="O31" s="52"/>
      <c r="P31" s="53"/>
    </row>
    <row r="32" spans="1:18" x14ac:dyDescent="0.25">
      <c r="A32" s="80"/>
      <c r="B32" s="81"/>
      <c r="C32" s="73"/>
      <c r="D32" s="83"/>
      <c r="E32" s="84"/>
      <c r="F32" s="81"/>
      <c r="P32" s="50"/>
    </row>
    <row r="33" spans="1:18" x14ac:dyDescent="0.25">
      <c r="A33" s="85" t="s">
        <v>134</v>
      </c>
      <c r="B33" s="73"/>
      <c r="C33" s="74"/>
      <c r="D33" s="75"/>
      <c r="E33" s="75"/>
      <c r="F33" s="74"/>
      <c r="P33" s="50"/>
    </row>
    <row r="34" spans="1:18" x14ac:dyDescent="0.25">
      <c r="A34" s="80"/>
      <c r="B34" s="81"/>
      <c r="C34" s="77"/>
      <c r="D34" s="77"/>
      <c r="E34" s="84"/>
      <c r="F34" s="81"/>
      <c r="P34" s="50"/>
    </row>
    <row r="35" spans="1:18" x14ac:dyDescent="0.25">
      <c r="A35" s="78"/>
      <c r="B35" s="79"/>
      <c r="C35" s="93"/>
      <c r="D35" s="93"/>
      <c r="E35" s="94"/>
      <c r="F35" s="150" t="s">
        <v>124</v>
      </c>
      <c r="G35" s="150" t="s">
        <v>125</v>
      </c>
      <c r="H35" s="151" t="s">
        <v>126</v>
      </c>
      <c r="O35" s="7"/>
      <c r="P35" s="50"/>
      <c r="R35" s="1"/>
    </row>
    <row r="36" spans="1:18" x14ac:dyDescent="0.25">
      <c r="A36" s="366" t="s">
        <v>135</v>
      </c>
      <c r="B36" s="366"/>
      <c r="C36" s="366"/>
      <c r="D36" s="366"/>
      <c r="E36" s="366"/>
      <c r="F36" s="145">
        <f>F21</f>
        <v>0</v>
      </c>
      <c r="G36" s="145">
        <f>G21</f>
        <v>0</v>
      </c>
      <c r="H36" s="145">
        <f>F36-G36</f>
        <v>0</v>
      </c>
      <c r="O36" s="7"/>
      <c r="P36" s="50"/>
      <c r="R36" s="1"/>
    </row>
    <row r="37" spans="1:18" x14ac:dyDescent="0.25">
      <c r="A37" s="366" t="s">
        <v>136</v>
      </c>
      <c r="B37" s="366"/>
      <c r="C37" s="366"/>
      <c r="D37" s="366"/>
      <c r="E37" s="366"/>
      <c r="F37" s="145">
        <f>'I200 Variation immos'!I54</f>
        <v>0</v>
      </c>
      <c r="G37" s="145">
        <f>'I200 Variation immos'!F54</f>
        <v>0</v>
      </c>
      <c r="H37" s="145">
        <f>F37-G37</f>
        <v>0</v>
      </c>
      <c r="O37" s="7"/>
      <c r="P37" s="50"/>
      <c r="R37" s="1"/>
    </row>
    <row r="38" spans="1:18" x14ac:dyDescent="0.25">
      <c r="A38" s="365" t="s">
        <v>137</v>
      </c>
      <c r="B38" s="365"/>
      <c r="C38" s="365"/>
      <c r="D38" s="365"/>
      <c r="E38" s="365"/>
      <c r="F38" s="148" t="e">
        <f>F37/F36</f>
        <v>#DIV/0!</v>
      </c>
      <c r="G38" s="148" t="e">
        <f>G37/G36</f>
        <v>#DIV/0!</v>
      </c>
      <c r="H38" s="149" t="e">
        <f>F38-G38</f>
        <v>#DIV/0!</v>
      </c>
      <c r="O38" s="7"/>
      <c r="P38" s="50"/>
      <c r="R38" s="1"/>
    </row>
    <row r="39" spans="1:18" ht="16.5" thickBot="1" x14ac:dyDescent="0.3">
      <c r="A39" s="51"/>
      <c r="B39" s="52"/>
      <c r="C39" s="52"/>
      <c r="D39" s="52"/>
      <c r="E39" s="52"/>
      <c r="F39" s="52"/>
      <c r="G39" s="52"/>
      <c r="H39" s="52"/>
      <c r="I39" s="52"/>
      <c r="J39" s="52"/>
      <c r="K39" s="52"/>
      <c r="L39" s="52"/>
      <c r="M39" s="52"/>
      <c r="N39" s="52"/>
      <c r="O39" s="52"/>
      <c r="P39" s="53"/>
    </row>
  </sheetData>
  <sheetProtection formatCells="0" formatColumns="0" formatRows="0" insertColumns="0" insertRows="0" insertHyperlinks="0" deleteColumns="0" deleteRows="0" sort="0" autoFilter="0" pivotTables="0"/>
  <mergeCells count="29">
    <mergeCell ref="A38:E38"/>
    <mergeCell ref="A37:E37"/>
    <mergeCell ref="A36:E36"/>
    <mergeCell ref="D28:E28"/>
    <mergeCell ref="D29:E29"/>
    <mergeCell ref="A11:P11"/>
    <mergeCell ref="A13:P13"/>
    <mergeCell ref="A14:P14"/>
    <mergeCell ref="A26:E26"/>
    <mergeCell ref="A25:E25"/>
    <mergeCell ref="A24:E24"/>
    <mergeCell ref="A23:E23"/>
    <mergeCell ref="A22:E22"/>
    <mergeCell ref="A21:E21"/>
    <mergeCell ref="A20:E20"/>
    <mergeCell ref="O8:P8"/>
    <mergeCell ref="O9:P9"/>
    <mergeCell ref="D1:M2"/>
    <mergeCell ref="A3:P5"/>
    <mergeCell ref="E6:L7"/>
    <mergeCell ref="M6:N6"/>
    <mergeCell ref="O6:P6"/>
    <mergeCell ref="M7:N7"/>
    <mergeCell ref="O7:P7"/>
    <mergeCell ref="A9:C9"/>
    <mergeCell ref="D9:E9"/>
    <mergeCell ref="F9:I9"/>
    <mergeCell ref="J9:K9"/>
    <mergeCell ref="L9:N9"/>
  </mergeCells>
  <dataValidations count="2">
    <dataValidation type="list" allowBlank="1" showInputMessage="1" showErrorMessage="1" sqref="O9:P9" xr:uid="{00000000-0002-0000-0800-000000000000}">
      <formula1>Diligences</formula1>
    </dataValidation>
    <dataValidation type="list" showInputMessage="1" showErrorMessage="1" sqref="D9:E9" xr:uid="{00000000-0002-0000-0800-000001000000}">
      <formula1>RAS</formula1>
    </dataValidation>
  </dataValidations>
  <hyperlinks>
    <hyperlink ref="O8:P8" location="'I Synthèse'!A1" display="I Synthèse" xr:uid="{00000000-0004-0000-08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D3FFDFD4C05D14DADD40B72BFB892F2" ma:contentTypeVersion="12" ma:contentTypeDescription="Crée un document." ma:contentTypeScope="" ma:versionID="a1e612abde7994f04a20992d1f580c2e">
  <xsd:schema xmlns:xsd="http://www.w3.org/2001/XMLSchema" xmlns:xs="http://www.w3.org/2001/XMLSchema" xmlns:p="http://schemas.microsoft.com/office/2006/metadata/properties" xmlns:ns2="27d32b71-31f9-4ffd-a7f0-416f695e1477" xmlns:ns3="d905335e-07f7-449f-8325-7d00af0e6b96" targetNamespace="http://schemas.microsoft.com/office/2006/metadata/properties" ma:root="true" ma:fieldsID="ec4aa46a3384ff861a570c8849968e95" ns2:_="" ns3:_="">
    <xsd:import namespace="27d32b71-31f9-4ffd-a7f0-416f695e1477"/>
    <xsd:import namespace="d905335e-07f7-449f-8325-7d00af0e6b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d32b71-31f9-4ffd-a7f0-416f695e14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e55a836-def3-43e3-8f00-2a26c919754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05335e-07f7-449f-8325-7d00af0e6b9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e981c32-6aaa-40cd-9bf7-e0202a3392a7}" ma:internalName="TaxCatchAll" ma:showField="CatchAllData" ma:web="d905335e-07f7-449f-8325-7d00af0e6b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7d32b71-31f9-4ffd-a7f0-416f695e1477">
      <Terms xmlns="http://schemas.microsoft.com/office/infopath/2007/PartnerControls"/>
    </lcf76f155ced4ddcb4097134ff3c332f>
    <TaxCatchAll xmlns="d905335e-07f7-449f-8325-7d00af0e6b96" xsi:nil="true"/>
  </documentManagement>
</p:properties>
</file>

<file path=customXml/itemProps1.xml><?xml version="1.0" encoding="utf-8"?>
<ds:datastoreItem xmlns:ds="http://schemas.openxmlformats.org/officeDocument/2006/customXml" ds:itemID="{EEB1125B-CDA7-4C25-8A44-9CA016D6224E}">
  <ds:schemaRefs>
    <ds:schemaRef ds:uri="http://schemas.microsoft.com/sharepoint/v3/contenttype/forms"/>
  </ds:schemaRefs>
</ds:datastoreItem>
</file>

<file path=customXml/itemProps2.xml><?xml version="1.0" encoding="utf-8"?>
<ds:datastoreItem xmlns:ds="http://schemas.openxmlformats.org/officeDocument/2006/customXml" ds:itemID="{1C4F750B-F2CF-4EFC-880F-1D8C3C4C1E08}"/>
</file>

<file path=customXml/itemProps3.xml><?xml version="1.0" encoding="utf-8"?>
<ds:datastoreItem xmlns:ds="http://schemas.openxmlformats.org/officeDocument/2006/customXml" ds:itemID="{1DCFA977-BBB6-44DF-A1F2-0B9C5FBD9FDE}">
  <ds:schemaRefs>
    <ds:schemaRef ds:uri="aed0d0bd-a659-4dbf-bbaa-a56f4efa3b0c"/>
    <ds:schemaRef ds:uri="http://purl.org/dc/elements/1.1/"/>
    <ds:schemaRef ds:uri="http://schemas.microsoft.com/office/2006/metadata/properties"/>
    <ds:schemaRef ds:uri="http://schemas.microsoft.com/office/infopath/2007/PartnerControls"/>
    <ds:schemaRef ds:uri="http://purl.org/dc/terms/"/>
    <ds:schemaRef ds:uri="9d7aee5f-c6d7-4567-bea9-00a4b0c47d6f"/>
    <ds:schemaRef ds:uri="http://schemas.microsoft.com/office/2006/documentManagement/type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11</vt:i4>
      </vt:variant>
    </vt:vector>
  </HeadingPairs>
  <TitlesOfParts>
    <vt:vector size="19" baseType="lpstr">
      <vt:lpstr>I Synthèse</vt:lpstr>
      <vt:lpstr>I100 Centralisation immos.</vt:lpstr>
      <vt:lpstr>I200 Variation immos</vt:lpstr>
      <vt:lpstr>I300 Acquisitions immos</vt:lpstr>
      <vt:lpstr>I400 Sorties immos</vt:lpstr>
      <vt:lpstr>I500 Immos en cours</vt:lpstr>
      <vt:lpstr>I600 Charges activables</vt:lpstr>
      <vt:lpstr>I700 Taux moyen d'amortissement</vt:lpstr>
      <vt:lpstr>Diligences</vt:lpstr>
      <vt:lpstr>Etat</vt:lpstr>
      <vt:lpstr>RAS</vt:lpstr>
      <vt:lpstr>'I Synthèse'!Zone_d_impression</vt:lpstr>
      <vt:lpstr>'I100 Centralisation immos.'!Zone_d_impression</vt:lpstr>
      <vt:lpstr>'I200 Variation immos'!Zone_d_impression</vt:lpstr>
      <vt:lpstr>'I300 Acquisitions immos'!Zone_d_impression</vt:lpstr>
      <vt:lpstr>'I400 Sorties immos'!Zone_d_impression</vt:lpstr>
      <vt:lpstr>'I500 Immos en cours'!Zone_d_impression</vt:lpstr>
      <vt:lpstr>'I600 Charges activables'!Zone_d_impression</vt:lpstr>
      <vt:lpstr>'I700 Taux moyen d''amortissement'!Zone_d_impression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Charles CHA. ARNAUD</dc:creator>
  <cp:keywords/>
  <dc:description/>
  <cp:lastModifiedBy>BRIAN BRY. RAULY</cp:lastModifiedBy>
  <cp:revision/>
  <dcterms:created xsi:type="dcterms:W3CDTF">2017-01-24T11:12:27Z</dcterms:created>
  <dcterms:modified xsi:type="dcterms:W3CDTF">2024-07-08T07:26:20Z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0x010100BD3FFDFD4C05D14DADD40B72BFB892F2</vt:lpwstr>
  </property>
</Properties>
</file>