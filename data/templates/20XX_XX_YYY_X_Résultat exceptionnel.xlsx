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rvdcvil\collaborateurs\2-COLLABORATEURS\Brian\Modèles\Dossier annuel\X- Résultat exceptionnel\"/>
    </mc:Choice>
  </mc:AlternateContent>
  <xr:revisionPtr revIDLastSave="0" documentId="13_ncr:1_{5B62E1D6-479A-4440-89CB-080618D0D2E4}" xr6:coauthVersionLast="47" xr6:coauthVersionMax="47" xr10:uidLastSave="{00000000-0000-0000-0000-000000000000}"/>
  <bookViews>
    <workbookView xWindow="-28920" yWindow="-120" windowWidth="29040" windowHeight="15720" tabRatio="728" xr2:uid="{00000000-000D-0000-FFFF-FFFF00000000}"/>
  </bookViews>
  <sheets>
    <sheet name="X Synthèse" sheetId="1" r:id="rId1"/>
    <sheet name="X100 Analyse résultat excep" sheetId="11" state="hidden" r:id="rId2"/>
  </sheets>
  <externalReferences>
    <externalReference r:id="rId3"/>
  </externalReferences>
  <definedNames>
    <definedName name="ça">"$#REF !.$B$508:$R$508"</definedName>
    <definedName name="CA_N">[1]SIG!$B$8</definedName>
    <definedName name="CA_N_1">[1]SIG!$D$8</definedName>
    <definedName name="çb">"$#REF !.$A$48:$K$48"</definedName>
    <definedName name="çi">"$#REF !.$R$11:$R$508"</definedName>
    <definedName name="cloture">"$#REF !.$G$9"</definedName>
    <definedName name="çp">"$#REF !.$B$44:$F$44"</definedName>
    <definedName name="çr">"$#REF !.$B$62:$H$62"</definedName>
    <definedName name="çs">"$#REF !.$B$161:$L$161"</definedName>
    <definedName name="dateCloture" localSheetId="1">#REF!</definedName>
    <definedName name="dateCloture">#REF!</definedName>
    <definedName name="DatesCloture">"$#REF !.$F$9:$#REF !.$M$9"</definedName>
    <definedName name="Diligences" localSheetId="1">'X100 Analyse résultat excep'!#REF!</definedName>
    <definedName name="Diligences">'X Synthèse'!$Q$7:$Q$9</definedName>
    <definedName name="Etat" localSheetId="1">'X100 Analyse résultat excep'!#REF!</definedName>
    <definedName name="Etat">'X Synthèse'!$Q$1:$Q$3</definedName>
    <definedName name="NomDossier">"$#REF !.$E$1"</definedName>
    <definedName name="RAS" localSheetId="1">'X100 Analyse résultat excep'!#REF!</definedName>
    <definedName name="RAS">'X Synthèse'!$Q$4:$Q$6</definedName>
    <definedName name="referenceDossier" localSheetId="1">#REF!</definedName>
    <definedName name="referenceDossier">#REF!</definedName>
    <definedName name="sold6037">"$#REF !.$A$85:$I$85"</definedName>
    <definedName name="sold607">"$#REF !.$A$84:$I$84"</definedName>
    <definedName name="sold701">"$#REF !.$A$73:$I$73"</definedName>
    <definedName name="sold706">"$#REF !.$A$74:$I$74"</definedName>
    <definedName name="sold707">"$#REF !.$A$72:$I$72"</definedName>
    <definedName name="sold71">"$#REF !.$A$75:$I$75"</definedName>
    <definedName name="sold781">"$#REF !.$A$151:$I$151"</definedName>
    <definedName name="sold791">"$#REF !.$A$82:$I$82"</definedName>
    <definedName name="soldesCapitaux">"$#REF !.$A$55:$J$66"</definedName>
    <definedName name="start_toc" localSheetId="1">#REF!</definedName>
    <definedName name="start_toc">#REF!</definedName>
    <definedName name="TOTAL1_N">'[1]BILAN PASSIF'!$F$24</definedName>
    <definedName name="TOTAL1_N_1">'[1]BILAN PASSIF'!$H$24</definedName>
    <definedName name="TOTAL2_N">'[1]BILAN PASSIF'!$F$29</definedName>
    <definedName name="TOTAL2_N_1">'[1]BILAN PASSIF'!$H$29</definedName>
    <definedName name="TOTAL3_N">'[1]BILAN PASSIF'!$F$34</definedName>
    <definedName name="TOTAL3_N_1">'[1]BILAN PASSIF'!$H$34</definedName>
    <definedName name="TOTAL4_N">'[1]BILAN PASSIF'!$F$54</definedName>
    <definedName name="TOTAL4_N_1">'[1]BILAN PASSIF'!$H$54</definedName>
    <definedName name="TOTAL5_N">'[1]BILAN PASSIF'!$F$56</definedName>
    <definedName name="TOTAL5_N_1">'[1]BILAN PASSIF'!$H$56</definedName>
    <definedName name="TOTALGEN_N">'[1]BILAN PASSIF'!$F$58</definedName>
    <definedName name="TOTALGEN_N_1">'[1]BILAN PASSIF'!$H$58</definedName>
    <definedName name="uniteMonetaire" localSheetId="1">#REF!</definedName>
    <definedName name="uniteMonetaire">#REF!</definedName>
    <definedName name="Z_11CE3843_8765_4D4C_AA39_79A83C002DF6_.wvu.PrintArea" localSheetId="0" hidden="1">'X Synthèse'!$A$1:$O$12</definedName>
    <definedName name="Z_11CE3843_8765_4D4C_AA39_79A83C002DF6_.wvu.PrintArea" localSheetId="1" hidden="1">'X100 Analyse résultat excep'!$A$1:$P$10</definedName>
    <definedName name="Z_3BBE5D10_E029_4BF5_BC04_29D3FAA5A0EB_.wvu.PrintArea" localSheetId="0" hidden="1">'X Synthèse'!$A$1:$O$12</definedName>
    <definedName name="Z_3BBE5D10_E029_4BF5_BC04_29D3FAA5A0EB_.wvu.PrintArea" localSheetId="1" hidden="1">'X100 Analyse résultat excep'!$A$1:$P$10</definedName>
    <definedName name="_xlnm.Print_Area" localSheetId="0">'X Synthèse'!$A$1:$O$26</definedName>
    <definedName name="_xlnm.Print_Area" localSheetId="1">'X100 Analyse résultat excep'!$A$1:$P$14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1" l="1"/>
  <c r="M7" i="11" l="1"/>
  <c r="D7" i="11"/>
  <c r="D6" i="11"/>
  <c r="B7" i="11"/>
  <c r="B6" i="11"/>
  <c r="D1" i="11"/>
  <c r="G41" i="11"/>
  <c r="F41" i="11"/>
  <c r="F44" i="11" s="1"/>
  <c r="G28" i="11"/>
  <c r="F28" i="11"/>
  <c r="D9" i="11"/>
  <c r="J9" i="11"/>
  <c r="H39" i="11"/>
  <c r="H38" i="11"/>
  <c r="H37" i="11"/>
  <c r="H36" i="11"/>
  <c r="H35" i="11"/>
  <c r="H34" i="11"/>
  <c r="H25" i="11"/>
  <c r="H24" i="11"/>
  <c r="H22" i="11"/>
  <c r="H21" i="11"/>
  <c r="H26" i="11"/>
  <c r="H23" i="11"/>
  <c r="A3" i="11"/>
  <c r="G44" i="11" l="1"/>
  <c r="H28" i="11"/>
  <c r="H44" i="11" s="1"/>
  <c r="H41" i="11"/>
</calcChain>
</file>

<file path=xl/sharedStrings.xml><?xml version="1.0" encoding="utf-8"?>
<sst xmlns="http://schemas.openxmlformats.org/spreadsheetml/2006/main" count="82" uniqueCount="61">
  <si>
    <t>#NomClient</t>
  </si>
  <si>
    <t>OUI</t>
  </si>
  <si>
    <t>NON</t>
  </si>
  <si>
    <t>RESULTAT EXCEPTIONNEL</t>
  </si>
  <si>
    <t>Faible</t>
  </si>
  <si>
    <t>Modéré</t>
  </si>
  <si>
    <t>Fait par :</t>
  </si>
  <si>
    <t>Revu par :</t>
  </si>
  <si>
    <t>Synthèse du cycle</t>
  </si>
  <si>
    <t>Date Clôture</t>
  </si>
  <si>
    <t>XRef</t>
  </si>
  <si>
    <t>Elevé</t>
  </si>
  <si>
    <t>Le :</t>
  </si>
  <si>
    <t>#DateClôture</t>
  </si>
  <si>
    <t>X</t>
  </si>
  <si>
    <t>PB</t>
  </si>
  <si>
    <t>PE</t>
  </si>
  <si>
    <t>Risque d'anomalies significatives</t>
  </si>
  <si>
    <t>Seuil d'investigation</t>
  </si>
  <si>
    <t>Niveau de diligences</t>
  </si>
  <si>
    <t>PE + VP</t>
  </si>
  <si>
    <t>Xref</t>
  </si>
  <si>
    <t>Contrôles</t>
  </si>
  <si>
    <t>Diligences à tester</t>
  </si>
  <si>
    <t>Liens</t>
  </si>
  <si>
    <t>X100</t>
  </si>
  <si>
    <t>Analyse du résultat exceptionnel</t>
  </si>
  <si>
    <t>Revue analytique</t>
  </si>
  <si>
    <t>CONCLUSION</t>
  </si>
  <si>
    <t>Analyse résultat exceptionnel</t>
  </si>
  <si>
    <t>X Synthèse</t>
  </si>
  <si>
    <r>
      <t>Objectif :</t>
    </r>
    <r>
      <rPr>
        <sz val="10"/>
        <rFont val="Arial"/>
        <family val="2"/>
      </rPr>
      <t xml:space="preserve">
Evaluation et classification du résultat exceptionnel
</t>
    </r>
    <r>
      <rPr>
        <b/>
        <u/>
        <sz val="10"/>
        <rFont val="Arial"/>
        <family val="2"/>
      </rPr>
      <t>Travail effectué :</t>
    </r>
    <r>
      <rPr>
        <sz val="10"/>
        <rFont val="Arial"/>
        <family val="2"/>
      </rPr>
      <t xml:space="preserve">
Analyser les composantes du résultat exceptionnel et s'assurer du distingo exploitation - exceptionnel
En cas de montant &gt; SI, obtenir les pièces justificatives</t>
    </r>
  </si>
  <si>
    <t>Conclusion sur le contrôle</t>
  </si>
  <si>
    <t>PRODUITS EXCEPTIONNELS</t>
  </si>
  <si>
    <t>OK</t>
  </si>
  <si>
    <t>Compte</t>
  </si>
  <si>
    <t>libellé</t>
  </si>
  <si>
    <t>31/12/N</t>
  </si>
  <si>
    <t>31/12/N-1</t>
  </si>
  <si>
    <t>Var</t>
  </si>
  <si>
    <t>Analyse</t>
  </si>
  <si>
    <t>Classification Exceptionnel</t>
  </si>
  <si>
    <t>A Reclasser</t>
  </si>
  <si>
    <t>Autres produits exceptionnels de gestion</t>
  </si>
  <si>
    <t>Produits exceptionnels sur exercices antérieurs</t>
  </si>
  <si>
    <t>Produits de cession d'immobilisations</t>
  </si>
  <si>
    <t>Quote reprise subvention d'invest</t>
  </si>
  <si>
    <t>Produits exceptionnels divers</t>
  </si>
  <si>
    <t>Reprise provisions exceptionnelles</t>
  </si>
  <si>
    <t>Produits Exceptionnels</t>
  </si>
  <si>
    <t>CHARGES EXCEPTIONNELLES</t>
  </si>
  <si>
    <t>Autres charges exceptionnelles de gestion</t>
  </si>
  <si>
    <t>Pénalités et amendes</t>
  </si>
  <si>
    <t>Charges exceptionnelles sur exercices antérieurs</t>
  </si>
  <si>
    <t>VNC Immobilisations</t>
  </si>
  <si>
    <t>Autres Charges Exceptionnelles</t>
  </si>
  <si>
    <t>Dotation charges exceptionnelles</t>
  </si>
  <si>
    <t>Charges Exceptionnelles</t>
  </si>
  <si>
    <t>BRA</t>
  </si>
  <si>
    <t>X0</t>
  </si>
  <si>
    <t>Cf. 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</si>
</sst>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#,##0.00\ &quot;F&quot;;[Red]\-#,##0.00\ &quot;F&quot;"/>
    <numFmt numFmtId="166" formatCode="_-* #,##0\ _€_-;\-* #,##0\ _€_-;_-* &quot;-&quot;??\ _€_-;_-@_-"/>
  </numFmts>
  <fonts count="2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3"/>
      <name val="Calibri"/>
      <family val="2"/>
      <scheme val="minor"/>
    </font>
    <font>
      <b/>
      <sz val="1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"/>
      <name val="Calibri"/>
      <family val="2"/>
      <scheme val="minor"/>
    </font>
    <font>
      <i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Wingdings 2"/>
      <family val="1"/>
      <charset val="2"/>
    </font>
    <font>
      <b/>
      <sz val="11"/>
      <color rgb="FFFF0000"/>
      <name val="Wingdings"/>
      <charset val="2"/>
    </font>
    <font>
      <b/>
      <sz val="11"/>
      <color rgb="FFFF0000"/>
      <name val="Calibri"/>
      <family val="2"/>
    </font>
    <font>
      <b/>
      <sz val="11"/>
      <color rgb="FFFF0000"/>
      <name val="Wingdings 3"/>
      <family val="1"/>
      <charset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49" fontId="2" fillId="2" borderId="0" applyFont="0" applyBorder="0" applyProtection="0">
      <alignment vertical="center" readingOrder="1"/>
    </xf>
    <xf numFmtId="0" fontId="2" fillId="0" borderId="0"/>
    <xf numFmtId="9" fontId="2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198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49" fontId="6" fillId="0" borderId="0" xfId="0" applyNumberFormat="1" applyFont="1" applyAlignment="1" applyProtection="1">
      <alignment horizontal="right"/>
      <protection locked="0"/>
    </xf>
    <xf numFmtId="49" fontId="3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49" fontId="4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 applyProtection="1">
      <alignment vertical="center"/>
      <protection locked="0"/>
    </xf>
    <xf numFmtId="14" fontId="8" fillId="0" borderId="7" xfId="0" applyNumberFormat="1" applyFont="1" applyBorder="1" applyAlignment="1" applyProtection="1">
      <alignment vertical="center"/>
      <protection locked="0"/>
    </xf>
    <xf numFmtId="14" fontId="8" fillId="0" borderId="8" xfId="0" applyNumberFormat="1" applyFont="1" applyBorder="1" applyAlignment="1" applyProtection="1">
      <alignment vertical="center"/>
      <protection locked="0"/>
    </xf>
    <xf numFmtId="14" fontId="8" fillId="0" borderId="9" xfId="0" applyNumberFormat="1" applyFont="1" applyBorder="1" applyAlignment="1" applyProtection="1">
      <alignment vertical="center"/>
      <protection locked="0"/>
    </xf>
    <xf numFmtId="14" fontId="8" fillId="0" borderId="10" xfId="0" applyNumberFormat="1" applyFont="1" applyBorder="1" applyAlignment="1" applyProtection="1">
      <alignment vertical="center"/>
      <protection locked="0"/>
    </xf>
    <xf numFmtId="14" fontId="8" fillId="0" borderId="0" xfId="0" applyNumberFormat="1" applyFont="1" applyAlignment="1" applyProtection="1">
      <alignment vertical="center"/>
      <protection locked="0"/>
    </xf>
    <xf numFmtId="14" fontId="8" fillId="0" borderId="11" xfId="0" applyNumberFormat="1" applyFont="1" applyBorder="1" applyAlignment="1" applyProtection="1">
      <alignment vertical="center"/>
      <protection locked="0"/>
    </xf>
    <xf numFmtId="14" fontId="11" fillId="0" borderId="0" xfId="0" applyNumberFormat="1" applyFont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9" fontId="9" fillId="0" borderId="0" xfId="0" applyNumberFormat="1" applyFont="1" applyAlignment="1" applyProtection="1">
      <alignment horizontal="center" vertical="center"/>
      <protection locked="0"/>
    </xf>
    <xf numFmtId="14" fontId="10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6" fillId="0" borderId="8" xfId="0" applyFont="1" applyBorder="1" applyAlignment="1" applyProtection="1">
      <alignment vertical="center" wrapText="1"/>
      <protection locked="0"/>
    </xf>
    <xf numFmtId="0" fontId="10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/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0" fillId="0" borderId="26" xfId="0" applyFont="1" applyBorder="1" applyAlignment="1" applyProtection="1">
      <alignment horizontal="left" vertical="center"/>
      <protection locked="0"/>
    </xf>
    <xf numFmtId="0" fontId="21" fillId="0" borderId="0" xfId="0" applyFont="1" applyProtection="1">
      <protection locked="0"/>
    </xf>
    <xf numFmtId="0" fontId="11" fillId="0" borderId="45" xfId="0" applyFont="1" applyBorder="1" applyAlignment="1" applyProtection="1">
      <alignment horizontal="left" vertical="center"/>
      <protection locked="0"/>
    </xf>
    <xf numFmtId="14" fontId="11" fillId="0" borderId="46" xfId="0" applyNumberFormat="1" applyFont="1" applyBorder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/>
      <protection locked="0"/>
    </xf>
    <xf numFmtId="0" fontId="10" fillId="0" borderId="17" xfId="0" applyFont="1" applyBorder="1" applyAlignment="1" applyProtection="1">
      <alignment vertical="center"/>
      <protection locked="0"/>
    </xf>
    <xf numFmtId="0" fontId="10" fillId="0" borderId="15" xfId="0" applyFont="1" applyBorder="1" applyAlignment="1" applyProtection="1">
      <alignment vertical="center" wrapText="1"/>
      <protection locked="0"/>
    </xf>
    <xf numFmtId="0" fontId="10" fillId="0" borderId="6" xfId="0" applyFont="1" applyBorder="1" applyAlignment="1" applyProtection="1">
      <alignment vertical="center" wrapText="1"/>
      <protection locked="0"/>
    </xf>
    <xf numFmtId="166" fontId="10" fillId="0" borderId="15" xfId="1" applyNumberFormat="1" applyFont="1" applyFill="1" applyBorder="1" applyAlignment="1" applyProtection="1">
      <alignment vertical="center" wrapText="1"/>
      <protection locked="0"/>
    </xf>
    <xf numFmtId="166" fontId="10" fillId="0" borderId="6" xfId="1" applyNumberFormat="1" applyFont="1" applyFill="1" applyBorder="1" applyAlignment="1" applyProtection="1">
      <alignment vertical="center" wrapText="1"/>
      <protection locked="0"/>
    </xf>
    <xf numFmtId="0" fontId="10" fillId="0" borderId="0" xfId="0" applyFont="1" applyAlignment="1" applyProtection="1">
      <alignment vertical="center"/>
      <protection locked="0"/>
    </xf>
    <xf numFmtId="49" fontId="10" fillId="0" borderId="0" xfId="0" applyNumberFormat="1" applyFont="1" applyAlignment="1" applyProtection="1">
      <alignment horizontal="right"/>
      <protection locked="0"/>
    </xf>
    <xf numFmtId="0" fontId="10" fillId="0" borderId="0" xfId="0" applyFont="1" applyAlignment="1" applyProtection="1">
      <alignment horizontal="left"/>
      <protection locked="0"/>
    </xf>
    <xf numFmtId="14" fontId="10" fillId="0" borderId="0" xfId="0" applyNumberFormat="1" applyFont="1" applyAlignment="1" applyProtection="1">
      <alignment vertical="center"/>
      <protection locked="0"/>
    </xf>
    <xf numFmtId="49" fontId="10" fillId="0" borderId="0" xfId="0" applyNumberFormat="1" applyFont="1" applyAlignment="1" applyProtection="1">
      <alignment horizontal="center" vertical="center"/>
      <protection locked="0"/>
    </xf>
    <xf numFmtId="0" fontId="10" fillId="0" borderId="7" xfId="0" applyFont="1" applyBorder="1" applyProtection="1">
      <protection locked="0"/>
    </xf>
    <xf numFmtId="0" fontId="10" fillId="0" borderId="8" xfId="0" applyFont="1" applyBorder="1" applyProtection="1">
      <protection locked="0"/>
    </xf>
    <xf numFmtId="0" fontId="10" fillId="0" borderId="9" xfId="0" applyFont="1" applyBorder="1" applyProtection="1">
      <protection locked="0"/>
    </xf>
    <xf numFmtId="0" fontId="6" fillId="0" borderId="10" xfId="0" applyFont="1" applyBorder="1"/>
    <xf numFmtId="0" fontId="10" fillId="0" borderId="0" xfId="0" applyFont="1"/>
    <xf numFmtId="0" fontId="10" fillId="0" borderId="11" xfId="0" applyFont="1" applyBorder="1" applyProtection="1">
      <protection locked="0"/>
    </xf>
    <xf numFmtId="0" fontId="2" fillId="0" borderId="0" xfId="0" applyFont="1" applyAlignment="1">
      <alignment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0" fillId="0" borderId="0" xfId="0" applyFont="1" applyAlignment="1">
      <alignment vertical="center"/>
    </xf>
    <xf numFmtId="166" fontId="10" fillId="0" borderId="0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 applyProtection="1">
      <alignment vertical="center"/>
      <protection locked="0"/>
    </xf>
    <xf numFmtId="166" fontId="10" fillId="0" borderId="39" xfId="1" applyNumberFormat="1" applyFont="1" applyBorder="1" applyAlignment="1">
      <alignment horizontal="center" vertical="center"/>
    </xf>
    <xf numFmtId="0" fontId="10" fillId="0" borderId="28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166" fontId="10" fillId="0" borderId="28" xfId="1" applyNumberFormat="1" applyFont="1" applyBorder="1" applyAlignment="1">
      <alignment vertical="center"/>
    </xf>
    <xf numFmtId="166" fontId="10" fillId="0" borderId="41" xfId="1" applyNumberFormat="1" applyFont="1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166" fontId="10" fillId="0" borderId="31" xfId="1" applyNumberFormat="1" applyFont="1" applyBorder="1" applyAlignment="1">
      <alignment vertical="center"/>
    </xf>
    <xf numFmtId="166" fontId="10" fillId="0" borderId="43" xfId="1" applyNumberFormat="1" applyFont="1" applyBorder="1" applyAlignment="1">
      <alignment horizontal="center" vertical="center"/>
    </xf>
    <xf numFmtId="0" fontId="10" fillId="0" borderId="34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10" fillId="0" borderId="36" xfId="0" applyFont="1" applyBorder="1" applyAlignment="1">
      <alignment vertical="center"/>
    </xf>
    <xf numFmtId="166" fontId="10" fillId="0" borderId="34" xfId="1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166" fontId="6" fillId="3" borderId="1" xfId="1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20" xfId="0" applyFont="1" applyFill="1" applyBorder="1" applyAlignment="1">
      <alignment vertical="center"/>
    </xf>
    <xf numFmtId="3" fontId="10" fillId="0" borderId="0" xfId="0" applyNumberFormat="1" applyFont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4" fontId="10" fillId="0" borderId="1" xfId="0" applyNumberFormat="1" applyFont="1" applyBorder="1" applyAlignment="1">
      <alignment vertical="center" wrapText="1"/>
    </xf>
    <xf numFmtId="166" fontId="10" fillId="0" borderId="0" xfId="1" applyNumberFormat="1" applyFont="1" applyBorder="1" applyAlignment="1">
      <alignment vertical="center"/>
    </xf>
    <xf numFmtId="166" fontId="10" fillId="0" borderId="0" xfId="1" applyNumberFormat="1" applyFont="1" applyBorder="1" applyAlignment="1" applyProtection="1">
      <alignment vertical="center"/>
      <protection locked="0"/>
    </xf>
    <xf numFmtId="4" fontId="10" fillId="0" borderId="0" xfId="0" applyNumberFormat="1" applyFont="1" applyAlignment="1">
      <alignment vertical="center"/>
    </xf>
    <xf numFmtId="166" fontId="6" fillId="3" borderId="2" xfId="1" applyNumberFormat="1" applyFont="1" applyFill="1" applyBorder="1" applyAlignment="1">
      <alignment vertical="center"/>
    </xf>
    <xf numFmtId="0" fontId="10" fillId="0" borderId="12" xfId="0" applyFont="1" applyBorder="1" applyAlignment="1" applyProtection="1">
      <alignment vertical="center"/>
      <protection locked="0"/>
    </xf>
    <xf numFmtId="0" fontId="10" fillId="0" borderId="13" xfId="0" applyFont="1" applyBorder="1" applyAlignment="1" applyProtection="1">
      <alignment vertical="center"/>
      <protection locked="0"/>
    </xf>
    <xf numFmtId="0" fontId="10" fillId="0" borderId="14" xfId="0" applyFont="1" applyBorder="1" applyAlignment="1" applyProtection="1">
      <alignment vertical="center"/>
      <protection locked="0"/>
    </xf>
    <xf numFmtId="0" fontId="10" fillId="0" borderId="49" xfId="0" applyFont="1" applyBorder="1" applyAlignment="1" applyProtection="1">
      <alignment vertical="center"/>
      <protection locked="0"/>
    </xf>
    <xf numFmtId="14" fontId="17" fillId="0" borderId="50" xfId="0" applyNumberFormat="1" applyFont="1" applyBorder="1" applyAlignment="1" applyProtection="1">
      <alignment vertical="center"/>
      <protection locked="0"/>
    </xf>
    <xf numFmtId="0" fontId="6" fillId="0" borderId="48" xfId="0" applyFont="1" applyBorder="1" applyAlignment="1" applyProtection="1">
      <alignment horizontal="center"/>
      <protection locked="0"/>
    </xf>
    <xf numFmtId="0" fontId="10" fillId="0" borderId="51" xfId="0" applyFont="1" applyBorder="1" applyAlignment="1" applyProtection="1">
      <alignment horizontal="center" vertical="center"/>
      <protection locked="0"/>
    </xf>
    <xf numFmtId="0" fontId="10" fillId="0" borderId="50" xfId="0" applyFont="1" applyBorder="1" applyAlignment="1" applyProtection="1">
      <alignment horizontal="center" vertical="center"/>
      <protection locked="0"/>
    </xf>
    <xf numFmtId="14" fontId="13" fillId="0" borderId="10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 vertical="center"/>
      <protection locked="0"/>
    </xf>
    <xf numFmtId="0" fontId="12" fillId="0" borderId="1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6" fillId="0" borderId="6" xfId="0" applyFont="1" applyBorder="1" applyAlignment="1" applyProtection="1">
      <alignment horizontal="center" wrapText="1"/>
      <protection locked="0"/>
    </xf>
    <xf numFmtId="0" fontId="6" fillId="0" borderId="22" xfId="0" applyFont="1" applyBorder="1" applyAlignment="1" applyProtection="1">
      <alignment horizontal="left" vertical="center" wrapText="1" indent="3"/>
      <protection locked="0"/>
    </xf>
    <xf numFmtId="0" fontId="6" fillId="0" borderId="5" xfId="0" applyFont="1" applyBorder="1" applyAlignment="1" applyProtection="1">
      <alignment horizontal="left" vertical="center" wrapText="1" indent="3"/>
      <protection locked="0"/>
    </xf>
    <xf numFmtId="0" fontId="6" fillId="0" borderId="24" xfId="0" applyFont="1" applyBorder="1" applyAlignment="1" applyProtection="1">
      <alignment horizontal="left" vertical="center"/>
      <protection locked="0"/>
    </xf>
    <xf numFmtId="0" fontId="6" fillId="0" borderId="27" xfId="0" applyFont="1" applyBorder="1" applyAlignment="1" applyProtection="1">
      <alignment horizontal="left" vertical="center"/>
      <protection locked="0"/>
    </xf>
    <xf numFmtId="14" fontId="14" fillId="0" borderId="10" xfId="0" applyNumberFormat="1" applyFont="1" applyBorder="1" applyAlignment="1" applyProtection="1">
      <alignment horizontal="center" vertical="center"/>
      <protection locked="0"/>
    </xf>
    <xf numFmtId="14" fontId="14" fillId="0" borderId="0" xfId="0" applyNumberFormat="1" applyFont="1" applyAlignment="1" applyProtection="1">
      <alignment horizontal="center" vertical="center"/>
      <protection locked="0"/>
    </xf>
    <xf numFmtId="14" fontId="14" fillId="0" borderId="11" xfId="0" applyNumberFormat="1" applyFont="1" applyBorder="1" applyAlignment="1" applyProtection="1">
      <alignment horizontal="center" vertical="center"/>
      <protection locked="0"/>
    </xf>
    <xf numFmtId="14" fontId="14" fillId="0" borderId="12" xfId="0" applyNumberFormat="1" applyFont="1" applyBorder="1" applyAlignment="1" applyProtection="1">
      <alignment horizontal="center" vertical="center"/>
      <protection locked="0"/>
    </xf>
    <xf numFmtId="14" fontId="14" fillId="0" borderId="13" xfId="0" applyNumberFormat="1" applyFont="1" applyBorder="1" applyAlignment="1" applyProtection="1">
      <alignment horizontal="center" vertical="center"/>
      <protection locked="0"/>
    </xf>
    <xf numFmtId="14" fontId="14" fillId="0" borderId="14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15" fillId="0" borderId="16" xfId="0" applyFont="1" applyBorder="1" applyAlignment="1" applyProtection="1">
      <alignment horizontal="center" vertical="center"/>
      <protection locked="0"/>
    </xf>
    <xf numFmtId="0" fontId="15" fillId="0" borderId="23" xfId="0" applyFont="1" applyBorder="1" applyAlignment="1" applyProtection="1">
      <alignment horizontal="center" vertical="center"/>
      <protection locked="0"/>
    </xf>
    <xf numFmtId="0" fontId="0" fillId="0" borderId="7" xfId="0" applyBorder="1"/>
    <xf numFmtId="0" fontId="0" fillId="0" borderId="9" xfId="0" applyBorder="1"/>
    <xf numFmtId="0" fontId="6" fillId="0" borderId="16" xfId="0" applyFont="1" applyBorder="1" applyAlignment="1" applyProtection="1">
      <alignment horizontal="left"/>
      <protection locked="0"/>
    </xf>
    <xf numFmtId="0" fontId="6" fillId="0" borderId="17" xfId="0" applyFont="1" applyBorder="1" applyAlignment="1" applyProtection="1">
      <alignment horizontal="left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0" borderId="4" xfId="0" applyFont="1" applyBorder="1" applyAlignment="1" applyProtection="1">
      <alignment horizontal="left" vertical="center" wrapText="1" indent="2"/>
      <protection locked="0"/>
    </xf>
    <xf numFmtId="0" fontId="6" fillId="0" borderId="5" xfId="0" applyFont="1" applyBorder="1" applyAlignment="1" applyProtection="1">
      <alignment horizontal="left" vertical="center" wrapText="1" indent="2"/>
      <protection locked="0"/>
    </xf>
    <xf numFmtId="0" fontId="15" fillId="0" borderId="24" xfId="0" applyFont="1" applyBorder="1" applyAlignment="1" applyProtection="1">
      <alignment horizontal="center" vertical="center"/>
      <protection locked="0"/>
    </xf>
    <xf numFmtId="0" fontId="15" fillId="0" borderId="25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49" fontId="16" fillId="0" borderId="7" xfId="0" applyNumberFormat="1" applyFont="1" applyBorder="1" applyAlignment="1" applyProtection="1">
      <alignment horizontal="center" vertical="center"/>
      <protection locked="0"/>
    </xf>
    <xf numFmtId="49" fontId="16" fillId="0" borderId="8" xfId="0" applyNumberFormat="1" applyFont="1" applyBorder="1" applyAlignment="1" applyProtection="1">
      <alignment horizontal="center" vertical="center"/>
      <protection locked="0"/>
    </xf>
    <xf numFmtId="49" fontId="16" fillId="0" borderId="9" xfId="0" applyNumberFormat="1" applyFont="1" applyBorder="1" applyAlignment="1" applyProtection="1">
      <alignment horizontal="center" vertical="center"/>
      <protection locked="0"/>
    </xf>
    <xf numFmtId="49" fontId="16" fillId="0" borderId="12" xfId="0" applyNumberFormat="1" applyFont="1" applyBorder="1" applyAlignment="1" applyProtection="1">
      <alignment horizontal="center" vertical="center"/>
      <protection locked="0"/>
    </xf>
    <xf numFmtId="49" fontId="16" fillId="0" borderId="13" xfId="0" applyNumberFormat="1" applyFont="1" applyBorder="1" applyAlignment="1" applyProtection="1">
      <alignment horizontal="center" vertical="center"/>
      <protection locked="0"/>
    </xf>
    <xf numFmtId="49" fontId="16" fillId="0" borderId="14" xfId="0" applyNumberFormat="1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top"/>
      <protection locked="0"/>
    </xf>
    <xf numFmtId="0" fontId="15" fillId="0" borderId="0" xfId="0" applyFont="1" applyAlignment="1" applyProtection="1">
      <alignment horizontal="left" vertical="top"/>
      <protection locked="0"/>
    </xf>
    <xf numFmtId="0" fontId="15" fillId="0" borderId="11" xfId="0" applyFont="1" applyBorder="1" applyAlignment="1" applyProtection="1">
      <alignment horizontal="left" vertical="top"/>
      <protection locked="0"/>
    </xf>
    <xf numFmtId="0" fontId="15" fillId="0" borderId="12" xfId="0" applyFont="1" applyBorder="1" applyAlignment="1" applyProtection="1">
      <alignment horizontal="left" vertical="top"/>
      <protection locked="0"/>
    </xf>
    <xf numFmtId="0" fontId="15" fillId="0" borderId="13" xfId="0" applyFont="1" applyBorder="1" applyAlignment="1" applyProtection="1">
      <alignment horizontal="left" vertical="top"/>
      <protection locked="0"/>
    </xf>
    <xf numFmtId="0" fontId="15" fillId="0" borderId="14" xfId="0" applyFont="1" applyBorder="1" applyAlignment="1" applyProtection="1">
      <alignment horizontal="left" vertical="top"/>
      <protection locked="0"/>
    </xf>
    <xf numFmtId="0" fontId="10" fillId="0" borderId="3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27" fillId="0" borderId="5" xfId="7" applyFont="1" applyBorder="1" applyAlignment="1" applyProtection="1">
      <alignment horizontal="center" vertical="center"/>
      <protection locked="0"/>
    </xf>
    <xf numFmtId="0" fontId="6" fillId="3" borderId="3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10" fillId="0" borderId="28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0" fontId="10" fillId="0" borderId="34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1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166" fontId="10" fillId="0" borderId="15" xfId="1" applyNumberFormat="1" applyFont="1" applyFill="1" applyBorder="1" applyAlignment="1" applyProtection="1">
      <alignment horizontal="center" vertical="center" wrapText="1"/>
      <protection locked="0"/>
    </xf>
    <xf numFmtId="166" fontId="10" fillId="0" borderId="6" xfId="1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left" vertical="top" wrapText="1"/>
      <protection locked="0"/>
    </xf>
    <xf numFmtId="0" fontId="10" fillId="0" borderId="5" xfId="0" applyFont="1" applyBorder="1" applyAlignment="1" applyProtection="1">
      <alignment horizontal="left" vertical="top"/>
      <protection locked="0"/>
    </xf>
    <xf numFmtId="0" fontId="10" fillId="0" borderId="6" xfId="0" applyFont="1" applyBorder="1" applyAlignment="1" applyProtection="1">
      <alignment horizontal="left" vertical="top"/>
      <protection locked="0"/>
    </xf>
    <xf numFmtId="0" fontId="10" fillId="0" borderId="12" xfId="0" applyFont="1" applyBorder="1" applyAlignment="1" applyProtection="1">
      <alignment horizontal="left" vertical="top" wrapText="1"/>
      <protection locked="0"/>
    </xf>
    <xf numFmtId="0" fontId="10" fillId="0" borderId="13" xfId="0" applyFont="1" applyBorder="1" applyAlignment="1" applyProtection="1">
      <alignment horizontal="left" vertical="top"/>
      <protection locked="0"/>
    </xf>
    <xf numFmtId="0" fontId="10" fillId="0" borderId="14" xfId="0" applyFont="1" applyBorder="1" applyAlignment="1" applyProtection="1">
      <alignment horizontal="left" vertical="top"/>
      <protection locked="0"/>
    </xf>
    <xf numFmtId="0" fontId="6" fillId="3" borderId="3" xfId="0" applyFont="1" applyFill="1" applyBorder="1" applyAlignment="1">
      <alignment horizontal="center" vertical="center"/>
    </xf>
    <xf numFmtId="0" fontId="6" fillId="3" borderId="4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14" fontId="13" fillId="0" borderId="7" xfId="0" applyNumberFormat="1" applyFont="1" applyBorder="1" applyAlignment="1" applyProtection="1">
      <alignment horizontal="center" vertical="center"/>
      <protection locked="0"/>
    </xf>
    <xf numFmtId="14" fontId="13" fillId="0" borderId="8" xfId="0" applyNumberFormat="1" applyFont="1" applyBorder="1" applyAlignment="1" applyProtection="1">
      <alignment horizontal="center" vertical="center"/>
      <protection locked="0"/>
    </xf>
    <xf numFmtId="14" fontId="13" fillId="0" borderId="9" xfId="0" applyNumberFormat="1" applyFont="1" applyBorder="1" applyAlignment="1" applyProtection="1">
      <alignment horizontal="center" vertical="center"/>
      <protection locked="0"/>
    </xf>
    <xf numFmtId="14" fontId="13" fillId="0" borderId="12" xfId="0" applyNumberFormat="1" applyFont="1" applyBorder="1" applyAlignment="1" applyProtection="1">
      <alignment horizontal="center" vertical="center"/>
      <protection locked="0"/>
    </xf>
    <xf numFmtId="14" fontId="13" fillId="0" borderId="13" xfId="0" applyNumberFormat="1" applyFont="1" applyBorder="1" applyAlignment="1" applyProtection="1">
      <alignment horizontal="center" vertical="center"/>
      <protection locked="0"/>
    </xf>
    <xf numFmtId="14" fontId="13" fillId="0" borderId="14" xfId="0" applyNumberFormat="1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14" fontId="17" fillId="0" borderId="12" xfId="0" applyNumberFormat="1" applyFont="1" applyBorder="1" applyAlignment="1" applyProtection="1">
      <alignment horizontal="center" vertical="center"/>
      <protection locked="0"/>
    </xf>
    <xf numFmtId="0" fontId="17" fillId="0" borderId="14" xfId="0" applyFont="1" applyBorder="1" applyAlignment="1" applyProtection="1">
      <alignment horizontal="center" vertical="center"/>
      <protection locked="0"/>
    </xf>
    <xf numFmtId="0" fontId="15" fillId="0" borderId="52" xfId="0" applyFont="1" applyBorder="1" applyAlignment="1" applyProtection="1">
      <alignment horizontal="left" vertical="top"/>
      <protection locked="0"/>
    </xf>
    <xf numFmtId="0" fontId="15" fillId="0" borderId="53" xfId="0" applyFont="1" applyBorder="1" applyAlignment="1" applyProtection="1">
      <alignment horizontal="left" vertical="top"/>
      <protection locked="0"/>
    </xf>
    <xf numFmtId="0" fontId="15" fillId="0" borderId="54" xfId="0" applyFont="1" applyBorder="1" applyAlignment="1" applyProtection="1">
      <alignment horizontal="left" vertical="top"/>
      <protection locked="0"/>
    </xf>
  </cellXfs>
  <cellStyles count="8">
    <cellStyle name="Lien hypertexte" xfId="7" builtinId="8"/>
    <cellStyle name="Milliers" xfId="1" builtinId="3"/>
    <cellStyle name="Milliers 2_DA CAC VASA 12.07" xfId="2" xr:uid="{00000000-0005-0000-0000-000002000000}"/>
    <cellStyle name="Normal" xfId="0" builtinId="0"/>
    <cellStyle name="Normal 2" xfId="3" xr:uid="{00000000-0005-0000-0000-000004000000}"/>
    <cellStyle name="Normal 4" xfId="5" xr:uid="{00000000-0005-0000-0000-000005000000}"/>
    <cellStyle name="Pourcentage 3" xfId="6" xr:uid="{00000000-0005-0000-0000-000006000000}"/>
    <cellStyle name="Texte de fond" xfId="4" xr:uid="{00000000-0005-0000-0000-000007000000}"/>
  </cellStyles>
  <dxfs count="0"/>
  <tableStyles count="0" defaultTableStyle="TableStyleMedium2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lyo\Collaborateurs\CHA\CAC%20-%20Dossier%20annuel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ssier Annuel"/>
      <sheetName val="Programme de travail"/>
      <sheetName val="Seuils de signification"/>
      <sheetName val="Quest Lutte contre blanchiment"/>
      <sheetName val="Quest Maintien mission"/>
      <sheetName val="Quest Fin de mission"/>
      <sheetName val="Quest Evènements post."/>
      <sheetName val="Quest Continuité exploi"/>
      <sheetName val="Quest Fraudes"/>
      <sheetName val="Quest Text légaux"/>
      <sheetName val="Quest Expert compt."/>
      <sheetName val="Quest Dirigeant"/>
      <sheetName val="Prépa. Décalration act."/>
      <sheetName val="Contrôle Annexe"/>
      <sheetName val="Contrôle Juridique (SAS)"/>
      <sheetName val="Contrôle Juridique (SA)"/>
      <sheetName val="Synthèse des ajustements"/>
      <sheetName val="B synth"/>
      <sheetName val="b10 quest"/>
      <sheetName val="B20"/>
      <sheetName val="B30"/>
      <sheetName val="B 40"/>
      <sheetName val="B 50"/>
      <sheetName val="B 60"/>
      <sheetName val="C synth"/>
      <sheetName val="C 10"/>
      <sheetName val="C 20"/>
      <sheetName val="D synth"/>
      <sheetName val="D.10 quest"/>
      <sheetName val="D15"/>
      <sheetName val="D 20"/>
      <sheetName val="D 30"/>
      <sheetName val="D 40"/>
      <sheetName val="D 50 "/>
      <sheetName val="D 55"/>
      <sheetName val="D60"/>
      <sheetName val="E synthèse"/>
      <sheetName val="E10 quest"/>
      <sheetName val="E 20"/>
      <sheetName val="E 30"/>
      <sheetName val="E 35"/>
      <sheetName val="E 40"/>
      <sheetName val="E 50"/>
      <sheetName val="E 60"/>
      <sheetName val="E 70"/>
      <sheetName val="E 75"/>
      <sheetName val="E80"/>
      <sheetName val="E85"/>
      <sheetName val="E 90"/>
      <sheetName val="F synthèse"/>
      <sheetName val="F10 quest"/>
      <sheetName val="F 20"/>
      <sheetName val="F 30"/>
      <sheetName val="F 40"/>
      <sheetName val="F50"/>
      <sheetName val="F60"/>
      <sheetName val="G synthèse"/>
      <sheetName val="H synthèse"/>
      <sheetName val="H10 quest"/>
      <sheetName val=" J synthèse"/>
      <sheetName val="K synthèse"/>
      <sheetName val="K 10"/>
      <sheetName val="L synthèse"/>
      <sheetName val="M synthèse"/>
      <sheetName val="M.10 quest"/>
      <sheetName val="M 20"/>
      <sheetName val="M 30"/>
      <sheetName val="M 35"/>
      <sheetName val="M 40"/>
      <sheetName val="M 50"/>
      <sheetName val="M 60"/>
      <sheetName val="M 65"/>
      <sheetName val="M70"/>
      <sheetName val="M75"/>
      <sheetName val="N synthèse"/>
      <sheetName val="N.10 quest"/>
      <sheetName val="N 01"/>
      <sheetName val="N 20"/>
      <sheetName val="N 30"/>
      <sheetName val="N 40"/>
      <sheetName val="N 50"/>
      <sheetName val="N 60"/>
      <sheetName val="P synth"/>
      <sheetName val="P10 quest"/>
      <sheetName val="P 20"/>
      <sheetName val="P 301"/>
      <sheetName val="P 302"/>
      <sheetName val="P 40"/>
      <sheetName val="P 50"/>
      <sheetName val="P 55"/>
      <sheetName val="P 60"/>
      <sheetName val="P 70"/>
      <sheetName val="P 80"/>
      <sheetName val="S synth"/>
      <sheetName val="T synth"/>
      <sheetName val="Tableau pour NDS"/>
      <sheetName val="BILAN ACTIF"/>
      <sheetName val="BILAN PASSIF"/>
      <sheetName val="SI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>
        <row r="24">
          <cell r="F24">
            <v>0</v>
          </cell>
          <cell r="H24">
            <v>0</v>
          </cell>
        </row>
        <row r="29">
          <cell r="F29">
            <v>0</v>
          </cell>
          <cell r="H29">
            <v>0</v>
          </cell>
        </row>
        <row r="34">
          <cell r="F34">
            <v>0</v>
          </cell>
          <cell r="H34">
            <v>0</v>
          </cell>
        </row>
        <row r="54">
          <cell r="F54">
            <v>0</v>
          </cell>
          <cell r="H54">
            <v>0</v>
          </cell>
        </row>
        <row r="56">
          <cell r="F56" t="str">
            <v>#DC{£AED=1}</v>
          </cell>
          <cell r="H56" t="str">
            <v>#DC{£AED_1=1}</v>
          </cell>
        </row>
        <row r="58">
          <cell r="F58" t="e">
            <v>#VALUE!</v>
          </cell>
          <cell r="H58" t="e">
            <v>#VALUE!</v>
          </cell>
        </row>
      </sheetData>
      <sheetData sheetId="99">
        <row r="8">
          <cell r="B8" t="str">
            <v>#DC{£DS1=1}</v>
          </cell>
          <cell r="D8" t="str">
            <v>#DC{£DS1_1=1}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26"/>
  <sheetViews>
    <sheetView showGridLines="0" tabSelected="1" zoomScale="90" zoomScaleNormal="90" workbookViewId="0">
      <selection activeCell="A22" sqref="A22:O26"/>
    </sheetView>
  </sheetViews>
  <sheetFormatPr baseColWidth="10" defaultColWidth="11.42578125" defaultRowHeight="15.75" x14ac:dyDescent="0.25"/>
  <cols>
    <col min="1" max="12" width="14.7109375" style="7" customWidth="1"/>
    <col min="13" max="13" width="23.5703125" style="7" customWidth="1"/>
    <col min="14" max="15" width="14.7109375" style="7" customWidth="1"/>
    <col min="16" max="16" width="5" style="7" customWidth="1"/>
    <col min="17" max="17" width="5" style="7" hidden="1" customWidth="1"/>
    <col min="18" max="18" width="5" style="7" customWidth="1"/>
    <col min="19" max="16384" width="11.42578125" style="7"/>
  </cols>
  <sheetData>
    <row r="1" spans="1:23" s="1" customFormat="1" ht="15" customHeight="1" x14ac:dyDescent="0.2">
      <c r="A1" s="10"/>
      <c r="B1" s="11"/>
      <c r="C1" s="11"/>
      <c r="D1" s="102" t="s">
        <v>0</v>
      </c>
      <c r="E1" s="103"/>
      <c r="F1" s="103"/>
      <c r="G1" s="103"/>
      <c r="H1" s="103"/>
      <c r="I1" s="103"/>
      <c r="J1" s="103"/>
      <c r="K1" s="103"/>
      <c r="L1" s="103"/>
      <c r="M1" s="104"/>
      <c r="N1" s="11"/>
      <c r="O1" s="12"/>
      <c r="Q1" s="28" t="s">
        <v>1</v>
      </c>
    </row>
    <row r="2" spans="1:23" s="1" customFormat="1" ht="15" customHeight="1" thickBot="1" x14ac:dyDescent="0.25">
      <c r="A2" s="13"/>
      <c r="B2" s="14"/>
      <c r="C2" s="14"/>
      <c r="D2" s="105"/>
      <c r="E2" s="106"/>
      <c r="F2" s="106"/>
      <c r="G2" s="106"/>
      <c r="H2" s="106"/>
      <c r="I2" s="106"/>
      <c r="J2" s="106"/>
      <c r="K2" s="106"/>
      <c r="L2" s="106"/>
      <c r="M2" s="107"/>
      <c r="N2" s="14"/>
      <c r="O2" s="15"/>
      <c r="Q2" s="28" t="s">
        <v>2</v>
      </c>
    </row>
    <row r="3" spans="1:23" ht="15" customHeight="1" x14ac:dyDescent="0.25">
      <c r="A3" s="118" t="s">
        <v>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/>
      <c r="Q3" s="29"/>
      <c r="T3" s="3"/>
      <c r="V3" s="5"/>
      <c r="W3" s="6"/>
    </row>
    <row r="4" spans="1:23" ht="15" customHeight="1" x14ac:dyDescent="0.2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20"/>
      <c r="Q4" s="28" t="s">
        <v>4</v>
      </c>
      <c r="R4" s="2"/>
      <c r="T4" s="3"/>
      <c r="V4" s="5"/>
      <c r="W4" s="6"/>
    </row>
    <row r="5" spans="1:23" ht="15" customHeight="1" thickBot="1" x14ac:dyDescent="0.3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3"/>
      <c r="Q5" s="28" t="s">
        <v>5</v>
      </c>
      <c r="S5" s="8"/>
      <c r="T5" s="4"/>
      <c r="U5" s="24"/>
      <c r="V5" s="24"/>
      <c r="W5" s="24"/>
    </row>
    <row r="6" spans="1:23" ht="15" customHeight="1" x14ac:dyDescent="0.25">
      <c r="A6" s="17" t="s">
        <v>6</v>
      </c>
      <c r="B6" s="35" t="s">
        <v>58</v>
      </c>
      <c r="C6" s="17" t="s">
        <v>7</v>
      </c>
      <c r="D6" s="35"/>
      <c r="E6" s="139" t="s">
        <v>8</v>
      </c>
      <c r="F6" s="140"/>
      <c r="G6" s="140"/>
      <c r="H6" s="140"/>
      <c r="I6" s="140"/>
      <c r="J6" s="140"/>
      <c r="K6" s="140"/>
      <c r="L6" s="141"/>
      <c r="M6" s="97" t="s">
        <v>9</v>
      </c>
      <c r="N6" s="108" t="s">
        <v>10</v>
      </c>
      <c r="O6" s="109"/>
      <c r="Q6" s="29" t="s">
        <v>11</v>
      </c>
      <c r="R6" s="9"/>
      <c r="T6" s="1"/>
      <c r="U6" s="1"/>
    </row>
    <row r="7" spans="1:23" ht="15" customHeight="1" thickBot="1" x14ac:dyDescent="0.3">
      <c r="A7" s="18" t="s">
        <v>12</v>
      </c>
      <c r="B7" s="36"/>
      <c r="C7" s="18" t="s">
        <v>12</v>
      </c>
      <c r="D7" s="36"/>
      <c r="E7" s="142"/>
      <c r="F7" s="143"/>
      <c r="G7" s="143"/>
      <c r="H7" s="143"/>
      <c r="I7" s="143"/>
      <c r="J7" s="143"/>
      <c r="K7" s="143"/>
      <c r="L7" s="144"/>
      <c r="M7" s="98" t="s">
        <v>13</v>
      </c>
      <c r="N7" s="110" t="s">
        <v>14</v>
      </c>
      <c r="O7" s="111"/>
      <c r="Q7" s="28" t="s">
        <v>15</v>
      </c>
    </row>
    <row r="8" spans="1:23" ht="21" customHeight="1" thickBot="1" x14ac:dyDescent="0.3">
      <c r="A8" s="19"/>
      <c r="B8" s="16"/>
      <c r="C8" s="20"/>
      <c r="D8" s="20"/>
      <c r="E8" s="21"/>
      <c r="F8" s="21"/>
      <c r="G8" s="21"/>
      <c r="H8" s="21"/>
      <c r="I8" s="21"/>
      <c r="J8" s="21"/>
      <c r="K8" s="21"/>
      <c r="L8" s="21"/>
      <c r="M8" s="22"/>
      <c r="N8" s="23"/>
      <c r="O8" s="23"/>
      <c r="Q8" s="28" t="s">
        <v>16</v>
      </c>
    </row>
    <row r="9" spans="1:23" s="20" customFormat="1" ht="31.5" customHeight="1" thickBot="1" x14ac:dyDescent="0.3">
      <c r="A9" s="133" t="s">
        <v>17</v>
      </c>
      <c r="B9" s="134"/>
      <c r="C9" s="134"/>
      <c r="D9" s="42" t="s">
        <v>5</v>
      </c>
      <c r="E9" s="43"/>
      <c r="F9" s="124" t="s">
        <v>18</v>
      </c>
      <c r="G9" s="125"/>
      <c r="H9" s="125"/>
      <c r="I9" s="125"/>
      <c r="J9" s="44"/>
      <c r="K9" s="45"/>
      <c r="L9" s="124" t="s">
        <v>19</v>
      </c>
      <c r="M9" s="125"/>
      <c r="N9" s="42" t="s">
        <v>16</v>
      </c>
      <c r="O9" s="43"/>
      <c r="P9" s="37"/>
      <c r="Q9" s="7" t="s">
        <v>20</v>
      </c>
      <c r="R9" s="7"/>
    </row>
    <row r="10" spans="1:23" s="27" customFormat="1" ht="21" customHeight="1" thickBo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37"/>
      <c r="Q10" s="7"/>
      <c r="R10" s="7"/>
      <c r="S10" s="20"/>
    </row>
    <row r="11" spans="1:23" ht="15" customHeight="1" thickBot="1" x14ac:dyDescent="0.3">
      <c r="A11" s="137" t="s">
        <v>21</v>
      </c>
      <c r="B11" s="138"/>
      <c r="C11" s="114" t="s">
        <v>22</v>
      </c>
      <c r="D11" s="115"/>
      <c r="E11" s="115"/>
      <c r="F11" s="115"/>
      <c r="G11" s="115"/>
      <c r="H11" s="115"/>
      <c r="I11" s="115"/>
      <c r="J11" s="115"/>
      <c r="K11" s="115"/>
      <c r="L11" s="115"/>
      <c r="M11" s="99" t="s">
        <v>23</v>
      </c>
      <c r="N11" s="112" t="s">
        <v>24</v>
      </c>
      <c r="O11" s="113"/>
      <c r="P11" s="38"/>
      <c r="Q11" s="1"/>
      <c r="R11" s="1"/>
      <c r="S11" s="27"/>
    </row>
    <row r="12" spans="1:23" s="1" customFormat="1" ht="15" customHeight="1" x14ac:dyDescent="0.25">
      <c r="A12" s="126" t="s">
        <v>59</v>
      </c>
      <c r="B12" s="127"/>
      <c r="C12" s="41" t="s">
        <v>26</v>
      </c>
      <c r="D12" s="41"/>
      <c r="E12" s="41"/>
      <c r="F12" s="41"/>
      <c r="G12" s="41"/>
      <c r="H12" s="41"/>
      <c r="I12" s="41"/>
      <c r="J12" s="41"/>
      <c r="K12" s="41"/>
      <c r="L12" s="41"/>
      <c r="M12" s="100" t="s">
        <v>1</v>
      </c>
      <c r="N12" s="128"/>
      <c r="O12" s="129"/>
      <c r="P12" s="39"/>
      <c r="S12" s="7"/>
    </row>
    <row r="13" spans="1:23" s="1" customFormat="1" ht="15" customHeight="1" thickBot="1" x14ac:dyDescent="0.25">
      <c r="A13" s="135"/>
      <c r="B13" s="136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101"/>
      <c r="N13" s="116"/>
      <c r="O13" s="117"/>
      <c r="P13" s="38"/>
    </row>
    <row r="14" spans="1:23" s="26" customFormat="1" ht="21" customHeight="1" thickBot="1" x14ac:dyDescent="0.3">
      <c r="P14" s="40"/>
      <c r="Q14" s="1"/>
      <c r="R14" s="1"/>
      <c r="S14" s="1"/>
    </row>
    <row r="15" spans="1:23" s="34" customFormat="1" x14ac:dyDescent="0.25">
      <c r="A15" s="130" t="s">
        <v>27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2"/>
      <c r="P15" s="40"/>
      <c r="Q15" s="1"/>
      <c r="R15" s="1"/>
      <c r="S15" s="26"/>
      <c r="T15" s="26"/>
      <c r="U15" s="26"/>
      <c r="V15" s="26"/>
      <c r="W15" s="26"/>
    </row>
    <row r="16" spans="1:23" s="34" customFormat="1" ht="15" customHeight="1" x14ac:dyDescent="0.25">
      <c r="A16" s="145" t="s">
        <v>60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7"/>
      <c r="P16" s="40"/>
      <c r="Q16" s="1"/>
      <c r="R16" s="1"/>
      <c r="S16" s="26"/>
      <c r="T16" s="26"/>
      <c r="U16" s="26"/>
      <c r="V16" s="26"/>
      <c r="W16" s="26"/>
    </row>
    <row r="17" spans="1:23" s="34" customFormat="1" ht="15" customHeight="1" x14ac:dyDescent="0.25">
      <c r="A17" s="145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7"/>
      <c r="P17" s="40"/>
      <c r="Q17" s="1"/>
      <c r="R17" s="1"/>
      <c r="S17" s="26"/>
      <c r="T17" s="26"/>
      <c r="U17" s="26"/>
      <c r="V17" s="26"/>
      <c r="W17" s="26"/>
    </row>
    <row r="18" spans="1:23" s="34" customFormat="1" ht="15" customHeight="1" x14ac:dyDescent="0.25">
      <c r="A18" s="145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7"/>
      <c r="P18" s="40"/>
      <c r="Q18" s="1"/>
      <c r="R18" s="1"/>
      <c r="S18" s="26"/>
      <c r="T18" s="26"/>
      <c r="U18" s="26"/>
      <c r="V18" s="26"/>
      <c r="W18" s="26"/>
    </row>
    <row r="19" spans="1:23" s="34" customFormat="1" ht="15" customHeight="1" thickBot="1" x14ac:dyDescent="0.3">
      <c r="A19" s="148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50"/>
      <c r="P19" s="26"/>
      <c r="Q19" s="26"/>
      <c r="R19" s="26"/>
      <c r="S19" s="26"/>
      <c r="T19" s="26"/>
      <c r="U19" s="26"/>
      <c r="V19" s="26"/>
      <c r="W19" s="26"/>
    </row>
    <row r="20" spans="1:23" s="26" customFormat="1" ht="21" customHeight="1" thickBot="1" x14ac:dyDescent="0.3"/>
    <row r="21" spans="1:23" s="26" customFormat="1" ht="15" x14ac:dyDescent="0.25">
      <c r="A21" s="130" t="s">
        <v>28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2"/>
    </row>
    <row r="22" spans="1:23" s="26" customFormat="1" ht="15" x14ac:dyDescent="0.25">
      <c r="A22" s="195"/>
      <c r="B22" s="196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7"/>
    </row>
    <row r="23" spans="1:23" s="26" customFormat="1" ht="15" x14ac:dyDescent="0.25">
      <c r="A23" s="145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7"/>
    </row>
    <row r="24" spans="1:23" s="26" customFormat="1" ht="15" x14ac:dyDescent="0.25">
      <c r="A24" s="145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7"/>
    </row>
    <row r="25" spans="1:23" s="26" customFormat="1" ht="15" x14ac:dyDescent="0.25">
      <c r="A25" s="145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7"/>
    </row>
    <row r="26" spans="1:23" s="26" customFormat="1" ht="14.45" customHeight="1" thickBot="1" x14ac:dyDescent="0.3">
      <c r="A26" s="148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50"/>
    </row>
  </sheetData>
  <sheetProtection formatCells="0" formatColumns="0" formatRows="0" insertColumns="0" insertRows="0" insertHyperlinks="0" deleteColumns="0" deleteRows="0" sort="0" autoFilter="0" pivotTables="0"/>
  <mergeCells count="19">
    <mergeCell ref="A11:B11"/>
    <mergeCell ref="E6:L7"/>
    <mergeCell ref="A16:O19"/>
    <mergeCell ref="D1:M2"/>
    <mergeCell ref="A22:O26"/>
    <mergeCell ref="N6:O6"/>
    <mergeCell ref="N7:O7"/>
    <mergeCell ref="N11:O11"/>
    <mergeCell ref="C11:L11"/>
    <mergeCell ref="N13:O13"/>
    <mergeCell ref="A3:O5"/>
    <mergeCell ref="F9:I9"/>
    <mergeCell ref="A12:B12"/>
    <mergeCell ref="N12:O12"/>
    <mergeCell ref="A21:O21"/>
    <mergeCell ref="L9:M9"/>
    <mergeCell ref="A9:C9"/>
    <mergeCell ref="A13:B13"/>
    <mergeCell ref="A15:O15"/>
  </mergeCells>
  <dataValidations count="3">
    <dataValidation type="list" showInputMessage="1" showErrorMessage="1" sqref="D9:E9" xr:uid="{00000000-0002-0000-0000-000000000000}">
      <formula1>RAS</formula1>
    </dataValidation>
    <dataValidation type="list" allowBlank="1" showInputMessage="1" showErrorMessage="1" sqref="N9:O9" xr:uid="{00000000-0002-0000-0000-000001000000}">
      <formula1>Diligences</formula1>
    </dataValidation>
    <dataValidation type="list" allowBlank="1" showInputMessage="1" showErrorMessage="1" sqref="M12:M13" xr:uid="{00000000-0002-0000-0000-000002000000}">
      <formula1>Etat</formula1>
    </dataValidation>
  </dataValidation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U45"/>
  <sheetViews>
    <sheetView showGridLines="0" zoomScaleNormal="100" workbookViewId="0">
      <selection activeCell="O10" sqref="O10"/>
    </sheetView>
  </sheetViews>
  <sheetFormatPr baseColWidth="10" defaultColWidth="11.42578125" defaultRowHeight="15" x14ac:dyDescent="0.25"/>
  <cols>
    <col min="1" max="11" width="14.7109375" style="31" customWidth="1"/>
    <col min="12" max="16" width="8.5703125" style="31" customWidth="1"/>
    <col min="17" max="17" width="11.42578125" style="31"/>
    <col min="18" max="18" width="0" style="31" hidden="1" customWidth="1"/>
    <col min="19" max="16384" width="11.42578125" style="31"/>
  </cols>
  <sheetData>
    <row r="1" spans="1:21" s="30" customFormat="1" ht="15" customHeight="1" x14ac:dyDescent="0.2">
      <c r="A1" s="10"/>
      <c r="B1" s="11"/>
      <c r="C1" s="11"/>
      <c r="D1" s="185" t="str">
        <f>'X Synthèse'!D1:M2</f>
        <v>#NomClient</v>
      </c>
      <c r="E1" s="186"/>
      <c r="F1" s="186"/>
      <c r="G1" s="186"/>
      <c r="H1" s="186"/>
      <c r="I1" s="186"/>
      <c r="J1" s="186"/>
      <c r="K1" s="186"/>
      <c r="L1" s="186"/>
      <c r="M1" s="187"/>
      <c r="N1" s="11"/>
      <c r="O1" s="11"/>
      <c r="P1" s="12"/>
      <c r="Q1" s="46"/>
      <c r="R1" s="46"/>
      <c r="S1" s="46"/>
      <c r="T1" s="46"/>
      <c r="U1" s="46"/>
    </row>
    <row r="2" spans="1:21" s="30" customFormat="1" ht="15" customHeight="1" thickBot="1" x14ac:dyDescent="0.25">
      <c r="A2" s="13"/>
      <c r="B2" s="14"/>
      <c r="C2" s="14"/>
      <c r="D2" s="188"/>
      <c r="E2" s="189"/>
      <c r="F2" s="189"/>
      <c r="G2" s="189"/>
      <c r="H2" s="189"/>
      <c r="I2" s="189"/>
      <c r="J2" s="189"/>
      <c r="K2" s="189"/>
      <c r="L2" s="189"/>
      <c r="M2" s="190"/>
      <c r="N2" s="14"/>
      <c r="O2" s="14"/>
      <c r="P2" s="15"/>
      <c r="Q2" s="46"/>
      <c r="R2" s="46"/>
      <c r="S2" s="46"/>
      <c r="T2" s="46"/>
      <c r="U2" s="46"/>
    </row>
    <row r="3" spans="1:21" ht="15" customHeight="1" x14ac:dyDescent="0.25">
      <c r="A3" s="118" t="str">
        <f>'X Synthèse'!A3:O5</f>
        <v>RESULTAT EXCEPTIONNEL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20"/>
      <c r="Q3" s="26"/>
      <c r="R3" s="3"/>
      <c r="S3" s="26"/>
      <c r="T3" s="5"/>
      <c r="U3" s="5"/>
    </row>
    <row r="4" spans="1:21" ht="15" customHeight="1" x14ac:dyDescent="0.2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20"/>
      <c r="Q4" s="26"/>
      <c r="R4" s="3"/>
      <c r="S4" s="26"/>
      <c r="T4" s="5"/>
      <c r="U4" s="5"/>
    </row>
    <row r="5" spans="1:21" ht="15" customHeight="1" thickBot="1" x14ac:dyDescent="0.3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  <c r="Q5" s="3"/>
      <c r="R5" s="47"/>
      <c r="S5" s="48"/>
      <c r="T5" s="48"/>
      <c r="U5" s="48"/>
    </row>
    <row r="6" spans="1:21" ht="15" customHeight="1" x14ac:dyDescent="0.25">
      <c r="A6" s="17" t="s">
        <v>6</v>
      </c>
      <c r="B6" s="35" t="str">
        <f>'X Synthèse'!B6</f>
        <v>BRA</v>
      </c>
      <c r="C6" s="17" t="s">
        <v>7</v>
      </c>
      <c r="D6" s="35">
        <f>'X Synthèse'!D6</f>
        <v>0</v>
      </c>
      <c r="E6" s="139" t="s">
        <v>29</v>
      </c>
      <c r="F6" s="140"/>
      <c r="G6" s="140"/>
      <c r="H6" s="140"/>
      <c r="I6" s="140"/>
      <c r="J6" s="140"/>
      <c r="K6" s="140"/>
      <c r="L6" s="141"/>
      <c r="M6" s="191" t="s">
        <v>9</v>
      </c>
      <c r="N6" s="192"/>
      <c r="O6" s="108" t="s">
        <v>10</v>
      </c>
      <c r="P6" s="109"/>
      <c r="Q6" s="26"/>
      <c r="R6" s="46"/>
      <c r="S6" s="46"/>
      <c r="T6" s="26"/>
      <c r="U6" s="26"/>
    </row>
    <row r="7" spans="1:21" ht="15" customHeight="1" thickBot="1" x14ac:dyDescent="0.3">
      <c r="A7" s="18" t="s">
        <v>12</v>
      </c>
      <c r="B7" s="36">
        <f>'X Synthèse'!B7</f>
        <v>0</v>
      </c>
      <c r="C7" s="18" t="s">
        <v>12</v>
      </c>
      <c r="D7" s="36">
        <f>'X Synthèse'!D7</f>
        <v>0</v>
      </c>
      <c r="E7" s="142"/>
      <c r="F7" s="143"/>
      <c r="G7" s="143"/>
      <c r="H7" s="143"/>
      <c r="I7" s="143"/>
      <c r="J7" s="143"/>
      <c r="K7" s="143"/>
      <c r="L7" s="144"/>
      <c r="M7" s="193" t="str">
        <f>'X Synthèse'!M7:M7</f>
        <v>#DateClôture</v>
      </c>
      <c r="N7" s="194"/>
      <c r="O7" s="110" t="s">
        <v>25</v>
      </c>
      <c r="P7" s="111"/>
      <c r="Q7" s="26"/>
      <c r="R7" s="26"/>
      <c r="S7" s="26"/>
      <c r="T7" s="26"/>
      <c r="U7" s="26"/>
    </row>
    <row r="8" spans="1:21" ht="21" customHeight="1" thickBot="1" x14ac:dyDescent="0.3">
      <c r="A8" s="19"/>
      <c r="B8" s="49"/>
      <c r="C8" s="20"/>
      <c r="D8" s="20"/>
      <c r="E8" s="50"/>
      <c r="F8" s="50"/>
      <c r="G8" s="50"/>
      <c r="H8" s="50"/>
      <c r="I8" s="50"/>
      <c r="J8" s="50"/>
      <c r="K8" s="50"/>
      <c r="L8" s="50"/>
      <c r="M8" s="22"/>
      <c r="N8" s="20"/>
      <c r="O8" s="153" t="s">
        <v>30</v>
      </c>
      <c r="P8" s="153"/>
      <c r="Q8" s="26"/>
      <c r="R8" s="26"/>
      <c r="S8" s="26"/>
      <c r="T8" s="26"/>
      <c r="U8" s="26"/>
    </row>
    <row r="9" spans="1:21" s="32" customFormat="1" ht="31.5" customHeight="1" thickBot="1" x14ac:dyDescent="0.25">
      <c r="A9" s="133" t="s">
        <v>17</v>
      </c>
      <c r="B9" s="134"/>
      <c r="C9" s="134"/>
      <c r="D9" s="168" t="str">
        <f>'X Synthèse'!D9:E9</f>
        <v>Modéré</v>
      </c>
      <c r="E9" s="169"/>
      <c r="F9" s="124" t="s">
        <v>18</v>
      </c>
      <c r="G9" s="125"/>
      <c r="H9" s="125"/>
      <c r="I9" s="125"/>
      <c r="J9" s="170">
        <f>'X Synthèse'!J9:K9</f>
        <v>0</v>
      </c>
      <c r="K9" s="171"/>
      <c r="L9" s="124" t="s">
        <v>19</v>
      </c>
      <c r="M9" s="125"/>
      <c r="N9" s="125"/>
      <c r="O9" s="168" t="str">
        <f>'X Synthèse'!N9</f>
        <v>PE</v>
      </c>
      <c r="P9" s="169"/>
      <c r="Q9" s="20"/>
      <c r="R9" s="20"/>
      <c r="S9" s="20"/>
      <c r="T9" s="20"/>
      <c r="U9" s="20"/>
    </row>
    <row r="10" spans="1:21" s="32" customFormat="1" ht="21" customHeight="1" thickBo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0"/>
      <c r="R10" s="20"/>
      <c r="S10" s="20"/>
      <c r="T10" s="20"/>
      <c r="U10" s="20"/>
    </row>
    <row r="11" spans="1:21" ht="89.25" customHeight="1" thickBot="1" x14ac:dyDescent="0.3">
      <c r="A11" s="172" t="s">
        <v>31</v>
      </c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4"/>
      <c r="Q11" s="26"/>
      <c r="R11" s="26"/>
      <c r="S11" s="26"/>
      <c r="T11" s="26"/>
      <c r="U11" s="26"/>
    </row>
    <row r="12" spans="1:21" ht="9" customHeight="1" thickBot="1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1:21" x14ac:dyDescent="0.25">
      <c r="A13" s="130" t="s">
        <v>32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2"/>
      <c r="Q13" s="26"/>
      <c r="R13" s="26"/>
      <c r="S13" s="26"/>
      <c r="T13" s="26"/>
      <c r="U13" s="26"/>
    </row>
    <row r="14" spans="1:21" ht="66" customHeight="1" thickBot="1" x14ac:dyDescent="0.3">
      <c r="A14" s="175"/>
      <c r="B14" s="176"/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7"/>
      <c r="Q14" s="26"/>
      <c r="R14" s="26"/>
      <c r="S14" s="26"/>
      <c r="T14" s="26"/>
      <c r="U14" s="26"/>
    </row>
    <row r="15" spans="1:21" ht="15.75" thickBo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1:21" x14ac:dyDescent="0.25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3"/>
      <c r="Q16" s="26"/>
      <c r="R16" s="26"/>
      <c r="S16" s="26"/>
      <c r="T16" s="26"/>
      <c r="U16" s="26"/>
    </row>
    <row r="17" spans="1:19" x14ac:dyDescent="0.25">
      <c r="A17" s="54" t="s">
        <v>33</v>
      </c>
      <c r="B17" s="55"/>
      <c r="C17" s="55"/>
      <c r="D17" s="55"/>
      <c r="E17" s="55"/>
      <c r="F17" s="55"/>
      <c r="G17" s="26"/>
      <c r="H17" s="26"/>
      <c r="I17" s="26"/>
      <c r="J17" s="26"/>
      <c r="K17" s="26"/>
      <c r="L17" s="26"/>
      <c r="M17" s="26"/>
      <c r="N17" s="26"/>
      <c r="O17" s="26"/>
      <c r="P17" s="56"/>
      <c r="Q17" s="26"/>
      <c r="R17" s="26"/>
      <c r="S17" s="26"/>
    </row>
    <row r="18" spans="1:19" x14ac:dyDescent="0.25">
      <c r="A18" s="54"/>
      <c r="B18" s="55"/>
      <c r="C18" s="55"/>
      <c r="D18" s="55"/>
      <c r="E18" s="55"/>
      <c r="F18" s="55"/>
      <c r="G18" s="26"/>
      <c r="H18" s="26"/>
      <c r="I18" s="26"/>
      <c r="J18" s="26"/>
      <c r="K18" s="26"/>
      <c r="L18" s="26"/>
      <c r="M18" s="26"/>
      <c r="N18" s="26"/>
      <c r="O18" s="26"/>
      <c r="P18" s="56"/>
      <c r="Q18" s="26"/>
      <c r="R18" s="46"/>
      <c r="S18" s="57" t="s">
        <v>34</v>
      </c>
    </row>
    <row r="19" spans="1:19" s="30" customFormat="1" ht="28.5" customHeight="1" x14ac:dyDescent="0.2">
      <c r="A19" s="58" t="s">
        <v>35</v>
      </c>
      <c r="B19" s="179" t="s">
        <v>36</v>
      </c>
      <c r="C19" s="180"/>
      <c r="D19" s="180"/>
      <c r="E19" s="181"/>
      <c r="F19" s="59" t="s">
        <v>37</v>
      </c>
      <c r="G19" s="59" t="s">
        <v>38</v>
      </c>
      <c r="H19" s="59" t="s">
        <v>39</v>
      </c>
      <c r="I19" s="178" t="s">
        <v>40</v>
      </c>
      <c r="J19" s="178"/>
      <c r="K19" s="178"/>
      <c r="L19" s="154" t="s">
        <v>41</v>
      </c>
      <c r="M19" s="155"/>
      <c r="N19" s="46"/>
      <c r="O19" s="46"/>
      <c r="P19" s="60"/>
      <c r="Q19" s="46"/>
      <c r="R19" s="46"/>
      <c r="S19" s="57" t="s">
        <v>42</v>
      </c>
    </row>
    <row r="20" spans="1:19" s="30" customFormat="1" x14ac:dyDescent="0.2">
      <c r="A20" s="61"/>
      <c r="B20" s="62"/>
      <c r="C20" s="62"/>
      <c r="D20" s="46"/>
      <c r="E20" s="46"/>
      <c r="F20" s="63"/>
      <c r="G20" s="63"/>
      <c r="H20" s="63"/>
      <c r="I20" s="64"/>
      <c r="J20" s="64"/>
      <c r="K20" s="64"/>
      <c r="L20" s="64"/>
      <c r="M20" s="46"/>
      <c r="N20" s="46"/>
      <c r="O20" s="46"/>
      <c r="P20" s="65"/>
      <c r="Q20" s="46"/>
      <c r="R20" s="46"/>
      <c r="S20" s="46"/>
    </row>
    <row r="21" spans="1:19" s="30" customFormat="1" x14ac:dyDescent="0.2">
      <c r="A21" s="66">
        <v>771800</v>
      </c>
      <c r="B21" s="67" t="s">
        <v>43</v>
      </c>
      <c r="C21" s="68"/>
      <c r="D21" s="68"/>
      <c r="E21" s="69"/>
      <c r="F21" s="70"/>
      <c r="G21" s="70"/>
      <c r="H21" s="70">
        <f t="shared" ref="H21:H26" si="0">F21-G21</f>
        <v>0</v>
      </c>
      <c r="I21" s="182"/>
      <c r="J21" s="183"/>
      <c r="K21" s="184"/>
      <c r="L21" s="158"/>
      <c r="M21" s="159"/>
      <c r="N21" s="46"/>
      <c r="O21" s="46"/>
      <c r="P21" s="65"/>
      <c r="Q21" s="46"/>
      <c r="R21" s="46"/>
      <c r="S21" s="46"/>
    </row>
    <row r="22" spans="1:19" s="30" customFormat="1" x14ac:dyDescent="0.2">
      <c r="A22" s="71">
        <v>772000</v>
      </c>
      <c r="B22" s="72" t="s">
        <v>44</v>
      </c>
      <c r="C22" s="73"/>
      <c r="D22" s="73"/>
      <c r="E22" s="74"/>
      <c r="F22" s="75"/>
      <c r="G22" s="75"/>
      <c r="H22" s="75">
        <f t="shared" si="0"/>
        <v>0</v>
      </c>
      <c r="I22" s="160"/>
      <c r="J22" s="161"/>
      <c r="K22" s="162"/>
      <c r="L22" s="151"/>
      <c r="M22" s="152"/>
      <c r="N22" s="46"/>
      <c r="O22" s="57"/>
      <c r="P22" s="65"/>
      <c r="Q22" s="46"/>
      <c r="R22" s="46"/>
      <c r="S22" s="46"/>
    </row>
    <row r="23" spans="1:19" s="30" customFormat="1" x14ac:dyDescent="0.2">
      <c r="A23" s="71">
        <v>775000</v>
      </c>
      <c r="B23" s="72" t="s">
        <v>45</v>
      </c>
      <c r="C23" s="73"/>
      <c r="D23" s="73"/>
      <c r="E23" s="74"/>
      <c r="F23" s="75"/>
      <c r="G23" s="75"/>
      <c r="H23" s="75">
        <f t="shared" si="0"/>
        <v>0</v>
      </c>
      <c r="I23" s="160"/>
      <c r="J23" s="161"/>
      <c r="K23" s="162"/>
      <c r="L23" s="151"/>
      <c r="M23" s="152"/>
      <c r="N23" s="46"/>
      <c r="O23" s="57"/>
      <c r="P23" s="65"/>
      <c r="Q23" s="46"/>
      <c r="R23" s="46"/>
      <c r="S23" s="46"/>
    </row>
    <row r="24" spans="1:19" s="30" customFormat="1" x14ac:dyDescent="0.2">
      <c r="A24" s="71">
        <v>777000</v>
      </c>
      <c r="B24" s="72" t="s">
        <v>46</v>
      </c>
      <c r="C24" s="73"/>
      <c r="D24" s="73"/>
      <c r="E24" s="74"/>
      <c r="F24" s="75"/>
      <c r="G24" s="75"/>
      <c r="H24" s="75">
        <f t="shared" si="0"/>
        <v>0</v>
      </c>
      <c r="I24" s="160"/>
      <c r="J24" s="161"/>
      <c r="K24" s="162"/>
      <c r="L24" s="151"/>
      <c r="M24" s="152"/>
      <c r="N24" s="46"/>
      <c r="O24" s="57"/>
      <c r="P24" s="65"/>
      <c r="Q24" s="46"/>
      <c r="R24" s="46"/>
      <c r="S24" s="46"/>
    </row>
    <row r="25" spans="1:19" s="30" customFormat="1" x14ac:dyDescent="0.2">
      <c r="A25" s="71">
        <v>778000</v>
      </c>
      <c r="B25" s="72" t="s">
        <v>47</v>
      </c>
      <c r="C25" s="73"/>
      <c r="D25" s="73"/>
      <c r="E25" s="74"/>
      <c r="F25" s="75"/>
      <c r="G25" s="75"/>
      <c r="H25" s="75">
        <f t="shared" si="0"/>
        <v>0</v>
      </c>
      <c r="I25" s="160"/>
      <c r="J25" s="161"/>
      <c r="K25" s="162"/>
      <c r="L25" s="151"/>
      <c r="M25" s="152"/>
      <c r="N25" s="46"/>
      <c r="O25" s="57"/>
      <c r="P25" s="65"/>
      <c r="Q25" s="46"/>
      <c r="R25" s="46"/>
      <c r="S25" s="46"/>
    </row>
    <row r="26" spans="1:19" s="30" customFormat="1" x14ac:dyDescent="0.2">
      <c r="A26" s="76">
        <v>787000</v>
      </c>
      <c r="B26" s="77" t="s">
        <v>48</v>
      </c>
      <c r="C26" s="78"/>
      <c r="D26" s="78"/>
      <c r="E26" s="79"/>
      <c r="F26" s="80"/>
      <c r="G26" s="80"/>
      <c r="H26" s="80">
        <f t="shared" si="0"/>
        <v>0</v>
      </c>
      <c r="I26" s="163"/>
      <c r="J26" s="164"/>
      <c r="K26" s="165"/>
      <c r="L26" s="166"/>
      <c r="M26" s="167"/>
      <c r="N26" s="46"/>
      <c r="O26" s="57"/>
      <c r="P26" s="65"/>
      <c r="Q26" s="46"/>
      <c r="R26" s="46"/>
      <c r="S26" s="46"/>
    </row>
    <row r="27" spans="1:19" s="30" customFormat="1" x14ac:dyDescent="0.2">
      <c r="A27" s="61"/>
      <c r="B27" s="81"/>
      <c r="C27" s="81"/>
      <c r="D27" s="46"/>
      <c r="E27" s="46"/>
      <c r="F27" s="64"/>
      <c r="G27" s="64"/>
      <c r="H27" s="64"/>
      <c r="I27" s="64"/>
      <c r="J27" s="64"/>
      <c r="K27" s="64"/>
      <c r="L27" s="64"/>
      <c r="M27" s="60"/>
      <c r="N27" s="46"/>
      <c r="O27" s="46"/>
      <c r="P27" s="65"/>
      <c r="Q27" s="46"/>
      <c r="R27" s="46"/>
      <c r="S27" s="46"/>
    </row>
    <row r="28" spans="1:19" s="30" customFormat="1" x14ac:dyDescent="0.2">
      <c r="A28" s="156" t="s">
        <v>49</v>
      </c>
      <c r="B28" s="157"/>
      <c r="C28" s="157"/>
      <c r="D28" s="157"/>
      <c r="E28" s="157"/>
      <c r="F28" s="82">
        <f>SUM(F21:F26)</f>
        <v>0</v>
      </c>
      <c r="G28" s="82">
        <f>SUM(G21:G26)</f>
        <v>0</v>
      </c>
      <c r="H28" s="82">
        <f>SUM(H21:H26)</f>
        <v>0</v>
      </c>
      <c r="I28" s="83"/>
      <c r="J28" s="83"/>
      <c r="K28" s="83"/>
      <c r="L28" s="83"/>
      <c r="M28" s="84"/>
      <c r="N28" s="46"/>
      <c r="O28" s="46"/>
      <c r="P28" s="65"/>
      <c r="Q28" s="46"/>
      <c r="R28" s="46"/>
      <c r="S28" s="46"/>
    </row>
    <row r="29" spans="1:19" s="30" customFormat="1" x14ac:dyDescent="0.2">
      <c r="A29" s="61"/>
      <c r="B29" s="62"/>
      <c r="C29" s="62"/>
      <c r="D29" s="46"/>
      <c r="E29" s="46"/>
      <c r="F29" s="85"/>
      <c r="G29" s="85"/>
      <c r="H29" s="46"/>
      <c r="I29" s="46"/>
      <c r="J29" s="46"/>
      <c r="K29" s="46"/>
      <c r="L29" s="46"/>
      <c r="M29" s="46"/>
      <c r="N29" s="46"/>
      <c r="O29" s="46"/>
      <c r="P29" s="65"/>
      <c r="Q29" s="46"/>
      <c r="R29" s="46"/>
      <c r="S29" s="46"/>
    </row>
    <row r="30" spans="1:19" s="30" customFormat="1" x14ac:dyDescent="0.2">
      <c r="A30" s="86" t="s">
        <v>50</v>
      </c>
      <c r="B30" s="62"/>
      <c r="C30" s="62"/>
      <c r="D30" s="46"/>
      <c r="E30" s="46"/>
      <c r="F30" s="62"/>
      <c r="G30" s="62"/>
      <c r="H30" s="46"/>
      <c r="I30" s="46"/>
      <c r="J30" s="46"/>
      <c r="K30" s="46"/>
      <c r="L30" s="46"/>
      <c r="M30" s="46"/>
      <c r="N30" s="46"/>
      <c r="O30" s="46"/>
      <c r="P30" s="65"/>
      <c r="Q30" s="46"/>
      <c r="R30" s="46"/>
      <c r="S30" s="46"/>
    </row>
    <row r="31" spans="1:19" s="30" customFormat="1" x14ac:dyDescent="0.2">
      <c r="A31" s="86"/>
      <c r="B31" s="62"/>
      <c r="C31" s="62"/>
      <c r="D31" s="46"/>
      <c r="E31" s="46"/>
      <c r="F31" s="62"/>
      <c r="G31" s="62"/>
      <c r="H31" s="46"/>
      <c r="I31" s="46"/>
      <c r="J31" s="46"/>
      <c r="K31" s="46"/>
      <c r="L31" s="46"/>
      <c r="M31" s="46"/>
      <c r="N31" s="46"/>
      <c r="O31" s="46"/>
      <c r="P31" s="65"/>
      <c r="Q31" s="46"/>
      <c r="R31" s="46"/>
      <c r="S31" s="46"/>
    </row>
    <row r="32" spans="1:19" s="30" customFormat="1" ht="28.5" customHeight="1" x14ac:dyDescent="0.2">
      <c r="A32" s="58" t="s">
        <v>35</v>
      </c>
      <c r="B32" s="178" t="s">
        <v>36</v>
      </c>
      <c r="C32" s="178"/>
      <c r="D32" s="178"/>
      <c r="E32" s="178"/>
      <c r="F32" s="59" t="s">
        <v>37</v>
      </c>
      <c r="G32" s="59" t="s">
        <v>38</v>
      </c>
      <c r="H32" s="59" t="s">
        <v>39</v>
      </c>
      <c r="I32" s="178" t="s">
        <v>40</v>
      </c>
      <c r="J32" s="178"/>
      <c r="K32" s="178"/>
      <c r="L32" s="154" t="s">
        <v>41</v>
      </c>
      <c r="M32" s="155"/>
      <c r="N32" s="46"/>
      <c r="O32" s="46"/>
      <c r="P32" s="65"/>
      <c r="Q32" s="46"/>
      <c r="R32" s="46"/>
      <c r="S32" s="46"/>
    </row>
    <row r="33" spans="1:16" s="30" customFormat="1" x14ac:dyDescent="0.2">
      <c r="A33" s="87"/>
      <c r="B33" s="88"/>
      <c r="C33" s="88"/>
      <c r="D33" s="46"/>
      <c r="E33" s="46"/>
      <c r="F33" s="89"/>
      <c r="G33" s="88"/>
      <c r="H33" s="46"/>
      <c r="I33" s="46"/>
      <c r="J33" s="46"/>
      <c r="K33" s="46"/>
      <c r="L33" s="46"/>
      <c r="M33" s="65"/>
      <c r="N33" s="46"/>
      <c r="O33" s="46"/>
      <c r="P33" s="65"/>
    </row>
    <row r="34" spans="1:16" s="30" customFormat="1" x14ac:dyDescent="0.2">
      <c r="A34" s="66">
        <v>671000</v>
      </c>
      <c r="B34" s="182" t="s">
        <v>51</v>
      </c>
      <c r="C34" s="183"/>
      <c r="D34" s="183"/>
      <c r="E34" s="184"/>
      <c r="F34" s="70"/>
      <c r="G34" s="70"/>
      <c r="H34" s="70">
        <f t="shared" ref="H34:H39" si="1">F34-G34</f>
        <v>0</v>
      </c>
      <c r="I34" s="182"/>
      <c r="J34" s="183"/>
      <c r="K34" s="184"/>
      <c r="L34" s="158"/>
      <c r="M34" s="159"/>
      <c r="N34" s="46"/>
      <c r="O34" s="46"/>
      <c r="P34" s="65"/>
    </row>
    <row r="35" spans="1:16" s="30" customFormat="1" x14ac:dyDescent="0.2">
      <c r="A35" s="71">
        <v>671200</v>
      </c>
      <c r="B35" s="160" t="s">
        <v>52</v>
      </c>
      <c r="C35" s="161"/>
      <c r="D35" s="161"/>
      <c r="E35" s="162"/>
      <c r="F35" s="75"/>
      <c r="G35" s="75"/>
      <c r="H35" s="75">
        <f t="shared" si="1"/>
        <v>0</v>
      </c>
      <c r="I35" s="160"/>
      <c r="J35" s="161"/>
      <c r="K35" s="162"/>
      <c r="L35" s="151"/>
      <c r="M35" s="152"/>
      <c r="N35" s="46"/>
      <c r="O35" s="46"/>
      <c r="P35" s="65"/>
    </row>
    <row r="36" spans="1:16" s="30" customFormat="1" x14ac:dyDescent="0.2">
      <c r="A36" s="71">
        <v>672000</v>
      </c>
      <c r="B36" s="160" t="s">
        <v>53</v>
      </c>
      <c r="C36" s="161"/>
      <c r="D36" s="161"/>
      <c r="E36" s="162"/>
      <c r="F36" s="75"/>
      <c r="G36" s="75"/>
      <c r="H36" s="75">
        <f t="shared" si="1"/>
        <v>0</v>
      </c>
      <c r="I36" s="160"/>
      <c r="J36" s="161"/>
      <c r="K36" s="162"/>
      <c r="L36" s="151"/>
      <c r="M36" s="152"/>
      <c r="N36" s="46"/>
      <c r="O36" s="46"/>
      <c r="P36" s="65"/>
    </row>
    <row r="37" spans="1:16" s="30" customFormat="1" x14ac:dyDescent="0.2">
      <c r="A37" s="71">
        <v>675000</v>
      </c>
      <c r="B37" s="160" t="s">
        <v>54</v>
      </c>
      <c r="C37" s="161"/>
      <c r="D37" s="161"/>
      <c r="E37" s="162"/>
      <c r="F37" s="75"/>
      <c r="G37" s="75"/>
      <c r="H37" s="75">
        <f t="shared" si="1"/>
        <v>0</v>
      </c>
      <c r="I37" s="160"/>
      <c r="J37" s="161"/>
      <c r="K37" s="162"/>
      <c r="L37" s="151"/>
      <c r="M37" s="152"/>
      <c r="N37" s="46"/>
      <c r="O37" s="46"/>
      <c r="P37" s="65"/>
    </row>
    <row r="38" spans="1:16" s="30" customFormat="1" x14ac:dyDescent="0.2">
      <c r="A38" s="71">
        <v>678000</v>
      </c>
      <c r="B38" s="160" t="s">
        <v>55</v>
      </c>
      <c r="C38" s="161"/>
      <c r="D38" s="161"/>
      <c r="E38" s="162"/>
      <c r="F38" s="75"/>
      <c r="G38" s="75"/>
      <c r="H38" s="75">
        <f t="shared" si="1"/>
        <v>0</v>
      </c>
      <c r="I38" s="160"/>
      <c r="J38" s="161"/>
      <c r="K38" s="162"/>
      <c r="L38" s="151"/>
      <c r="M38" s="152"/>
      <c r="N38" s="46"/>
      <c r="O38" s="46"/>
      <c r="P38" s="65"/>
    </row>
    <row r="39" spans="1:16" s="30" customFormat="1" x14ac:dyDescent="0.2">
      <c r="A39" s="76">
        <v>687000</v>
      </c>
      <c r="B39" s="163" t="s">
        <v>56</v>
      </c>
      <c r="C39" s="164"/>
      <c r="D39" s="164"/>
      <c r="E39" s="165"/>
      <c r="F39" s="80"/>
      <c r="G39" s="80"/>
      <c r="H39" s="80">
        <f t="shared" si="1"/>
        <v>0</v>
      </c>
      <c r="I39" s="163"/>
      <c r="J39" s="164"/>
      <c r="K39" s="165"/>
      <c r="L39" s="166"/>
      <c r="M39" s="167"/>
      <c r="N39" s="46"/>
      <c r="O39" s="46"/>
      <c r="P39" s="65"/>
    </row>
    <row r="40" spans="1:16" s="30" customFormat="1" x14ac:dyDescent="0.2">
      <c r="A40" s="61"/>
      <c r="B40" s="62"/>
      <c r="C40" s="62"/>
      <c r="D40" s="46"/>
      <c r="E40" s="46"/>
      <c r="F40" s="90"/>
      <c r="G40" s="90"/>
      <c r="H40" s="91"/>
      <c r="I40" s="46"/>
      <c r="J40" s="46"/>
      <c r="K40" s="46"/>
      <c r="L40" s="46"/>
      <c r="M40" s="65"/>
      <c r="N40" s="46"/>
      <c r="O40" s="46"/>
      <c r="P40" s="65"/>
    </row>
    <row r="41" spans="1:16" s="30" customFormat="1" x14ac:dyDescent="0.2">
      <c r="A41" s="156" t="s">
        <v>57</v>
      </c>
      <c r="B41" s="157"/>
      <c r="C41" s="157"/>
      <c r="D41" s="157"/>
      <c r="E41" s="157"/>
      <c r="F41" s="82">
        <f>SUM(F34:F39)</f>
        <v>0</v>
      </c>
      <c r="G41" s="82">
        <f>SUM(G34:G39)</f>
        <v>0</v>
      </c>
      <c r="H41" s="82">
        <f>SUM(H34:H39)</f>
        <v>0</v>
      </c>
      <c r="I41" s="83"/>
      <c r="J41" s="83"/>
      <c r="K41" s="83"/>
      <c r="L41" s="83"/>
      <c r="M41" s="84"/>
      <c r="N41" s="46"/>
      <c r="O41" s="46"/>
      <c r="P41" s="65"/>
    </row>
    <row r="42" spans="1:16" s="30" customFormat="1" x14ac:dyDescent="0.2">
      <c r="A42" s="61"/>
      <c r="B42" s="62"/>
      <c r="C42" s="62"/>
      <c r="D42" s="90"/>
      <c r="E42" s="90"/>
      <c r="F42" s="90"/>
      <c r="G42" s="91"/>
      <c r="H42" s="46"/>
      <c r="I42" s="46"/>
      <c r="J42" s="46"/>
      <c r="K42" s="46"/>
      <c r="L42" s="46"/>
      <c r="M42" s="46"/>
      <c r="N42" s="46"/>
      <c r="O42" s="46"/>
      <c r="P42" s="65"/>
    </row>
    <row r="43" spans="1:16" s="30" customFormat="1" x14ac:dyDescent="0.2">
      <c r="A43" s="61"/>
      <c r="B43" s="62"/>
      <c r="C43" s="92"/>
      <c r="D43" s="90"/>
      <c r="E43" s="90"/>
      <c r="F43" s="90"/>
      <c r="G43" s="91"/>
      <c r="H43" s="46"/>
      <c r="I43" s="46"/>
      <c r="J43" s="46"/>
      <c r="K43" s="46"/>
      <c r="L43" s="46"/>
      <c r="M43" s="46"/>
      <c r="N43" s="46"/>
      <c r="O43" s="46"/>
      <c r="P43" s="65"/>
    </row>
    <row r="44" spans="1:16" s="30" customFormat="1" x14ac:dyDescent="0.2">
      <c r="A44" s="156" t="s">
        <v>3</v>
      </c>
      <c r="B44" s="157"/>
      <c r="C44" s="157"/>
      <c r="D44" s="157"/>
      <c r="E44" s="157"/>
      <c r="F44" s="82">
        <f>+F28-F41</f>
        <v>0</v>
      </c>
      <c r="G44" s="82">
        <f>+G28-G41</f>
        <v>0</v>
      </c>
      <c r="H44" s="93">
        <f>+H28-H41</f>
        <v>0</v>
      </c>
      <c r="I44" s="46"/>
      <c r="J44" s="46"/>
      <c r="K44" s="46"/>
      <c r="L44" s="46"/>
      <c r="M44" s="46"/>
      <c r="N44" s="46"/>
      <c r="O44" s="46"/>
      <c r="P44" s="65"/>
    </row>
    <row r="45" spans="1:16" s="30" customFormat="1" ht="15.75" thickBot="1" x14ac:dyDescent="0.25">
      <c r="A45" s="94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6"/>
    </row>
  </sheetData>
  <sheetProtection formatCells="0" formatColumns="0" formatRows="0" insertColumns="0" insertRows="0" insertHyperlinks="0" deleteColumns="0" deleteRows="0" sort="0" autoFilter="0" pivotTables="0"/>
  <mergeCells count="56">
    <mergeCell ref="I22:K22"/>
    <mergeCell ref="B34:E34"/>
    <mergeCell ref="I34:K34"/>
    <mergeCell ref="B37:E37"/>
    <mergeCell ref="I37:K37"/>
    <mergeCell ref="B32:E32"/>
    <mergeCell ref="I32:K32"/>
    <mergeCell ref="I36:K36"/>
    <mergeCell ref="I24:K24"/>
    <mergeCell ref="D1:M2"/>
    <mergeCell ref="A3:P5"/>
    <mergeCell ref="E6:L7"/>
    <mergeCell ref="M6:N6"/>
    <mergeCell ref="O6:P6"/>
    <mergeCell ref="M7:N7"/>
    <mergeCell ref="O7:P7"/>
    <mergeCell ref="L24:M24"/>
    <mergeCell ref="L22:M22"/>
    <mergeCell ref="O9:P9"/>
    <mergeCell ref="A9:C9"/>
    <mergeCell ref="D9:E9"/>
    <mergeCell ref="F9:I9"/>
    <mergeCell ref="J9:K9"/>
    <mergeCell ref="L9:N9"/>
    <mergeCell ref="A11:P11"/>
    <mergeCell ref="A13:P13"/>
    <mergeCell ref="A14:P14"/>
    <mergeCell ref="L19:M19"/>
    <mergeCell ref="I19:K19"/>
    <mergeCell ref="B19:E19"/>
    <mergeCell ref="L21:M21"/>
    <mergeCell ref="I21:K21"/>
    <mergeCell ref="A44:E44"/>
    <mergeCell ref="L37:M37"/>
    <mergeCell ref="B38:E38"/>
    <mergeCell ref="I38:K38"/>
    <mergeCell ref="L38:M38"/>
    <mergeCell ref="B39:E39"/>
    <mergeCell ref="I39:K39"/>
    <mergeCell ref="L39:M39"/>
    <mergeCell ref="L36:M36"/>
    <mergeCell ref="O8:P8"/>
    <mergeCell ref="L32:M32"/>
    <mergeCell ref="A41:E41"/>
    <mergeCell ref="A28:E28"/>
    <mergeCell ref="L34:M34"/>
    <mergeCell ref="B35:E35"/>
    <mergeCell ref="I35:K35"/>
    <mergeCell ref="L35:M35"/>
    <mergeCell ref="B36:E36"/>
    <mergeCell ref="I25:K25"/>
    <mergeCell ref="L25:M25"/>
    <mergeCell ref="I26:K26"/>
    <mergeCell ref="L26:M26"/>
    <mergeCell ref="I23:K23"/>
    <mergeCell ref="L23:M23"/>
  </mergeCells>
  <dataValidations count="3">
    <dataValidation type="list" allowBlank="1" showInputMessage="1" showErrorMessage="1" sqref="O9:P9" xr:uid="{00000000-0002-0000-0100-000000000000}">
      <formula1>Diligences</formula1>
    </dataValidation>
    <dataValidation showInputMessage="1" showErrorMessage="1" sqref="D9:E9" xr:uid="{00000000-0002-0000-0100-000001000000}"/>
    <dataValidation type="list" allowBlank="1" showInputMessage="1" showErrorMessage="1" sqref="L35:M39 M22:M26 L21:L26" xr:uid="{00000000-0002-0000-0100-000002000000}">
      <formula1>$S$18:$S$19</formula1>
    </dataValidation>
  </dataValidations>
  <hyperlinks>
    <hyperlink ref="O8:P8" location="'X Synthèse'!A1" display="X Synthèse" xr:uid="{00000000-0004-0000-01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  <ignoredErrors>
    <ignoredError sqref="D9:N9 P9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FFDFD4C05D14DADD40B72BFB892F2" ma:contentTypeVersion="12" ma:contentTypeDescription="Crée un document." ma:contentTypeScope="" ma:versionID="a1e612abde7994f04a20992d1f580c2e">
  <xsd:schema xmlns:xsd="http://www.w3.org/2001/XMLSchema" xmlns:xs="http://www.w3.org/2001/XMLSchema" xmlns:p="http://schemas.microsoft.com/office/2006/metadata/properties" xmlns:ns2="27d32b71-31f9-4ffd-a7f0-416f695e1477" xmlns:ns3="d905335e-07f7-449f-8325-7d00af0e6b96" targetNamespace="http://schemas.microsoft.com/office/2006/metadata/properties" ma:root="true" ma:fieldsID="ec4aa46a3384ff861a570c8849968e95" ns2:_="" ns3:_="">
    <xsd:import namespace="27d32b71-31f9-4ffd-a7f0-416f695e1477"/>
    <xsd:import namespace="d905335e-07f7-449f-8325-7d00af0e6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32b71-31f9-4ffd-a7f0-416f695e14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e55a836-def3-43e3-8f00-2a26c91975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5335e-07f7-449f-8325-7d00af0e6b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981c32-6aaa-40cd-9bf7-e0202a3392a7}" ma:internalName="TaxCatchAll" ma:showField="CatchAllData" ma:web="d905335e-07f7-449f-8325-7d00af0e6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d32b71-31f9-4ffd-a7f0-416f695e1477">
      <Terms xmlns="http://schemas.microsoft.com/office/infopath/2007/PartnerControls"/>
    </lcf76f155ced4ddcb4097134ff3c332f>
    <TaxCatchAll xmlns="d905335e-07f7-449f-8325-7d00af0e6b96" xsi:nil="true"/>
  </documentManagement>
</p:properties>
</file>

<file path=customXml/itemProps1.xml><?xml version="1.0" encoding="utf-8"?>
<ds:datastoreItem xmlns:ds="http://schemas.openxmlformats.org/officeDocument/2006/customXml" ds:itemID="{297FA0F8-35CB-41A0-9959-D2FFB189F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E01B24-D8CE-435C-B124-65A9E553429E}"/>
</file>

<file path=customXml/itemProps3.xml><?xml version="1.0" encoding="utf-8"?>
<ds:datastoreItem xmlns:ds="http://schemas.openxmlformats.org/officeDocument/2006/customXml" ds:itemID="{8BC71790-EE2B-4432-A332-C9CCFE2DC0AD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d7aee5f-c6d7-4567-bea9-00a4b0c47d6f"/>
    <ds:schemaRef ds:uri="aed0d0bd-a659-4dbf-bbaa-a56f4efa3b0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5</vt:i4>
      </vt:variant>
    </vt:vector>
  </HeadingPairs>
  <TitlesOfParts>
    <vt:vector size="7" baseType="lpstr">
      <vt:lpstr>X Synthèse</vt:lpstr>
      <vt:lpstr>X100 Analyse résultat excep</vt:lpstr>
      <vt:lpstr>Diligences</vt:lpstr>
      <vt:lpstr>Etat</vt:lpstr>
      <vt:lpstr>RAS</vt:lpstr>
      <vt:lpstr>'X Synthèse'!Zone_d_impression</vt:lpstr>
      <vt:lpstr>'X100 Analyse résultat excep'!Zone_d_impression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CHA. ARNAUD</dc:creator>
  <cp:keywords/>
  <dc:description/>
  <cp:lastModifiedBy>BRIAN BRY. RAULY</cp:lastModifiedBy>
  <cp:revision/>
  <dcterms:created xsi:type="dcterms:W3CDTF">2017-01-24T11:12:27Z</dcterms:created>
  <dcterms:modified xsi:type="dcterms:W3CDTF">2024-07-08T07:40:55Z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0x010100BD3FFDFD4C05D14DADD40B72BFB892F2</vt:lpwstr>
  </property>
</Properties>
</file>