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ugustinpedrini/Desktop/ABD Audit/BASE/"/>
    </mc:Choice>
  </mc:AlternateContent>
  <xr:revisionPtr revIDLastSave="0" documentId="13_ncr:1_{F3F1A1AA-B0ED-6546-A51E-373B2C1C7758}" xr6:coauthVersionLast="47" xr6:coauthVersionMax="47" xr10:uidLastSave="{00000000-0000-0000-0000-000000000000}"/>
  <bookViews>
    <workbookView xWindow="0" yWindow="600" windowWidth="28800" windowHeight="15840" activeTab="8" xr2:uid="{051FB4AF-20CF-47C9-808D-B46CC1A4C288}"/>
  </bookViews>
  <sheets>
    <sheet name="Sommaire" sheetId="22" r:id="rId1"/>
    <sheet name="Balance N Vs N-1" sheetId="1" r:id="rId2"/>
    <sheet name="Bilan" sheetId="19" r:id="rId3"/>
    <sheet name="EBIT" sheetId="18" r:id="rId4"/>
    <sheet name="Actif détaillé" sheetId="17" r:id="rId5"/>
    <sheet name="Passif détaillé" sheetId="16" r:id="rId6"/>
    <sheet name="P&amp;L détaillé" sheetId="15" r:id="rId7"/>
    <sheet name="Tréso" sheetId="21" r:id="rId8"/>
    <sheet name="AACE" sheetId="20" r:id="rId9"/>
    <sheet name="A0" sheetId="2" r:id="rId10"/>
    <sheet name="C Propres0" sheetId="3" r:id="rId11"/>
    <sheet name="C PRC0" sheetId="4" r:id="rId12"/>
    <sheet name="E0" sheetId="5" r:id="rId13"/>
    <sheet name="F0" sheetId="6" r:id="rId14"/>
    <sheet name="I Incorp0" sheetId="7" r:id="rId15"/>
    <sheet name="I Corp0" sheetId="8" r:id="rId16"/>
    <sheet name="I Fi0" sheetId="9" r:id="rId17"/>
    <sheet name="P0" sheetId="10" r:id="rId18"/>
    <sheet name="S0" sheetId="11" r:id="rId19"/>
    <sheet name="T0" sheetId="12" r:id="rId20"/>
    <sheet name="V0" sheetId="13" r:id="rId21"/>
    <sheet name="X0" sheetId="14" r:id="rId22"/>
  </sheets>
  <definedNames>
    <definedName name="_xlnm._FilterDatabase" localSheetId="9" hidden="1">A0!$A$8:$N$9</definedName>
    <definedName name="_xlnm._FilterDatabase" localSheetId="8" hidden="1">AACE!$A$8:$H$9</definedName>
    <definedName name="_xlnm._FilterDatabase" localSheetId="1" hidden="1">'Balance N Vs N-1'!$A$8:$N$9</definedName>
    <definedName name="_xlnm._FilterDatabase" localSheetId="11" hidden="1">'C PRC0'!$A$8:$N$9</definedName>
    <definedName name="_xlnm._FilterDatabase" localSheetId="10" hidden="1">'C Propres0'!$A$8:$N$9</definedName>
    <definedName name="_xlnm._FilterDatabase" localSheetId="12" hidden="1">E0!$A$8:$N$9</definedName>
    <definedName name="_xlnm._FilterDatabase" localSheetId="13" hidden="1">F0!$A$8:$N$9</definedName>
    <definedName name="_xlnm._FilterDatabase" localSheetId="15" hidden="1">'I Corp0'!$A$8:$N$9</definedName>
    <definedName name="_xlnm._FilterDatabase" localSheetId="16" hidden="1">'I Fi0'!$A$8:$N$9</definedName>
    <definedName name="_xlnm._FilterDatabase" localSheetId="14" hidden="1">'I Incorp0'!$A$8:$N$9</definedName>
    <definedName name="_xlnm._FilterDatabase" localSheetId="17" hidden="1">P0!$A$8:$N$9</definedName>
    <definedName name="_xlnm._FilterDatabase" localSheetId="18" hidden="1">S0!$A$8:$N$9</definedName>
    <definedName name="_xlnm._FilterDatabase" localSheetId="19" hidden="1">T0!$A$8:$N$9</definedName>
    <definedName name="_xlnm._FilterDatabase" localSheetId="20" hidden="1">V0!$A$8:$N$9</definedName>
    <definedName name="_xlnm._FilterDatabase" localSheetId="21" hidden="1">X0!$A$8:$N$9</definedName>
    <definedName name="ActifN" localSheetId="9">A0!#REF!</definedName>
    <definedName name="ActifN" localSheetId="8">AACE!#REF!</definedName>
    <definedName name="ActifN" localSheetId="11">'C PRC0'!#REF!</definedName>
    <definedName name="ActifN" localSheetId="10">'C Propres0'!#REF!</definedName>
    <definedName name="ActifN" localSheetId="12">E0!#REF!</definedName>
    <definedName name="ActifN" localSheetId="13">F0!#REF!</definedName>
    <definedName name="ActifN" localSheetId="15">'I Corp0'!#REF!</definedName>
    <definedName name="ActifN" localSheetId="16">'I Fi0'!#REF!</definedName>
    <definedName name="ActifN" localSheetId="14">'I Incorp0'!#REF!</definedName>
    <definedName name="ActifN" localSheetId="17">P0!#REF!</definedName>
    <definedName name="ActifN" localSheetId="18">S0!#REF!</definedName>
    <definedName name="ActifN" localSheetId="19">T0!#REF!</definedName>
    <definedName name="ActifN" localSheetId="20">V0!#REF!</definedName>
    <definedName name="ActifN" localSheetId="21">X0!#REF!</definedName>
    <definedName name="ActifN">'Balance N Vs N-1'!$D$300</definedName>
    <definedName name="ActifN_1" localSheetId="9">A0!#REF!</definedName>
    <definedName name="ActifN_1" localSheetId="8">AACE!#REF!</definedName>
    <definedName name="ActifN_1" localSheetId="11">'C PRC0'!#REF!</definedName>
    <definedName name="ActifN_1" localSheetId="10">'C Propres0'!#REF!</definedName>
    <definedName name="ActifN_1" localSheetId="12">E0!#REF!</definedName>
    <definedName name="ActifN_1" localSheetId="13">F0!#REF!</definedName>
    <definedName name="ActifN_1" localSheetId="15">'I Corp0'!#REF!</definedName>
    <definedName name="ActifN_1" localSheetId="16">'I Fi0'!#REF!</definedName>
    <definedName name="ActifN_1" localSheetId="14">'I Incorp0'!#REF!</definedName>
    <definedName name="ActifN_1" localSheetId="17">P0!#REF!</definedName>
    <definedName name="ActifN_1" localSheetId="18">S0!#REF!</definedName>
    <definedName name="ActifN_1" localSheetId="19">T0!#REF!</definedName>
    <definedName name="ActifN_1" localSheetId="20">V0!#REF!</definedName>
    <definedName name="ActifN_1" localSheetId="21">X0!#REF!</definedName>
    <definedName name="ActifN_1">'Balance N Vs N-1'!$E$300</definedName>
    <definedName name="ChiffreAffairesN">'P&amp;L détaillé'!$D$12</definedName>
    <definedName name="ChiffreAffairesN_1">'P&amp;L détaillé'!$E$12</definedName>
    <definedName name="ColonneComptaN" localSheetId="9">A0!$M$11:$M$98</definedName>
    <definedName name="ColonneComptaN" localSheetId="8">AACE!#REF!</definedName>
    <definedName name="ColonneComptaN" localSheetId="11">'C PRC0'!$M$11:$M$11</definedName>
    <definedName name="ColonneComptaN" localSheetId="10">'C Propres0'!$M$11:$M$18</definedName>
    <definedName name="ColonneComptaN" localSheetId="12">E0!$M$11:$M$47</definedName>
    <definedName name="ColonneComptaN" localSheetId="13">F0!$M$11:$M$53</definedName>
    <definedName name="ColonneComptaN" localSheetId="15">'I Corp0'!$M$11:$M$36</definedName>
    <definedName name="ColonneComptaN" localSheetId="16">'I Fi0'!$M$11:$M$16</definedName>
    <definedName name="ColonneComptaN" localSheetId="14">'I Incorp0'!$M$11:$M$12</definedName>
    <definedName name="ColonneComptaN" localSheetId="17">P0!$M$11:$M$50</definedName>
    <definedName name="ColonneComptaN" localSheetId="18">S0!$M$11:$M$32</definedName>
    <definedName name="ColonneComptaN" localSheetId="19">T0!$M$11:$M$23</definedName>
    <definedName name="ColonneComptaN" localSheetId="20">V0!$M$11:$M$44</definedName>
    <definedName name="ColonneComptaN" localSheetId="21">X0!$M$11:$M$16</definedName>
    <definedName name="ColonneComptaN">'Balance N Vs N-1'!$M$10:$M$297</definedName>
    <definedName name="ColonneComptaN_1" localSheetId="9">A0!$N$11:$N$98</definedName>
    <definedName name="ColonneComptaN_1" localSheetId="8">AACE!#REF!</definedName>
    <definedName name="ColonneComptaN_1" localSheetId="11">'C PRC0'!$N$11:$N$11</definedName>
    <definedName name="ColonneComptaN_1" localSheetId="10">'C Propres0'!$N$11:$N$18</definedName>
    <definedName name="ColonneComptaN_1" localSheetId="12">E0!$N$11:$N$47</definedName>
    <definedName name="ColonneComptaN_1" localSheetId="13">F0!$N$11:$N$53</definedName>
    <definedName name="ColonneComptaN_1" localSheetId="15">'I Corp0'!$N$11:$N$36</definedName>
    <definedName name="ColonneComptaN_1" localSheetId="16">'I Fi0'!$N$11:$N$16</definedName>
    <definedName name="ColonneComptaN_1" localSheetId="14">'I Incorp0'!$N$11:$N$12</definedName>
    <definedName name="ColonneComptaN_1" localSheetId="17">P0!$N$11:$N$50</definedName>
    <definedName name="ColonneComptaN_1" localSheetId="18">S0!$N$11:$N$32</definedName>
    <definedName name="ColonneComptaN_1" localSheetId="19">T0!$N$11:$N$23</definedName>
    <definedName name="ColonneComptaN_1" localSheetId="20">V0!$N$11:$N$44</definedName>
    <definedName name="ColonneComptaN_1" localSheetId="21">X0!$N$11:$N$16</definedName>
    <definedName name="ColonneComptaN_1">'Balance N Vs N-1'!$N$10:$N$297</definedName>
    <definedName name="_xlnm.Print_Titles" localSheetId="9">A0!$8:$9</definedName>
    <definedName name="_xlnm.Print_Titles" localSheetId="8">AACE!$8:$9</definedName>
    <definedName name="_xlnm.Print_Titles" localSheetId="1">'Balance N Vs N-1'!$8:$9</definedName>
    <definedName name="_xlnm.Print_Titles" localSheetId="11">'C PRC0'!$8:$9</definedName>
    <definedName name="_xlnm.Print_Titles" localSheetId="10">'C Propres0'!$8:$9</definedName>
    <definedName name="_xlnm.Print_Titles" localSheetId="12">E0!$8:$9</definedName>
    <definedName name="_xlnm.Print_Titles" localSheetId="13">F0!$8:$9</definedName>
    <definedName name="_xlnm.Print_Titles" localSheetId="15">'I Corp0'!$8:$9</definedName>
    <definedName name="_xlnm.Print_Titles" localSheetId="16">'I Fi0'!$8:$9</definedName>
    <definedName name="_xlnm.Print_Titles" localSheetId="14">'I Incorp0'!$8:$9</definedName>
    <definedName name="_xlnm.Print_Titles" localSheetId="17">P0!$8:$9</definedName>
    <definedName name="_xlnm.Print_Titles" localSheetId="18">S0!$8:$9</definedName>
    <definedName name="_xlnm.Print_Titles" localSheetId="19">T0!$8:$9</definedName>
    <definedName name="_xlnm.Print_Titles" localSheetId="20">V0!$8:$9</definedName>
    <definedName name="_xlnm.Print_Titles" localSheetId="21">X0!$8:$9</definedName>
    <definedName name="RésultatN" localSheetId="9">A0!#REF!</definedName>
    <definedName name="RésultatN" localSheetId="8">AACE!#REF!</definedName>
    <definedName name="RésultatN" localSheetId="11">'C PRC0'!#REF!</definedName>
    <definedName name="RésultatN" localSheetId="10">'C Propres0'!#REF!</definedName>
    <definedName name="RésultatN" localSheetId="12">E0!#REF!</definedName>
    <definedName name="RésultatN" localSheetId="13">F0!#REF!</definedName>
    <definedName name="RésultatN" localSheetId="15">'I Corp0'!#REF!</definedName>
    <definedName name="RésultatN" localSheetId="16">'I Fi0'!#REF!</definedName>
    <definedName name="RésultatN" localSheetId="14">'I Incorp0'!#REF!</definedName>
    <definedName name="RésultatN" localSheetId="17">P0!#REF!</definedName>
    <definedName name="RésultatN" localSheetId="18">S0!#REF!</definedName>
    <definedName name="RésultatN" localSheetId="19">T0!#REF!</definedName>
    <definedName name="RésultatN" localSheetId="20">V0!#REF!</definedName>
    <definedName name="RésultatN" localSheetId="21">X0!#REF!</definedName>
    <definedName name="RésultatN">'Balance N Vs N-1'!$D$307</definedName>
    <definedName name="RésultatN_1" localSheetId="9">A0!#REF!</definedName>
    <definedName name="RésultatN_1" localSheetId="8">AACE!#REF!</definedName>
    <definedName name="RésultatN_1" localSheetId="11">'C PRC0'!#REF!</definedName>
    <definedName name="RésultatN_1" localSheetId="10">'C Propres0'!#REF!</definedName>
    <definedName name="RésultatN_1" localSheetId="12">E0!#REF!</definedName>
    <definedName name="RésultatN_1" localSheetId="13">F0!#REF!</definedName>
    <definedName name="RésultatN_1" localSheetId="15">'I Corp0'!#REF!</definedName>
    <definedName name="RésultatN_1" localSheetId="16">'I Fi0'!#REF!</definedName>
    <definedName name="RésultatN_1" localSheetId="14">'I Incorp0'!#REF!</definedName>
    <definedName name="RésultatN_1" localSheetId="17">P0!#REF!</definedName>
    <definedName name="RésultatN_1" localSheetId="18">S0!#REF!</definedName>
    <definedName name="RésultatN_1" localSheetId="19">T0!#REF!</definedName>
    <definedName name="RésultatN_1" localSheetId="20">V0!#REF!</definedName>
    <definedName name="RésultatN_1" localSheetId="21">X0!#REF!</definedName>
    <definedName name="RésultatN_1">'Balance N Vs N-1'!$E$307</definedName>
    <definedName name="tab_Actif">'Actif détaillé'!$B$10:$E$71</definedName>
    <definedName name="tab_BGN" localSheetId="9">A0!$D$11:$D$98</definedName>
    <definedName name="tab_BGN" localSheetId="8">AACE!$D$10:$D$153</definedName>
    <definedName name="tab_BGN" localSheetId="11">'C PRC0'!$D$11:$D$11</definedName>
    <definedName name="tab_BGN" localSheetId="10">'C Propres0'!$D$11:$D$18</definedName>
    <definedName name="tab_BGN" localSheetId="12">E0!$D$11:$D$47</definedName>
    <definedName name="tab_BGN" localSheetId="13">F0!$D$11:$D$53</definedName>
    <definedName name="tab_BGN" localSheetId="15">'I Corp0'!$D$11:$D$36</definedName>
    <definedName name="tab_BGN" localSheetId="16">'I Fi0'!$D$11:$D$16</definedName>
    <definedName name="tab_BGN" localSheetId="14">'I Incorp0'!$D$11:$D$12</definedName>
    <definedName name="tab_BGN" localSheetId="17">P0!$D$11:$D$50</definedName>
    <definedName name="tab_BGN" localSheetId="18">S0!$D$11:$D$32</definedName>
    <definedName name="tab_BGN" localSheetId="19">T0!$D$11:$D$23</definedName>
    <definedName name="tab_BGN" localSheetId="20">V0!$D$11:$D$44</definedName>
    <definedName name="tab_BGN" localSheetId="21">X0!$D$11:$D$16</definedName>
    <definedName name="tab_BGN">'Balance N Vs N-1'!$D$10:$D$297</definedName>
    <definedName name="tab_BGN_1" localSheetId="9">A0!$E$11:$E$98</definedName>
    <definedName name="tab_BGN_1" localSheetId="8">AACE!$E$10:$E$153</definedName>
    <definedName name="tab_BGN_1" localSheetId="11">'C PRC0'!$E$11:$E$11</definedName>
    <definedName name="tab_BGN_1" localSheetId="10">'C Propres0'!$E$11:$E$18</definedName>
    <definedName name="tab_BGN_1" localSheetId="12">E0!$E$11:$E$47</definedName>
    <definedName name="tab_BGN_1" localSheetId="13">F0!$E$11:$E$53</definedName>
    <definedName name="tab_BGN_1" localSheetId="15">'I Corp0'!$E$11:$E$36</definedName>
    <definedName name="tab_BGN_1" localSheetId="16">'I Fi0'!$E$11:$E$16</definedName>
    <definedName name="tab_BGN_1" localSheetId="14">'I Incorp0'!$E$11:$E$12</definedName>
    <definedName name="tab_BGN_1" localSheetId="17">P0!$E$11:$E$50</definedName>
    <definedName name="tab_BGN_1" localSheetId="18">S0!$E$11:$E$32</definedName>
    <definedName name="tab_BGN_1" localSheetId="19">T0!$E$11:$E$23</definedName>
    <definedName name="tab_BGN_1" localSheetId="20">V0!$E$11:$E$44</definedName>
    <definedName name="tab_BGN_1" localSheetId="21">X0!$E$11:$E$16</definedName>
    <definedName name="tab_BGN_1">'Balance N Vs N-1'!$E$10:$E$297</definedName>
    <definedName name="tab_Cycle" localSheetId="9">A0!$J$11:$J$98</definedName>
    <definedName name="tab_Cycle" localSheetId="8">AACE!#REF!</definedName>
    <definedName name="tab_Cycle" localSheetId="11">'C PRC0'!$J$11:$J$11</definedName>
    <definedName name="tab_Cycle" localSheetId="10">'C Propres0'!$J$11:$J$18</definedName>
    <definedName name="tab_Cycle" localSheetId="12">E0!$J$11:$J$47</definedName>
    <definedName name="tab_Cycle" localSheetId="13">F0!$J$11:$J$53</definedName>
    <definedName name="tab_Cycle" localSheetId="15">'I Corp0'!$J$11:$J$36</definedName>
    <definedName name="tab_Cycle" localSheetId="16">'I Fi0'!$J$11:$J$16</definedName>
    <definedName name="tab_Cycle" localSheetId="14">'I Incorp0'!$J$11:$J$12</definedName>
    <definedName name="tab_Cycle" localSheetId="17">P0!$J$11:$J$50</definedName>
    <definedName name="tab_Cycle" localSheetId="18">S0!$J$11:$J$32</definedName>
    <definedName name="tab_Cycle" localSheetId="19">T0!$J$11:$J$23</definedName>
    <definedName name="tab_Cycle" localSheetId="20">V0!$J$11:$J$44</definedName>
    <definedName name="tab_Cycle" localSheetId="21">X0!$J$11:$J$16</definedName>
    <definedName name="tab_Cycle">'Balance N Vs N-1'!$J$10:$J$297</definedName>
    <definedName name="tab_EtatsFinanciersN" localSheetId="9">A0!$K$11:$K$98</definedName>
    <definedName name="tab_EtatsFinanciersN" localSheetId="8">AACE!#REF!</definedName>
    <definedName name="tab_EtatsFinanciersN" localSheetId="11">'C PRC0'!$K$11:$K$11</definedName>
    <definedName name="tab_EtatsFinanciersN" localSheetId="10">'C Propres0'!$K$11:$K$18</definedName>
    <definedName name="tab_EtatsFinanciersN" localSheetId="12">E0!$K$11:$K$47</definedName>
    <definedName name="tab_EtatsFinanciersN" localSheetId="13">F0!$K$11:$K$53</definedName>
    <definedName name="tab_EtatsFinanciersN" localSheetId="15">'I Corp0'!$K$11:$K$36</definedName>
    <definedName name="tab_EtatsFinanciersN" localSheetId="16">'I Fi0'!$K$11:$K$16</definedName>
    <definedName name="tab_EtatsFinanciersN" localSheetId="14">'I Incorp0'!$K$11:$K$12</definedName>
    <definedName name="tab_EtatsFinanciersN" localSheetId="17">P0!$K$11:$K$50</definedName>
    <definedName name="tab_EtatsFinanciersN" localSheetId="18">S0!$K$11:$K$32</definedName>
    <definedName name="tab_EtatsFinanciersN" localSheetId="19">T0!$K$11:$K$23</definedName>
    <definedName name="tab_EtatsFinanciersN" localSheetId="20">V0!$K$11:$K$44</definedName>
    <definedName name="tab_EtatsFinanciersN" localSheetId="21">X0!$K$11:$K$16</definedName>
    <definedName name="tab_EtatsFinanciersN">'Balance N Vs N-1'!$K$10:$K$297</definedName>
    <definedName name="tab_EtatsFinanciersN_1" localSheetId="9">A0!$L$11:$L$98</definedName>
    <definedName name="tab_EtatsFinanciersN_1" localSheetId="8">AACE!#REF!</definedName>
    <definedName name="tab_EtatsFinanciersN_1" localSheetId="11">'C PRC0'!$L$11:$L$11</definedName>
    <definedName name="tab_EtatsFinanciersN_1" localSheetId="10">'C Propres0'!$L$11:$L$18</definedName>
    <definedName name="tab_EtatsFinanciersN_1" localSheetId="12">E0!$L$11:$L$47</definedName>
    <definedName name="tab_EtatsFinanciersN_1" localSheetId="13">F0!$L$11:$L$53</definedName>
    <definedName name="tab_EtatsFinanciersN_1" localSheetId="15">'I Corp0'!$L$11:$L$36</definedName>
    <definedName name="tab_EtatsFinanciersN_1" localSheetId="16">'I Fi0'!$L$11:$L$16</definedName>
    <definedName name="tab_EtatsFinanciersN_1" localSheetId="14">'I Incorp0'!$L$11:$L$12</definedName>
    <definedName name="tab_EtatsFinanciersN_1" localSheetId="17">P0!$L$11:$L$50</definedName>
    <definedName name="tab_EtatsFinanciersN_1" localSheetId="18">S0!$L$11:$L$32</definedName>
    <definedName name="tab_EtatsFinanciersN_1" localSheetId="19">T0!$L$11:$L$23</definedName>
    <definedName name="tab_EtatsFinanciersN_1" localSheetId="20">V0!$L$11:$L$44</definedName>
    <definedName name="tab_EtatsFinanciersN_1" localSheetId="21">X0!$L$11:$L$16</definedName>
    <definedName name="tab_EtatsFinanciersN_1">'Balance N Vs N-1'!$L$10:$L$297</definedName>
    <definedName name="tab_Passif">'Passif détaillé'!$B$10:$E$52</definedName>
    <definedName name="tab_PnL">'P&amp;L détaillé'!$B$10:$E$86</definedName>
    <definedName name="_xlnm.Print_Area" localSheetId="9">A0!$A$8:$G$98</definedName>
    <definedName name="_xlnm.Print_Area" localSheetId="8">AACE!$A$8:$G$154</definedName>
    <definedName name="_xlnm.Print_Area" localSheetId="4">'Actif détaillé'!$B$8:$G$71</definedName>
    <definedName name="_xlnm.Print_Area" localSheetId="1">'Balance N Vs N-1'!$A$8:$G$297</definedName>
    <definedName name="_xlnm.Print_Area" localSheetId="2">Bilan!$B$8:$N$32</definedName>
    <definedName name="_xlnm.Print_Area" localSheetId="11">'C PRC0'!$A$8:$G$1048576</definedName>
    <definedName name="_xlnm.Print_Area" localSheetId="10">'C Propres0'!$A$8:$G$18</definedName>
    <definedName name="_xlnm.Print_Area" localSheetId="12">E0!$A$8:$G$47</definedName>
    <definedName name="_xlnm.Print_Area" localSheetId="3">EBIT!$B$8:$G$48</definedName>
    <definedName name="_xlnm.Print_Area" localSheetId="13">F0!$A$8:$G$53</definedName>
    <definedName name="_xlnm.Print_Area" localSheetId="15">'I Corp0'!$A$8:$G$36</definedName>
    <definedName name="_xlnm.Print_Area" localSheetId="16">'I Fi0'!$A$8:$G$16</definedName>
    <definedName name="_xlnm.Print_Area" localSheetId="14">'I Incorp0'!$A$8:$G$12</definedName>
    <definedName name="_xlnm.Print_Area" localSheetId="6">'P&amp;L détaillé'!$B$8:$G$86</definedName>
    <definedName name="_xlnm.Print_Area" localSheetId="17">P0!$A$8:$G$50</definedName>
    <definedName name="_xlnm.Print_Area" localSheetId="5">'Passif détaillé'!$B$8:$G$52</definedName>
    <definedName name="_xlnm.Print_Area" localSheetId="18">S0!$A$8:$G$32</definedName>
    <definedName name="_xlnm.Print_Area" localSheetId="19">T0!$A$8:$G$23</definedName>
    <definedName name="_xlnm.Print_Area" localSheetId="7">Tréso!$B$8:$G$68</definedName>
    <definedName name="_xlnm.Print_Area" localSheetId="20">V0!$A$8:$G$44</definedName>
    <definedName name="_xlnm.Print_Area" localSheetId="21">X0!$A$8:$G$16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0" l="1"/>
  <c r="D20" i="20"/>
  <c r="E17" i="20"/>
  <c r="D17" i="20"/>
  <c r="G153" i="20"/>
  <c r="F153" i="20"/>
  <c r="F152" i="20"/>
  <c r="G152" i="20" s="1"/>
  <c r="F151" i="20"/>
  <c r="G151" i="20" s="1"/>
  <c r="G150" i="20"/>
  <c r="F150" i="20"/>
  <c r="G149" i="20"/>
  <c r="F149" i="20"/>
  <c r="F148" i="20"/>
  <c r="G148" i="20" s="1"/>
  <c r="F147" i="20"/>
  <c r="G147" i="20" s="1"/>
  <c r="F146" i="20"/>
  <c r="G146" i="20" s="1"/>
  <c r="F145" i="20"/>
  <c r="G145" i="20" s="1"/>
  <c r="G144" i="20"/>
  <c r="F144" i="20"/>
  <c r="F143" i="20"/>
  <c r="G143" i="20" s="1"/>
  <c r="F142" i="20"/>
  <c r="G142" i="20" s="1"/>
  <c r="F141" i="20"/>
  <c r="G141" i="20" s="1"/>
  <c r="F140" i="20"/>
  <c r="G140" i="20" s="1"/>
  <c r="F139" i="20"/>
  <c r="G139" i="20" s="1"/>
  <c r="F138" i="20"/>
  <c r="G138" i="20" s="1"/>
  <c r="F137" i="20"/>
  <c r="G137" i="20" s="1"/>
  <c r="F136" i="20"/>
  <c r="G136" i="20" s="1"/>
  <c r="F135" i="20"/>
  <c r="G135" i="20" s="1"/>
  <c r="F134" i="20"/>
  <c r="G134" i="20" s="1"/>
  <c r="F133" i="20"/>
  <c r="G133" i="20" s="1"/>
  <c r="F132" i="20"/>
  <c r="G132" i="20" s="1"/>
  <c r="F131" i="20"/>
  <c r="G131" i="20" s="1"/>
  <c r="F130" i="20"/>
  <c r="G130" i="20" s="1"/>
  <c r="F129" i="20"/>
  <c r="G129" i="20" s="1"/>
  <c r="F128" i="20"/>
  <c r="G128" i="20" s="1"/>
  <c r="F127" i="20"/>
  <c r="G127" i="20" s="1"/>
  <c r="F126" i="20"/>
  <c r="G126" i="20" s="1"/>
  <c r="F125" i="20"/>
  <c r="G125" i="20" s="1"/>
  <c r="F124" i="20"/>
  <c r="G124" i="20" s="1"/>
  <c r="F123" i="20"/>
  <c r="G123" i="20" s="1"/>
  <c r="F122" i="20"/>
  <c r="G122" i="20" s="1"/>
  <c r="F121" i="20"/>
  <c r="G121" i="20" s="1"/>
  <c r="F120" i="20"/>
  <c r="G120" i="20" s="1"/>
  <c r="F119" i="20"/>
  <c r="G119" i="20" s="1"/>
  <c r="F118" i="20"/>
  <c r="G118" i="20" s="1"/>
  <c r="F117" i="20"/>
  <c r="G117" i="20" s="1"/>
  <c r="F116" i="20"/>
  <c r="G116" i="20" s="1"/>
  <c r="G115" i="20"/>
  <c r="F115" i="20"/>
  <c r="F114" i="20"/>
  <c r="G114" i="20" s="1"/>
  <c r="F113" i="20"/>
  <c r="G113" i="20" s="1"/>
  <c r="F112" i="20"/>
  <c r="G112" i="20" s="1"/>
  <c r="F111" i="20"/>
  <c r="G111" i="20" s="1"/>
  <c r="F110" i="20"/>
  <c r="G110" i="20" s="1"/>
  <c r="F109" i="20"/>
  <c r="G109" i="20" s="1"/>
  <c r="F108" i="20"/>
  <c r="G108" i="20" s="1"/>
  <c r="F107" i="20"/>
  <c r="G107" i="20" s="1"/>
  <c r="F106" i="20"/>
  <c r="G106" i="20" s="1"/>
  <c r="F105" i="20"/>
  <c r="G105" i="20" s="1"/>
  <c r="F104" i="20"/>
  <c r="G104" i="20" s="1"/>
  <c r="G103" i="20"/>
  <c r="F103" i="20"/>
  <c r="F102" i="20"/>
  <c r="G102" i="20" s="1"/>
  <c r="G101" i="20"/>
  <c r="F101" i="20"/>
  <c r="F100" i="20"/>
  <c r="G100" i="20" s="1"/>
  <c r="F99" i="20"/>
  <c r="G99" i="20" s="1"/>
  <c r="F98" i="20"/>
  <c r="G98" i="20" s="1"/>
  <c r="F97" i="20"/>
  <c r="G97" i="20" s="1"/>
  <c r="F96" i="20"/>
  <c r="G96" i="20" s="1"/>
  <c r="G95" i="20"/>
  <c r="F95" i="20"/>
  <c r="F94" i="20"/>
  <c r="G94" i="20" s="1"/>
  <c r="F93" i="20"/>
  <c r="G93" i="20" s="1"/>
  <c r="F92" i="20"/>
  <c r="G92" i="20" s="1"/>
  <c r="F91" i="20"/>
  <c r="G91" i="20" s="1"/>
  <c r="G90" i="20"/>
  <c r="F90" i="20"/>
  <c r="F89" i="20"/>
  <c r="G89" i="20" s="1"/>
  <c r="F88" i="20"/>
  <c r="G88" i="20" s="1"/>
  <c r="F87" i="20"/>
  <c r="G87" i="20" s="1"/>
  <c r="G86" i="20"/>
  <c r="F86" i="20"/>
  <c r="G85" i="20"/>
  <c r="F85" i="20"/>
  <c r="F84" i="20"/>
  <c r="G84" i="20" s="1"/>
  <c r="F83" i="20"/>
  <c r="G83" i="20" s="1"/>
  <c r="F82" i="20"/>
  <c r="G82" i="20" s="1"/>
  <c r="F81" i="20"/>
  <c r="G81" i="20" s="1"/>
  <c r="F80" i="20"/>
  <c r="G80" i="20" s="1"/>
  <c r="F79" i="20"/>
  <c r="G79" i="20" s="1"/>
  <c r="F78" i="20"/>
  <c r="G78" i="20" s="1"/>
  <c r="F77" i="20"/>
  <c r="G77" i="20" s="1"/>
  <c r="F76" i="20"/>
  <c r="G76" i="20" s="1"/>
  <c r="F75" i="20"/>
  <c r="G75" i="20" s="1"/>
  <c r="F74" i="20"/>
  <c r="G74" i="20" s="1"/>
  <c r="F73" i="20"/>
  <c r="G73" i="20" s="1"/>
  <c r="F72" i="20"/>
  <c r="G72" i="20" s="1"/>
  <c r="F71" i="20"/>
  <c r="G71" i="20" s="1"/>
  <c r="F70" i="20"/>
  <c r="G70" i="20" s="1"/>
  <c r="F69" i="20"/>
  <c r="G69" i="20" s="1"/>
  <c r="F68" i="20"/>
  <c r="G68" i="20" s="1"/>
  <c r="F67" i="20"/>
  <c r="G67" i="20" s="1"/>
  <c r="F66" i="20"/>
  <c r="G66" i="20" s="1"/>
  <c r="G65" i="20"/>
  <c r="F65" i="20"/>
  <c r="F64" i="20"/>
  <c r="G64" i="20" s="1"/>
  <c r="F63" i="20"/>
  <c r="G63" i="20" s="1"/>
  <c r="F62" i="20"/>
  <c r="G62" i="20" s="1"/>
  <c r="F61" i="20"/>
  <c r="G61" i="20" s="1"/>
  <c r="F60" i="20"/>
  <c r="G60" i="20" s="1"/>
  <c r="F59" i="20"/>
  <c r="G59" i="20" s="1"/>
  <c r="F58" i="20"/>
  <c r="G58" i="20" s="1"/>
  <c r="F57" i="20"/>
  <c r="G57" i="20" s="1"/>
  <c r="F56" i="20"/>
  <c r="G56" i="20" s="1"/>
  <c r="F55" i="20"/>
  <c r="G55" i="20" s="1"/>
  <c r="F54" i="20"/>
  <c r="G54" i="20" s="1"/>
  <c r="F53" i="20"/>
  <c r="G53" i="20" s="1"/>
  <c r="F52" i="20"/>
  <c r="G52" i="20" s="1"/>
  <c r="F51" i="20"/>
  <c r="G51" i="20" s="1"/>
  <c r="F50" i="20"/>
  <c r="G50" i="20" s="1"/>
  <c r="F49" i="20"/>
  <c r="G49" i="20" s="1"/>
  <c r="F48" i="20"/>
  <c r="G48" i="20" s="1"/>
  <c r="G47" i="20"/>
  <c r="F47" i="20"/>
  <c r="G46" i="20"/>
  <c r="F46" i="20"/>
  <c r="F45" i="20"/>
  <c r="G45" i="20" s="1"/>
  <c r="G44" i="20"/>
  <c r="F44" i="20"/>
  <c r="F43" i="20"/>
  <c r="G43" i="20" s="1"/>
  <c r="F42" i="20"/>
  <c r="G42" i="20" s="1"/>
  <c r="F41" i="20"/>
  <c r="G41" i="20" s="1"/>
  <c r="F40" i="20"/>
  <c r="G40" i="20" s="1"/>
  <c r="F39" i="20"/>
  <c r="G39" i="20" s="1"/>
  <c r="F38" i="20"/>
  <c r="G38" i="20" s="1"/>
  <c r="G37" i="20"/>
  <c r="F37" i="20"/>
  <c r="F36" i="20"/>
  <c r="G36" i="20" s="1"/>
  <c r="F35" i="20"/>
  <c r="G35" i="20" s="1"/>
  <c r="F34" i="20"/>
  <c r="G34" i="20" s="1"/>
  <c r="F33" i="20"/>
  <c r="G33" i="20" s="1"/>
  <c r="F32" i="20"/>
  <c r="G32" i="20" s="1"/>
  <c r="F31" i="20"/>
  <c r="G31" i="20" s="1"/>
  <c r="F30" i="20"/>
  <c r="G30" i="20" s="1"/>
  <c r="F29" i="20"/>
  <c r="G29" i="20" s="1"/>
  <c r="F28" i="20"/>
  <c r="G28" i="20" s="1"/>
  <c r="F27" i="20"/>
  <c r="G27" i="20" s="1"/>
  <c r="G26" i="20"/>
  <c r="F26" i="20"/>
  <c r="F25" i="20"/>
  <c r="G25" i="20" s="1"/>
  <c r="F24" i="20"/>
  <c r="G24" i="20" s="1"/>
  <c r="F23" i="20"/>
  <c r="G23" i="20" s="1"/>
  <c r="F22" i="20"/>
  <c r="G22" i="20" s="1"/>
  <c r="F19" i="20"/>
  <c r="G19" i="20" s="1"/>
  <c r="G16" i="20"/>
  <c r="F16" i="20"/>
  <c r="F15" i="20"/>
  <c r="G15" i="20" s="1"/>
  <c r="F14" i="20"/>
  <c r="G14" i="20" s="1"/>
  <c r="F13" i="20"/>
  <c r="G13" i="20" s="1"/>
  <c r="F12" i="20"/>
  <c r="G12" i="20" s="1"/>
  <c r="G11" i="20"/>
  <c r="F11" i="20"/>
  <c r="F10" i="20"/>
  <c r="G10" i="20" s="1"/>
  <c r="E49" i="16"/>
  <c r="D49" i="16"/>
  <c r="E48" i="16"/>
  <c r="D48" i="16"/>
  <c r="E44" i="16"/>
  <c r="D44" i="16"/>
  <c r="E43" i="16"/>
  <c r="D43" i="16"/>
  <c r="E42" i="16"/>
  <c r="G42" i="16" s="1"/>
  <c r="D42" i="16"/>
  <c r="E41" i="16"/>
  <c r="D41" i="16"/>
  <c r="E39" i="16"/>
  <c r="D39" i="16"/>
  <c r="E37" i="16"/>
  <c r="D37" i="16"/>
  <c r="E36" i="16"/>
  <c r="D36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6" i="16"/>
  <c r="G26" i="16" s="1"/>
  <c r="D26" i="16"/>
  <c r="E25" i="16"/>
  <c r="D25" i="16"/>
  <c r="E22" i="16"/>
  <c r="G22" i="16" s="1"/>
  <c r="D22" i="16"/>
  <c r="E21" i="16"/>
  <c r="D21" i="16"/>
  <c r="E18" i="16"/>
  <c r="D18" i="16"/>
  <c r="E17" i="16"/>
  <c r="D17" i="16"/>
  <c r="E15" i="16"/>
  <c r="D15" i="16"/>
  <c r="E14" i="16"/>
  <c r="D14" i="16"/>
  <c r="E13" i="16"/>
  <c r="G13" i="16" s="1"/>
  <c r="D13" i="16"/>
  <c r="E12" i="16"/>
  <c r="D12" i="16"/>
  <c r="E11" i="16"/>
  <c r="G11" i="16" s="1"/>
  <c r="D11" i="16"/>
  <c r="E10" i="16"/>
  <c r="D10" i="16"/>
  <c r="E73" i="17"/>
  <c r="D73" i="17"/>
  <c r="E68" i="17"/>
  <c r="D68" i="17"/>
  <c r="E67" i="17"/>
  <c r="D67" i="17"/>
  <c r="E66" i="17"/>
  <c r="D66" i="17"/>
  <c r="E65" i="17"/>
  <c r="D65" i="17"/>
  <c r="E60" i="17"/>
  <c r="D60" i="17"/>
  <c r="E59" i="17"/>
  <c r="D59" i="17"/>
  <c r="E56" i="17"/>
  <c r="D56" i="17"/>
  <c r="E54" i="17"/>
  <c r="D54" i="17"/>
  <c r="E53" i="17"/>
  <c r="D53" i="17"/>
  <c r="E52" i="17"/>
  <c r="D52" i="17"/>
  <c r="F52" i="17" s="1"/>
  <c r="E51" i="17"/>
  <c r="D51" i="17"/>
  <c r="E50" i="17"/>
  <c r="D50" i="17"/>
  <c r="E48" i="17"/>
  <c r="D48" i="17"/>
  <c r="E46" i="17"/>
  <c r="D46" i="17"/>
  <c r="E43" i="17"/>
  <c r="D43" i="17"/>
  <c r="E42" i="17"/>
  <c r="D42" i="17"/>
  <c r="E41" i="17"/>
  <c r="D41" i="17"/>
  <c r="E40" i="17"/>
  <c r="D40" i="17"/>
  <c r="E35" i="17"/>
  <c r="D35" i="17"/>
  <c r="E34" i="17"/>
  <c r="D34" i="17"/>
  <c r="E33" i="17"/>
  <c r="D33" i="17"/>
  <c r="E32" i="17"/>
  <c r="G32" i="17" s="1"/>
  <c r="D32" i="17"/>
  <c r="E31" i="17"/>
  <c r="G31" i="17" s="1"/>
  <c r="D31" i="17"/>
  <c r="E30" i="17"/>
  <c r="D30" i="17"/>
  <c r="E27" i="17"/>
  <c r="D27" i="17"/>
  <c r="E26" i="17"/>
  <c r="G26" i="17" s="1"/>
  <c r="D26" i="17"/>
  <c r="E25" i="17"/>
  <c r="D25" i="17"/>
  <c r="E24" i="17"/>
  <c r="D24" i="17"/>
  <c r="E23" i="17"/>
  <c r="D23" i="17"/>
  <c r="E22" i="17"/>
  <c r="D22" i="17"/>
  <c r="E19" i="17"/>
  <c r="G19" i="17" s="1"/>
  <c r="D19" i="17"/>
  <c r="E18" i="17"/>
  <c r="G18" i="17" s="1"/>
  <c r="D18" i="17"/>
  <c r="E17" i="17"/>
  <c r="G17" i="17" s="1"/>
  <c r="D17" i="17"/>
  <c r="E16" i="17"/>
  <c r="D16" i="17"/>
  <c r="E15" i="17"/>
  <c r="G15" i="17" s="1"/>
  <c r="D15" i="17"/>
  <c r="E14" i="17"/>
  <c r="D14" i="17"/>
  <c r="E13" i="17"/>
  <c r="G13" i="17" s="1"/>
  <c r="D13" i="17"/>
  <c r="E12" i="17"/>
  <c r="D12" i="17"/>
  <c r="E10" i="17"/>
  <c r="D10" i="17"/>
  <c r="E84" i="15"/>
  <c r="D84" i="15"/>
  <c r="E83" i="15"/>
  <c r="D83" i="15"/>
  <c r="E78" i="15"/>
  <c r="G78" i="15" s="1"/>
  <c r="D78" i="15"/>
  <c r="E77" i="15"/>
  <c r="G77" i="15" s="1"/>
  <c r="D77" i="15"/>
  <c r="E76" i="15"/>
  <c r="D76" i="15"/>
  <c r="E72" i="15"/>
  <c r="G72" i="15" s="1"/>
  <c r="D72" i="15"/>
  <c r="E71" i="15"/>
  <c r="D71" i="15"/>
  <c r="E69" i="15"/>
  <c r="G69" i="15" s="1"/>
  <c r="D69" i="15"/>
  <c r="E68" i="15"/>
  <c r="D68" i="15"/>
  <c r="E61" i="15"/>
  <c r="G61" i="15" s="1"/>
  <c r="D61" i="15"/>
  <c r="E60" i="15"/>
  <c r="D60" i="15"/>
  <c r="E59" i="15"/>
  <c r="D59" i="15"/>
  <c r="E58" i="15"/>
  <c r="D58" i="15"/>
  <c r="E55" i="15"/>
  <c r="G55" i="15" s="1"/>
  <c r="D55" i="15"/>
  <c r="E54" i="15"/>
  <c r="D54" i="15"/>
  <c r="E52" i="15"/>
  <c r="G52" i="15" s="1"/>
  <c r="D52" i="15"/>
  <c r="E51" i="15"/>
  <c r="D51" i="15"/>
  <c r="E49" i="15"/>
  <c r="D49" i="15"/>
  <c r="E48" i="15"/>
  <c r="G48" i="15" s="1"/>
  <c r="D48" i="15"/>
  <c r="E47" i="15"/>
  <c r="D47" i="15"/>
  <c r="E45" i="15"/>
  <c r="D45" i="15"/>
  <c r="E40" i="15"/>
  <c r="D40" i="15"/>
  <c r="E38" i="15"/>
  <c r="D38" i="15"/>
  <c r="E37" i="15"/>
  <c r="D37" i="15"/>
  <c r="E36" i="15"/>
  <c r="D36" i="15"/>
  <c r="E35" i="15"/>
  <c r="D35" i="15"/>
  <c r="E32" i="15"/>
  <c r="D32" i="15"/>
  <c r="E31" i="15"/>
  <c r="D31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1" i="15"/>
  <c r="D21" i="15"/>
  <c r="E19" i="15"/>
  <c r="D19" i="15"/>
  <c r="E18" i="15"/>
  <c r="D18" i="15"/>
  <c r="E16" i="15"/>
  <c r="D16" i="15"/>
  <c r="E15" i="15"/>
  <c r="D15" i="15"/>
  <c r="E14" i="15"/>
  <c r="D14" i="15"/>
  <c r="E13" i="15"/>
  <c r="D13" i="15"/>
  <c r="E11" i="15"/>
  <c r="D11" i="15"/>
  <c r="E10" i="15"/>
  <c r="D10" i="15"/>
  <c r="H16" i="14"/>
  <c r="G16" i="14"/>
  <c r="F16" i="14"/>
  <c r="H15" i="14"/>
  <c r="F15" i="14"/>
  <c r="G15" i="14" s="1"/>
  <c r="H12" i="14"/>
  <c r="G12" i="14"/>
  <c r="F12" i="14"/>
  <c r="H11" i="14"/>
  <c r="F11" i="14"/>
  <c r="G11" i="14" s="1"/>
  <c r="H44" i="13"/>
  <c r="F44" i="13"/>
  <c r="G44" i="13" s="1"/>
  <c r="H43" i="13"/>
  <c r="F43" i="13"/>
  <c r="G43" i="13" s="1"/>
  <c r="H42" i="13"/>
  <c r="F42" i="13"/>
  <c r="G42" i="13" s="1"/>
  <c r="H41" i="13"/>
  <c r="F41" i="13"/>
  <c r="G41" i="13" s="1"/>
  <c r="H40" i="13"/>
  <c r="F40" i="13"/>
  <c r="G40" i="13" s="1"/>
  <c r="H39" i="13"/>
  <c r="F39" i="13"/>
  <c r="G39" i="13" s="1"/>
  <c r="H38" i="13"/>
  <c r="F38" i="13"/>
  <c r="G38" i="13" s="1"/>
  <c r="H37" i="13"/>
  <c r="F37" i="13"/>
  <c r="G37" i="13" s="1"/>
  <c r="H36" i="13"/>
  <c r="F36" i="13"/>
  <c r="G36" i="13" s="1"/>
  <c r="H35" i="13"/>
  <c r="F35" i="13"/>
  <c r="G35" i="13" s="1"/>
  <c r="H34" i="13"/>
  <c r="F34" i="13"/>
  <c r="G34" i="13" s="1"/>
  <c r="H33" i="13"/>
  <c r="F33" i="13"/>
  <c r="G33" i="13" s="1"/>
  <c r="H32" i="13"/>
  <c r="F32" i="13"/>
  <c r="G32" i="13" s="1"/>
  <c r="H31" i="13"/>
  <c r="F31" i="13"/>
  <c r="G31" i="13" s="1"/>
  <c r="H30" i="13"/>
  <c r="F30" i="13"/>
  <c r="G30" i="13" s="1"/>
  <c r="H29" i="13"/>
  <c r="F29" i="13"/>
  <c r="G29" i="13" s="1"/>
  <c r="H28" i="13"/>
  <c r="F28" i="13"/>
  <c r="G28" i="13" s="1"/>
  <c r="H27" i="13"/>
  <c r="F27" i="13"/>
  <c r="G27" i="13" s="1"/>
  <c r="H26" i="13"/>
  <c r="F26" i="13"/>
  <c r="G26" i="13" s="1"/>
  <c r="H25" i="13"/>
  <c r="F25" i="13"/>
  <c r="G25" i="13" s="1"/>
  <c r="H24" i="13"/>
  <c r="F24" i="13"/>
  <c r="G24" i="13" s="1"/>
  <c r="H21" i="13"/>
  <c r="F21" i="13"/>
  <c r="G21" i="13" s="1"/>
  <c r="H20" i="13"/>
  <c r="F20" i="13"/>
  <c r="G20" i="13" s="1"/>
  <c r="H17" i="13"/>
  <c r="F17" i="13"/>
  <c r="G17" i="13" s="1"/>
  <c r="H16" i="13"/>
  <c r="G16" i="13"/>
  <c r="F16" i="13"/>
  <c r="H15" i="13"/>
  <c r="G15" i="13"/>
  <c r="F15" i="13"/>
  <c r="H14" i="13"/>
  <c r="F14" i="13"/>
  <c r="G14" i="13" s="1"/>
  <c r="H13" i="13"/>
  <c r="F13" i="13"/>
  <c r="G13" i="13" s="1"/>
  <c r="H12" i="13"/>
  <c r="F12" i="13"/>
  <c r="G12" i="13" s="1"/>
  <c r="H11" i="13"/>
  <c r="F11" i="13"/>
  <c r="G11" i="13" s="1"/>
  <c r="H23" i="12"/>
  <c r="G23" i="12"/>
  <c r="F23" i="12"/>
  <c r="H22" i="12"/>
  <c r="F22" i="12"/>
  <c r="G22" i="12" s="1"/>
  <c r="H21" i="12"/>
  <c r="F21" i="12"/>
  <c r="G21" i="12" s="1"/>
  <c r="H18" i="12"/>
  <c r="F18" i="12"/>
  <c r="G18" i="12" s="1"/>
  <c r="H12" i="12"/>
  <c r="F12" i="12"/>
  <c r="G12" i="12" s="1"/>
  <c r="H15" i="12"/>
  <c r="F15" i="12"/>
  <c r="G15" i="12" s="1"/>
  <c r="H11" i="12"/>
  <c r="F11" i="12"/>
  <c r="G11" i="12" s="1"/>
  <c r="H32" i="11"/>
  <c r="G32" i="11"/>
  <c r="F32" i="11"/>
  <c r="H31" i="11"/>
  <c r="F31" i="11"/>
  <c r="G31" i="11" s="1"/>
  <c r="H28" i="11"/>
  <c r="F28" i="11"/>
  <c r="G28" i="11" s="1"/>
  <c r="H27" i="11"/>
  <c r="F27" i="11"/>
  <c r="G27" i="11" s="1"/>
  <c r="H26" i="11"/>
  <c r="F26" i="11"/>
  <c r="G26" i="11" s="1"/>
  <c r="H25" i="11"/>
  <c r="F25" i="11"/>
  <c r="G25" i="11" s="1"/>
  <c r="H22" i="11"/>
  <c r="F22" i="11"/>
  <c r="G22" i="11" s="1"/>
  <c r="H21" i="11"/>
  <c r="F21" i="11"/>
  <c r="G21" i="11" s="1"/>
  <c r="H20" i="11"/>
  <c r="F20" i="11"/>
  <c r="G20" i="11" s="1"/>
  <c r="H19" i="11"/>
  <c r="F19" i="11"/>
  <c r="G19" i="11" s="1"/>
  <c r="H18" i="11"/>
  <c r="F18" i="11"/>
  <c r="G18" i="11" s="1"/>
  <c r="H17" i="11"/>
  <c r="F17" i="11"/>
  <c r="G17" i="11" s="1"/>
  <c r="H16" i="11"/>
  <c r="F16" i="11"/>
  <c r="G16" i="11" s="1"/>
  <c r="H15" i="11"/>
  <c r="F15" i="11"/>
  <c r="G15" i="11" s="1"/>
  <c r="H14" i="11"/>
  <c r="F14" i="11"/>
  <c r="G14" i="11" s="1"/>
  <c r="H13" i="11"/>
  <c r="F13" i="11"/>
  <c r="G13" i="11" s="1"/>
  <c r="H12" i="11"/>
  <c r="F12" i="11"/>
  <c r="G12" i="11" s="1"/>
  <c r="H11" i="11"/>
  <c r="F11" i="11"/>
  <c r="G11" i="11" s="1"/>
  <c r="H50" i="10"/>
  <c r="F50" i="10"/>
  <c r="G50" i="10" s="1"/>
  <c r="H49" i="10"/>
  <c r="F49" i="10"/>
  <c r="G49" i="10" s="1"/>
  <c r="H48" i="10"/>
  <c r="F48" i="10"/>
  <c r="G48" i="10" s="1"/>
  <c r="H47" i="10"/>
  <c r="G47" i="10"/>
  <c r="F47" i="10"/>
  <c r="H46" i="10"/>
  <c r="F46" i="10"/>
  <c r="G46" i="10" s="1"/>
  <c r="H45" i="10"/>
  <c r="G45" i="10"/>
  <c r="F45" i="10"/>
  <c r="H44" i="10"/>
  <c r="F44" i="10"/>
  <c r="G44" i="10" s="1"/>
  <c r="H43" i="10"/>
  <c r="F43" i="10"/>
  <c r="G43" i="10" s="1"/>
  <c r="H42" i="10"/>
  <c r="F42" i="10"/>
  <c r="G42" i="10" s="1"/>
  <c r="H41" i="10"/>
  <c r="F41" i="10"/>
  <c r="G41" i="10" s="1"/>
  <c r="H40" i="10"/>
  <c r="F40" i="10"/>
  <c r="G40" i="10" s="1"/>
  <c r="H39" i="10"/>
  <c r="G39" i="10"/>
  <c r="F39" i="10"/>
  <c r="H38" i="10"/>
  <c r="F38" i="10"/>
  <c r="G38" i="10" s="1"/>
  <c r="H37" i="10"/>
  <c r="F37" i="10"/>
  <c r="G37" i="10" s="1"/>
  <c r="H36" i="10"/>
  <c r="F36" i="10"/>
  <c r="G36" i="10" s="1"/>
  <c r="H35" i="10"/>
  <c r="F35" i="10"/>
  <c r="G35" i="10" s="1"/>
  <c r="H34" i="10"/>
  <c r="G34" i="10"/>
  <c r="F34" i="10"/>
  <c r="H33" i="10"/>
  <c r="F33" i="10"/>
  <c r="G33" i="10" s="1"/>
  <c r="H32" i="10"/>
  <c r="F32" i="10"/>
  <c r="G32" i="10" s="1"/>
  <c r="H31" i="10"/>
  <c r="F31" i="10"/>
  <c r="G31" i="10" s="1"/>
  <c r="H13" i="10"/>
  <c r="F13" i="10"/>
  <c r="G13" i="10" s="1"/>
  <c r="H28" i="10"/>
  <c r="G28" i="10"/>
  <c r="F28" i="10"/>
  <c r="H27" i="10"/>
  <c r="F27" i="10"/>
  <c r="G27" i="10" s="1"/>
  <c r="H26" i="10"/>
  <c r="G26" i="10"/>
  <c r="F26" i="10"/>
  <c r="H25" i="10"/>
  <c r="F25" i="10"/>
  <c r="G25" i="10" s="1"/>
  <c r="H24" i="10"/>
  <c r="F24" i="10"/>
  <c r="G24" i="10" s="1"/>
  <c r="H23" i="10"/>
  <c r="F23" i="10"/>
  <c r="G23" i="10" s="1"/>
  <c r="H22" i="10"/>
  <c r="F22" i="10"/>
  <c r="G22" i="10" s="1"/>
  <c r="H21" i="10"/>
  <c r="F21" i="10"/>
  <c r="G21" i="10" s="1"/>
  <c r="H20" i="10"/>
  <c r="F20" i="10"/>
  <c r="G20" i="10" s="1"/>
  <c r="H12" i="10"/>
  <c r="F12" i="10"/>
  <c r="G12" i="10" s="1"/>
  <c r="H19" i="10"/>
  <c r="G19" i="10"/>
  <c r="F19" i="10"/>
  <c r="H18" i="10"/>
  <c r="F18" i="10"/>
  <c r="G18" i="10" s="1"/>
  <c r="H11" i="10"/>
  <c r="F11" i="10"/>
  <c r="G11" i="10" s="1"/>
  <c r="H17" i="10"/>
  <c r="F17" i="10"/>
  <c r="G17" i="10" s="1"/>
  <c r="H16" i="10"/>
  <c r="G16" i="10"/>
  <c r="F16" i="10"/>
  <c r="H16" i="9"/>
  <c r="G16" i="9"/>
  <c r="F16" i="9"/>
  <c r="H15" i="9"/>
  <c r="F15" i="9"/>
  <c r="G15" i="9" s="1"/>
  <c r="H14" i="9"/>
  <c r="F14" i="9"/>
  <c r="G14" i="9" s="1"/>
  <c r="H13" i="9"/>
  <c r="F13" i="9"/>
  <c r="G13" i="9" s="1"/>
  <c r="H12" i="9"/>
  <c r="G12" i="9"/>
  <c r="F12" i="9"/>
  <c r="H11" i="9"/>
  <c r="F11" i="9"/>
  <c r="G11" i="9" s="1"/>
  <c r="H36" i="8"/>
  <c r="F36" i="8"/>
  <c r="G36" i="8" s="1"/>
  <c r="H33" i="8"/>
  <c r="F33" i="8"/>
  <c r="G33" i="8" s="1"/>
  <c r="H32" i="8"/>
  <c r="F32" i="8"/>
  <c r="G32" i="8" s="1"/>
  <c r="H31" i="8"/>
  <c r="F31" i="8"/>
  <c r="G31" i="8" s="1"/>
  <c r="H30" i="8"/>
  <c r="F30" i="8"/>
  <c r="G30" i="8" s="1"/>
  <c r="H29" i="8"/>
  <c r="F29" i="8"/>
  <c r="G29" i="8" s="1"/>
  <c r="H28" i="8"/>
  <c r="F28" i="8"/>
  <c r="G28" i="8" s="1"/>
  <c r="H27" i="8"/>
  <c r="F27" i="8"/>
  <c r="G27" i="8" s="1"/>
  <c r="H26" i="8"/>
  <c r="F26" i="8"/>
  <c r="G26" i="8" s="1"/>
  <c r="H25" i="8"/>
  <c r="F25" i="8"/>
  <c r="G25" i="8" s="1"/>
  <c r="H24" i="8"/>
  <c r="F24" i="8"/>
  <c r="G24" i="8" s="1"/>
  <c r="H23" i="8"/>
  <c r="F23" i="8"/>
  <c r="G23" i="8" s="1"/>
  <c r="H22" i="8"/>
  <c r="F22" i="8"/>
  <c r="G22" i="8" s="1"/>
  <c r="H21" i="8"/>
  <c r="F21" i="8"/>
  <c r="G21" i="8" s="1"/>
  <c r="H20" i="8"/>
  <c r="F20" i="8"/>
  <c r="G20" i="8" s="1"/>
  <c r="H19" i="8"/>
  <c r="F19" i="8"/>
  <c r="G19" i="8" s="1"/>
  <c r="H18" i="8"/>
  <c r="F18" i="8"/>
  <c r="G18" i="8" s="1"/>
  <c r="H17" i="8"/>
  <c r="F17" i="8"/>
  <c r="G17" i="8" s="1"/>
  <c r="H16" i="8"/>
  <c r="F16" i="8"/>
  <c r="G16" i="8" s="1"/>
  <c r="H15" i="8"/>
  <c r="F15" i="8"/>
  <c r="G15" i="8" s="1"/>
  <c r="H14" i="8"/>
  <c r="F14" i="8"/>
  <c r="G14" i="8" s="1"/>
  <c r="H13" i="8"/>
  <c r="F13" i="8"/>
  <c r="G13" i="8" s="1"/>
  <c r="H12" i="8"/>
  <c r="F12" i="8"/>
  <c r="G12" i="8" s="1"/>
  <c r="H11" i="8"/>
  <c r="F11" i="8"/>
  <c r="G11" i="8" s="1"/>
  <c r="H12" i="7"/>
  <c r="F12" i="7"/>
  <c r="G12" i="7" s="1"/>
  <c r="H11" i="7"/>
  <c r="F11" i="7"/>
  <c r="G11" i="7" s="1"/>
  <c r="H53" i="6"/>
  <c r="F53" i="6"/>
  <c r="G53" i="6" s="1"/>
  <c r="H52" i="6"/>
  <c r="F52" i="6"/>
  <c r="G52" i="6" s="1"/>
  <c r="H49" i="6"/>
  <c r="F49" i="6"/>
  <c r="G49" i="6" s="1"/>
  <c r="H48" i="6"/>
  <c r="F48" i="6"/>
  <c r="G48" i="6" s="1"/>
  <c r="H47" i="6"/>
  <c r="F47" i="6"/>
  <c r="G47" i="6" s="1"/>
  <c r="H46" i="6"/>
  <c r="F46" i="6"/>
  <c r="G46" i="6" s="1"/>
  <c r="H45" i="6"/>
  <c r="F45" i="6"/>
  <c r="G45" i="6" s="1"/>
  <c r="H25" i="6"/>
  <c r="G25" i="6"/>
  <c r="F25" i="6"/>
  <c r="H24" i="6"/>
  <c r="F24" i="6"/>
  <c r="G24" i="6" s="1"/>
  <c r="H23" i="6"/>
  <c r="G23" i="6"/>
  <c r="F23" i="6"/>
  <c r="H22" i="6"/>
  <c r="F22" i="6"/>
  <c r="G22" i="6" s="1"/>
  <c r="H21" i="6"/>
  <c r="G21" i="6"/>
  <c r="F21" i="6"/>
  <c r="H20" i="6"/>
  <c r="F20" i="6"/>
  <c r="G20" i="6" s="1"/>
  <c r="H19" i="6"/>
  <c r="F19" i="6"/>
  <c r="G19" i="6" s="1"/>
  <c r="H18" i="6"/>
  <c r="F18" i="6"/>
  <c r="G18" i="6" s="1"/>
  <c r="H17" i="6"/>
  <c r="F17" i="6"/>
  <c r="G17" i="6" s="1"/>
  <c r="H16" i="6"/>
  <c r="F16" i="6"/>
  <c r="G16" i="6" s="1"/>
  <c r="H42" i="6"/>
  <c r="F42" i="6"/>
  <c r="G42" i="6" s="1"/>
  <c r="H15" i="6"/>
  <c r="G15" i="6"/>
  <c r="F15" i="6"/>
  <c r="H14" i="6"/>
  <c r="F14" i="6"/>
  <c r="G14" i="6" s="1"/>
  <c r="H41" i="6"/>
  <c r="G41" i="6"/>
  <c r="F41" i="6"/>
  <c r="H13" i="6"/>
  <c r="F13" i="6"/>
  <c r="G13" i="6" s="1"/>
  <c r="H40" i="6"/>
  <c r="G40" i="6"/>
  <c r="F40" i="6"/>
  <c r="H12" i="6"/>
  <c r="F12" i="6"/>
  <c r="G12" i="6" s="1"/>
  <c r="H39" i="6"/>
  <c r="G39" i="6"/>
  <c r="F39" i="6"/>
  <c r="H11" i="6"/>
  <c r="G11" i="6"/>
  <c r="F11" i="6"/>
  <c r="H38" i="6"/>
  <c r="G38" i="6"/>
  <c r="F38" i="6"/>
  <c r="H37" i="6"/>
  <c r="G37" i="6"/>
  <c r="F37" i="6"/>
  <c r="H36" i="6"/>
  <c r="F36" i="6"/>
  <c r="G36" i="6" s="1"/>
  <c r="H35" i="6"/>
  <c r="G35" i="6"/>
  <c r="F35" i="6"/>
  <c r="H34" i="6"/>
  <c r="F34" i="6"/>
  <c r="G34" i="6" s="1"/>
  <c r="H33" i="6"/>
  <c r="F33" i="6"/>
  <c r="G33" i="6" s="1"/>
  <c r="H32" i="6"/>
  <c r="F32" i="6"/>
  <c r="G32" i="6" s="1"/>
  <c r="H31" i="6"/>
  <c r="G31" i="6"/>
  <c r="F31" i="6"/>
  <c r="H30" i="6"/>
  <c r="G30" i="6"/>
  <c r="F30" i="6"/>
  <c r="H29" i="6"/>
  <c r="F29" i="6"/>
  <c r="G29" i="6" s="1"/>
  <c r="H28" i="6"/>
  <c r="F28" i="6"/>
  <c r="G28" i="6" s="1"/>
  <c r="H47" i="5"/>
  <c r="F47" i="5"/>
  <c r="G47" i="5" s="1"/>
  <c r="H46" i="5"/>
  <c r="F46" i="5"/>
  <c r="G46" i="5" s="1"/>
  <c r="H45" i="5"/>
  <c r="F45" i="5"/>
  <c r="G45" i="5" s="1"/>
  <c r="H44" i="5"/>
  <c r="F44" i="5"/>
  <c r="G44" i="5" s="1"/>
  <c r="H43" i="5"/>
  <c r="G43" i="5"/>
  <c r="F43" i="5"/>
  <c r="H42" i="5"/>
  <c r="G42" i="5"/>
  <c r="F42" i="5"/>
  <c r="H41" i="5"/>
  <c r="F41" i="5"/>
  <c r="G41" i="5" s="1"/>
  <c r="H40" i="5"/>
  <c r="F40" i="5"/>
  <c r="G40" i="5" s="1"/>
  <c r="H39" i="5"/>
  <c r="F39" i="5"/>
  <c r="G39" i="5" s="1"/>
  <c r="H38" i="5"/>
  <c r="F38" i="5"/>
  <c r="G38" i="5" s="1"/>
  <c r="H37" i="5"/>
  <c r="F37" i="5"/>
  <c r="G37" i="5" s="1"/>
  <c r="H36" i="5"/>
  <c r="F36" i="5"/>
  <c r="G36" i="5" s="1"/>
  <c r="H35" i="5"/>
  <c r="F35" i="5"/>
  <c r="G35" i="5" s="1"/>
  <c r="H26" i="5"/>
  <c r="F26" i="5"/>
  <c r="G26" i="5" s="1"/>
  <c r="H25" i="5"/>
  <c r="F25" i="5"/>
  <c r="G25" i="5" s="1"/>
  <c r="H32" i="5"/>
  <c r="F32" i="5"/>
  <c r="G32" i="5" s="1"/>
  <c r="H24" i="5"/>
  <c r="G24" i="5"/>
  <c r="F24" i="5"/>
  <c r="H23" i="5"/>
  <c r="G23" i="5"/>
  <c r="F23" i="5"/>
  <c r="H22" i="5"/>
  <c r="F22" i="5"/>
  <c r="G22" i="5" s="1"/>
  <c r="H21" i="5"/>
  <c r="F21" i="5"/>
  <c r="G21" i="5" s="1"/>
  <c r="H20" i="5"/>
  <c r="F20" i="5"/>
  <c r="G20" i="5" s="1"/>
  <c r="H19" i="5"/>
  <c r="G19" i="5"/>
  <c r="F19" i="5"/>
  <c r="H18" i="5"/>
  <c r="G18" i="5"/>
  <c r="F18" i="5"/>
  <c r="H17" i="5"/>
  <c r="F17" i="5"/>
  <c r="G17" i="5" s="1"/>
  <c r="H16" i="5"/>
  <c r="G16" i="5"/>
  <c r="F16" i="5"/>
  <c r="H15" i="5"/>
  <c r="F15" i="5"/>
  <c r="G15" i="5" s="1"/>
  <c r="H14" i="5"/>
  <c r="F14" i="5"/>
  <c r="G14" i="5" s="1"/>
  <c r="H13" i="5"/>
  <c r="G13" i="5"/>
  <c r="F13" i="5"/>
  <c r="H31" i="5"/>
  <c r="F31" i="5"/>
  <c r="G31" i="5" s="1"/>
  <c r="H30" i="5"/>
  <c r="F30" i="5"/>
  <c r="G30" i="5" s="1"/>
  <c r="H12" i="5"/>
  <c r="F12" i="5"/>
  <c r="G12" i="5" s="1"/>
  <c r="H11" i="5"/>
  <c r="F11" i="5"/>
  <c r="G11" i="5" s="1"/>
  <c r="H29" i="5"/>
  <c r="F29" i="5"/>
  <c r="G29" i="5" s="1"/>
  <c r="H11" i="4"/>
  <c r="F11" i="4"/>
  <c r="G11" i="4" s="1"/>
  <c r="H18" i="3"/>
  <c r="G18" i="3"/>
  <c r="F18" i="3"/>
  <c r="H15" i="3"/>
  <c r="G15" i="3"/>
  <c r="F15" i="3"/>
  <c r="H14" i="3"/>
  <c r="F14" i="3"/>
  <c r="G14" i="3" s="1"/>
  <c r="H13" i="3"/>
  <c r="F13" i="3"/>
  <c r="G13" i="3" s="1"/>
  <c r="H12" i="3"/>
  <c r="F12" i="3"/>
  <c r="G12" i="3" s="1"/>
  <c r="H11" i="3"/>
  <c r="G11" i="3"/>
  <c r="F11" i="3"/>
  <c r="H98" i="2"/>
  <c r="F98" i="2"/>
  <c r="G98" i="2" s="1"/>
  <c r="H97" i="2"/>
  <c r="F97" i="2"/>
  <c r="G97" i="2" s="1"/>
  <c r="H96" i="2"/>
  <c r="F96" i="2"/>
  <c r="G96" i="2" s="1"/>
  <c r="H95" i="2"/>
  <c r="F95" i="2"/>
  <c r="G95" i="2" s="1"/>
  <c r="H94" i="2"/>
  <c r="F94" i="2"/>
  <c r="G94" i="2" s="1"/>
  <c r="H93" i="2"/>
  <c r="F93" i="2"/>
  <c r="G93" i="2" s="1"/>
  <c r="H92" i="2"/>
  <c r="F92" i="2"/>
  <c r="G92" i="2" s="1"/>
  <c r="H91" i="2"/>
  <c r="F91" i="2"/>
  <c r="G91" i="2" s="1"/>
  <c r="H90" i="2"/>
  <c r="F90" i="2"/>
  <c r="G90" i="2" s="1"/>
  <c r="H89" i="2"/>
  <c r="F89" i="2"/>
  <c r="G89" i="2" s="1"/>
  <c r="H88" i="2"/>
  <c r="F88" i="2"/>
  <c r="G88" i="2" s="1"/>
  <c r="H87" i="2"/>
  <c r="F87" i="2"/>
  <c r="G87" i="2" s="1"/>
  <c r="H86" i="2"/>
  <c r="G86" i="2"/>
  <c r="F86" i="2"/>
  <c r="H85" i="2"/>
  <c r="F85" i="2"/>
  <c r="G85" i="2" s="1"/>
  <c r="H84" i="2"/>
  <c r="F84" i="2"/>
  <c r="G84" i="2" s="1"/>
  <c r="H83" i="2"/>
  <c r="F83" i="2"/>
  <c r="G83" i="2" s="1"/>
  <c r="H82" i="2"/>
  <c r="F82" i="2"/>
  <c r="G82" i="2" s="1"/>
  <c r="H81" i="2"/>
  <c r="F81" i="2"/>
  <c r="G81" i="2" s="1"/>
  <c r="H80" i="2"/>
  <c r="F80" i="2"/>
  <c r="G80" i="2" s="1"/>
  <c r="H79" i="2"/>
  <c r="F79" i="2"/>
  <c r="G79" i="2" s="1"/>
  <c r="H78" i="2"/>
  <c r="F78" i="2"/>
  <c r="G78" i="2" s="1"/>
  <c r="H77" i="2"/>
  <c r="F77" i="2"/>
  <c r="G77" i="2" s="1"/>
  <c r="H76" i="2"/>
  <c r="F76" i="2"/>
  <c r="G76" i="2" s="1"/>
  <c r="H75" i="2"/>
  <c r="F75" i="2"/>
  <c r="G75" i="2" s="1"/>
  <c r="H74" i="2"/>
  <c r="F74" i="2"/>
  <c r="G74" i="2" s="1"/>
  <c r="H73" i="2"/>
  <c r="F73" i="2"/>
  <c r="G73" i="2" s="1"/>
  <c r="H72" i="2"/>
  <c r="F72" i="2"/>
  <c r="G72" i="2" s="1"/>
  <c r="H71" i="2"/>
  <c r="F71" i="2"/>
  <c r="G71" i="2" s="1"/>
  <c r="H70" i="2"/>
  <c r="F70" i="2"/>
  <c r="G70" i="2" s="1"/>
  <c r="H69" i="2"/>
  <c r="F69" i="2"/>
  <c r="G69" i="2" s="1"/>
  <c r="H68" i="2"/>
  <c r="G68" i="2"/>
  <c r="F68" i="2"/>
  <c r="H67" i="2"/>
  <c r="G67" i="2"/>
  <c r="F67" i="2"/>
  <c r="H66" i="2"/>
  <c r="F66" i="2"/>
  <c r="G66" i="2" s="1"/>
  <c r="H65" i="2"/>
  <c r="G65" i="2"/>
  <c r="F65" i="2"/>
  <c r="H64" i="2"/>
  <c r="F64" i="2"/>
  <c r="G64" i="2" s="1"/>
  <c r="H63" i="2"/>
  <c r="F63" i="2"/>
  <c r="G63" i="2" s="1"/>
  <c r="H62" i="2"/>
  <c r="F62" i="2"/>
  <c r="G62" i="2" s="1"/>
  <c r="H61" i="2"/>
  <c r="F61" i="2"/>
  <c r="G61" i="2" s="1"/>
  <c r="H60" i="2"/>
  <c r="F60" i="2"/>
  <c r="G60" i="2" s="1"/>
  <c r="H59" i="2"/>
  <c r="F59" i="2"/>
  <c r="G59" i="2" s="1"/>
  <c r="H58" i="2"/>
  <c r="G58" i="2"/>
  <c r="F58" i="2"/>
  <c r="H57" i="2"/>
  <c r="F57" i="2"/>
  <c r="G57" i="2" s="1"/>
  <c r="H56" i="2"/>
  <c r="F56" i="2"/>
  <c r="G56" i="2" s="1"/>
  <c r="H55" i="2"/>
  <c r="F55" i="2"/>
  <c r="G55" i="2" s="1"/>
  <c r="H54" i="2"/>
  <c r="F54" i="2"/>
  <c r="G54" i="2" s="1"/>
  <c r="H53" i="2"/>
  <c r="F53" i="2"/>
  <c r="G53" i="2" s="1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G47" i="2"/>
  <c r="F47" i="2"/>
  <c r="H46" i="2"/>
  <c r="F46" i="2"/>
  <c r="G46" i="2" s="1"/>
  <c r="H45" i="2"/>
  <c r="F45" i="2"/>
  <c r="G45" i="2" s="1"/>
  <c r="H44" i="2"/>
  <c r="F44" i="2"/>
  <c r="G44" i="2" s="1"/>
  <c r="H43" i="2"/>
  <c r="F43" i="2"/>
  <c r="G43" i="2" s="1"/>
  <c r="H42" i="2"/>
  <c r="F42" i="2"/>
  <c r="G42" i="2" s="1"/>
  <c r="H41" i="2"/>
  <c r="F41" i="2"/>
  <c r="G41" i="2" s="1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G35" i="2"/>
  <c r="F35" i="2"/>
  <c r="H34" i="2"/>
  <c r="F34" i="2"/>
  <c r="G34" i="2" s="1"/>
  <c r="H33" i="2"/>
  <c r="F33" i="2"/>
  <c r="G33" i="2" s="1"/>
  <c r="H32" i="2"/>
  <c r="F32" i="2"/>
  <c r="G32" i="2" s="1"/>
  <c r="H31" i="2"/>
  <c r="F31" i="2"/>
  <c r="G31" i="2" s="1"/>
  <c r="H30" i="2"/>
  <c r="G30" i="2"/>
  <c r="F30" i="2"/>
  <c r="H29" i="2"/>
  <c r="F29" i="2"/>
  <c r="G29" i="2" s="1"/>
  <c r="H28" i="2"/>
  <c r="F28" i="2"/>
  <c r="G28" i="2" s="1"/>
  <c r="H27" i="2"/>
  <c r="F27" i="2"/>
  <c r="G27" i="2" s="1"/>
  <c r="H26" i="2"/>
  <c r="F26" i="2"/>
  <c r="G26" i="2" s="1"/>
  <c r="H25" i="2"/>
  <c r="F25" i="2"/>
  <c r="G25" i="2" s="1"/>
  <c r="H24" i="2"/>
  <c r="F24" i="2"/>
  <c r="G24" i="2" s="1"/>
  <c r="H23" i="2"/>
  <c r="F23" i="2"/>
  <c r="G23" i="2" s="1"/>
  <c r="H22" i="2"/>
  <c r="F22" i="2"/>
  <c r="G22" i="2" s="1"/>
  <c r="H21" i="2"/>
  <c r="F21" i="2"/>
  <c r="G21" i="2" s="1"/>
  <c r="H20" i="2"/>
  <c r="F20" i="2"/>
  <c r="G20" i="2" s="1"/>
  <c r="H19" i="2"/>
  <c r="F19" i="2"/>
  <c r="G19" i="2" s="1"/>
  <c r="H12" i="2"/>
  <c r="F12" i="2"/>
  <c r="G12" i="2" s="1"/>
  <c r="H16" i="2"/>
  <c r="F16" i="2"/>
  <c r="G16" i="2" s="1"/>
  <c r="H11" i="2"/>
  <c r="G11" i="2"/>
  <c r="F11" i="2"/>
  <c r="H15" i="2"/>
  <c r="F15" i="2"/>
  <c r="G15" i="2" s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E306" i="1"/>
  <c r="D306" i="1"/>
  <c r="E305" i="1"/>
  <c r="D305" i="1"/>
  <c r="E301" i="1"/>
  <c r="D301" i="1"/>
  <c r="E300" i="1"/>
  <c r="D300" i="1"/>
  <c r="G297" i="1"/>
  <c r="F297" i="1"/>
  <c r="F296" i="1"/>
  <c r="G296" i="1" s="1"/>
  <c r="F295" i="1"/>
  <c r="G295" i="1" s="1"/>
  <c r="G294" i="1"/>
  <c r="F294" i="1"/>
  <c r="G293" i="1"/>
  <c r="F293" i="1"/>
  <c r="F292" i="1"/>
  <c r="G292" i="1" s="1"/>
  <c r="F291" i="1"/>
  <c r="G291" i="1" s="1"/>
  <c r="F290" i="1"/>
  <c r="G290" i="1" s="1"/>
  <c r="F289" i="1"/>
  <c r="G289" i="1" s="1"/>
  <c r="G288" i="1"/>
  <c r="F288" i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G259" i="1"/>
  <c r="F259" i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G247" i="1"/>
  <c r="F247" i="1"/>
  <c r="F246" i="1"/>
  <c r="G246" i="1" s="1"/>
  <c r="G245" i="1"/>
  <c r="F245" i="1"/>
  <c r="F244" i="1"/>
  <c r="G244" i="1" s="1"/>
  <c r="F243" i="1"/>
  <c r="G243" i="1" s="1"/>
  <c r="F242" i="1"/>
  <c r="G242" i="1" s="1"/>
  <c r="F241" i="1"/>
  <c r="G241" i="1" s="1"/>
  <c r="F240" i="1"/>
  <c r="G240" i="1" s="1"/>
  <c r="G239" i="1"/>
  <c r="F239" i="1"/>
  <c r="F238" i="1"/>
  <c r="G238" i="1" s="1"/>
  <c r="F237" i="1"/>
  <c r="G237" i="1" s="1"/>
  <c r="F236" i="1"/>
  <c r="G236" i="1" s="1"/>
  <c r="F235" i="1"/>
  <c r="G235" i="1" s="1"/>
  <c r="G234" i="1"/>
  <c r="F234" i="1"/>
  <c r="F233" i="1"/>
  <c r="G233" i="1" s="1"/>
  <c r="F232" i="1"/>
  <c r="G232" i="1" s="1"/>
  <c r="F231" i="1"/>
  <c r="G231" i="1" s="1"/>
  <c r="G230" i="1"/>
  <c r="F230" i="1"/>
  <c r="G229" i="1"/>
  <c r="F229" i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G209" i="1"/>
  <c r="F209" i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G191" i="1"/>
  <c r="F191" i="1"/>
  <c r="G190" i="1"/>
  <c r="F190" i="1"/>
  <c r="F189" i="1"/>
  <c r="G189" i="1" s="1"/>
  <c r="G188" i="1"/>
  <c r="F188" i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G181" i="1"/>
  <c r="F181" i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G170" i="1"/>
  <c r="F170" i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G158" i="1"/>
  <c r="F158" i="1"/>
  <c r="F157" i="1"/>
  <c r="G157" i="1" s="1"/>
  <c r="F156" i="1"/>
  <c r="G156" i="1" s="1"/>
  <c r="F155" i="1"/>
  <c r="G155" i="1" s="1"/>
  <c r="F154" i="1"/>
  <c r="G154" i="1" s="1"/>
  <c r="G153" i="1"/>
  <c r="F153" i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G138" i="1"/>
  <c r="F138" i="1"/>
  <c r="F137" i="1"/>
  <c r="G137" i="1" s="1"/>
  <c r="G136" i="1"/>
  <c r="F136" i="1"/>
  <c r="F135" i="1"/>
  <c r="G135" i="1" s="1"/>
  <c r="G134" i="1"/>
  <c r="F134" i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G127" i="1"/>
  <c r="F127" i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G120" i="1"/>
  <c r="F120" i="1"/>
  <c r="F119" i="1"/>
  <c r="G119" i="1" s="1"/>
  <c r="G118" i="1"/>
  <c r="F118" i="1"/>
  <c r="F117" i="1"/>
  <c r="G117" i="1" s="1"/>
  <c r="G116" i="1"/>
  <c r="F116" i="1"/>
  <c r="G115" i="1"/>
  <c r="F115" i="1"/>
  <c r="G114" i="1"/>
  <c r="F114" i="1"/>
  <c r="G113" i="1"/>
  <c r="F113" i="1"/>
  <c r="F112" i="1"/>
  <c r="G112" i="1" s="1"/>
  <c r="F111" i="1"/>
  <c r="G111" i="1" s="1"/>
  <c r="F110" i="1"/>
  <c r="G110" i="1" s="1"/>
  <c r="F109" i="1"/>
  <c r="G109" i="1" s="1"/>
  <c r="G108" i="1"/>
  <c r="F108" i="1"/>
  <c r="G107" i="1"/>
  <c r="F107" i="1"/>
  <c r="F106" i="1"/>
  <c r="G106" i="1" s="1"/>
  <c r="F105" i="1"/>
  <c r="G105" i="1" s="1"/>
  <c r="F104" i="1"/>
  <c r="G104" i="1" s="1"/>
  <c r="G103" i="1"/>
  <c r="F103" i="1"/>
  <c r="G102" i="1"/>
  <c r="F102" i="1"/>
  <c r="F101" i="1"/>
  <c r="G101" i="1" s="1"/>
  <c r="G100" i="1"/>
  <c r="F100" i="1"/>
  <c r="F99" i="1"/>
  <c r="G99" i="1" s="1"/>
  <c r="F98" i="1"/>
  <c r="G98" i="1" s="1"/>
  <c r="G97" i="1"/>
  <c r="F97" i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G90" i="1"/>
  <c r="F90" i="1"/>
  <c r="F89" i="1"/>
  <c r="G89" i="1" s="1"/>
  <c r="G88" i="1"/>
  <c r="F88" i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G80" i="1"/>
  <c r="F80" i="1"/>
  <c r="F79" i="1"/>
  <c r="G79" i="1" s="1"/>
  <c r="F78" i="1"/>
  <c r="G78" i="1" s="1"/>
  <c r="F77" i="1"/>
  <c r="G77" i="1" s="1"/>
  <c r="G76" i="1"/>
  <c r="F76" i="1"/>
  <c r="G75" i="1"/>
  <c r="F75" i="1"/>
  <c r="G74" i="1"/>
  <c r="F74" i="1"/>
  <c r="F73" i="1"/>
  <c r="G73" i="1" s="1"/>
  <c r="F72" i="1"/>
  <c r="G72" i="1" s="1"/>
  <c r="F71" i="1"/>
  <c r="G71" i="1" s="1"/>
  <c r="F70" i="1"/>
  <c r="G70" i="1" s="1"/>
  <c r="F69" i="1"/>
  <c r="G69" i="1" s="1"/>
  <c r="G68" i="1"/>
  <c r="F68" i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G43" i="1"/>
  <c r="F43" i="1"/>
  <c r="F42" i="1"/>
  <c r="G42" i="1" s="1"/>
  <c r="F41" i="1"/>
  <c r="G41" i="1" s="1"/>
  <c r="F40" i="1"/>
  <c r="G40" i="1" s="1"/>
  <c r="G39" i="1"/>
  <c r="F39" i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G23" i="1"/>
  <c r="F23" i="1"/>
  <c r="F22" i="1"/>
  <c r="G22" i="1" s="1"/>
  <c r="F21" i="1"/>
  <c r="G21" i="1" s="1"/>
  <c r="F20" i="1"/>
  <c r="G20" i="1" s="1"/>
  <c r="G19" i="1"/>
  <c r="F19" i="1"/>
  <c r="G18" i="1"/>
  <c r="F18" i="1"/>
  <c r="F17" i="1"/>
  <c r="G17" i="1" s="1"/>
  <c r="F16" i="1"/>
  <c r="G16" i="1" s="1"/>
  <c r="F15" i="1"/>
  <c r="G15" i="1" s="1"/>
  <c r="G14" i="1"/>
  <c r="F14" i="1"/>
  <c r="F13" i="1"/>
  <c r="G13" i="1" s="1"/>
  <c r="F12" i="1"/>
  <c r="G12" i="1" s="1"/>
  <c r="F11" i="1"/>
  <c r="G11" i="1" s="1"/>
  <c r="G10" i="1"/>
  <c r="F10" i="1"/>
  <c r="G35" i="17" l="1"/>
  <c r="F26" i="17"/>
  <c r="F19" i="17"/>
  <c r="F43" i="17"/>
  <c r="G43" i="17" s="1"/>
  <c r="E307" i="1"/>
  <c r="F14" i="16"/>
  <c r="G14" i="16" s="1"/>
  <c r="F17" i="17"/>
  <c r="F72" i="15"/>
  <c r="D307" i="1"/>
  <c r="D92" i="15" s="1"/>
  <c r="F33" i="17"/>
  <c r="G33" i="17" s="1"/>
  <c r="F78" i="15"/>
  <c r="F13" i="17"/>
  <c r="G41" i="17"/>
  <c r="F20" i="20"/>
  <c r="E154" i="20"/>
  <c r="F31" i="17"/>
  <c r="F26" i="16"/>
  <c r="F24" i="17"/>
  <c r="F54" i="17"/>
  <c r="F61" i="15"/>
  <c r="F17" i="20"/>
  <c r="G17" i="20" s="1"/>
  <c r="F54" i="15"/>
  <c r="G54" i="15" s="1"/>
  <c r="F53" i="17"/>
  <c r="F48" i="15"/>
  <c r="F77" i="15"/>
  <c r="F34" i="17"/>
  <c r="F15" i="17"/>
  <c r="F43" i="16"/>
  <c r="F32" i="17"/>
  <c r="F35" i="17"/>
  <c r="F18" i="17"/>
  <c r="F22" i="16"/>
  <c r="F42" i="17"/>
  <c r="F41" i="17"/>
  <c r="F14" i="17"/>
  <c r="F32" i="15"/>
  <c r="F37" i="16"/>
  <c r="F11" i="16"/>
  <c r="F44" i="16"/>
  <c r="F59" i="15"/>
  <c r="G59" i="15" s="1"/>
  <c r="F13" i="16"/>
  <c r="F51" i="17"/>
  <c r="F25" i="17"/>
  <c r="G25" i="17" s="1"/>
  <c r="F23" i="17"/>
  <c r="F16" i="17"/>
  <c r="G16" i="17" s="1"/>
  <c r="F69" i="15"/>
  <c r="F52" i="15"/>
  <c r="F49" i="15"/>
  <c r="F27" i="17"/>
  <c r="G27" i="17" s="1"/>
  <c r="F60" i="15"/>
  <c r="G60" i="15" s="1"/>
  <c r="F55" i="15"/>
  <c r="D154" i="20"/>
  <c r="F42" i="16"/>
  <c r="E302" i="1"/>
  <c r="E54" i="16"/>
  <c r="D302" i="1"/>
  <c r="D54" i="16"/>
  <c r="G20" i="20"/>
  <c r="D10" i="18"/>
  <c r="D12" i="15"/>
  <c r="F10" i="15"/>
  <c r="G10" i="15" s="1"/>
  <c r="E10" i="18"/>
  <c r="E12" i="15"/>
  <c r="D11" i="18"/>
  <c r="F11" i="15"/>
  <c r="E11" i="18"/>
  <c r="G11" i="15"/>
  <c r="D14" i="18"/>
  <c r="F13" i="15"/>
  <c r="E14" i="18"/>
  <c r="G13" i="15"/>
  <c r="D15" i="18"/>
  <c r="F14" i="15"/>
  <c r="E15" i="18"/>
  <c r="G15" i="18" s="1"/>
  <c r="G14" i="15"/>
  <c r="D24" i="18"/>
  <c r="F15" i="15"/>
  <c r="E24" i="18"/>
  <c r="G24" i="18" s="1"/>
  <c r="G15" i="15"/>
  <c r="D25" i="18"/>
  <c r="F16" i="15"/>
  <c r="E25" i="18"/>
  <c r="G25" i="18" s="1"/>
  <c r="G16" i="15"/>
  <c r="D36" i="18"/>
  <c r="D20" i="15"/>
  <c r="F18" i="15"/>
  <c r="E36" i="18"/>
  <c r="E20" i="15"/>
  <c r="G18" i="15"/>
  <c r="D26" i="18"/>
  <c r="F19" i="15"/>
  <c r="E26" i="18"/>
  <c r="G19" i="15"/>
  <c r="D27" i="18"/>
  <c r="F21" i="15"/>
  <c r="G21" i="15" s="1"/>
  <c r="E27" i="18"/>
  <c r="D18" i="18"/>
  <c r="F24" i="15"/>
  <c r="G24" i="15" s="1"/>
  <c r="E18" i="18"/>
  <c r="D19" i="18"/>
  <c r="F25" i="15"/>
  <c r="G25" i="15" s="1"/>
  <c r="E19" i="18"/>
  <c r="D20" i="18"/>
  <c r="F26" i="15"/>
  <c r="G26" i="15" s="1"/>
  <c r="E20" i="18"/>
  <c r="D21" i="18"/>
  <c r="F27" i="15"/>
  <c r="E21" i="18"/>
  <c r="G27" i="15"/>
  <c r="D28" i="18"/>
  <c r="F28" i="15"/>
  <c r="E28" i="18"/>
  <c r="G28" i="15"/>
  <c r="D29" i="18"/>
  <c r="F29" i="15"/>
  <c r="E29" i="18"/>
  <c r="G29" i="15"/>
  <c r="D33" i="15"/>
  <c r="F31" i="15"/>
  <c r="E33" i="15"/>
  <c r="G31" i="15"/>
  <c r="G32" i="15"/>
  <c r="D37" i="18"/>
  <c r="D39" i="15"/>
  <c r="F35" i="15"/>
  <c r="E37" i="18"/>
  <c r="E39" i="15"/>
  <c r="G35" i="15"/>
  <c r="D38" i="18"/>
  <c r="F36" i="15"/>
  <c r="E38" i="18"/>
  <c r="G38" i="18" s="1"/>
  <c r="G36" i="15"/>
  <c r="D39" i="18"/>
  <c r="F37" i="15"/>
  <c r="E39" i="18"/>
  <c r="G37" i="15"/>
  <c r="D33" i="18"/>
  <c r="F38" i="15"/>
  <c r="E33" i="18"/>
  <c r="G33" i="18" s="1"/>
  <c r="G38" i="15"/>
  <c r="D32" i="18"/>
  <c r="F40" i="15"/>
  <c r="E32" i="18"/>
  <c r="G40" i="15"/>
  <c r="D43" i="18"/>
  <c r="F45" i="15"/>
  <c r="E43" i="18"/>
  <c r="G43" i="18" s="1"/>
  <c r="G45" i="15"/>
  <c r="F47" i="15"/>
  <c r="G47" i="15"/>
  <c r="G49" i="15"/>
  <c r="D53" i="15"/>
  <c r="F51" i="15"/>
  <c r="E53" i="15"/>
  <c r="G51" i="15"/>
  <c r="D62" i="15"/>
  <c r="F58" i="15"/>
  <c r="E62" i="15"/>
  <c r="G58" i="15"/>
  <c r="F68" i="15"/>
  <c r="G68" i="15"/>
  <c r="D73" i="15"/>
  <c r="F71" i="15"/>
  <c r="E73" i="15"/>
  <c r="G71" i="15"/>
  <c r="D79" i="15"/>
  <c r="F76" i="15"/>
  <c r="E79" i="15"/>
  <c r="G76" i="15"/>
  <c r="D31" i="18"/>
  <c r="F83" i="15"/>
  <c r="E31" i="18"/>
  <c r="G83" i="15"/>
  <c r="D46" i="18"/>
  <c r="F84" i="15"/>
  <c r="E46" i="18"/>
  <c r="G84" i="15"/>
  <c r="D32" i="21"/>
  <c r="D10" i="19"/>
  <c r="F10" i="17"/>
  <c r="E32" i="21"/>
  <c r="E10" i="19"/>
  <c r="G10" i="17"/>
  <c r="D20" i="17"/>
  <c r="F12" i="17"/>
  <c r="E20" i="17"/>
  <c r="G12" i="17"/>
  <c r="G14" i="17"/>
  <c r="D28" i="17"/>
  <c r="F22" i="17"/>
  <c r="E28" i="17"/>
  <c r="G22" i="17"/>
  <c r="G23" i="17"/>
  <c r="G24" i="17"/>
  <c r="D36" i="17"/>
  <c r="F30" i="17"/>
  <c r="E36" i="17"/>
  <c r="G30" i="17"/>
  <c r="G34" i="17"/>
  <c r="D44" i="17"/>
  <c r="F40" i="17"/>
  <c r="E44" i="17"/>
  <c r="G40" i="17"/>
  <c r="G42" i="17"/>
  <c r="D11" i="21"/>
  <c r="D23" i="19"/>
  <c r="F46" i="17"/>
  <c r="E11" i="21"/>
  <c r="G11" i="21" s="1"/>
  <c r="E23" i="19"/>
  <c r="G23" i="19" s="1"/>
  <c r="G46" i="17"/>
  <c r="D12" i="21"/>
  <c r="D24" i="19"/>
  <c r="F48" i="17"/>
  <c r="E12" i="21"/>
  <c r="E24" i="19"/>
  <c r="G48" i="17"/>
  <c r="D55" i="17"/>
  <c r="F50" i="17"/>
  <c r="E55" i="17"/>
  <c r="G50" i="17"/>
  <c r="G51" i="17"/>
  <c r="G52" i="17"/>
  <c r="G53" i="17"/>
  <c r="G54" i="17"/>
  <c r="D14" i="21"/>
  <c r="D26" i="19"/>
  <c r="F56" i="17"/>
  <c r="E14" i="21"/>
  <c r="G14" i="21" s="1"/>
  <c r="E26" i="19"/>
  <c r="G26" i="19" s="1"/>
  <c r="G56" i="17"/>
  <c r="D60" i="21"/>
  <c r="D47" i="21"/>
  <c r="D61" i="17"/>
  <c r="F59" i="17"/>
  <c r="E60" i="21"/>
  <c r="E47" i="21"/>
  <c r="E61" i="17"/>
  <c r="G59" i="17"/>
  <c r="D61" i="21"/>
  <c r="D48" i="21"/>
  <c r="F60" i="17"/>
  <c r="G60" i="17" s="1"/>
  <c r="E61" i="21"/>
  <c r="E48" i="21"/>
  <c r="D15" i="21"/>
  <c r="D69" i="17"/>
  <c r="F65" i="17"/>
  <c r="E15" i="21"/>
  <c r="E69" i="17"/>
  <c r="G65" i="17"/>
  <c r="D16" i="21"/>
  <c r="F66" i="17"/>
  <c r="E16" i="21"/>
  <c r="G16" i="21" s="1"/>
  <c r="G66" i="17"/>
  <c r="D62" i="21"/>
  <c r="D49" i="21"/>
  <c r="F67" i="17"/>
  <c r="E62" i="21"/>
  <c r="G62" i="21" s="1"/>
  <c r="E49" i="21"/>
  <c r="G67" i="17"/>
  <c r="D17" i="21"/>
  <c r="F68" i="17"/>
  <c r="E17" i="21"/>
  <c r="G17" i="21" s="1"/>
  <c r="G68" i="17"/>
  <c r="K10" i="19"/>
  <c r="F10" i="16"/>
  <c r="L10" i="19"/>
  <c r="G10" i="16"/>
  <c r="K11" i="19"/>
  <c r="F12" i="16"/>
  <c r="L11" i="19"/>
  <c r="G12" i="16"/>
  <c r="K12" i="19"/>
  <c r="F15" i="16"/>
  <c r="L12" i="19"/>
  <c r="N12" i="19" s="1"/>
  <c r="G15" i="16"/>
  <c r="K14" i="19"/>
  <c r="F17" i="16"/>
  <c r="L14" i="19"/>
  <c r="N14" i="19" s="1"/>
  <c r="G17" i="16"/>
  <c r="K15" i="19"/>
  <c r="F18" i="16"/>
  <c r="L15" i="19"/>
  <c r="N15" i="19" s="1"/>
  <c r="G18" i="16"/>
  <c r="D23" i="16"/>
  <c r="F21" i="16"/>
  <c r="E23" i="16"/>
  <c r="G21" i="16"/>
  <c r="D27" i="16"/>
  <c r="F25" i="16"/>
  <c r="E27" i="16"/>
  <c r="G25" i="16"/>
  <c r="D63" i="21"/>
  <c r="D39" i="21"/>
  <c r="K22" i="19"/>
  <c r="F29" i="16"/>
  <c r="E63" i="21"/>
  <c r="G63" i="21" s="1"/>
  <c r="E39" i="21"/>
  <c r="L22" i="19"/>
  <c r="G29" i="16"/>
  <c r="D64" i="21"/>
  <c r="D40" i="21"/>
  <c r="F30" i="16"/>
  <c r="E64" i="21"/>
  <c r="G64" i="21" s="1"/>
  <c r="E40" i="21"/>
  <c r="G40" i="21" s="1"/>
  <c r="G30" i="16"/>
  <c r="D65" i="21"/>
  <c r="D50" i="21"/>
  <c r="F31" i="16"/>
  <c r="G31" i="16" s="1"/>
  <c r="E65" i="21"/>
  <c r="E50" i="21"/>
  <c r="D66" i="21"/>
  <c r="D51" i="21"/>
  <c r="F32" i="16"/>
  <c r="E66" i="21"/>
  <c r="E51" i="21"/>
  <c r="G32" i="16"/>
  <c r="D18" i="21"/>
  <c r="K23" i="19"/>
  <c r="F33" i="16"/>
  <c r="E18" i="21"/>
  <c r="G18" i="21" s="1"/>
  <c r="L23" i="19"/>
  <c r="N23" i="19" s="1"/>
  <c r="G33" i="16"/>
  <c r="D19" i="21"/>
  <c r="K24" i="19"/>
  <c r="F34" i="16"/>
  <c r="G34" i="16" s="1"/>
  <c r="E19" i="21"/>
  <c r="L24" i="19"/>
  <c r="D38" i="16"/>
  <c r="F36" i="16"/>
  <c r="E38" i="16"/>
  <c r="G36" i="16"/>
  <c r="G37" i="16"/>
  <c r="D21" i="21"/>
  <c r="K26" i="19"/>
  <c r="F39" i="16"/>
  <c r="E21" i="21"/>
  <c r="G21" i="21" s="1"/>
  <c r="L26" i="19"/>
  <c r="N26" i="19" s="1"/>
  <c r="G39" i="16"/>
  <c r="D45" i="16"/>
  <c r="F41" i="16"/>
  <c r="E45" i="16"/>
  <c r="G41" i="16"/>
  <c r="G43" i="16"/>
  <c r="G44" i="16"/>
  <c r="D23" i="21"/>
  <c r="D50" i="16"/>
  <c r="F48" i="16"/>
  <c r="E23" i="21"/>
  <c r="G23" i="21" s="1"/>
  <c r="E50" i="16"/>
  <c r="G48" i="16"/>
  <c r="D24" i="21"/>
  <c r="F49" i="16"/>
  <c r="E24" i="21"/>
  <c r="G24" i="21" s="1"/>
  <c r="G49" i="16"/>
  <c r="F154" i="20"/>
  <c r="G154" i="20" s="1"/>
  <c r="F33" i="15"/>
  <c r="G33" i="15" s="1"/>
  <c r="F20" i="15"/>
  <c r="G20" i="15" s="1"/>
  <c r="E27" i="19" l="1"/>
  <c r="E310" i="1"/>
  <c r="F44" i="17"/>
  <c r="G44" i="17" s="1"/>
  <c r="D310" i="1"/>
  <c r="F55" i="17"/>
  <c r="G55" i="17" s="1"/>
  <c r="E308" i="1"/>
  <c r="E16" i="16"/>
  <c r="E50" i="18"/>
  <c r="E92" i="15"/>
  <c r="F73" i="15"/>
  <c r="D16" i="16"/>
  <c r="K13" i="19" s="1"/>
  <c r="D50" i="18"/>
  <c r="D308" i="1"/>
  <c r="F20" i="17"/>
  <c r="G20" i="17" s="1"/>
  <c r="M22" i="19"/>
  <c r="N22" i="19" s="1"/>
  <c r="G31" i="18"/>
  <c r="G49" i="21"/>
  <c r="G39" i="21"/>
  <c r="F24" i="21"/>
  <c r="L30" i="19"/>
  <c r="N30" i="19" s="1"/>
  <c r="G50" i="16"/>
  <c r="K30" i="19"/>
  <c r="F50" i="16"/>
  <c r="F23" i="21"/>
  <c r="E22" i="21"/>
  <c r="L27" i="19"/>
  <c r="D22" i="21"/>
  <c r="K27" i="19"/>
  <c r="M27" i="19" s="1"/>
  <c r="F45" i="16"/>
  <c r="G45" i="16" s="1"/>
  <c r="M26" i="19"/>
  <c r="F21" i="21"/>
  <c r="E20" i="21"/>
  <c r="L25" i="19"/>
  <c r="E46" i="16"/>
  <c r="D20" i="21"/>
  <c r="K25" i="19"/>
  <c r="F38" i="16"/>
  <c r="G38" i="16" s="1"/>
  <c r="D46" i="16"/>
  <c r="M24" i="19"/>
  <c r="F19" i="21"/>
  <c r="G19" i="21" s="1"/>
  <c r="M23" i="19"/>
  <c r="F18" i="21"/>
  <c r="F51" i="21"/>
  <c r="G51" i="21" s="1"/>
  <c r="F66" i="21"/>
  <c r="G66" i="21" s="1"/>
  <c r="F50" i="21"/>
  <c r="G50" i="21" s="1"/>
  <c r="F65" i="21"/>
  <c r="G65" i="21" s="1"/>
  <c r="F40" i="21"/>
  <c r="F64" i="21"/>
  <c r="F39" i="21"/>
  <c r="F63" i="21"/>
  <c r="E38" i="21"/>
  <c r="L20" i="19"/>
  <c r="F27" i="16"/>
  <c r="G27" i="16" s="1"/>
  <c r="D38" i="21"/>
  <c r="F38" i="21" s="1"/>
  <c r="K20" i="19"/>
  <c r="M20" i="19" s="1"/>
  <c r="E37" i="21"/>
  <c r="G37" i="21" s="1"/>
  <c r="L18" i="19"/>
  <c r="N18" i="19" s="1"/>
  <c r="G23" i="16"/>
  <c r="D37" i="21"/>
  <c r="K18" i="19"/>
  <c r="F23" i="16"/>
  <c r="M15" i="19"/>
  <c r="M14" i="19"/>
  <c r="M12" i="19"/>
  <c r="M11" i="19"/>
  <c r="N11" i="19" s="1"/>
  <c r="M10" i="19"/>
  <c r="N10" i="19" s="1"/>
  <c r="F17" i="21"/>
  <c r="F49" i="21"/>
  <c r="F62" i="21"/>
  <c r="F16" i="21"/>
  <c r="E30" i="19"/>
  <c r="D30" i="19"/>
  <c r="F30" i="19" s="1"/>
  <c r="F69" i="17"/>
  <c r="G69" i="17" s="1"/>
  <c r="F15" i="21"/>
  <c r="G15" i="21" s="1"/>
  <c r="F48" i="21"/>
  <c r="G48" i="21" s="1"/>
  <c r="F61" i="21"/>
  <c r="G61" i="21" s="1"/>
  <c r="E53" i="21"/>
  <c r="G47" i="21"/>
  <c r="E68" i="21"/>
  <c r="G60" i="21"/>
  <c r="D27" i="19"/>
  <c r="F61" i="17"/>
  <c r="G61" i="17" s="1"/>
  <c r="D53" i="21"/>
  <c r="F47" i="21"/>
  <c r="D68" i="21"/>
  <c r="F60" i="21"/>
  <c r="F26" i="19"/>
  <c r="F14" i="21"/>
  <c r="E13" i="21"/>
  <c r="E25" i="19"/>
  <c r="E57" i="17"/>
  <c r="E63" i="17" s="1"/>
  <c r="D13" i="21"/>
  <c r="D25" i="19"/>
  <c r="D57" i="17"/>
  <c r="F24" i="19"/>
  <c r="G24" i="19" s="1"/>
  <c r="F12" i="21"/>
  <c r="G12" i="21" s="1"/>
  <c r="F23" i="19"/>
  <c r="F11" i="21"/>
  <c r="E10" i="21"/>
  <c r="E22" i="19"/>
  <c r="D10" i="21"/>
  <c r="D22" i="19"/>
  <c r="E35" i="21"/>
  <c r="E14" i="19"/>
  <c r="D35" i="21"/>
  <c r="D14" i="19"/>
  <c r="F36" i="17"/>
  <c r="G36" i="17" s="1"/>
  <c r="E34" i="21"/>
  <c r="E13" i="19"/>
  <c r="D34" i="21"/>
  <c r="D13" i="19"/>
  <c r="F28" i="17"/>
  <c r="G28" i="17" s="1"/>
  <c r="E33" i="21"/>
  <c r="E12" i="19"/>
  <c r="E38" i="17"/>
  <c r="D33" i="21"/>
  <c r="D12" i="19"/>
  <c r="D38" i="17"/>
  <c r="G10" i="19"/>
  <c r="G32" i="21"/>
  <c r="F10" i="19"/>
  <c r="F32" i="21"/>
  <c r="F46" i="18"/>
  <c r="G46" i="18" s="1"/>
  <c r="F31" i="18"/>
  <c r="F79" i="15"/>
  <c r="G79" i="15" s="1"/>
  <c r="G73" i="15"/>
  <c r="E74" i="15"/>
  <c r="E81" i="15" s="1"/>
  <c r="D74" i="15"/>
  <c r="F62" i="15"/>
  <c r="G62" i="15" s="1"/>
  <c r="G53" i="15"/>
  <c r="E56" i="15"/>
  <c r="F53" i="15"/>
  <c r="D56" i="15"/>
  <c r="F43" i="18"/>
  <c r="F32" i="18"/>
  <c r="G32" i="18" s="1"/>
  <c r="F33" i="18"/>
  <c r="F39" i="18"/>
  <c r="G39" i="18" s="1"/>
  <c r="F38" i="18"/>
  <c r="F39" i="15"/>
  <c r="G39" i="15" s="1"/>
  <c r="F37" i="18"/>
  <c r="G37" i="18" s="1"/>
  <c r="E30" i="18"/>
  <c r="E41" i="15"/>
  <c r="D30" i="18"/>
  <c r="D41" i="15"/>
  <c r="D90" i="15" s="1"/>
  <c r="F29" i="18"/>
  <c r="G29" i="18" s="1"/>
  <c r="F28" i="18"/>
  <c r="G28" i="18" s="1"/>
  <c r="F21" i="18"/>
  <c r="G21" i="18" s="1"/>
  <c r="F20" i="18"/>
  <c r="G20" i="18" s="1"/>
  <c r="F19" i="18"/>
  <c r="G19" i="18" s="1"/>
  <c r="F18" i="18"/>
  <c r="G18" i="18" s="1"/>
  <c r="F27" i="18"/>
  <c r="G27" i="18" s="1"/>
  <c r="F26" i="18"/>
  <c r="G26" i="18" s="1"/>
  <c r="F36" i="18"/>
  <c r="G36" i="18" s="1"/>
  <c r="F25" i="18"/>
  <c r="F24" i="18"/>
  <c r="F15" i="18"/>
  <c r="F14" i="18"/>
  <c r="G14" i="18" s="1"/>
  <c r="F11" i="18"/>
  <c r="G11" i="18" s="1"/>
  <c r="E22" i="15"/>
  <c r="E12" i="18"/>
  <c r="F12" i="15"/>
  <c r="G12" i="15" s="1"/>
  <c r="D22" i="15"/>
  <c r="D12" i="18"/>
  <c r="F10" i="18"/>
  <c r="G10" i="18" s="1"/>
  <c r="F20" i="21" l="1"/>
  <c r="G20" i="21" s="1"/>
  <c r="F13" i="21"/>
  <c r="G13" i="21" s="1"/>
  <c r="F35" i="21"/>
  <c r="G35" i="21" s="1"/>
  <c r="M30" i="19"/>
  <c r="D19" i="16"/>
  <c r="D52" i="16" s="1"/>
  <c r="F16" i="16"/>
  <c r="G16" i="16" s="1"/>
  <c r="E19" i="16"/>
  <c r="L13" i="19"/>
  <c r="F37" i="21"/>
  <c r="E71" i="17"/>
  <c r="E74" i="17" s="1"/>
  <c r="D36" i="21"/>
  <c r="F19" i="16"/>
  <c r="G19" i="16" s="1"/>
  <c r="F57" i="17"/>
  <c r="G57" i="17" s="1"/>
  <c r="D63" i="17"/>
  <c r="M18" i="19"/>
  <c r="F34" i="21"/>
  <c r="G34" i="21" s="1"/>
  <c r="K16" i="19"/>
  <c r="L28" i="19"/>
  <c r="F25" i="19"/>
  <c r="G25" i="19" s="1"/>
  <c r="F13" i="19"/>
  <c r="G13" i="19" s="1"/>
  <c r="F14" i="19"/>
  <c r="G14" i="19" s="1"/>
  <c r="F68" i="21"/>
  <c r="G68" i="21" s="1"/>
  <c r="F53" i="21"/>
  <c r="G53" i="21" s="1"/>
  <c r="F30" i="18"/>
  <c r="G30" i="18" s="1"/>
  <c r="F22" i="21"/>
  <c r="G22" i="21" s="1"/>
  <c r="M25" i="19"/>
  <c r="N25" i="19" s="1"/>
  <c r="K28" i="19"/>
  <c r="F46" i="16"/>
  <c r="G46" i="16" s="1"/>
  <c r="N24" i="19"/>
  <c r="F27" i="19"/>
  <c r="G27" i="19" s="1"/>
  <c r="F33" i="21"/>
  <c r="G33" i="21" s="1"/>
  <c r="E16" i="18"/>
  <c r="E22" i="18" s="1"/>
  <c r="D16" i="18"/>
  <c r="F12" i="18"/>
  <c r="G12" i="18" s="1"/>
  <c r="F22" i="15"/>
  <c r="G22" i="15" s="1"/>
  <c r="D89" i="15"/>
  <c r="D43" i="15"/>
  <c r="E89" i="15"/>
  <c r="E43" i="15"/>
  <c r="F41" i="15"/>
  <c r="G41" i="15" s="1"/>
  <c r="E90" i="15"/>
  <c r="F56" i="15"/>
  <c r="G56" i="15" s="1"/>
  <c r="D64" i="15"/>
  <c r="E64" i="15"/>
  <c r="F74" i="15"/>
  <c r="G74" i="15" s="1"/>
  <c r="D81" i="15"/>
  <c r="E45" i="18"/>
  <c r="F38" i="17"/>
  <c r="G38" i="17" s="1"/>
  <c r="D16" i="19"/>
  <c r="F12" i="19"/>
  <c r="G12" i="19" s="1"/>
  <c r="E16" i="19"/>
  <c r="D28" i="19"/>
  <c r="F22" i="19"/>
  <c r="G22" i="19" s="1"/>
  <c r="D26" i="21"/>
  <c r="F10" i="21"/>
  <c r="G10" i="21" s="1"/>
  <c r="E28" i="19"/>
  <c r="E26" i="21"/>
  <c r="G30" i="19"/>
  <c r="N20" i="19"/>
  <c r="G38" i="21"/>
  <c r="N27" i="19"/>
  <c r="E36" i="21" l="1"/>
  <c r="E52" i="16"/>
  <c r="L16" i="19"/>
  <c r="M13" i="19"/>
  <c r="N13" i="19" s="1"/>
  <c r="D42" i="21"/>
  <c r="F63" i="17"/>
  <c r="G63" i="17" s="1"/>
  <c r="D71" i="17"/>
  <c r="K32" i="19"/>
  <c r="M28" i="19"/>
  <c r="N28" i="19" s="1"/>
  <c r="D55" i="16"/>
  <c r="E27" i="21"/>
  <c r="D27" i="21"/>
  <c r="F26" i="21"/>
  <c r="G26" i="21" s="1"/>
  <c r="F28" i="19"/>
  <c r="G28" i="19" s="1"/>
  <c r="E32" i="19"/>
  <c r="F16" i="19"/>
  <c r="G16" i="19" s="1"/>
  <c r="D32" i="19"/>
  <c r="F81" i="15"/>
  <c r="G81" i="15" s="1"/>
  <c r="D45" i="18"/>
  <c r="F45" i="18" s="1"/>
  <c r="G45" i="18" s="1"/>
  <c r="E44" i="18"/>
  <c r="D44" i="18"/>
  <c r="F64" i="15"/>
  <c r="G64" i="15" s="1"/>
  <c r="F90" i="15"/>
  <c r="G90" i="15" s="1"/>
  <c r="E66" i="15"/>
  <c r="E94" i="15"/>
  <c r="E34" i="18"/>
  <c r="F43" i="15"/>
  <c r="G43" i="15" s="1"/>
  <c r="D66" i="15"/>
  <c r="D94" i="15"/>
  <c r="F89" i="15"/>
  <c r="G89" i="15" s="1"/>
  <c r="D22" i="18"/>
  <c r="F16" i="18"/>
  <c r="G16" i="18" s="1"/>
  <c r="E42" i="21" l="1"/>
  <c r="F42" i="21" s="1"/>
  <c r="G42" i="21" s="1"/>
  <c r="F36" i="21"/>
  <c r="G36" i="21" s="1"/>
  <c r="M16" i="19"/>
  <c r="N16" i="19" s="1"/>
  <c r="L32" i="19"/>
  <c r="E55" i="21"/>
  <c r="E55" i="16"/>
  <c r="F52" i="16"/>
  <c r="G52" i="16" s="1"/>
  <c r="D55" i="21"/>
  <c r="D74" i="17"/>
  <c r="F71" i="17"/>
  <c r="G71" i="17" s="1"/>
  <c r="E86" i="15"/>
  <c r="E93" i="15" s="1"/>
  <c r="F44" i="18"/>
  <c r="G44" i="18" s="1"/>
  <c r="F27" i="21"/>
  <c r="G27" i="21" s="1"/>
  <c r="D34" i="18"/>
  <c r="F22" i="18"/>
  <c r="G22" i="18" s="1"/>
  <c r="F66" i="15"/>
  <c r="G66" i="15" s="1"/>
  <c r="D86" i="15"/>
  <c r="E41" i="18"/>
  <c r="D34" i="19"/>
  <c r="F32" i="19"/>
  <c r="G32" i="19" s="1"/>
  <c r="M32" i="19" l="1"/>
  <c r="N32" i="19" s="1"/>
  <c r="E34" i="19"/>
  <c r="E48" i="18"/>
  <c r="D93" i="15"/>
  <c r="F86" i="15"/>
  <c r="G86" i="15" s="1"/>
  <c r="D41" i="18"/>
  <c r="F34" i="18"/>
  <c r="G34" i="18" s="1"/>
  <c r="E51" i="18" l="1"/>
  <c r="F41" i="18"/>
  <c r="G41" i="18" s="1"/>
  <c r="D48" i="18"/>
  <c r="D51" i="18" l="1"/>
  <c r="F48" i="18"/>
  <c r="G48" i="18" s="1"/>
</calcChain>
</file>

<file path=xl/sharedStrings.xml><?xml version="1.0" encoding="utf-8"?>
<sst xmlns="http://schemas.openxmlformats.org/spreadsheetml/2006/main" count="4297" uniqueCount="542">
  <si>
    <t>Sommaire</t>
  </si>
  <si>
    <t>GILAC</t>
  </si>
  <si>
    <t>Balance générale auditée</t>
  </si>
  <si>
    <t>Etats financiers</t>
  </si>
  <si>
    <t>Bilan</t>
  </si>
  <si>
    <t>EBIT</t>
  </si>
  <si>
    <t>Actif détaillé</t>
  </si>
  <si>
    <t>Passif détaillé</t>
  </si>
  <si>
    <t>Compte de résultat détaillé</t>
  </si>
  <si>
    <t>Autres états</t>
  </si>
  <si>
    <t>Besoin en fonds de roulement, Fonds de roulement, Trésorerie nette, Endettement net financier</t>
  </si>
  <si>
    <t>Autres achats et charges externes</t>
  </si>
  <si>
    <t>Feuilles maîtresses</t>
  </si>
  <si>
    <t>Cycle A : Achats-Fournisseurs</t>
  </si>
  <si>
    <t>Cycle C : Capitaux propres</t>
  </si>
  <si>
    <t>Cycle E : Etat</t>
  </si>
  <si>
    <t>Cycle F : Financier</t>
  </si>
  <si>
    <t>Cycle I : Immobilisations</t>
  </si>
  <si>
    <t>Cycle P : Personnel</t>
  </si>
  <si>
    <t>Cycle S : Stocks</t>
  </si>
  <si>
    <t>Cycle T : Divers</t>
  </si>
  <si>
    <t>Cycle V : Clients-Ventes</t>
  </si>
  <si>
    <t>Cycle X : Résultat exceptionnel</t>
  </si>
  <si>
    <t>Retour sommaire</t>
  </si>
  <si>
    <t>Balances générales auditées : 31/12/2024 Vs 31/12/2023</t>
  </si>
  <si>
    <t>Ref.</t>
  </si>
  <si>
    <t>En milliers d'€uros</t>
  </si>
  <si>
    <t>Var. K€</t>
  </si>
  <si>
    <t>Var. %</t>
  </si>
  <si>
    <t>Cycle</t>
  </si>
  <si>
    <t>EtatFi N</t>
  </si>
  <si>
    <t>EtatFi N-1</t>
  </si>
  <si>
    <t>ComptaN</t>
  </si>
  <si>
    <t>ComptaN-1</t>
  </si>
  <si>
    <t>CAPITAL s</t>
  </si>
  <si>
    <t>C Propres</t>
  </si>
  <si>
    <t>Capital social</t>
  </si>
  <si>
    <t>Passif</t>
  </si>
  <si>
    <t>CAPITAL</t>
  </si>
  <si>
    <t>RESERVE LEGALE</t>
  </si>
  <si>
    <t>Réserves</t>
  </si>
  <si>
    <t>AUTRES RESERVES</t>
  </si>
  <si>
    <t>COMPTE DE RESULTAT BENEFICE</t>
  </si>
  <si>
    <t>Résultat de l'exercice</t>
  </si>
  <si>
    <t>PROVISION POUR LITIGE</t>
  </si>
  <si>
    <t>C PRC</t>
  </si>
  <si>
    <t>Provisions pour risques</t>
  </si>
  <si>
    <t>EMPRUNT CA PGE 270K_</t>
  </si>
  <si>
    <t>F</t>
  </si>
  <si>
    <t>Emprunts et dettes auprès d'établissements de crédit</t>
  </si>
  <si>
    <t>EMPRUNT CA PGE2</t>
  </si>
  <si>
    <t>EMPRUNT LCL 1500 60M</t>
  </si>
  <si>
    <t>EMPRUNT LCL 1000 24M</t>
  </si>
  <si>
    <t>EMPRUNT BPOP PGE</t>
  </si>
  <si>
    <t>EMPRUNT BP PGE2</t>
  </si>
  <si>
    <t>EMPRUNT BP HA DUBOIS</t>
  </si>
  <si>
    <t>CREDIT VENDEUR</t>
  </si>
  <si>
    <t>Emprunts et dettes financières</t>
  </si>
  <si>
    <t>BREVETS ET LICENCES</t>
  </si>
  <si>
    <t>I Corp</t>
  </si>
  <si>
    <t>Concessions, brvts, licences, logiciels, drts &amp; val. similaire</t>
  </si>
  <si>
    <t>Actif</t>
  </si>
  <si>
    <t>FONDS DE COMMERCE</t>
  </si>
  <si>
    <t>I Incorp</t>
  </si>
  <si>
    <t>Fonds commercial</t>
  </si>
  <si>
    <t>LOGICIELS INFORMATIQUES</t>
  </si>
  <si>
    <t>Autres immobilisations incorporelles</t>
  </si>
  <si>
    <t>AGENCEMENT DES CONSTRUCTIONS</t>
  </si>
  <si>
    <t>Constructions</t>
  </si>
  <si>
    <t>I.G.A.A. SUR SOL D' AUTRUI</t>
  </si>
  <si>
    <t>MATERIEL INDUSTRIEL</t>
  </si>
  <si>
    <t>Installations techniques, matériel et outillage industriels</t>
  </si>
  <si>
    <t>MOULES</t>
  </si>
  <si>
    <t>A A I MATERIEL OUTILLAGE</t>
  </si>
  <si>
    <t>AGENCEMENT AMENAGEMENT DIVERS</t>
  </si>
  <si>
    <t>Autres immobilisations corporelles</t>
  </si>
  <si>
    <t>MATERIEL MANUTENTION, TRANSPORT</t>
  </si>
  <si>
    <t>MATERIEL BUREAU</t>
  </si>
  <si>
    <t>MATERIEL INFORMATIQUE</t>
  </si>
  <si>
    <t>MOBILIER DE BUREAU</t>
  </si>
  <si>
    <t>ACOMPTE SUR IMMOBILISATION</t>
  </si>
  <si>
    <t>Avances et acomptes sur immobilisations corporelles</t>
  </si>
  <si>
    <t>TITRES DE PARTICIPATIONS</t>
  </si>
  <si>
    <t>I Fi</t>
  </si>
  <si>
    <t>Participations</t>
  </si>
  <si>
    <t>PRET WICART ASSOCIE</t>
  </si>
  <si>
    <t>Prêts</t>
  </si>
  <si>
    <t>PRET VINCENT ASSOCIE</t>
  </si>
  <si>
    <t>PRET CILOR</t>
  </si>
  <si>
    <t>DEPOTS ET CAUTIONNEMENTS</t>
  </si>
  <si>
    <t>Dépôts et cautionnements versés</t>
  </si>
  <si>
    <t>ACTIONS PROPRES</t>
  </si>
  <si>
    <t>Autres créances immobilisées</t>
  </si>
  <si>
    <t>AMORTISSEMENTS LOGICIELS INFORMATIQ</t>
  </si>
  <si>
    <t>AMORTIS AGENCEMENTS DES CONSTRUCTIO</t>
  </si>
  <si>
    <t>AMORTIS IGAA SUR SOL D' AUTRUI</t>
  </si>
  <si>
    <t>AMORTIS DU MATERIEL INDUSTRIEL</t>
  </si>
  <si>
    <t>AMORTISSEMENTS MOULES ET OUTILLAGES</t>
  </si>
  <si>
    <t>AMORTISSEMENTS AAI MATERIEL OUTILLA</t>
  </si>
  <si>
    <t>AMORTISSEMENTS AGENCEMT AMENAGEMENT</t>
  </si>
  <si>
    <t>AMORTISSEMENTS MATERIEL MANUT LEVAG</t>
  </si>
  <si>
    <t>AMORTISSEMENTS MATERIEL DE BUREAU</t>
  </si>
  <si>
    <t>AMORTISSEMENTS MATERIEL INFORMATIQU</t>
  </si>
  <si>
    <t>AMORTIS DU MOBILIER DE BUREAU</t>
  </si>
  <si>
    <t>STOCK MATIERES PREMIERES ET COLORAN</t>
  </si>
  <si>
    <t>S</t>
  </si>
  <si>
    <t>Matières premières et autres approvisionnements</t>
  </si>
  <si>
    <t>STOCK PRODUITS ACHETES</t>
  </si>
  <si>
    <t>STOCK EMBALLAGES FABRICATION</t>
  </si>
  <si>
    <t>STOCK PRODUITS INTERMEDIAIRES</t>
  </si>
  <si>
    <t>Produits intermédiaires et finis</t>
  </si>
  <si>
    <t>STOCK PRODUITS FINIS</t>
  </si>
  <si>
    <t>STOCK PRODUITS NEGOCE</t>
  </si>
  <si>
    <t>Marchandises</t>
  </si>
  <si>
    <t>PROVISION DEPRECIATION MAT PREM &amp; C</t>
  </si>
  <si>
    <t>PROVISION DEPRECIATION PRODUITS ACH</t>
  </si>
  <si>
    <t>PROVISION DEPRECIATION EBALLAGES FA</t>
  </si>
  <si>
    <t>PROVISION DEPRECIATION PROD INTERME</t>
  </si>
  <si>
    <t>PROVISION DEPRECIATION PROD FINIS</t>
  </si>
  <si>
    <t>PROVISION DEPRECIATION PRODUITS NEG</t>
  </si>
  <si>
    <t>FOURNISSEURS</t>
  </si>
  <si>
    <t>A</t>
  </si>
  <si>
    <t>Fournisseurs et comptes rattachés</t>
  </si>
  <si>
    <t>FOURNISSEURS INVESTISSEMENTS</t>
  </si>
  <si>
    <t>Fournisseurs débiteurs</t>
  </si>
  <si>
    <t>FOURNISSEURS FACTURES NON PARVENUES</t>
  </si>
  <si>
    <t>CLIENTS</t>
  </si>
  <si>
    <t>V</t>
  </si>
  <si>
    <t>Clients et comptes rattachés</t>
  </si>
  <si>
    <t>CLIENTS EFFETS EN PORTEFEUILLE</t>
  </si>
  <si>
    <t>Clients créditeurs</t>
  </si>
  <si>
    <t>CLIENTS DOUTEUX</t>
  </si>
  <si>
    <t>CLIENTS FACTURES A ETABLIR</t>
  </si>
  <si>
    <t>CLIENTS FAE GROUPE</t>
  </si>
  <si>
    <t>CLIENTS AVOIRS A ETABLIR</t>
  </si>
  <si>
    <t>REMUNERATIONS DUES AU PERSONNEL</t>
  </si>
  <si>
    <t>P</t>
  </si>
  <si>
    <t>Dettes sociales</t>
  </si>
  <si>
    <t>Créances sociales</t>
  </si>
  <si>
    <t>NOTES DE FRAIS DES SALARIES</t>
  </si>
  <si>
    <t>PERSONNEL AVANCES ET ACOMPTES</t>
  </si>
  <si>
    <t>PROVISIONS POUR CONGES PAYES</t>
  </si>
  <si>
    <t>PROVISIONS SALAIRE ET PRIME OBJECTI</t>
  </si>
  <si>
    <t>PROVISIONS CHARGES A PAYER</t>
  </si>
  <si>
    <t>CAISSE URSSAF</t>
  </si>
  <si>
    <t>CAISSE RETRAITE ARRCO AG2R</t>
  </si>
  <si>
    <t>CAISSE PREVOYANCE COGEVIE</t>
  </si>
  <si>
    <t>CAISSE RETRAITE SUPP ARIAL</t>
  </si>
  <si>
    <t>MEDECINE DU TRAVAIL</t>
  </si>
  <si>
    <t>MUTUELLE MALAKOFF</t>
  </si>
  <si>
    <t>OPCO - TAXE APPRENTISSAGE &amp; CONTRIB</t>
  </si>
  <si>
    <t>PROVISIONS CHA SOC SUR CP</t>
  </si>
  <si>
    <t>PROVISIONS CHA SOC SUR PRIMES</t>
  </si>
  <si>
    <t>ORGANISMES PRODUITS A RECEVOIR</t>
  </si>
  <si>
    <t>PRELEVEMENT A LA SOURCE</t>
  </si>
  <si>
    <t>E</t>
  </si>
  <si>
    <t>Dettes fiscales</t>
  </si>
  <si>
    <t>RETENUES SUR DISTRIBUTION DIVIDENDE</t>
  </si>
  <si>
    <t>Créances fiscales</t>
  </si>
  <si>
    <t>ETAT IMPOT SUR LES BENEFICES</t>
  </si>
  <si>
    <t>TVA DUE</t>
  </si>
  <si>
    <t>TVA DED SUR IMMOBILISATION 20.0%</t>
  </si>
  <si>
    <t>TVA DED INTRACOMMUNAUTAIRE</t>
  </si>
  <si>
    <t>TVA DED IMPORTATION AUTOLIQUIDATION</t>
  </si>
  <si>
    <t>TVA DED SUR BIENS-SERVICES 20.0%</t>
  </si>
  <si>
    <t>CREDIT DE TVA</t>
  </si>
  <si>
    <t>TVA DED SUR DECAISSEMENTS 20.0%</t>
  </si>
  <si>
    <t>TVA COLLECTEE SUR FACTURES 19.6%</t>
  </si>
  <si>
    <t>TVA COLLECTEE INTRACOMMUNAUTAIRE</t>
  </si>
  <si>
    <t>TVA COLL SUR IMPORTATION AUTOLIQUID</t>
  </si>
  <si>
    <t>TVA COLLECTEE SUR FACTURES 20%</t>
  </si>
  <si>
    <t>TVA A REGULARISER ACTIF</t>
  </si>
  <si>
    <t>TVA SUR FACTURES FOURN NON PARVENUE</t>
  </si>
  <si>
    <t>TVA SUR FACTURES CLIENT A ETABLIR</t>
  </si>
  <si>
    <t>ETAT CHARGES A PAYER</t>
  </si>
  <si>
    <t>PROVISION TAXE APPRENTISSAGE</t>
  </si>
  <si>
    <t>PROVISION FORMATION PROF CONTINUE</t>
  </si>
  <si>
    <t>C/C MIAM</t>
  </si>
  <si>
    <t>Comptes courants débiteurs</t>
  </si>
  <si>
    <t>C/C SPID</t>
  </si>
  <si>
    <t>C/C EPS</t>
  </si>
  <si>
    <t>C/C SBPC</t>
  </si>
  <si>
    <t>C/C SCI DE LA MODE</t>
  </si>
  <si>
    <t>C/C SCI DU LOUP</t>
  </si>
  <si>
    <t>CC ASSOCIE - NAJINVEST</t>
  </si>
  <si>
    <t>CC ASSOCIE - SMARTCAP</t>
  </si>
  <si>
    <t>C/C INTEGRATION FISCALE MIAM</t>
  </si>
  <si>
    <t>DISTRIBUTION DIVIDENDES</t>
  </si>
  <si>
    <t>Dividendes à payer</t>
  </si>
  <si>
    <t>ENCAISST SUR GILAC SASU</t>
  </si>
  <si>
    <t>T</t>
  </si>
  <si>
    <t>Créances diverses</t>
  </si>
  <si>
    <t>PRIX ACQUISITION FDC</t>
  </si>
  <si>
    <t>Dettes diverses</t>
  </si>
  <si>
    <t>COMPTE D'ATTENTE CLIENTS</t>
  </si>
  <si>
    <t>CCA</t>
  </si>
  <si>
    <t>Charges constatées d'avance</t>
  </si>
  <si>
    <t>PROVISIONS CREANCES DOUTEUSES</t>
  </si>
  <si>
    <t>PORTEFEUILLE CB FRANCE</t>
  </si>
  <si>
    <t>Disponibilités</t>
  </si>
  <si>
    <t>EFFETS REMIS ENCAISSEMENT BPOP</t>
  </si>
  <si>
    <t>CREDIT AGRICOLE</t>
  </si>
  <si>
    <t>CREDIT AGRICOLE DOLLARS</t>
  </si>
  <si>
    <t>BANQUE POPULAIRE</t>
  </si>
  <si>
    <t>BANQUE POPULAIRE LIVRET</t>
  </si>
  <si>
    <t>BPFC CAT</t>
  </si>
  <si>
    <t>LCL CAT</t>
  </si>
  <si>
    <t>CAISSE D EPARGNE</t>
  </si>
  <si>
    <t>LCL GILAC</t>
  </si>
  <si>
    <t>CAISSE</t>
  </si>
  <si>
    <t>VIREMENTS INTERNES</t>
  </si>
  <si>
    <t>ACHATS MP ET COLOR FRANCE</t>
  </si>
  <si>
    <t>Achat de matières premières et autres approvisionnements</t>
  </si>
  <si>
    <t>Charges</t>
  </si>
  <si>
    <t>ACHATS MP ET COLOR UNION EUROPE</t>
  </si>
  <si>
    <t>ACHATS MP ET COLOR EXPORT</t>
  </si>
  <si>
    <t>ACHATS COMPOS France</t>
  </si>
  <si>
    <t>ACHATS COMPOS UNION EUROPEENNE</t>
  </si>
  <si>
    <t>ACHATS COMPOS EXPORT</t>
  </si>
  <si>
    <t>EMBALLAGE France</t>
  </si>
  <si>
    <t>EMBALLAGE UNION EUROPEENNE</t>
  </si>
  <si>
    <t>VARIATION STOCK MAT PREM ET P D</t>
  </si>
  <si>
    <t>Variation de stocks</t>
  </si>
  <si>
    <t>VARIATION STOCK EMBALLAGE</t>
  </si>
  <si>
    <t>VARIATION STOCK MARCHANDISES NEGOCE</t>
  </si>
  <si>
    <t>Variation de stocks de marchandises</t>
  </si>
  <si>
    <t>SOUS TRAITANCE TECHNIQUE</t>
  </si>
  <si>
    <t>SOUS TRAITANCE TECHNIQUE GROUPE</t>
  </si>
  <si>
    <t>FORCE MOTRICE</t>
  </si>
  <si>
    <t>EAU</t>
  </si>
  <si>
    <t>CARBURANTS</t>
  </si>
  <si>
    <t>PETIT OUTILLAGE</t>
  </si>
  <si>
    <t>FOURNITURES DE BUREAU</t>
  </si>
  <si>
    <t>IMPRIMES ADMINISTRATIFS ET COMMERCI</t>
  </si>
  <si>
    <t>FRAIS IMPRESSIONS &amp; REPROGRAPHIE</t>
  </si>
  <si>
    <t>MSES NEGOCES France</t>
  </si>
  <si>
    <t>Achats de marchandises</t>
  </si>
  <si>
    <t>MSES NEGOCES UNION EUROPEEN</t>
  </si>
  <si>
    <t>TRSP SUR ACHATS EXPL FOURNISS HT</t>
  </si>
  <si>
    <t>TRSP SUR ACHATS EXPL FOURNISS CEE</t>
  </si>
  <si>
    <t>TRSPRT SUR ACHATS EXPL EXPORT</t>
  </si>
  <si>
    <t>TRSP SUR ACHATS EXPL TRANSPOR</t>
  </si>
  <si>
    <t>DROITS FRAIS DOUANES SUR ACHATS</t>
  </si>
  <si>
    <t>FRAIS AUTRES</t>
  </si>
  <si>
    <t>FRAIS AUTRES CE</t>
  </si>
  <si>
    <t>RRR OBTENUES / ACHATS</t>
  </si>
  <si>
    <t>RRR OBTENUS SUR ACHATS EXPORT</t>
  </si>
  <si>
    <t>Compte à créer</t>
  </si>
  <si>
    <t>SOUS TRAITANCE GENERALE</t>
  </si>
  <si>
    <t>PRESTATIONS INFORMATIQUES</t>
  </si>
  <si>
    <t>PRESTATION TECHNIQUES</t>
  </si>
  <si>
    <t>LOYER USINE ET ENTREPOT</t>
  </si>
  <si>
    <t>LOYER USINE ET ENTREPOT GROUPE</t>
  </si>
  <si>
    <t>LOCATION SALON</t>
  </si>
  <si>
    <t>LOCATION MATERIEL</t>
  </si>
  <si>
    <t>LOCATIONS DE VEHICULES TTC</t>
  </si>
  <si>
    <t>LOCATIONS MATERIELS DE BUREAU</t>
  </si>
  <si>
    <t>CHARGES LOCATIVES</t>
  </si>
  <si>
    <t>CHARGES LOCATIVES GROUPE</t>
  </si>
  <si>
    <t>FOURN ENTRETIEN LOCAUX</t>
  </si>
  <si>
    <t>ENTRETIEN ET REP MACHINES</t>
  </si>
  <si>
    <t>ENTRETIEN ET REP MOULES</t>
  </si>
  <si>
    <t>ENTRETIEN MATERIEL DE TRANSPORT HT</t>
  </si>
  <si>
    <t>ENTRETIEN MATERIEL DE TRANSPORT TTC</t>
  </si>
  <si>
    <t>MAINTENANCE MATERIEL</t>
  </si>
  <si>
    <t>MAINT/ABONNEMENT LOGICIEL</t>
  </si>
  <si>
    <t>ASSURANCE INCENDIE PERTE EXPLOITATI</t>
  </si>
  <si>
    <t>ASSURANCE RESPONSABILITE CIVILE</t>
  </si>
  <si>
    <t>ASSURANCE HOMME CLE</t>
  </si>
  <si>
    <t>ASSURANCE CREDIT CLIENT SFAC</t>
  </si>
  <si>
    <t>ASSURANCE VEHICULE</t>
  </si>
  <si>
    <t>PRESTATION ORGANISME RECHERCHE</t>
  </si>
  <si>
    <t>RECHERCHE PROTOTYPE ECHANTILLON</t>
  </si>
  <si>
    <t>ABONNTS PUBLICATIONS DOCUMENTAT</t>
  </si>
  <si>
    <t>PRESTATION DE FORMATION</t>
  </si>
  <si>
    <t>INTERIM LOGISTIQUE</t>
  </si>
  <si>
    <t>COMMISSIONS SUR VENTES</t>
  </si>
  <si>
    <t>COMM AFFACT ET CENTR FACT CLIENTS</t>
  </si>
  <si>
    <t>HONORAIRES</t>
  </si>
  <si>
    <t>HONOR CONTENTIEUX FRAIS D ACTE</t>
  </si>
  <si>
    <t>ANNONCES LEGALES</t>
  </si>
  <si>
    <t>LOCATION ESPACE PUBLICITAIRE</t>
  </si>
  <si>
    <t>FOURNITURES TECHNIQUES . PRESTATION</t>
  </si>
  <si>
    <t>CADEAUX CLIENTELE</t>
  </si>
  <si>
    <t>PARTICIPATION PUB CLIENT</t>
  </si>
  <si>
    <t>DONS . POURBOIRES . SPONSORING</t>
  </si>
  <si>
    <t>TRSP SUR ACHATS FRAIS GENERAUX</t>
  </si>
  <si>
    <t>TRSP SUR VENTES France</t>
  </si>
  <si>
    <t>TRSP SUR VENTES UNION EUROPEE</t>
  </si>
  <si>
    <t>TRSP SUR VENTES EXPORT</t>
  </si>
  <si>
    <t>TRSP SUR VENTES DOCS ADMIN</t>
  </si>
  <si>
    <t>VOYAGES &amp; DEPLACEMENTS</t>
  </si>
  <si>
    <t>FRAIS RECEPT VISITEURS FACTURES</t>
  </si>
  <si>
    <t>TIMBRES COURRIERS</t>
  </si>
  <si>
    <t>TELEPHONE PORTABLE</t>
  </si>
  <si>
    <t>TELEPHONE INTERNET</t>
  </si>
  <si>
    <t>COMMISSIONS BANCAIRES TTC</t>
  </si>
  <si>
    <t>COTISATIONS PROFESSIONNELLES</t>
  </si>
  <si>
    <t>PRESTATIONS DE RECRUTEMENT</t>
  </si>
  <si>
    <t>FORMATION PROFESSIONNELLE CONTINUE</t>
  </si>
  <si>
    <t>Impôts, taxes et versements assimilés</t>
  </si>
  <si>
    <t>TAXE D'APPRENTISSAGE</t>
  </si>
  <si>
    <t>TAXES FONCIERES</t>
  </si>
  <si>
    <t>TAXE VEHICULE SOCIETE</t>
  </si>
  <si>
    <t>CFE</t>
  </si>
  <si>
    <t>CVAE</t>
  </si>
  <si>
    <t>IPC</t>
  </si>
  <si>
    <t>CARTE GRISE VIGNETTE</t>
  </si>
  <si>
    <t>TAXE ECO</t>
  </si>
  <si>
    <t>SALAIRES ET COMMISSIONS</t>
  </si>
  <si>
    <t>Salaires et traitements</t>
  </si>
  <si>
    <t>PROVISION RTT</t>
  </si>
  <si>
    <t>PROVISION CP</t>
  </si>
  <si>
    <t>IJSS</t>
  </si>
  <si>
    <t>PRIMES</t>
  </si>
  <si>
    <t>PRIMES PANIER JOUR NUIT</t>
  </si>
  <si>
    <t>INDEMNITE LICENCIEMENT</t>
  </si>
  <si>
    <t>AVANTAGE EN NATURE</t>
  </si>
  <si>
    <t>PROVISIONS  GRATIFICATIONS ET PO</t>
  </si>
  <si>
    <t>COTISATIONS URSSAF</t>
  </si>
  <si>
    <t>Charges sociales</t>
  </si>
  <si>
    <t>COTISATIONS MUTUELLES</t>
  </si>
  <si>
    <t>COTISATIONS RETRAITES UGRR</t>
  </si>
  <si>
    <t>CAISSE PREVOYANCE</t>
  </si>
  <si>
    <t>CAISSE RETRAITE SUPPLEMENTAIRE</t>
  </si>
  <si>
    <t>COTISATIONS OPCO</t>
  </si>
  <si>
    <t>PROVISIONS/CHARGES SOCIALES</t>
  </si>
  <si>
    <t>OEUVRES SOCIALES</t>
  </si>
  <si>
    <t>HYGIENE PHARMACIE</t>
  </si>
  <si>
    <t>VETEMENTS DE TRAVAIL</t>
  </si>
  <si>
    <t>CONTRIBUTION CSP</t>
  </si>
  <si>
    <t>PERTE SUR CREANCES IRR IMPOSABLES</t>
  </si>
  <si>
    <t>Autres charges d'exploitation</t>
  </si>
  <si>
    <t>CHARGES DIVERSES DE GESTION COURANT</t>
  </si>
  <si>
    <t>INTERETS EMPRUNTS</t>
  </si>
  <si>
    <t>Intérêts et charges assimilées</t>
  </si>
  <si>
    <t>AGIOS BANCAIRES</t>
  </si>
  <si>
    <t>ESCOMPTES FIN ACCORDES FRANCE</t>
  </si>
  <si>
    <t>ESCOMPTES FIN ACCORDES EXPORT</t>
  </si>
  <si>
    <t>PERTES DE CHANGE CLIENTS</t>
  </si>
  <si>
    <t>Différences négatives de change</t>
  </si>
  <si>
    <t>CHARGES SUR EXERCICES ANTERIEURES</t>
  </si>
  <si>
    <t>X</t>
  </si>
  <si>
    <t>Charges sur opérations de gestion</t>
  </si>
  <si>
    <t>VALEUR NETTE IMMOBILISATION CEDEE</t>
  </si>
  <si>
    <t>Charges sur opérations en capital</t>
  </si>
  <si>
    <t>DOT AMORT IMMOB CORPORELLES</t>
  </si>
  <si>
    <t>Dotations aux amortissements sur Immobilisations</t>
  </si>
  <si>
    <t>DOTATION PROVISION DEPRECIATION STO</t>
  </si>
  <si>
    <t>Dotations aux dépréciations sur Actif circulant</t>
  </si>
  <si>
    <t>DOTATION PROVISION DEPRECIATION CRE</t>
  </si>
  <si>
    <t>IMPOT SUR BENEFICE</t>
  </si>
  <si>
    <t>Impôts sur les bénéfices</t>
  </si>
  <si>
    <t>CREDIT IMPOT RECHERCHE</t>
  </si>
  <si>
    <t>IMPOT INTEGRATION FISCALE CHARGE</t>
  </si>
  <si>
    <t>IMPOT INTEGRATION FISCALE PRODUIT</t>
  </si>
  <si>
    <t>VTES PDTS FINIS France</t>
  </si>
  <si>
    <t>Production vendue (Biens et Services)</t>
  </si>
  <si>
    <t>Produits</t>
  </si>
  <si>
    <t>VTES PDTS FINIS UNION EUROPEE</t>
  </si>
  <si>
    <t>VTES PDTS FINIS DOM TOM</t>
  </si>
  <si>
    <t>VTES PDTS FINIS EXPORT</t>
  </si>
  <si>
    <t>VENTES DE DECHETS</t>
  </si>
  <si>
    <t>VTES MSES NEGOCES FRANCE</t>
  </si>
  <si>
    <t>Ventes de marchandises</t>
  </si>
  <si>
    <t>VTES MSES NEGOCES UNION EUROPEENNE</t>
  </si>
  <si>
    <t>VTES MSES NEGOCES DOM TOM</t>
  </si>
  <si>
    <t>VTES MSES NEGOCES EXPORT</t>
  </si>
  <si>
    <t>FRAIS ADMINISTRATIFS FRANCE</t>
  </si>
  <si>
    <t>FRAIS ADMIN UE</t>
  </si>
  <si>
    <t>FRAIS ADMIN DOM TOM</t>
  </si>
  <si>
    <t>FRAIS ADMIN EXPORT</t>
  </si>
  <si>
    <t>VTES DE TRANSPORT France</t>
  </si>
  <si>
    <t>VTES DE TRANSPORT UNION EUROPEENN</t>
  </si>
  <si>
    <t>VTES DE TRANSPORT DOM TOM</t>
  </si>
  <si>
    <t>VTES DE TRANSPORT EXPORT</t>
  </si>
  <si>
    <t>VTES DIVERSES France</t>
  </si>
  <si>
    <t>VTE DIVERSES GROUPE</t>
  </si>
  <si>
    <t>V AVOIR BFA</t>
  </si>
  <si>
    <t>VARIATION PRODUIT FINIS</t>
  </si>
  <si>
    <t>Production stockée</t>
  </si>
  <si>
    <t>SUBVENTION D'EXPLOITATION</t>
  </si>
  <si>
    <t>Subventions d'exploitation</t>
  </si>
  <si>
    <t>PRDTS DIVERS DE GESTION COURANTE</t>
  </si>
  <si>
    <t>Autres produits</t>
  </si>
  <si>
    <t>REVENUS DES PLACEMENTS VAL MOBILIER</t>
  </si>
  <si>
    <t>Autres intérêts et produits assimilés</t>
  </si>
  <si>
    <t>GAINS DE CHANGE CLIENTS</t>
  </si>
  <si>
    <t>Différences positives de change</t>
  </si>
  <si>
    <t>PRODUITS SUR EXERCICES ANTERIEURS</t>
  </si>
  <si>
    <t>Produits sur opérations de gestion</t>
  </si>
  <si>
    <t>PRODUITS CESSIONS IMMO CORP IMPO</t>
  </si>
  <si>
    <t>Produits sur opérations en capital</t>
  </si>
  <si>
    <t>REPRISE PROVISION DEPRECIATION STOC</t>
  </si>
  <si>
    <t>Reprises sur provisions d'exploitation</t>
  </si>
  <si>
    <t>REPRISE PROVISION DEPRECIATION CREA</t>
  </si>
  <si>
    <t>TRANSFERT DE CHARGES</t>
  </si>
  <si>
    <t>Transfert de charges d'exploitation</t>
  </si>
  <si>
    <t>Rbsts Sinistres Assurance</t>
  </si>
  <si>
    <t>BILAN</t>
  </si>
  <si>
    <t>Total Actif</t>
  </si>
  <si>
    <t>Total Passif</t>
  </si>
  <si>
    <t>Ecart Actif-Passif</t>
  </si>
  <si>
    <t>COMPTE DE RESULTAT</t>
  </si>
  <si>
    <t>Produits de l'exercice</t>
  </si>
  <si>
    <t>Charges de l'exercice</t>
  </si>
  <si>
    <t>Ctrl Bilan - Résultat</t>
  </si>
  <si>
    <t>Capital souscrit non appelé</t>
  </si>
  <si>
    <t>Capital</t>
  </si>
  <si>
    <t>Immobilisations incorporelles</t>
  </si>
  <si>
    <t>Report à nouveau</t>
  </si>
  <si>
    <t>Immobilisations corporelles</t>
  </si>
  <si>
    <t>Immobilisations financières</t>
  </si>
  <si>
    <t>Subventions d'investissement</t>
  </si>
  <si>
    <t>Provisions réglementées</t>
  </si>
  <si>
    <t>Actif immobilisé net</t>
  </si>
  <si>
    <t>Capitaux propres</t>
  </si>
  <si>
    <t>Autres fonds propres</t>
  </si>
  <si>
    <t>Provisions pour risques et charges</t>
  </si>
  <si>
    <t>Stocks et en-cours</t>
  </si>
  <si>
    <t>Dettes financières</t>
  </si>
  <si>
    <t>Avances et acomptes versés sur commandes</t>
  </si>
  <si>
    <t>Avances et acomptes reçus sur commandes en cours</t>
  </si>
  <si>
    <t>Autres créances</t>
  </si>
  <si>
    <t>Dettes fiscales et sociales</t>
  </si>
  <si>
    <t>Capital souscrit - appelé, non versé</t>
  </si>
  <si>
    <t>Dettes sur immobilisations et comptes rattachés</t>
  </si>
  <si>
    <t>Trésorerie</t>
  </si>
  <si>
    <t>Autres dettes</t>
  </si>
  <si>
    <t>Actif circulant</t>
  </si>
  <si>
    <t>Dettes</t>
  </si>
  <si>
    <t>Comptes de régularisation</t>
  </si>
  <si>
    <t>ACTIF</t>
  </si>
  <si>
    <t>PASSIF</t>
  </si>
  <si>
    <t>Ctrl Actif - Passif</t>
  </si>
  <si>
    <t xml:space="preserve">Chiffre d'affaires </t>
  </si>
  <si>
    <t>Production Stockée</t>
  </si>
  <si>
    <t>Production immobilisée</t>
  </si>
  <si>
    <t>Production</t>
  </si>
  <si>
    <t>Marge brute</t>
  </si>
  <si>
    <t>Produits nets partiels sur opérations à long terme</t>
  </si>
  <si>
    <t>Charges de personnel</t>
  </si>
  <si>
    <t>Participation des salariés aux résultats</t>
  </si>
  <si>
    <t>Dotations aux provisions pour risques et charges</t>
  </si>
  <si>
    <t>EBITDA</t>
  </si>
  <si>
    <t>Dotations aux dépréciations sur Immobilisations</t>
  </si>
  <si>
    <t>Quotes-parts de résultat sur opérations faites en commun</t>
  </si>
  <si>
    <t>Résultat financier</t>
  </si>
  <si>
    <t>Résultat exceptionnel</t>
  </si>
  <si>
    <t>Résultat net</t>
  </si>
  <si>
    <t>Ctrl P&amp;L Détaillé</t>
  </si>
  <si>
    <t>Ecart Résultat net</t>
  </si>
  <si>
    <t>Frais d'établissement</t>
  </si>
  <si>
    <t>Frais de recherche et développement</t>
  </si>
  <si>
    <t>Droit au bail</t>
  </si>
  <si>
    <t>Immobilisations incorporelles en cours</t>
  </si>
  <si>
    <t>Avances et acomptes sur immobilisations incorporelles</t>
  </si>
  <si>
    <t>Terrains</t>
  </si>
  <si>
    <t>Immobilisations corporelles en cours</t>
  </si>
  <si>
    <t>Créances rattachées à des participations</t>
  </si>
  <si>
    <t>Autres titres immobilisés</t>
  </si>
  <si>
    <t>En-cours de production (biens et services)</t>
  </si>
  <si>
    <t>Créances</t>
  </si>
  <si>
    <t>Valeurs mobilières de placement</t>
  </si>
  <si>
    <t>Charges à répartir sur plusieurs exercices</t>
  </si>
  <si>
    <t>Primes de remboursement des emprunts</t>
  </si>
  <si>
    <t>Ecarts de conversion Actif</t>
  </si>
  <si>
    <t>TOTAL ACTIF</t>
  </si>
  <si>
    <t>Ctrl total Actif</t>
  </si>
  <si>
    <t>Ecart</t>
  </si>
  <si>
    <t>Primes d'émission, de fusion, d'apport</t>
  </si>
  <si>
    <t>Ecarts de réévaluation</t>
  </si>
  <si>
    <t>Ecart d'équivalence</t>
  </si>
  <si>
    <t>Produits des émissions de titres participatifs</t>
  </si>
  <si>
    <t>Avances conditionnées</t>
  </si>
  <si>
    <t>Provisions pour charges</t>
  </si>
  <si>
    <t>Emprunts obligataires convertibles</t>
  </si>
  <si>
    <t>Autres emprunts obligataires</t>
  </si>
  <si>
    <t>Versements restant sur immobilisations financières</t>
  </si>
  <si>
    <t>Produits constatés d'avance</t>
  </si>
  <si>
    <t>Ecarts de conversion Passif</t>
  </si>
  <si>
    <t>TOTAL PASSIF</t>
  </si>
  <si>
    <t>Ctrl total Passif</t>
  </si>
  <si>
    <t>Chiffre d'affaires</t>
  </si>
  <si>
    <t>Reprises sur provisions et transfert de charges</t>
  </si>
  <si>
    <t>Produits d'exploitation</t>
  </si>
  <si>
    <t xml:space="preserve">Dotations aux amortissements, dépréciations et provisions </t>
  </si>
  <si>
    <t>Charges d'exploitation</t>
  </si>
  <si>
    <t>Résultat d'exploitation</t>
  </si>
  <si>
    <t>Produits des participations</t>
  </si>
  <si>
    <t>Produits d'autres valeurs mobilières et créances de l'actif immobilisé</t>
  </si>
  <si>
    <t>Reprises sur dépréciations, provisions financières</t>
  </si>
  <si>
    <t>Tranfert de charges financières</t>
  </si>
  <si>
    <t>Reprises sur dépréciations, provisions et tranfert de charges financières</t>
  </si>
  <si>
    <t>Produits nets sur cessions de valeurs mobilières de placement</t>
  </si>
  <si>
    <t>Produits financiers</t>
  </si>
  <si>
    <t>Dotations aux amortissements, dépréciations et provisions financières</t>
  </si>
  <si>
    <t>Charges nettes sur cessions de valeurs mobilières de placement</t>
  </si>
  <si>
    <t>Charges financières</t>
  </si>
  <si>
    <t>Résultat courant avant impôts</t>
  </si>
  <si>
    <t>Reprises sur dépréciations, provisions exceptionnelles</t>
  </si>
  <si>
    <t>Tranfert de charges exceptionnelles</t>
  </si>
  <si>
    <t xml:space="preserve">Produits exceptionnels </t>
  </si>
  <si>
    <t>Dotations aux amortissements, dépréciations et provisions exceptionnelles</t>
  </si>
  <si>
    <t xml:space="preserve">Charges exceptionnelles </t>
  </si>
  <si>
    <t>Total des produits</t>
  </si>
  <si>
    <t>Total des charges</t>
  </si>
  <si>
    <t>Ctrl Résultat de l'exercice</t>
  </si>
  <si>
    <t>Ecart Produits - Charges</t>
  </si>
  <si>
    <t>Besoin en fonds de roulement</t>
  </si>
  <si>
    <t>en jours de chiffre d'affaires</t>
  </si>
  <si>
    <t>Fonds de roulement</t>
  </si>
  <si>
    <t>Trésorerie nette</t>
  </si>
  <si>
    <t>Ctrl Tréso nette + BFR + FR</t>
  </si>
  <si>
    <t>Endettement net financier</t>
  </si>
  <si>
    <t>A0</t>
  </si>
  <si>
    <t>Achats non stockés de matière et fournitures</t>
  </si>
  <si>
    <t>Frais accessoires sur autres achats</t>
  </si>
  <si>
    <t>E0</t>
  </si>
  <si>
    <t>P0</t>
  </si>
  <si>
    <t>V0</t>
  </si>
  <si>
    <t>T0</t>
  </si>
  <si>
    <t>F0</t>
  </si>
  <si>
    <t>X0</t>
  </si>
  <si>
    <t>I Corp0</t>
  </si>
  <si>
    <t>S0</t>
  </si>
  <si>
    <t>C Propres0</t>
  </si>
  <si>
    <t>Feuille maîtresse du cycle A</t>
  </si>
  <si>
    <t>CHARGES</t>
  </si>
  <si>
    <t>Feuille maîtresse du cycle C Propres</t>
  </si>
  <si>
    <t>PRODUITS</t>
  </si>
  <si>
    <t>Feuille maîtresse du cycle C PRC</t>
  </si>
  <si>
    <t>Feuille maîtresse du cycle E</t>
  </si>
  <si>
    <t>Feuille maîtresse du cycle F</t>
  </si>
  <si>
    <t>Feuille maîtresse du cycle I Incorp</t>
  </si>
  <si>
    <t>Feuille maîtresse du cycle I Corp</t>
  </si>
  <si>
    <t>Feuille maîtresse du cycle I Fi</t>
  </si>
  <si>
    <t>Feuille maîtresse du cycle P</t>
  </si>
  <si>
    <t>Feuille maîtresse du cycle S</t>
  </si>
  <si>
    <t>Feuille maîtresse du cycle T</t>
  </si>
  <si>
    <t>Feuille maîtresse du cycle V</t>
  </si>
  <si>
    <t>Feuille maîtresse du cycle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</si>
</sst>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&quot;   &quot;"/>
  </numFmts>
  <fonts count="13" x14ac:knownFonts="1">
    <font>
      <sz val="10"/>
      <name val="Times New Roman"/>
      <family val="1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u/>
      <sz val="10"/>
      <color indexed="12"/>
      <name val="Garamond"/>
      <family val="1"/>
    </font>
    <font>
      <i/>
      <sz val="12"/>
      <name val="Times New Roman"/>
      <family val="1"/>
    </font>
    <font>
      <b/>
      <sz val="10"/>
      <color indexed="8"/>
      <name val="Times New Roman"/>
      <family val="1"/>
    </font>
    <font>
      <sz val="9"/>
      <color theme="1"/>
      <name val="Arial"/>
      <family val="2"/>
    </font>
    <font>
      <sz val="10"/>
      <name val="Aptos Narrow"/>
      <family val="2"/>
      <scheme val="minor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i/>
      <sz val="10"/>
      <color rgb="FFFF0000"/>
      <name val="Times New Roman"/>
      <family val="1"/>
    </font>
    <font>
      <b/>
      <sz val="9"/>
      <color theme="1"/>
      <name val="Arial"/>
      <family val="2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4" fillId="2" borderId="0" xfId="3" applyFont="1" applyFill="1" applyAlignment="1" applyProtection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9" fontId="2" fillId="0" borderId="0" xfId="0" applyNumberFormat="1" applyFont="1" applyAlignment="1">
      <alignment horizontal="right" vertical="center"/>
    </xf>
    <xf numFmtId="0" fontId="7" fillId="0" borderId="0" xfId="1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0" xfId="3" applyFont="1" applyFill="1" applyAlignment="1" applyProtection="1">
      <alignment horizontal="center" vertical="center"/>
    </xf>
    <xf numFmtId="0" fontId="9" fillId="0" borderId="0" xfId="0" applyFont="1" applyAlignment="1">
      <alignment vertical="center"/>
    </xf>
    <xf numFmtId="14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left"/>
    </xf>
    <xf numFmtId="9" fontId="9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9" fontId="0" fillId="0" borderId="0" xfId="2" applyFont="1" applyAlignment="1">
      <alignment horizontal="right" vertical="center"/>
    </xf>
    <xf numFmtId="9" fontId="9" fillId="0" borderId="0" xfId="2" applyFont="1" applyAlignment="1">
      <alignment horizontal="right" vertical="center"/>
    </xf>
    <xf numFmtId="0" fontId="9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9" fontId="9" fillId="0" borderId="1" xfId="2" applyFont="1" applyBorder="1" applyAlignment="1">
      <alignment horizontal="right" vertical="center"/>
    </xf>
    <xf numFmtId="0" fontId="9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9" fontId="9" fillId="0" borderId="2" xfId="2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165" fontId="9" fillId="0" borderId="3" xfId="0" applyNumberFormat="1" applyFont="1" applyBorder="1" applyAlignment="1">
      <alignment vertical="center"/>
    </xf>
    <xf numFmtId="9" fontId="9" fillId="0" borderId="3" xfId="2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165" fontId="12" fillId="0" borderId="4" xfId="0" applyNumberFormat="1" applyFont="1" applyBorder="1" applyAlignment="1">
      <alignment vertical="center"/>
    </xf>
    <xf numFmtId="9" fontId="12" fillId="0" borderId="4" xfId="2" applyFont="1" applyBorder="1" applyAlignment="1">
      <alignment horizontal="right" vertical="center"/>
    </xf>
    <xf numFmtId="0" fontId="3" fillId="0" borderId="0" xfId="3" applyAlignment="1" applyProtection="1">
      <alignment vertical="center"/>
    </xf>
    <xf numFmtId="0" fontId="9" fillId="0" borderId="0" xfId="3" applyFont="1" applyAlignment="1" applyProtection="1">
      <alignment vertical="center"/>
    </xf>
    <xf numFmtId="0" fontId="0" fillId="0" borderId="0" xfId="3" applyFont="1" applyAlignment="1" applyProtection="1">
      <alignment vertic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7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indexed="9"/>
      </font>
      <fill>
        <patternFill>
          <bgColor indexed="1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43991A-8A6F-FC4A-AA2B-FEB29C9B963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2C70-48F7-476B-A058-924736BFC956}">
  <dimension ref="A1:C34"/>
  <sheetViews>
    <sheetView showGridLines="0" defaultGridColor="0" colorId="52" workbookViewId="0"/>
  </sheetViews>
  <sheetFormatPr baseColWidth="10" defaultColWidth="12" defaultRowHeight="13" x14ac:dyDescent="0.15"/>
  <cols>
    <col min="1" max="16384" width="12" style="1"/>
  </cols>
  <sheetData>
    <row r="1" spans="1:3" x14ac:dyDescent="0.15">
      <c r="A1"/>
    </row>
    <row r="3" spans="1:3" ht="18" x14ac:dyDescent="0.15">
      <c r="C3" s="24" t="s">
        <v>0</v>
      </c>
    </row>
    <row r="4" spans="1:3" ht="16" x14ac:dyDescent="0.15">
      <c r="C4" s="23" t="s">
        <v>1</v>
      </c>
    </row>
    <row r="8" spans="1:3" x14ac:dyDescent="0.15">
      <c r="B8" s="41" t="s">
        <v>2</v>
      </c>
    </row>
    <row r="11" spans="1:3" x14ac:dyDescent="0.15">
      <c r="B11" s="12" t="s">
        <v>3</v>
      </c>
    </row>
    <row r="12" spans="1:3" x14ac:dyDescent="0.15">
      <c r="C12" s="42" t="s">
        <v>4</v>
      </c>
    </row>
    <row r="13" spans="1:3" x14ac:dyDescent="0.15">
      <c r="C13" s="42" t="s">
        <v>5</v>
      </c>
    </row>
    <row r="14" spans="1:3" x14ac:dyDescent="0.15">
      <c r="C14" s="42" t="s">
        <v>6</v>
      </c>
    </row>
    <row r="15" spans="1:3" x14ac:dyDescent="0.15">
      <c r="C15" s="42" t="s">
        <v>7</v>
      </c>
    </row>
    <row r="16" spans="1:3" x14ac:dyDescent="0.15">
      <c r="C16" s="42" t="s">
        <v>8</v>
      </c>
    </row>
    <row r="19" spans="2:3" x14ac:dyDescent="0.15">
      <c r="B19" s="12" t="s">
        <v>9</v>
      </c>
    </row>
    <row r="20" spans="2:3" x14ac:dyDescent="0.15">
      <c r="C20" s="42" t="s">
        <v>10</v>
      </c>
    </row>
    <row r="21" spans="2:3" x14ac:dyDescent="0.15">
      <c r="C21" s="42" t="s">
        <v>11</v>
      </c>
    </row>
    <row r="24" spans="2:3" x14ac:dyDescent="0.15">
      <c r="B24" s="12" t="s">
        <v>12</v>
      </c>
    </row>
    <row r="25" spans="2:3" x14ac:dyDescent="0.15">
      <c r="C25" s="42" t="s">
        <v>13</v>
      </c>
    </row>
    <row r="26" spans="2:3" x14ac:dyDescent="0.15">
      <c r="C26" s="42" t="s">
        <v>14</v>
      </c>
    </row>
    <row r="27" spans="2:3" x14ac:dyDescent="0.15">
      <c r="C27" s="42" t="s">
        <v>15</v>
      </c>
    </row>
    <row r="28" spans="2:3" x14ac:dyDescent="0.15">
      <c r="C28" s="42" t="s">
        <v>16</v>
      </c>
    </row>
    <row r="29" spans="2:3" x14ac:dyDescent="0.15">
      <c r="C29" s="42" t="s">
        <v>17</v>
      </c>
    </row>
    <row r="30" spans="2:3" x14ac:dyDescent="0.15">
      <c r="C30" s="42" t="s">
        <v>18</v>
      </c>
    </row>
    <row r="31" spans="2:3" x14ac:dyDescent="0.15">
      <c r="C31" s="42" t="s">
        <v>19</v>
      </c>
    </row>
    <row r="32" spans="2:3" x14ac:dyDescent="0.15">
      <c r="C32" s="42" t="s">
        <v>20</v>
      </c>
    </row>
    <row r="33" spans="3:3" x14ac:dyDescent="0.15">
      <c r="C33" s="42" t="s">
        <v>21</v>
      </c>
    </row>
    <row r="34" spans="3:3" x14ac:dyDescent="0.15">
      <c r="C34" s="42" t="s">
        <v>22</v>
      </c>
    </row>
  </sheetData>
  <hyperlinks>
    <hyperlink ref="B8" location="'Balance N Vs N-1'!$D$3" display="Balance générale auditée" xr:uid="{AA262D9E-9064-4F2F-9461-2F5AE140C125}"/>
    <hyperlink ref="C12" location="'Bilan'!$D$3" display="Bilan" xr:uid="{ABD7A7DA-2EDA-42CB-964A-D35622BFF187}"/>
    <hyperlink ref="C13" location="'EBIT'!$D$3" display="EBIT" xr:uid="{9CE284F8-391C-4227-A651-5FD18C9BC360}"/>
    <hyperlink ref="C14" location="'Actif détaillé'!$D$3" display="Actif détaillé" xr:uid="{89184C5D-573F-4658-AB05-03A3436D1EA1}"/>
    <hyperlink ref="C15" location="'Passif détaillé'!$D$3" display="Passif détaillé" xr:uid="{40DA8856-27A7-4675-86EB-858022BC43E5}"/>
    <hyperlink ref="C16" location="'P&amp;L détaillé'!$D$3" display="Compte de résultat détaillé" xr:uid="{8DC0BCDE-A0E4-428B-B62B-D43238F685D0}"/>
    <hyperlink ref="C20" location="'Tréso'!$D$3" display="Besoin en fonds de roulement, Fonds de roulement, Trésorerie nette, Endettement net financier" xr:uid="{7B0E3C66-4BFE-4F6E-8914-71497FC68063}"/>
    <hyperlink ref="C21" location="'AACE'!$D$3" display="Autres achats et charges externes" xr:uid="{6C84A390-D281-4A5C-BC73-4369B1ED36BA}"/>
    <hyperlink ref="C25" location="'A0'!$D$3" display="Cycle A : Achats-Fournisseurs" xr:uid="{5FAD5335-C961-46A0-8BD7-40917C248344}"/>
    <hyperlink ref="C26" location="'C Propres0'!$D$3" display="Cycle C : Capitaux propres" xr:uid="{87186471-2406-428F-9808-3899A24EF533}"/>
    <hyperlink ref="C27" location="'C PRC0'!$D$3" display="Cycle E : Etat" xr:uid="{C23DA3A6-9BAD-404C-81BA-FF4CC096FE9B}"/>
    <hyperlink ref="C28" location="'E0'!$D$3" display="Cycle F : Financier" xr:uid="{7FF3AAFA-1E86-46DC-9B9D-27416C3F9F51}"/>
    <hyperlink ref="C29" location="'F0'!$D$3" display="Cycle I : Immobilisations" xr:uid="{9E33E358-C65F-4EBE-ABA5-7353B301D813}"/>
    <hyperlink ref="C30" location="'I Incorp0'!$D$3" display="Cycle P : Personnel" xr:uid="{CB03BD2E-C651-4F1C-AF92-53A37E4A6859}"/>
    <hyperlink ref="C31" location="'I Corp0'!$D$3" display="Cycle S : Stocks" xr:uid="{3B912FAB-ECE8-4050-8F29-FC2D2F098051}"/>
    <hyperlink ref="C32" location="'I Fi0'!$D$3" display="Cycle T : Divers" xr:uid="{CBE01B7E-0912-4B39-9C16-98026E57057D}"/>
    <hyperlink ref="C33" location="'P0'!$D$3" display="Cycle V : Clients-Ventes" xr:uid="{59D86FEC-6F59-4900-9357-F236914712E0}"/>
    <hyperlink ref="C34" location="'S0'!$D$3" display="Cycle X : Résultat exceptionnel" xr:uid="{25668704-1781-4873-989E-752EA1679D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127A-D013-4522-A105-1F05C4BE3E99}">
  <sheetPr codeName="Feuil1">
    <pageSetUpPr fitToPage="1"/>
  </sheetPr>
  <dimension ref="A1:N310"/>
  <sheetViews>
    <sheetView showGridLines="0" defaultGridColor="0" colorId="52" workbookViewId="0">
      <selection activeCell="C157" sqref="C157"/>
    </sheetView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24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x14ac:dyDescent="0.15">
      <c r="A10" s="17"/>
      <c r="B10" s="7">
        <v>101000</v>
      </c>
      <c r="C10" s="7" t="s">
        <v>34</v>
      </c>
      <c r="D10" s="2">
        <v>0.1399</v>
      </c>
      <c r="E10" s="2">
        <v>0</v>
      </c>
      <c r="F10" s="2">
        <f>D10-E10</f>
        <v>0.1399</v>
      </c>
      <c r="G10" s="8" t="str">
        <f>IF(E10=0,"n/a",F10/ABS(E10))</f>
        <v>n/a</v>
      </c>
      <c r="H10" s="17" t="str">
        <f>J10&amp;0</f>
        <v>C Propres0</v>
      </c>
      <c r="J10" s="15" t="s">
        <v>35</v>
      </c>
      <c r="K10" s="1" t="s">
        <v>36</v>
      </c>
      <c r="L10" s="1" t="s">
        <v>36</v>
      </c>
      <c r="M10" s="1" t="s">
        <v>37</v>
      </c>
      <c r="N10" s="1" t="s">
        <v>37</v>
      </c>
    </row>
    <row r="11" spans="1:14" x14ac:dyDescent="0.15">
      <c r="A11" s="17"/>
      <c r="B11" s="7">
        <v>101300</v>
      </c>
      <c r="C11" s="7" t="s">
        <v>38</v>
      </c>
      <c r="D11" s="2">
        <v>-1150.001</v>
      </c>
      <c r="E11" s="2">
        <v>-1150.001</v>
      </c>
      <c r="F11" s="2">
        <f t="shared" ref="F11:F74" si="0">D11-E11</f>
        <v>0</v>
      </c>
      <c r="G11" s="8">
        <f t="shared" ref="G11:G74" si="1">IF(E11=0,"n/a",F11/ABS(E11))</f>
        <v>0</v>
      </c>
      <c r="H11" s="17" t="str">
        <f t="shared" ref="H11:H74" si="2">J11&amp;0</f>
        <v>C Propres0</v>
      </c>
      <c r="J11" s="15" t="s">
        <v>35</v>
      </c>
      <c r="K11" s="1" t="s">
        <v>36</v>
      </c>
      <c r="L11" s="1" t="s">
        <v>36</v>
      </c>
      <c r="M11" s="1" t="s">
        <v>37</v>
      </c>
      <c r="N11" s="1" t="s">
        <v>37</v>
      </c>
    </row>
    <row r="12" spans="1:14" x14ac:dyDescent="0.15">
      <c r="A12" s="17"/>
      <c r="B12" s="7">
        <v>106100</v>
      </c>
      <c r="C12" s="7" t="s">
        <v>39</v>
      </c>
      <c r="D12" s="2">
        <v>-115.0001</v>
      </c>
      <c r="E12" s="2">
        <v>-115.0001</v>
      </c>
      <c r="F12" s="2">
        <f t="shared" si="0"/>
        <v>0</v>
      </c>
      <c r="G12" s="8">
        <f t="shared" si="1"/>
        <v>0</v>
      </c>
      <c r="H12" s="17" t="str">
        <f t="shared" si="2"/>
        <v>C Propres0</v>
      </c>
      <c r="J12" s="15" t="s">
        <v>35</v>
      </c>
      <c r="K12" s="1" t="s">
        <v>40</v>
      </c>
      <c r="L12" s="1" t="s">
        <v>40</v>
      </c>
      <c r="M12" s="1" t="s">
        <v>37</v>
      </c>
      <c r="N12" s="1" t="s">
        <v>37</v>
      </c>
    </row>
    <row r="13" spans="1:14" x14ac:dyDescent="0.15">
      <c r="A13" s="17"/>
      <c r="B13" s="7">
        <v>106800</v>
      </c>
      <c r="C13" s="7" t="s">
        <v>41</v>
      </c>
      <c r="D13" s="2">
        <v>-1851.1933799999999</v>
      </c>
      <c r="E13" s="2">
        <v>-2165.8997100000001</v>
      </c>
      <c r="F13" s="2">
        <f t="shared" si="0"/>
        <v>314.70633000000021</v>
      </c>
      <c r="G13" s="8">
        <f t="shared" si="1"/>
        <v>0.1453005088587413</v>
      </c>
      <c r="H13" s="17" t="str">
        <f t="shared" si="2"/>
        <v>C Propres0</v>
      </c>
      <c r="J13" s="15" t="s">
        <v>35</v>
      </c>
      <c r="K13" s="1" t="s">
        <v>40</v>
      </c>
      <c r="L13" s="1" t="s">
        <v>40</v>
      </c>
      <c r="M13" s="1" t="s">
        <v>37</v>
      </c>
      <c r="N13" s="1" t="s">
        <v>37</v>
      </c>
    </row>
    <row r="14" spans="1:14" x14ac:dyDescent="0.15">
      <c r="A14" s="17"/>
      <c r="B14" s="7">
        <v>120000</v>
      </c>
      <c r="C14" s="7" t="s">
        <v>42</v>
      </c>
      <c r="D14" s="2">
        <v>0</v>
      </c>
      <c r="E14" s="2">
        <v>0</v>
      </c>
      <c r="F14" s="2">
        <f t="shared" si="0"/>
        <v>0</v>
      </c>
      <c r="G14" s="8" t="str">
        <f t="shared" si="1"/>
        <v>n/a</v>
      </c>
      <c r="H14" s="17" t="str">
        <f t="shared" si="2"/>
        <v>C Propres0</v>
      </c>
      <c r="J14" s="15" t="s">
        <v>35</v>
      </c>
      <c r="K14" s="1" t="s">
        <v>43</v>
      </c>
      <c r="L14" s="1" t="s">
        <v>43</v>
      </c>
      <c r="M14" s="1" t="s">
        <v>37</v>
      </c>
      <c r="N14" s="1" t="s">
        <v>37</v>
      </c>
    </row>
    <row r="15" spans="1:14" x14ac:dyDescent="0.15">
      <c r="A15" s="17"/>
      <c r="B15" s="7">
        <v>151100</v>
      </c>
      <c r="C15" s="7" t="s">
        <v>44</v>
      </c>
      <c r="D15" s="2">
        <v>-30</v>
      </c>
      <c r="E15" s="2">
        <v>-30</v>
      </c>
      <c r="F15" s="2">
        <f t="shared" si="0"/>
        <v>0</v>
      </c>
      <c r="G15" s="8">
        <f t="shared" si="1"/>
        <v>0</v>
      </c>
      <c r="H15" s="17" t="str">
        <f t="shared" si="2"/>
        <v>C PRC0</v>
      </c>
      <c r="J15" s="15" t="s">
        <v>45</v>
      </c>
      <c r="K15" s="1" t="s">
        <v>46</v>
      </c>
      <c r="L15" s="1" t="s">
        <v>46</v>
      </c>
      <c r="M15" s="1" t="s">
        <v>37</v>
      </c>
      <c r="N15" s="1" t="s">
        <v>37</v>
      </c>
    </row>
    <row r="16" spans="1:14" x14ac:dyDescent="0.15">
      <c r="A16" s="17"/>
      <c r="B16" s="7">
        <v>164120</v>
      </c>
      <c r="C16" s="7" t="s">
        <v>47</v>
      </c>
      <c r="D16" s="2">
        <v>0</v>
      </c>
      <c r="E16" s="2">
        <v>-45.165240000000026</v>
      </c>
      <c r="F16" s="2">
        <f t="shared" si="0"/>
        <v>45.165240000000026</v>
      </c>
      <c r="G16" s="8">
        <f t="shared" si="1"/>
        <v>1</v>
      </c>
      <c r="H16" s="17" t="str">
        <f t="shared" si="2"/>
        <v>F0</v>
      </c>
      <c r="J16" s="15" t="s">
        <v>48</v>
      </c>
      <c r="K16" s="1" t="s">
        <v>49</v>
      </c>
      <c r="L16" s="1" t="s">
        <v>49</v>
      </c>
      <c r="M16" s="1" t="s">
        <v>37</v>
      </c>
      <c r="N16" s="1" t="s">
        <v>37</v>
      </c>
    </row>
    <row r="17" spans="1:14" x14ac:dyDescent="0.15">
      <c r="A17" s="17"/>
      <c r="B17" s="7">
        <v>164130</v>
      </c>
      <c r="C17" s="7" t="s">
        <v>50</v>
      </c>
      <c r="D17" s="2">
        <v>-69.014910000000029</v>
      </c>
      <c r="E17" s="2">
        <v>-344.31688000000003</v>
      </c>
      <c r="F17" s="2">
        <f t="shared" si="0"/>
        <v>275.30196999999998</v>
      </c>
      <c r="G17" s="8">
        <f t="shared" si="1"/>
        <v>0.79955989959016815</v>
      </c>
      <c r="H17" s="17" t="str">
        <f t="shared" si="2"/>
        <v>F0</v>
      </c>
      <c r="J17" s="15" t="s">
        <v>48</v>
      </c>
      <c r="K17" s="1" t="s">
        <v>49</v>
      </c>
      <c r="L17" s="1" t="s">
        <v>49</v>
      </c>
      <c r="M17" s="1" t="s">
        <v>37</v>
      </c>
      <c r="N17" s="1" t="s">
        <v>37</v>
      </c>
    </row>
    <row r="18" spans="1:14" x14ac:dyDescent="0.15">
      <c r="A18" s="17"/>
      <c r="B18" s="7">
        <v>164150</v>
      </c>
      <c r="C18" s="7" t="s">
        <v>51</v>
      </c>
      <c r="D18" s="2">
        <v>-1386.5231299999998</v>
      </c>
      <c r="E18" s="2">
        <v>0</v>
      </c>
      <c r="F18" s="2">
        <f t="shared" si="0"/>
        <v>-1386.5231299999998</v>
      </c>
      <c r="G18" s="8" t="str">
        <f t="shared" si="1"/>
        <v>n/a</v>
      </c>
      <c r="H18" s="17" t="str">
        <f t="shared" si="2"/>
        <v>F0</v>
      </c>
      <c r="J18" s="15" t="s">
        <v>48</v>
      </c>
      <c r="K18" s="1" t="s">
        <v>49</v>
      </c>
      <c r="L18" s="1" t="s">
        <v>49</v>
      </c>
      <c r="M18" s="1" t="s">
        <v>37</v>
      </c>
      <c r="N18" s="1" t="s">
        <v>37</v>
      </c>
    </row>
    <row r="19" spans="1:14" x14ac:dyDescent="0.15">
      <c r="A19" s="17"/>
      <c r="B19" s="7">
        <v>164160</v>
      </c>
      <c r="C19" s="7" t="s">
        <v>52</v>
      </c>
      <c r="D19" s="2">
        <v>-797.47236999999996</v>
      </c>
      <c r="E19" s="2">
        <v>0</v>
      </c>
      <c r="F19" s="2">
        <f t="shared" si="0"/>
        <v>-797.47236999999996</v>
      </c>
      <c r="G19" s="8" t="str">
        <f t="shared" si="1"/>
        <v>n/a</v>
      </c>
      <c r="H19" s="17" t="str">
        <f t="shared" si="2"/>
        <v>F0</v>
      </c>
      <c r="J19" s="15" t="s">
        <v>48</v>
      </c>
      <c r="K19" s="1" t="s">
        <v>49</v>
      </c>
      <c r="L19" s="1" t="s">
        <v>49</v>
      </c>
      <c r="M19" s="1" t="s">
        <v>37</v>
      </c>
      <c r="N19" s="1" t="s">
        <v>37</v>
      </c>
    </row>
    <row r="20" spans="1:14" x14ac:dyDescent="0.15">
      <c r="A20" s="17"/>
      <c r="B20" s="7">
        <v>164240</v>
      </c>
      <c r="C20" s="7" t="s">
        <v>53</v>
      </c>
      <c r="D20" s="2">
        <v>0</v>
      </c>
      <c r="E20" s="2">
        <v>-105.35031999999998</v>
      </c>
      <c r="F20" s="2">
        <f t="shared" si="0"/>
        <v>105.35031999999998</v>
      </c>
      <c r="G20" s="8">
        <f t="shared" si="1"/>
        <v>1</v>
      </c>
      <c r="H20" s="17" t="str">
        <f t="shared" si="2"/>
        <v>F0</v>
      </c>
      <c r="J20" s="15" t="s">
        <v>48</v>
      </c>
      <c r="K20" s="1" t="s">
        <v>49</v>
      </c>
      <c r="L20" s="1" t="s">
        <v>49</v>
      </c>
      <c r="M20" s="1" t="s">
        <v>37</v>
      </c>
      <c r="N20" s="1" t="s">
        <v>37</v>
      </c>
    </row>
    <row r="21" spans="1:14" x14ac:dyDescent="0.15">
      <c r="A21" s="17"/>
      <c r="B21" s="7">
        <v>164241</v>
      </c>
      <c r="C21" s="7" t="s">
        <v>54</v>
      </c>
      <c r="D21" s="2">
        <v>-68.990890000000007</v>
      </c>
      <c r="E21" s="2">
        <v>-344.26539000000002</v>
      </c>
      <c r="F21" s="2">
        <f t="shared" si="0"/>
        <v>275.27449999999999</v>
      </c>
      <c r="G21" s="8">
        <f t="shared" si="1"/>
        <v>0.79959969255114483</v>
      </c>
      <c r="H21" s="17" t="str">
        <f t="shared" si="2"/>
        <v>F0</v>
      </c>
      <c r="J21" s="15" t="s">
        <v>48</v>
      </c>
      <c r="K21" s="1" t="s">
        <v>49</v>
      </c>
      <c r="L21" s="1" t="s">
        <v>49</v>
      </c>
      <c r="M21" s="1" t="s">
        <v>37</v>
      </c>
      <c r="N21" s="1" t="s">
        <v>37</v>
      </c>
    </row>
    <row r="22" spans="1:14" x14ac:dyDescent="0.15">
      <c r="A22" s="17"/>
      <c r="B22" s="7">
        <v>164250</v>
      </c>
      <c r="C22" s="7" t="s">
        <v>55</v>
      </c>
      <c r="D22" s="2">
        <v>-192.01849000000001</v>
      </c>
      <c r="E22" s="2">
        <v>-439.58181000000002</v>
      </c>
      <c r="F22" s="2">
        <f t="shared" si="0"/>
        <v>247.56332</v>
      </c>
      <c r="G22" s="8">
        <f t="shared" si="1"/>
        <v>0.56317917249578642</v>
      </c>
      <c r="H22" s="17" t="str">
        <f t="shared" si="2"/>
        <v>F0</v>
      </c>
      <c r="J22" s="15" t="s">
        <v>48</v>
      </c>
      <c r="K22" s="1" t="s">
        <v>49</v>
      </c>
      <c r="L22" s="1" t="s">
        <v>49</v>
      </c>
      <c r="M22" s="1" t="s">
        <v>37</v>
      </c>
      <c r="N22" s="1" t="s">
        <v>37</v>
      </c>
    </row>
    <row r="23" spans="1:14" x14ac:dyDescent="0.15">
      <c r="A23" s="17"/>
      <c r="B23" s="7">
        <v>168100</v>
      </c>
      <c r="C23" s="7" t="s">
        <v>56</v>
      </c>
      <c r="D23" s="2">
        <v>-101.20003</v>
      </c>
      <c r="E23" s="2">
        <v>0</v>
      </c>
      <c r="F23" s="2">
        <f t="shared" si="0"/>
        <v>-101.20003</v>
      </c>
      <c r="G23" s="8" t="str">
        <f t="shared" si="1"/>
        <v>n/a</v>
      </c>
      <c r="H23" s="17" t="str">
        <f t="shared" si="2"/>
        <v>F0</v>
      </c>
      <c r="J23" s="15" t="s">
        <v>48</v>
      </c>
      <c r="K23" s="1" t="s">
        <v>57</v>
      </c>
      <c r="L23" s="1" t="s">
        <v>57</v>
      </c>
      <c r="M23" s="1" t="s">
        <v>37</v>
      </c>
      <c r="N23" s="1" t="s">
        <v>37</v>
      </c>
    </row>
    <row r="24" spans="1:14" x14ac:dyDescent="0.15">
      <c r="A24" s="17"/>
      <c r="B24" s="7">
        <v>205000</v>
      </c>
      <c r="C24" s="7" t="s">
        <v>58</v>
      </c>
      <c r="D24" s="2">
        <v>5</v>
      </c>
      <c r="E24" s="2">
        <v>5</v>
      </c>
      <c r="F24" s="2">
        <f t="shared" si="0"/>
        <v>0</v>
      </c>
      <c r="G24" s="8">
        <f t="shared" si="1"/>
        <v>0</v>
      </c>
      <c r="H24" s="17" t="str">
        <f t="shared" si="2"/>
        <v>I Corp0</v>
      </c>
      <c r="J24" s="15" t="s">
        <v>59</v>
      </c>
      <c r="K24" s="1" t="s">
        <v>60</v>
      </c>
      <c r="L24" s="1" t="s">
        <v>60</v>
      </c>
      <c r="M24" s="1" t="s">
        <v>61</v>
      </c>
      <c r="N24" s="1" t="s">
        <v>61</v>
      </c>
    </row>
    <row r="25" spans="1:14" x14ac:dyDescent="0.15">
      <c r="A25" s="17"/>
      <c r="B25" s="7">
        <v>207000</v>
      </c>
      <c r="C25" s="7" t="s">
        <v>62</v>
      </c>
      <c r="D25" s="2">
        <v>186.351</v>
      </c>
      <c r="E25" s="2">
        <v>186.351</v>
      </c>
      <c r="F25" s="2">
        <f t="shared" si="0"/>
        <v>0</v>
      </c>
      <c r="G25" s="8">
        <f t="shared" si="1"/>
        <v>0</v>
      </c>
      <c r="H25" s="17" t="str">
        <f t="shared" si="2"/>
        <v>I Incorp0</v>
      </c>
      <c r="J25" s="15" t="s">
        <v>63</v>
      </c>
      <c r="K25" s="1" t="s">
        <v>64</v>
      </c>
      <c r="L25" s="1" t="s">
        <v>64</v>
      </c>
      <c r="M25" s="1" t="s">
        <v>61</v>
      </c>
      <c r="N25" s="1" t="s">
        <v>61</v>
      </c>
    </row>
    <row r="26" spans="1:14" x14ac:dyDescent="0.15">
      <c r="A26" s="17"/>
      <c r="B26" s="7">
        <v>208000</v>
      </c>
      <c r="C26" s="7" t="s">
        <v>65</v>
      </c>
      <c r="D26" s="2">
        <v>29.206799999999998</v>
      </c>
      <c r="E26" s="2">
        <v>29.206799999999998</v>
      </c>
      <c r="F26" s="2">
        <f t="shared" si="0"/>
        <v>0</v>
      </c>
      <c r="G26" s="8">
        <f t="shared" si="1"/>
        <v>0</v>
      </c>
      <c r="H26" s="17" t="str">
        <f t="shared" si="2"/>
        <v>I Corp0</v>
      </c>
      <c r="J26" s="15" t="s">
        <v>59</v>
      </c>
      <c r="K26" s="1" t="s">
        <v>66</v>
      </c>
      <c r="L26" s="1" t="s">
        <v>66</v>
      </c>
      <c r="M26" s="1" t="s">
        <v>61</v>
      </c>
      <c r="N26" s="1" t="s">
        <v>61</v>
      </c>
    </row>
    <row r="27" spans="1:14" x14ac:dyDescent="0.15">
      <c r="A27" s="17"/>
      <c r="B27" s="7">
        <v>213500</v>
      </c>
      <c r="C27" s="7" t="s">
        <v>67</v>
      </c>
      <c r="D27" s="2">
        <v>21</v>
      </c>
      <c r="E27" s="2">
        <v>21</v>
      </c>
      <c r="F27" s="2">
        <f t="shared" si="0"/>
        <v>0</v>
      </c>
      <c r="G27" s="8">
        <f t="shared" si="1"/>
        <v>0</v>
      </c>
      <c r="H27" s="17" t="str">
        <f t="shared" si="2"/>
        <v>I Corp0</v>
      </c>
      <c r="J27" s="15" t="s">
        <v>59</v>
      </c>
      <c r="K27" s="1" t="s">
        <v>68</v>
      </c>
      <c r="L27" s="1" t="s">
        <v>68</v>
      </c>
      <c r="M27" s="1" t="s">
        <v>61</v>
      </c>
      <c r="N27" s="1" t="s">
        <v>61</v>
      </c>
    </row>
    <row r="28" spans="1:14" x14ac:dyDescent="0.15">
      <c r="A28" s="17"/>
      <c r="B28" s="7">
        <v>214500</v>
      </c>
      <c r="C28" s="7" t="s">
        <v>69</v>
      </c>
      <c r="D28" s="2">
        <v>22.983360000000001</v>
      </c>
      <c r="E28" s="2">
        <v>22.983360000000001</v>
      </c>
      <c r="F28" s="2">
        <f t="shared" si="0"/>
        <v>0</v>
      </c>
      <c r="G28" s="8">
        <f t="shared" si="1"/>
        <v>0</v>
      </c>
      <c r="H28" s="17" t="str">
        <f t="shared" si="2"/>
        <v>I Corp0</v>
      </c>
      <c r="J28" s="15" t="s">
        <v>59</v>
      </c>
      <c r="K28" s="1" t="s">
        <v>68</v>
      </c>
      <c r="L28" s="1" t="s">
        <v>68</v>
      </c>
      <c r="M28" s="1" t="s">
        <v>61</v>
      </c>
      <c r="N28" s="1" t="s">
        <v>61</v>
      </c>
    </row>
    <row r="29" spans="1:14" x14ac:dyDescent="0.15">
      <c r="A29" s="17"/>
      <c r="B29" s="7">
        <v>215400</v>
      </c>
      <c r="C29" s="7" t="s">
        <v>70</v>
      </c>
      <c r="D29" s="2">
        <v>283.81440000000003</v>
      </c>
      <c r="E29" s="2">
        <v>255.9144</v>
      </c>
      <c r="F29" s="2">
        <f t="shared" si="0"/>
        <v>27.900000000000034</v>
      </c>
      <c r="G29" s="8">
        <f t="shared" si="1"/>
        <v>0.10902082883964338</v>
      </c>
      <c r="H29" s="17" t="str">
        <f t="shared" si="2"/>
        <v>I Corp0</v>
      </c>
      <c r="J29" s="15" t="s">
        <v>59</v>
      </c>
      <c r="K29" s="1" t="s">
        <v>71</v>
      </c>
      <c r="L29" s="1" t="s">
        <v>71</v>
      </c>
      <c r="M29" s="1" t="s">
        <v>61</v>
      </c>
      <c r="N29" s="1" t="s">
        <v>61</v>
      </c>
    </row>
    <row r="30" spans="1:14" x14ac:dyDescent="0.15">
      <c r="A30" s="17"/>
      <c r="B30" s="7">
        <v>215500</v>
      </c>
      <c r="C30" s="7" t="s">
        <v>72</v>
      </c>
      <c r="D30" s="2">
        <v>1455.241</v>
      </c>
      <c r="E30" s="2">
        <v>1378.941</v>
      </c>
      <c r="F30" s="2">
        <f t="shared" si="0"/>
        <v>76.299999999999955</v>
      </c>
      <c r="G30" s="8">
        <f t="shared" si="1"/>
        <v>5.5332316611080498E-2</v>
      </c>
      <c r="H30" s="17" t="str">
        <f t="shared" si="2"/>
        <v>I Corp0</v>
      </c>
      <c r="J30" s="15" t="s">
        <v>59</v>
      </c>
      <c r="K30" s="1" t="s">
        <v>71</v>
      </c>
      <c r="L30" s="1" t="s">
        <v>71</v>
      </c>
      <c r="M30" s="1" t="s">
        <v>61</v>
      </c>
      <c r="N30" s="1" t="s">
        <v>61</v>
      </c>
    </row>
    <row r="31" spans="1:14" x14ac:dyDescent="0.15">
      <c r="A31" s="17"/>
      <c r="B31" s="7">
        <v>215700</v>
      </c>
      <c r="C31" s="7" t="s">
        <v>73</v>
      </c>
      <c r="D31" s="2">
        <v>20.177</v>
      </c>
      <c r="E31" s="2">
        <v>20.177</v>
      </c>
      <c r="F31" s="2">
        <f t="shared" si="0"/>
        <v>0</v>
      </c>
      <c r="G31" s="8">
        <f t="shared" si="1"/>
        <v>0</v>
      </c>
      <c r="H31" s="17" t="str">
        <f t="shared" si="2"/>
        <v>I Corp0</v>
      </c>
      <c r="J31" s="15" t="s">
        <v>59</v>
      </c>
      <c r="K31" s="1" t="s">
        <v>71</v>
      </c>
      <c r="L31" s="1" t="s">
        <v>71</v>
      </c>
      <c r="M31" s="1" t="s">
        <v>61</v>
      </c>
      <c r="N31" s="1" t="s">
        <v>61</v>
      </c>
    </row>
    <row r="32" spans="1:14" x14ac:dyDescent="0.15">
      <c r="A32" s="17"/>
      <c r="B32" s="7">
        <v>218100</v>
      </c>
      <c r="C32" s="7" t="s">
        <v>74</v>
      </c>
      <c r="D32" s="2">
        <v>14.266439999999999</v>
      </c>
      <c r="E32" s="2">
        <v>9.8597999999999999</v>
      </c>
      <c r="F32" s="2">
        <f t="shared" si="0"/>
        <v>4.4066399999999994</v>
      </c>
      <c r="G32" s="8">
        <f t="shared" si="1"/>
        <v>0.44692995801131863</v>
      </c>
      <c r="H32" s="17" t="str">
        <f t="shared" si="2"/>
        <v>I Corp0</v>
      </c>
      <c r="J32" s="15" t="s">
        <v>59</v>
      </c>
      <c r="K32" s="1" t="s">
        <v>75</v>
      </c>
      <c r="L32" s="1" t="s">
        <v>75</v>
      </c>
      <c r="M32" s="1" t="s">
        <v>61</v>
      </c>
      <c r="N32" s="1" t="s">
        <v>61</v>
      </c>
    </row>
    <row r="33" spans="1:14" x14ac:dyDescent="0.15">
      <c r="A33" s="17"/>
      <c r="B33" s="7">
        <v>218200</v>
      </c>
      <c r="C33" s="7" t="s">
        <v>76</v>
      </c>
      <c r="D33" s="2">
        <v>270.53293000000008</v>
      </c>
      <c r="E33" s="2">
        <v>164.03835999999998</v>
      </c>
      <c r="F33" s="2">
        <f t="shared" si="0"/>
        <v>106.4945700000001</v>
      </c>
      <c r="G33" s="8">
        <f t="shared" si="1"/>
        <v>0.64920528344711637</v>
      </c>
      <c r="H33" s="17" t="str">
        <f t="shared" si="2"/>
        <v>I Corp0</v>
      </c>
      <c r="J33" s="15" t="s">
        <v>59</v>
      </c>
      <c r="K33" s="1" t="s">
        <v>75</v>
      </c>
      <c r="L33" s="1" t="s">
        <v>75</v>
      </c>
      <c r="M33" s="1" t="s">
        <v>61</v>
      </c>
      <c r="N33" s="1" t="s">
        <v>61</v>
      </c>
    </row>
    <row r="34" spans="1:14" x14ac:dyDescent="0.15">
      <c r="A34" s="17"/>
      <c r="B34" s="7">
        <v>218300</v>
      </c>
      <c r="C34" s="7" t="s">
        <v>77</v>
      </c>
      <c r="D34" s="2">
        <v>15.348090000000001</v>
      </c>
      <c r="E34" s="2">
        <v>15.348090000000001</v>
      </c>
      <c r="F34" s="2">
        <f t="shared" si="0"/>
        <v>0</v>
      </c>
      <c r="G34" s="8">
        <f t="shared" si="1"/>
        <v>0</v>
      </c>
      <c r="H34" s="17" t="str">
        <f t="shared" si="2"/>
        <v>I Corp0</v>
      </c>
      <c r="J34" s="15" t="s">
        <v>59</v>
      </c>
      <c r="K34" s="1" t="s">
        <v>75</v>
      </c>
      <c r="L34" s="1" t="s">
        <v>75</v>
      </c>
      <c r="M34" s="1" t="s">
        <v>61</v>
      </c>
      <c r="N34" s="1" t="s">
        <v>61</v>
      </c>
    </row>
    <row r="35" spans="1:14" x14ac:dyDescent="0.15">
      <c r="A35" s="17"/>
      <c r="B35" s="7">
        <v>218320</v>
      </c>
      <c r="C35" s="7" t="s">
        <v>78</v>
      </c>
      <c r="D35" s="2">
        <v>95.164029999999997</v>
      </c>
      <c r="E35" s="2">
        <v>95.164029999999983</v>
      </c>
      <c r="F35" s="2">
        <f t="shared" si="0"/>
        <v>0</v>
      </c>
      <c r="G35" s="8">
        <f t="shared" si="1"/>
        <v>0</v>
      </c>
      <c r="H35" s="17" t="str">
        <f t="shared" si="2"/>
        <v>I Corp0</v>
      </c>
      <c r="J35" s="15" t="s">
        <v>59</v>
      </c>
      <c r="K35" s="1" t="s">
        <v>75</v>
      </c>
      <c r="L35" s="1" t="s">
        <v>75</v>
      </c>
      <c r="M35" s="1" t="s">
        <v>61</v>
      </c>
      <c r="N35" s="1" t="s">
        <v>61</v>
      </c>
    </row>
    <row r="36" spans="1:14" x14ac:dyDescent="0.15">
      <c r="A36" s="17"/>
      <c r="B36" s="7">
        <v>218400</v>
      </c>
      <c r="C36" s="7" t="s">
        <v>79</v>
      </c>
      <c r="D36" s="2">
        <v>18.892910000000001</v>
      </c>
      <c r="E36" s="2">
        <v>7.9241200000000003</v>
      </c>
      <c r="F36" s="2">
        <f t="shared" si="0"/>
        <v>10.96879</v>
      </c>
      <c r="G36" s="8">
        <f t="shared" si="1"/>
        <v>1.3842281540410797</v>
      </c>
      <c r="H36" s="17" t="str">
        <f t="shared" si="2"/>
        <v>I Corp0</v>
      </c>
      <c r="J36" s="15" t="s">
        <v>59</v>
      </c>
      <c r="K36" s="1" t="s">
        <v>75</v>
      </c>
      <c r="L36" s="1" t="s">
        <v>75</v>
      </c>
      <c r="M36" s="1" t="s">
        <v>61</v>
      </c>
      <c r="N36" s="1" t="s">
        <v>61</v>
      </c>
    </row>
    <row r="37" spans="1:14" x14ac:dyDescent="0.15">
      <c r="A37" s="17"/>
      <c r="B37" s="7">
        <v>238500</v>
      </c>
      <c r="C37" s="7" t="s">
        <v>80</v>
      </c>
      <c r="D37" s="2">
        <v>0</v>
      </c>
      <c r="E37" s="2">
        <v>17.37</v>
      </c>
      <c r="F37" s="2">
        <f t="shared" si="0"/>
        <v>-17.37</v>
      </c>
      <c r="G37" s="8">
        <f t="shared" si="1"/>
        <v>-1</v>
      </c>
      <c r="H37" s="17" t="str">
        <f t="shared" si="2"/>
        <v>I Corp0</v>
      </c>
      <c r="J37" s="15" t="s">
        <v>59</v>
      </c>
      <c r="K37" s="1" t="s">
        <v>81</v>
      </c>
      <c r="L37" s="1" t="s">
        <v>81</v>
      </c>
      <c r="M37" s="1" t="s">
        <v>61</v>
      </c>
      <c r="N37" s="1" t="s">
        <v>61</v>
      </c>
    </row>
    <row r="38" spans="1:14" x14ac:dyDescent="0.15">
      <c r="A38" s="17"/>
      <c r="B38" s="7">
        <v>261000</v>
      </c>
      <c r="C38" s="7" t="s">
        <v>82</v>
      </c>
      <c r="D38" s="2">
        <v>3283.9037599999997</v>
      </c>
      <c r="E38" s="2">
        <v>380.03975000000003</v>
      </c>
      <c r="F38" s="2">
        <f t="shared" si="0"/>
        <v>2903.8640099999998</v>
      </c>
      <c r="G38" s="8">
        <f t="shared" si="1"/>
        <v>7.6409481113488775</v>
      </c>
      <c r="H38" s="17" t="str">
        <f t="shared" si="2"/>
        <v>I Fi0</v>
      </c>
      <c r="J38" s="15" t="s">
        <v>83</v>
      </c>
      <c r="K38" s="1" t="s">
        <v>84</v>
      </c>
      <c r="L38" s="1" t="s">
        <v>84</v>
      </c>
      <c r="M38" s="1" t="s">
        <v>61</v>
      </c>
      <c r="N38" s="1" t="s">
        <v>61</v>
      </c>
    </row>
    <row r="39" spans="1:14" x14ac:dyDescent="0.15">
      <c r="A39" s="17"/>
      <c r="B39" s="7">
        <v>274301</v>
      </c>
      <c r="C39" s="7" t="s">
        <v>85</v>
      </c>
      <c r="D39" s="2">
        <v>0</v>
      </c>
      <c r="E39" s="2">
        <v>0</v>
      </c>
      <c r="F39" s="2">
        <f t="shared" si="0"/>
        <v>0</v>
      </c>
      <c r="G39" s="8" t="str">
        <f t="shared" si="1"/>
        <v>n/a</v>
      </c>
      <c r="H39" s="17" t="str">
        <f t="shared" si="2"/>
        <v>I Fi0</v>
      </c>
      <c r="J39" s="15" t="s">
        <v>83</v>
      </c>
      <c r="K39" s="1" t="s">
        <v>86</v>
      </c>
      <c r="L39" s="1" t="s">
        <v>86</v>
      </c>
      <c r="M39" s="1" t="s">
        <v>61</v>
      </c>
      <c r="N39" s="1" t="s">
        <v>61</v>
      </c>
    </row>
    <row r="40" spans="1:14" x14ac:dyDescent="0.15">
      <c r="A40" s="17"/>
      <c r="B40" s="7">
        <v>274303</v>
      </c>
      <c r="C40" s="7" t="s">
        <v>87</v>
      </c>
      <c r="D40" s="2">
        <v>72.593999999999994</v>
      </c>
      <c r="E40" s="2">
        <v>78.396000000000001</v>
      </c>
      <c r="F40" s="2">
        <f t="shared" si="0"/>
        <v>-5.8020000000000067</v>
      </c>
      <c r="G40" s="8">
        <f t="shared" si="1"/>
        <v>-7.4008878003979886E-2</v>
      </c>
      <c r="H40" s="17" t="str">
        <f t="shared" si="2"/>
        <v>I Fi0</v>
      </c>
      <c r="J40" s="15" t="s">
        <v>83</v>
      </c>
      <c r="K40" s="1" t="s">
        <v>86</v>
      </c>
      <c r="L40" s="1" t="s">
        <v>86</v>
      </c>
      <c r="M40" s="1" t="s">
        <v>61</v>
      </c>
      <c r="N40" s="1" t="s">
        <v>61</v>
      </c>
    </row>
    <row r="41" spans="1:14" x14ac:dyDescent="0.15">
      <c r="A41" s="17"/>
      <c r="B41" s="7">
        <v>274800</v>
      </c>
      <c r="C41" s="7" t="s">
        <v>88</v>
      </c>
      <c r="D41" s="2">
        <v>104.09321000000001</v>
      </c>
      <c r="E41" s="2">
        <v>104.09321000000001</v>
      </c>
      <c r="F41" s="2">
        <f t="shared" si="0"/>
        <v>0</v>
      </c>
      <c r="G41" s="8">
        <f t="shared" si="1"/>
        <v>0</v>
      </c>
      <c r="H41" s="17" t="str">
        <f t="shared" si="2"/>
        <v>I Fi0</v>
      </c>
      <c r="J41" s="15" t="s">
        <v>83</v>
      </c>
      <c r="K41" s="1" t="s">
        <v>86</v>
      </c>
      <c r="L41" s="1" t="s">
        <v>86</v>
      </c>
      <c r="M41" s="1" t="s">
        <v>61</v>
      </c>
      <c r="N41" s="1" t="s">
        <v>61</v>
      </c>
    </row>
    <row r="42" spans="1:14" x14ac:dyDescent="0.15">
      <c r="A42" s="17"/>
      <c r="B42" s="7">
        <v>275000</v>
      </c>
      <c r="C42" s="7" t="s">
        <v>89</v>
      </c>
      <c r="D42" s="2">
        <v>36.68403</v>
      </c>
      <c r="E42" s="2">
        <v>36.68403</v>
      </c>
      <c r="F42" s="2">
        <f t="shared" si="0"/>
        <v>0</v>
      </c>
      <c r="G42" s="8">
        <f t="shared" si="1"/>
        <v>0</v>
      </c>
      <c r="H42" s="17" t="str">
        <f t="shared" si="2"/>
        <v>I Fi0</v>
      </c>
      <c r="J42" s="15" t="s">
        <v>83</v>
      </c>
      <c r="K42" s="1" t="s">
        <v>90</v>
      </c>
      <c r="L42" s="1" t="s">
        <v>90</v>
      </c>
      <c r="M42" s="1" t="s">
        <v>61</v>
      </c>
      <c r="N42" s="1" t="s">
        <v>61</v>
      </c>
    </row>
    <row r="43" spans="1:14" x14ac:dyDescent="0.15">
      <c r="A43" s="17"/>
      <c r="B43" s="7">
        <v>277100</v>
      </c>
      <c r="C43" s="7" t="s">
        <v>91</v>
      </c>
      <c r="D43" s="2">
        <v>435.32100000000003</v>
      </c>
      <c r="E43" s="2">
        <v>0</v>
      </c>
      <c r="F43" s="2">
        <f t="shared" si="0"/>
        <v>435.32100000000003</v>
      </c>
      <c r="G43" s="8" t="str">
        <f t="shared" si="1"/>
        <v>n/a</v>
      </c>
      <c r="H43" s="17" t="str">
        <f t="shared" si="2"/>
        <v>I Fi0</v>
      </c>
      <c r="J43" s="15" t="s">
        <v>83</v>
      </c>
      <c r="K43" s="1" t="s">
        <v>92</v>
      </c>
      <c r="L43" s="1" t="s">
        <v>92</v>
      </c>
      <c r="M43" s="1" t="s">
        <v>61</v>
      </c>
      <c r="N43" s="1" t="s">
        <v>61</v>
      </c>
    </row>
    <row r="44" spans="1:14" x14ac:dyDescent="0.15">
      <c r="A44" s="17"/>
      <c r="B44" s="7">
        <v>280800</v>
      </c>
      <c r="C44" s="7" t="s">
        <v>93</v>
      </c>
      <c r="D44" s="2">
        <v>-29.206799999999998</v>
      </c>
      <c r="E44" s="2">
        <v>-29.206799999999998</v>
      </c>
      <c r="F44" s="2">
        <f t="shared" si="0"/>
        <v>0</v>
      </c>
      <c r="G44" s="8">
        <f t="shared" si="1"/>
        <v>0</v>
      </c>
      <c r="H44" s="17" t="str">
        <f t="shared" si="2"/>
        <v>I Incorp0</v>
      </c>
      <c r="J44" s="15" t="s">
        <v>63</v>
      </c>
      <c r="K44" s="1" t="s">
        <v>66</v>
      </c>
      <c r="L44" s="1" t="s">
        <v>66</v>
      </c>
      <c r="M44" s="1" t="s">
        <v>61</v>
      </c>
      <c r="N44" s="1" t="s">
        <v>61</v>
      </c>
    </row>
    <row r="45" spans="1:14" x14ac:dyDescent="0.15">
      <c r="A45" s="17"/>
      <c r="B45" s="7">
        <v>281350</v>
      </c>
      <c r="C45" s="7" t="s">
        <v>94</v>
      </c>
      <c r="D45" s="2">
        <v>-21</v>
      </c>
      <c r="E45" s="2">
        <v>-21</v>
      </c>
      <c r="F45" s="2">
        <f t="shared" si="0"/>
        <v>0</v>
      </c>
      <c r="G45" s="8">
        <f t="shared" si="1"/>
        <v>0</v>
      </c>
      <c r="H45" s="17" t="str">
        <f t="shared" si="2"/>
        <v>I Corp0</v>
      </c>
      <c r="J45" s="15" t="s">
        <v>59</v>
      </c>
      <c r="K45" s="1" t="s">
        <v>68</v>
      </c>
      <c r="L45" s="1" t="s">
        <v>68</v>
      </c>
      <c r="M45" s="1" t="s">
        <v>61</v>
      </c>
      <c r="N45" s="1" t="s">
        <v>61</v>
      </c>
    </row>
    <row r="46" spans="1:14" x14ac:dyDescent="0.15">
      <c r="A46" s="17"/>
      <c r="B46" s="7">
        <v>281450</v>
      </c>
      <c r="C46" s="7" t="s">
        <v>95</v>
      </c>
      <c r="D46" s="2">
        <v>-22.906479999999998</v>
      </c>
      <c r="E46" s="2">
        <v>-21.27169</v>
      </c>
      <c r="F46" s="2">
        <f t="shared" si="0"/>
        <v>-1.6347899999999989</v>
      </c>
      <c r="G46" s="8">
        <f t="shared" si="1"/>
        <v>-7.6852849961615594E-2</v>
      </c>
      <c r="H46" s="17" t="str">
        <f t="shared" si="2"/>
        <v>I Corp0</v>
      </c>
      <c r="J46" s="15" t="s">
        <v>59</v>
      </c>
      <c r="K46" s="1" t="s">
        <v>68</v>
      </c>
      <c r="L46" s="1" t="s">
        <v>68</v>
      </c>
      <c r="M46" s="1" t="s">
        <v>61</v>
      </c>
      <c r="N46" s="1" t="s">
        <v>61</v>
      </c>
    </row>
    <row r="47" spans="1:14" x14ac:dyDescent="0.15">
      <c r="A47" s="17"/>
      <c r="B47" s="7">
        <v>281540</v>
      </c>
      <c r="C47" s="7" t="s">
        <v>96</v>
      </c>
      <c r="D47" s="2">
        <v>-143.83132000000001</v>
      </c>
      <c r="E47" s="2">
        <v>-60.784730000000003</v>
      </c>
      <c r="F47" s="2">
        <f t="shared" si="0"/>
        <v>-83.046590000000009</v>
      </c>
      <c r="G47" s="8">
        <f t="shared" si="1"/>
        <v>-1.3662409950657015</v>
      </c>
      <c r="H47" s="17" t="str">
        <f t="shared" si="2"/>
        <v>I Corp0</v>
      </c>
      <c r="J47" s="15" t="s">
        <v>59</v>
      </c>
      <c r="K47" s="1" t="s">
        <v>71</v>
      </c>
      <c r="L47" s="1" t="s">
        <v>71</v>
      </c>
      <c r="M47" s="1" t="s">
        <v>61</v>
      </c>
      <c r="N47" s="1" t="s">
        <v>61</v>
      </c>
    </row>
    <row r="48" spans="1:14" x14ac:dyDescent="0.15">
      <c r="A48" s="17"/>
      <c r="B48" s="7">
        <v>281550</v>
      </c>
      <c r="C48" s="7" t="s">
        <v>97</v>
      </c>
      <c r="D48" s="2">
        <v>-1282.46171</v>
      </c>
      <c r="E48" s="2">
        <v>-1023.3542100000001</v>
      </c>
      <c r="F48" s="2">
        <f t="shared" si="0"/>
        <v>-259.10749999999996</v>
      </c>
      <c r="G48" s="8">
        <f t="shared" si="1"/>
        <v>-0.25319434607104407</v>
      </c>
      <c r="H48" s="17" t="str">
        <f t="shared" si="2"/>
        <v>I Corp0</v>
      </c>
      <c r="J48" s="15" t="s">
        <v>59</v>
      </c>
      <c r="K48" s="1" t="s">
        <v>71</v>
      </c>
      <c r="L48" s="1" t="s">
        <v>71</v>
      </c>
      <c r="M48" s="1" t="s">
        <v>61</v>
      </c>
      <c r="N48" s="1" t="s">
        <v>61</v>
      </c>
    </row>
    <row r="49" spans="1:14" x14ac:dyDescent="0.15">
      <c r="A49" s="17"/>
      <c r="B49" s="7">
        <v>281570</v>
      </c>
      <c r="C49" s="7" t="s">
        <v>98</v>
      </c>
      <c r="D49" s="2">
        <v>-20.177</v>
      </c>
      <c r="E49" s="2">
        <v>-20.177</v>
      </c>
      <c r="F49" s="2">
        <f t="shared" si="0"/>
        <v>0</v>
      </c>
      <c r="G49" s="8">
        <f t="shared" si="1"/>
        <v>0</v>
      </c>
      <c r="H49" s="17" t="str">
        <f t="shared" si="2"/>
        <v>I Corp0</v>
      </c>
      <c r="J49" s="15" t="s">
        <v>59</v>
      </c>
      <c r="K49" s="1" t="s">
        <v>71</v>
      </c>
      <c r="L49" s="1" t="s">
        <v>71</v>
      </c>
      <c r="M49" s="1" t="s">
        <v>61</v>
      </c>
      <c r="N49" s="1" t="s">
        <v>61</v>
      </c>
    </row>
    <row r="50" spans="1:14" x14ac:dyDescent="0.15">
      <c r="A50" s="17"/>
      <c r="B50" s="7">
        <v>281810</v>
      </c>
      <c r="C50" s="7" t="s">
        <v>99</v>
      </c>
      <c r="D50" s="2">
        <v>-8.8409399999999998</v>
      </c>
      <c r="E50" s="2">
        <v>-7.0522699999999992</v>
      </c>
      <c r="F50" s="2">
        <f t="shared" si="0"/>
        <v>-1.7886700000000006</v>
      </c>
      <c r="G50" s="8">
        <f t="shared" si="1"/>
        <v>-0.25363039134916854</v>
      </c>
      <c r="H50" s="17" t="str">
        <f t="shared" si="2"/>
        <v>I Corp0</v>
      </c>
      <c r="J50" s="15" t="s">
        <v>59</v>
      </c>
      <c r="K50" s="1" t="s">
        <v>75</v>
      </c>
      <c r="L50" s="1" t="s">
        <v>75</v>
      </c>
      <c r="M50" s="1" t="s">
        <v>61</v>
      </c>
      <c r="N50" s="1" t="s">
        <v>61</v>
      </c>
    </row>
    <row r="51" spans="1:14" x14ac:dyDescent="0.15">
      <c r="A51" s="17"/>
      <c r="B51" s="7">
        <v>281820</v>
      </c>
      <c r="C51" s="7" t="s">
        <v>100</v>
      </c>
      <c r="D51" s="2">
        <v>-114.1754</v>
      </c>
      <c r="E51" s="2">
        <v>-107.83111</v>
      </c>
      <c r="F51" s="2">
        <f t="shared" si="0"/>
        <v>-6.3442900000000009</v>
      </c>
      <c r="G51" s="8">
        <f t="shared" si="1"/>
        <v>-5.8835432557450267E-2</v>
      </c>
      <c r="H51" s="17" t="str">
        <f t="shared" si="2"/>
        <v>I Corp0</v>
      </c>
      <c r="J51" s="15" t="s">
        <v>59</v>
      </c>
      <c r="K51" s="1" t="s">
        <v>75</v>
      </c>
      <c r="L51" s="1" t="s">
        <v>75</v>
      </c>
      <c r="M51" s="1" t="s">
        <v>61</v>
      </c>
      <c r="N51" s="1" t="s">
        <v>61</v>
      </c>
    </row>
    <row r="52" spans="1:14" x14ac:dyDescent="0.15">
      <c r="A52" s="17"/>
      <c r="B52" s="7">
        <v>281830</v>
      </c>
      <c r="C52" s="7" t="s">
        <v>101</v>
      </c>
      <c r="D52" s="2">
        <v>-15.348090000000001</v>
      </c>
      <c r="E52" s="2">
        <v>-15.348090000000001</v>
      </c>
      <c r="F52" s="2">
        <f t="shared" si="0"/>
        <v>0</v>
      </c>
      <c r="G52" s="8">
        <f t="shared" si="1"/>
        <v>0</v>
      </c>
      <c r="H52" s="17" t="str">
        <f t="shared" si="2"/>
        <v>I Corp0</v>
      </c>
      <c r="J52" s="15" t="s">
        <v>59</v>
      </c>
      <c r="K52" s="1" t="s">
        <v>75</v>
      </c>
      <c r="L52" s="1" t="s">
        <v>75</v>
      </c>
      <c r="M52" s="1" t="s">
        <v>61</v>
      </c>
      <c r="N52" s="1" t="s">
        <v>61</v>
      </c>
    </row>
    <row r="53" spans="1:14" x14ac:dyDescent="0.15">
      <c r="A53" s="17"/>
      <c r="B53" s="7">
        <v>281832</v>
      </c>
      <c r="C53" s="7" t="s">
        <v>102</v>
      </c>
      <c r="D53" s="2">
        <v>-59.420789999999997</v>
      </c>
      <c r="E53" s="2">
        <v>-35.248699999999999</v>
      </c>
      <c r="F53" s="2">
        <f t="shared" si="0"/>
        <v>-24.172089999999997</v>
      </c>
      <c r="G53" s="8">
        <f t="shared" si="1"/>
        <v>-0.68575834002388736</v>
      </c>
      <c r="H53" s="17" t="str">
        <f t="shared" si="2"/>
        <v>I Corp0</v>
      </c>
      <c r="J53" s="15" t="s">
        <v>59</v>
      </c>
      <c r="K53" s="1" t="s">
        <v>75</v>
      </c>
      <c r="L53" s="1" t="s">
        <v>75</v>
      </c>
      <c r="M53" s="1" t="s">
        <v>61</v>
      </c>
      <c r="N53" s="1" t="s">
        <v>61</v>
      </c>
    </row>
    <row r="54" spans="1:14" x14ac:dyDescent="0.15">
      <c r="A54" s="17"/>
      <c r="B54" s="7">
        <v>281840</v>
      </c>
      <c r="C54" s="7" t="s">
        <v>103</v>
      </c>
      <c r="D54" s="2">
        <v>-9.2463499999999996</v>
      </c>
      <c r="E54" s="2">
        <v>-7.9241200000000003</v>
      </c>
      <c r="F54" s="2">
        <f t="shared" si="0"/>
        <v>-1.3222299999999994</v>
      </c>
      <c r="G54" s="8">
        <f t="shared" si="1"/>
        <v>-0.16686143066990394</v>
      </c>
      <c r="H54" s="17" t="str">
        <f t="shared" si="2"/>
        <v>I Corp0</v>
      </c>
      <c r="J54" s="15" t="s">
        <v>59</v>
      </c>
      <c r="K54" s="1" t="s">
        <v>75</v>
      </c>
      <c r="L54" s="1" t="s">
        <v>75</v>
      </c>
      <c r="M54" s="1" t="s">
        <v>61</v>
      </c>
      <c r="N54" s="1" t="s">
        <v>61</v>
      </c>
    </row>
    <row r="55" spans="1:14" x14ac:dyDescent="0.15">
      <c r="A55" s="17"/>
      <c r="B55" s="7">
        <v>311000</v>
      </c>
      <c r="C55" s="7" t="s">
        <v>104</v>
      </c>
      <c r="D55" s="2">
        <v>613.49307999999996</v>
      </c>
      <c r="E55" s="2">
        <v>523.94411000000002</v>
      </c>
      <c r="F55" s="2">
        <f t="shared" si="0"/>
        <v>89.54896999999994</v>
      </c>
      <c r="G55" s="8">
        <f t="shared" si="1"/>
        <v>0.17091321057125719</v>
      </c>
      <c r="H55" s="17" t="str">
        <f t="shared" si="2"/>
        <v>S0</v>
      </c>
      <c r="J55" s="15" t="s">
        <v>105</v>
      </c>
      <c r="K55" s="1" t="s">
        <v>106</v>
      </c>
      <c r="L55" s="1" t="s">
        <v>106</v>
      </c>
      <c r="M55" s="1" t="s">
        <v>61</v>
      </c>
      <c r="N55" s="1" t="s">
        <v>61</v>
      </c>
    </row>
    <row r="56" spans="1:14" x14ac:dyDescent="0.15">
      <c r="A56" s="17"/>
      <c r="B56" s="7">
        <v>317000</v>
      </c>
      <c r="C56" s="7" t="s">
        <v>107</v>
      </c>
      <c r="D56" s="2">
        <v>334.01630999999992</v>
      </c>
      <c r="E56" s="2">
        <v>332.89464000000004</v>
      </c>
      <c r="F56" s="2">
        <f t="shared" si="0"/>
        <v>1.1216699999998809</v>
      </c>
      <c r="G56" s="8">
        <f t="shared" si="1"/>
        <v>3.3694444584625358E-3</v>
      </c>
      <c r="H56" s="17" t="str">
        <f t="shared" si="2"/>
        <v>S0</v>
      </c>
      <c r="J56" s="15" t="s">
        <v>105</v>
      </c>
      <c r="K56" s="1" t="s">
        <v>106</v>
      </c>
      <c r="L56" s="1" t="s">
        <v>106</v>
      </c>
      <c r="M56" s="1" t="s">
        <v>61</v>
      </c>
      <c r="N56" s="1" t="s">
        <v>61</v>
      </c>
    </row>
    <row r="57" spans="1:14" x14ac:dyDescent="0.15">
      <c r="A57" s="17"/>
      <c r="B57" s="7">
        <v>326100</v>
      </c>
      <c r="C57" s="7" t="s">
        <v>108</v>
      </c>
      <c r="D57" s="2">
        <v>122.79563</v>
      </c>
      <c r="E57" s="2">
        <v>109.14400000000001</v>
      </c>
      <c r="F57" s="2">
        <f t="shared" si="0"/>
        <v>13.651629999999997</v>
      </c>
      <c r="G57" s="8">
        <f t="shared" si="1"/>
        <v>0.12507906985267167</v>
      </c>
      <c r="H57" s="17" t="str">
        <f t="shared" si="2"/>
        <v>S0</v>
      </c>
      <c r="J57" s="15" t="s">
        <v>105</v>
      </c>
      <c r="K57" s="1" t="s">
        <v>106</v>
      </c>
      <c r="L57" s="1" t="s">
        <v>106</v>
      </c>
      <c r="M57" s="1" t="s">
        <v>61</v>
      </c>
      <c r="N57" s="1" t="s">
        <v>61</v>
      </c>
    </row>
    <row r="58" spans="1:14" x14ac:dyDescent="0.15">
      <c r="A58" s="17"/>
      <c r="B58" s="7">
        <v>351000</v>
      </c>
      <c r="C58" s="7" t="s">
        <v>109</v>
      </c>
      <c r="D58" s="2">
        <v>166.39942999999997</v>
      </c>
      <c r="E58" s="2">
        <v>160.27941000000001</v>
      </c>
      <c r="F58" s="2">
        <f t="shared" si="0"/>
        <v>6.1200199999999541</v>
      </c>
      <c r="G58" s="8">
        <f t="shared" si="1"/>
        <v>3.8183444773099387E-2</v>
      </c>
      <c r="H58" s="17" t="str">
        <f t="shared" si="2"/>
        <v>S0</v>
      </c>
      <c r="J58" s="15" t="s">
        <v>105</v>
      </c>
      <c r="K58" s="1" t="s">
        <v>110</v>
      </c>
      <c r="L58" s="1" t="s">
        <v>110</v>
      </c>
      <c r="M58" s="1" t="s">
        <v>61</v>
      </c>
      <c r="N58" s="1" t="s">
        <v>61</v>
      </c>
    </row>
    <row r="59" spans="1:14" x14ac:dyDescent="0.15">
      <c r="A59" s="17"/>
      <c r="B59" s="7">
        <v>355000</v>
      </c>
      <c r="C59" s="7" t="s">
        <v>111</v>
      </c>
      <c r="D59" s="2">
        <v>1328.57052</v>
      </c>
      <c r="E59" s="2">
        <v>1179.527</v>
      </c>
      <c r="F59" s="2">
        <f t="shared" si="0"/>
        <v>149.04351999999994</v>
      </c>
      <c r="G59" s="8">
        <f t="shared" si="1"/>
        <v>0.12635871836761681</v>
      </c>
      <c r="H59" s="17" t="str">
        <f t="shared" si="2"/>
        <v>S0</v>
      </c>
      <c r="J59" s="15" t="s">
        <v>105</v>
      </c>
      <c r="K59" s="1" t="s">
        <v>110</v>
      </c>
      <c r="L59" s="1" t="s">
        <v>110</v>
      </c>
      <c r="M59" s="1" t="s">
        <v>61</v>
      </c>
      <c r="N59" s="1" t="s">
        <v>61</v>
      </c>
    </row>
    <row r="60" spans="1:14" x14ac:dyDescent="0.15">
      <c r="A60" s="17"/>
      <c r="B60" s="7">
        <v>371000</v>
      </c>
      <c r="C60" s="7" t="s">
        <v>112</v>
      </c>
      <c r="D60" s="2">
        <v>409.37045000000001</v>
      </c>
      <c r="E60" s="2">
        <v>307.58433000000002</v>
      </c>
      <c r="F60" s="2">
        <f t="shared" si="0"/>
        <v>101.78611999999998</v>
      </c>
      <c r="G60" s="8">
        <f t="shared" si="1"/>
        <v>0.33092101928599543</v>
      </c>
      <c r="H60" s="17" t="str">
        <f t="shared" si="2"/>
        <v>S0</v>
      </c>
      <c r="J60" s="15" t="s">
        <v>105</v>
      </c>
      <c r="K60" s="1" t="s">
        <v>113</v>
      </c>
      <c r="L60" s="1" t="s">
        <v>113</v>
      </c>
      <c r="M60" s="1" t="s">
        <v>61</v>
      </c>
      <c r="N60" s="1" t="s">
        <v>61</v>
      </c>
    </row>
    <row r="61" spans="1:14" x14ac:dyDescent="0.15">
      <c r="A61" s="17"/>
      <c r="B61" s="7">
        <v>391100</v>
      </c>
      <c r="C61" s="7" t="s">
        <v>114</v>
      </c>
      <c r="D61" s="2">
        <v>-4.4868099999999993</v>
      </c>
      <c r="E61" s="2">
        <v>-4.4752399999999994</v>
      </c>
      <c r="F61" s="2">
        <f t="shared" si="0"/>
        <v>-1.1569999999999858E-2</v>
      </c>
      <c r="G61" s="8">
        <f t="shared" si="1"/>
        <v>-2.5853362054325266E-3</v>
      </c>
      <c r="H61" s="17" t="str">
        <f t="shared" si="2"/>
        <v>S0</v>
      </c>
      <c r="J61" s="15" t="s">
        <v>105</v>
      </c>
      <c r="K61" s="1" t="s">
        <v>106</v>
      </c>
      <c r="L61" s="1" t="s">
        <v>106</v>
      </c>
      <c r="M61" s="1" t="s">
        <v>61</v>
      </c>
      <c r="N61" s="1" t="s">
        <v>61</v>
      </c>
    </row>
    <row r="62" spans="1:14" x14ac:dyDescent="0.15">
      <c r="A62" s="17"/>
      <c r="B62" s="7">
        <v>391700</v>
      </c>
      <c r="C62" s="7" t="s">
        <v>115</v>
      </c>
      <c r="D62" s="2">
        <v>-11.401419999999998</v>
      </c>
      <c r="E62" s="2">
        <v>-25.5655</v>
      </c>
      <c r="F62" s="2">
        <f t="shared" si="0"/>
        <v>14.164080000000002</v>
      </c>
      <c r="G62" s="8">
        <f t="shared" si="1"/>
        <v>0.55403101836459301</v>
      </c>
      <c r="H62" s="17" t="str">
        <f t="shared" si="2"/>
        <v>S0</v>
      </c>
      <c r="J62" s="15" t="s">
        <v>105</v>
      </c>
      <c r="K62" s="1" t="s">
        <v>106</v>
      </c>
      <c r="L62" s="1" t="s">
        <v>106</v>
      </c>
      <c r="M62" s="1" t="s">
        <v>61</v>
      </c>
      <c r="N62" s="1" t="s">
        <v>61</v>
      </c>
    </row>
    <row r="63" spans="1:14" x14ac:dyDescent="0.15">
      <c r="A63" s="17"/>
      <c r="B63" s="7">
        <v>392610</v>
      </c>
      <c r="C63" s="7" t="s">
        <v>116</v>
      </c>
      <c r="D63" s="2">
        <v>-0.18080000000000002</v>
      </c>
      <c r="E63" s="2">
        <v>-0.30863999999999997</v>
      </c>
      <c r="F63" s="2">
        <f t="shared" si="0"/>
        <v>0.12783999999999995</v>
      </c>
      <c r="G63" s="8">
        <f t="shared" si="1"/>
        <v>0.4142042509072057</v>
      </c>
      <c r="H63" s="17" t="str">
        <f t="shared" si="2"/>
        <v>S0</v>
      </c>
      <c r="J63" s="15" t="s">
        <v>105</v>
      </c>
      <c r="K63" s="1" t="s">
        <v>106</v>
      </c>
      <c r="L63" s="1" t="s">
        <v>106</v>
      </c>
      <c r="M63" s="1" t="s">
        <v>61</v>
      </c>
      <c r="N63" s="1" t="s">
        <v>61</v>
      </c>
    </row>
    <row r="64" spans="1:14" x14ac:dyDescent="0.15">
      <c r="A64" s="17"/>
      <c r="B64" s="7">
        <v>395100</v>
      </c>
      <c r="C64" s="7" t="s">
        <v>117</v>
      </c>
      <c r="D64" s="2">
        <v>-1.2035599999999997</v>
      </c>
      <c r="E64" s="2">
        <v>-1.6993</v>
      </c>
      <c r="F64" s="2">
        <f t="shared" si="0"/>
        <v>0.49574000000000029</v>
      </c>
      <c r="G64" s="8">
        <f t="shared" si="1"/>
        <v>0.29173188960160085</v>
      </c>
      <c r="H64" s="17" t="str">
        <f t="shared" si="2"/>
        <v>S0</v>
      </c>
      <c r="J64" s="15" t="s">
        <v>105</v>
      </c>
      <c r="K64" s="1" t="s">
        <v>110</v>
      </c>
      <c r="L64" s="1" t="s">
        <v>110</v>
      </c>
      <c r="M64" s="1" t="s">
        <v>61</v>
      </c>
      <c r="N64" s="1" t="s">
        <v>61</v>
      </c>
    </row>
    <row r="65" spans="1:14" x14ac:dyDescent="0.15">
      <c r="A65" s="17"/>
      <c r="B65" s="7">
        <v>395500</v>
      </c>
      <c r="C65" s="7" t="s">
        <v>118</v>
      </c>
      <c r="D65" s="2">
        <v>-8.6615800000000007</v>
      </c>
      <c r="E65" s="2">
        <v>-8.9325100000000006</v>
      </c>
      <c r="F65" s="2">
        <f t="shared" si="0"/>
        <v>0.27092999999999989</v>
      </c>
      <c r="G65" s="8">
        <f t="shared" si="1"/>
        <v>3.0330780486111951E-2</v>
      </c>
      <c r="H65" s="17" t="str">
        <f t="shared" si="2"/>
        <v>S0</v>
      </c>
      <c r="J65" s="15" t="s">
        <v>105</v>
      </c>
      <c r="K65" s="1" t="s">
        <v>110</v>
      </c>
      <c r="L65" s="1" t="s">
        <v>110</v>
      </c>
      <c r="M65" s="1" t="s">
        <v>61</v>
      </c>
      <c r="N65" s="1" t="s">
        <v>61</v>
      </c>
    </row>
    <row r="66" spans="1:14" x14ac:dyDescent="0.15">
      <c r="A66" s="17"/>
      <c r="B66" s="7">
        <v>397100</v>
      </c>
      <c r="C66" s="7" t="s">
        <v>119</v>
      </c>
      <c r="D66" s="2">
        <v>-4.3945100000000004</v>
      </c>
      <c r="E66" s="2">
        <v>-2.4696100000000003</v>
      </c>
      <c r="F66" s="2">
        <f t="shared" si="0"/>
        <v>-1.9249000000000001</v>
      </c>
      <c r="G66" s="8">
        <f t="shared" si="1"/>
        <v>-0.7794348095448268</v>
      </c>
      <c r="H66" s="17" t="str">
        <f t="shared" si="2"/>
        <v>S0</v>
      </c>
      <c r="J66" s="15" t="s">
        <v>105</v>
      </c>
      <c r="K66" s="1" t="s">
        <v>113</v>
      </c>
      <c r="L66" s="1" t="s">
        <v>113</v>
      </c>
      <c r="M66" s="1" t="s">
        <v>61</v>
      </c>
      <c r="N66" s="1" t="s">
        <v>61</v>
      </c>
    </row>
    <row r="67" spans="1:14" x14ac:dyDescent="0.15">
      <c r="A67" s="17"/>
      <c r="B67" s="7">
        <v>401000</v>
      </c>
      <c r="C67" s="7" t="s">
        <v>120</v>
      </c>
      <c r="D67" s="2">
        <v>-562.17754999999886</v>
      </c>
      <c r="E67" s="2">
        <v>-1966.8799299999991</v>
      </c>
      <c r="F67" s="2">
        <f t="shared" si="0"/>
        <v>1404.7023800000002</v>
      </c>
      <c r="G67" s="8">
        <f t="shared" si="1"/>
        <v>0.71417800272129517</v>
      </c>
      <c r="H67" s="17" t="str">
        <f t="shared" si="2"/>
        <v>A0</v>
      </c>
      <c r="J67" s="15" t="s">
        <v>121</v>
      </c>
      <c r="K67" s="1" t="s">
        <v>122</v>
      </c>
      <c r="L67" s="1" t="s">
        <v>122</v>
      </c>
      <c r="M67" s="1" t="s">
        <v>37</v>
      </c>
      <c r="N67" s="1" t="s">
        <v>37</v>
      </c>
    </row>
    <row r="68" spans="1:14" x14ac:dyDescent="0.15">
      <c r="A68" s="17"/>
      <c r="B68" s="7">
        <v>404100</v>
      </c>
      <c r="C68" s="7" t="s">
        <v>123</v>
      </c>
      <c r="D68" s="2">
        <v>0</v>
      </c>
      <c r="E68" s="2">
        <v>0</v>
      </c>
      <c r="F68" s="2">
        <f t="shared" si="0"/>
        <v>0</v>
      </c>
      <c r="G68" s="8" t="str">
        <f t="shared" si="1"/>
        <v>n/a</v>
      </c>
      <c r="H68" s="17" t="str">
        <f t="shared" si="2"/>
        <v>A0</v>
      </c>
      <c r="J68" s="15" t="s">
        <v>121</v>
      </c>
      <c r="K68" s="1" t="s">
        <v>124</v>
      </c>
      <c r="L68" s="1" t="s">
        <v>124</v>
      </c>
      <c r="M68" s="1" t="s">
        <v>61</v>
      </c>
      <c r="N68" s="1" t="s">
        <v>61</v>
      </c>
    </row>
    <row r="69" spans="1:14" x14ac:dyDescent="0.15">
      <c r="A69" s="17"/>
      <c r="B69" s="7">
        <v>408100</v>
      </c>
      <c r="C69" s="7" t="s">
        <v>125</v>
      </c>
      <c r="D69" s="2">
        <v>-446.60699999999991</v>
      </c>
      <c r="E69" s="2">
        <v>-214.51371</v>
      </c>
      <c r="F69" s="2">
        <f t="shared" si="0"/>
        <v>-232.09328999999991</v>
      </c>
      <c r="G69" s="8">
        <f t="shared" si="1"/>
        <v>-1.0819508459389375</v>
      </c>
      <c r="H69" s="17" t="str">
        <f t="shared" si="2"/>
        <v>A0</v>
      </c>
      <c r="J69" s="15" t="s">
        <v>121</v>
      </c>
      <c r="K69" s="1" t="s">
        <v>122</v>
      </c>
      <c r="L69" s="1" t="s">
        <v>122</v>
      </c>
      <c r="M69" s="1" t="s">
        <v>37</v>
      </c>
      <c r="N69" s="1" t="s">
        <v>37</v>
      </c>
    </row>
    <row r="70" spans="1:14" x14ac:dyDescent="0.15">
      <c r="A70" s="17"/>
      <c r="B70" s="7">
        <v>411000</v>
      </c>
      <c r="C70" s="7" t="s">
        <v>126</v>
      </c>
      <c r="D70" s="2">
        <v>1562.0346300000026</v>
      </c>
      <c r="E70" s="2">
        <v>1796.0376299999743</v>
      </c>
      <c r="F70" s="2">
        <f t="shared" si="0"/>
        <v>-234.00299999997173</v>
      </c>
      <c r="G70" s="8">
        <f t="shared" si="1"/>
        <v>-0.1302884728534196</v>
      </c>
      <c r="H70" s="17" t="str">
        <f t="shared" si="2"/>
        <v>V0</v>
      </c>
      <c r="J70" s="15" t="s">
        <v>127</v>
      </c>
      <c r="K70" s="1" t="s">
        <v>128</v>
      </c>
      <c r="L70" s="1" t="s">
        <v>128</v>
      </c>
      <c r="M70" s="1" t="s">
        <v>61</v>
      </c>
      <c r="N70" s="1" t="s">
        <v>61</v>
      </c>
    </row>
    <row r="71" spans="1:14" x14ac:dyDescent="0.15">
      <c r="A71" s="17"/>
      <c r="B71" s="7">
        <v>413000</v>
      </c>
      <c r="C71" s="7" t="s">
        <v>129</v>
      </c>
      <c r="D71" s="2">
        <v>8.583770000000019</v>
      </c>
      <c r="E71" s="2">
        <v>-2.3078428057488056E-14</v>
      </c>
      <c r="F71" s="2">
        <f t="shared" si="0"/>
        <v>8.5837700000000421</v>
      </c>
      <c r="G71" s="8">
        <f t="shared" si="1"/>
        <v>371939110350929.69</v>
      </c>
      <c r="H71" s="17" t="str">
        <f t="shared" si="2"/>
        <v>V0</v>
      </c>
      <c r="J71" s="15" t="s">
        <v>127</v>
      </c>
      <c r="K71" s="1" t="s">
        <v>128</v>
      </c>
      <c r="L71" s="1" t="s">
        <v>130</v>
      </c>
      <c r="M71" s="1" t="s">
        <v>61</v>
      </c>
      <c r="N71" s="1" t="s">
        <v>37</v>
      </c>
    </row>
    <row r="72" spans="1:14" x14ac:dyDescent="0.15">
      <c r="A72" s="17"/>
      <c r="B72" s="7">
        <v>416000</v>
      </c>
      <c r="C72" s="7" t="s">
        <v>131</v>
      </c>
      <c r="D72" s="2">
        <v>19.10614</v>
      </c>
      <c r="E72" s="2">
        <v>9.1793300000000002</v>
      </c>
      <c r="F72" s="2">
        <f t="shared" si="0"/>
        <v>9.9268099999999997</v>
      </c>
      <c r="G72" s="8">
        <f t="shared" si="1"/>
        <v>1.0814307798063691</v>
      </c>
      <c r="H72" s="17" t="str">
        <f t="shared" si="2"/>
        <v>V0</v>
      </c>
      <c r="J72" s="15" t="s">
        <v>127</v>
      </c>
      <c r="K72" s="1" t="s">
        <v>128</v>
      </c>
      <c r="L72" s="1" t="s">
        <v>128</v>
      </c>
      <c r="M72" s="1" t="s">
        <v>61</v>
      </c>
      <c r="N72" s="1" t="s">
        <v>61</v>
      </c>
    </row>
    <row r="73" spans="1:14" x14ac:dyDescent="0.15">
      <c r="A73" s="17"/>
      <c r="B73" s="7">
        <v>418100</v>
      </c>
      <c r="C73" s="7" t="s">
        <v>132</v>
      </c>
      <c r="D73" s="2">
        <v>0</v>
      </c>
      <c r="E73" s="2">
        <v>94.67756</v>
      </c>
      <c r="F73" s="2">
        <f t="shared" si="0"/>
        <v>-94.67756</v>
      </c>
      <c r="G73" s="8">
        <f t="shared" si="1"/>
        <v>-1</v>
      </c>
      <c r="H73" s="17" t="str">
        <f t="shared" si="2"/>
        <v>V0</v>
      </c>
      <c r="J73" s="15" t="s">
        <v>127</v>
      </c>
      <c r="K73" s="1" t="s">
        <v>128</v>
      </c>
      <c r="L73" s="1" t="s">
        <v>128</v>
      </c>
      <c r="M73" s="1" t="s">
        <v>61</v>
      </c>
      <c r="N73" s="1" t="s">
        <v>61</v>
      </c>
    </row>
    <row r="74" spans="1:14" x14ac:dyDescent="0.15">
      <c r="A74" s="17"/>
      <c r="B74" s="7">
        <v>418101</v>
      </c>
      <c r="C74" s="7" t="s">
        <v>133</v>
      </c>
      <c r="D74" s="2">
        <v>255.64887999999999</v>
      </c>
      <c r="E74" s="2">
        <v>0</v>
      </c>
      <c r="F74" s="2">
        <f t="shared" si="0"/>
        <v>255.64887999999999</v>
      </c>
      <c r="G74" s="8" t="str">
        <f t="shared" si="1"/>
        <v>n/a</v>
      </c>
      <c r="H74" s="17" t="str">
        <f t="shared" si="2"/>
        <v>V0</v>
      </c>
      <c r="J74" s="15" t="s">
        <v>127</v>
      </c>
      <c r="K74" s="1" t="s">
        <v>128</v>
      </c>
      <c r="L74" s="1" t="s">
        <v>128</v>
      </c>
      <c r="M74" s="1" t="s">
        <v>61</v>
      </c>
      <c r="N74" s="1" t="s">
        <v>61</v>
      </c>
    </row>
    <row r="75" spans="1:14" x14ac:dyDescent="0.15">
      <c r="A75" s="17"/>
      <c r="B75" s="7">
        <v>419800</v>
      </c>
      <c r="C75" s="7" t="s">
        <v>134</v>
      </c>
      <c r="D75" s="2">
        <v>0</v>
      </c>
      <c r="E75" s="2">
        <v>0</v>
      </c>
      <c r="F75" s="2">
        <f t="shared" ref="F75:F138" si="3">D75-E75</f>
        <v>0</v>
      </c>
      <c r="G75" s="8" t="str">
        <f t="shared" ref="G75:G138" si="4">IF(E75=0,"n/a",F75/ABS(E75))</f>
        <v>n/a</v>
      </c>
      <c r="H75" s="17" t="str">
        <f t="shared" ref="H75:H138" si="5">J75&amp;0</f>
        <v>V0</v>
      </c>
      <c r="J75" s="15" t="s">
        <v>127</v>
      </c>
      <c r="K75" s="1" t="s">
        <v>128</v>
      </c>
      <c r="L75" s="1" t="s">
        <v>128</v>
      </c>
      <c r="M75" s="1" t="s">
        <v>61</v>
      </c>
      <c r="N75" s="1" t="s">
        <v>61</v>
      </c>
    </row>
    <row r="76" spans="1:14" x14ac:dyDescent="0.15">
      <c r="A76" s="17"/>
      <c r="B76" s="7">
        <v>421000</v>
      </c>
      <c r="C76" s="7" t="s">
        <v>135</v>
      </c>
      <c r="D76" s="2">
        <v>-1.7528499999999767</v>
      </c>
      <c r="E76" s="2">
        <v>0</v>
      </c>
      <c r="F76" s="2">
        <f t="shared" si="3"/>
        <v>-1.7528499999999767</v>
      </c>
      <c r="G76" s="8" t="str">
        <f t="shared" si="4"/>
        <v>n/a</v>
      </c>
      <c r="H76" s="17" t="str">
        <f t="shared" si="5"/>
        <v>P0</v>
      </c>
      <c r="J76" s="15" t="s">
        <v>136</v>
      </c>
      <c r="K76" s="1" t="s">
        <v>137</v>
      </c>
      <c r="L76" s="1" t="s">
        <v>138</v>
      </c>
      <c r="M76" s="1" t="s">
        <v>37</v>
      </c>
      <c r="N76" s="1" t="s">
        <v>61</v>
      </c>
    </row>
    <row r="77" spans="1:14" x14ac:dyDescent="0.15">
      <c r="A77" s="17"/>
      <c r="B77" s="7">
        <v>423100</v>
      </c>
      <c r="C77" s="7" t="s">
        <v>139</v>
      </c>
      <c r="D77" s="2">
        <v>-7.6665600000000271</v>
      </c>
      <c r="E77" s="2">
        <v>1.1299999999999988</v>
      </c>
      <c r="F77" s="2">
        <f t="shared" si="3"/>
        <v>-8.7965600000000261</v>
      </c>
      <c r="G77" s="8">
        <f t="shared" si="4"/>
        <v>-7.7845663716814473</v>
      </c>
      <c r="H77" s="17" t="str">
        <f t="shared" si="5"/>
        <v>P0</v>
      </c>
      <c r="J77" s="15" t="s">
        <v>136</v>
      </c>
      <c r="K77" s="1" t="s">
        <v>137</v>
      </c>
      <c r="L77" s="1" t="s">
        <v>138</v>
      </c>
      <c r="M77" s="1" t="s">
        <v>37</v>
      </c>
      <c r="N77" s="1" t="s">
        <v>61</v>
      </c>
    </row>
    <row r="78" spans="1:14" x14ac:dyDescent="0.15">
      <c r="A78" s="17"/>
      <c r="B78" s="7">
        <v>425000</v>
      </c>
      <c r="C78" s="7" t="s">
        <v>140</v>
      </c>
      <c r="D78" s="2">
        <v>0</v>
      </c>
      <c r="E78" s="2">
        <v>-3</v>
      </c>
      <c r="F78" s="2">
        <f t="shared" si="3"/>
        <v>3</v>
      </c>
      <c r="G78" s="8">
        <f t="shared" si="4"/>
        <v>1</v>
      </c>
      <c r="H78" s="17" t="str">
        <f t="shared" si="5"/>
        <v>P0</v>
      </c>
      <c r="J78" s="15" t="s">
        <v>136</v>
      </c>
      <c r="K78" s="1" t="s">
        <v>138</v>
      </c>
      <c r="L78" s="1" t="s">
        <v>137</v>
      </c>
      <c r="M78" s="1" t="s">
        <v>61</v>
      </c>
      <c r="N78" s="1" t="s">
        <v>37</v>
      </c>
    </row>
    <row r="79" spans="1:14" x14ac:dyDescent="0.15">
      <c r="A79" s="17"/>
      <c r="B79" s="7">
        <v>428200</v>
      </c>
      <c r="C79" s="7" t="s">
        <v>141</v>
      </c>
      <c r="D79" s="2">
        <v>-88.017080000000021</v>
      </c>
      <c r="E79" s="2">
        <v>-76.689499999999995</v>
      </c>
      <c r="F79" s="2">
        <f t="shared" si="3"/>
        <v>-11.327580000000026</v>
      </c>
      <c r="G79" s="8">
        <f t="shared" si="4"/>
        <v>-0.14770705246480975</v>
      </c>
      <c r="H79" s="17" t="str">
        <f t="shared" si="5"/>
        <v>P0</v>
      </c>
      <c r="J79" s="15" t="s">
        <v>136</v>
      </c>
      <c r="K79" s="1" t="s">
        <v>137</v>
      </c>
      <c r="L79" s="1" t="s">
        <v>137</v>
      </c>
      <c r="M79" s="1" t="s">
        <v>37</v>
      </c>
      <c r="N79" s="1" t="s">
        <v>37</v>
      </c>
    </row>
    <row r="80" spans="1:14" x14ac:dyDescent="0.15">
      <c r="A80" s="17"/>
      <c r="B80" s="7">
        <v>428210</v>
      </c>
      <c r="C80" s="7" t="s">
        <v>142</v>
      </c>
      <c r="D80" s="2">
        <v>-3.5</v>
      </c>
      <c r="E80" s="2">
        <v>0</v>
      </c>
      <c r="F80" s="2">
        <f t="shared" si="3"/>
        <v>-3.5</v>
      </c>
      <c r="G80" s="8" t="str">
        <f t="shared" si="4"/>
        <v>n/a</v>
      </c>
      <c r="H80" s="17" t="str">
        <f t="shared" si="5"/>
        <v>P0</v>
      </c>
      <c r="J80" s="15" t="s">
        <v>136</v>
      </c>
      <c r="K80" s="1" t="s">
        <v>137</v>
      </c>
      <c r="L80" s="1" t="s">
        <v>138</v>
      </c>
      <c r="M80" s="1" t="s">
        <v>37</v>
      </c>
      <c r="N80" s="1" t="s">
        <v>61</v>
      </c>
    </row>
    <row r="81" spans="1:14" x14ac:dyDescent="0.15">
      <c r="A81" s="17"/>
      <c r="B81" s="7">
        <v>428600</v>
      </c>
      <c r="C81" s="7" t="s">
        <v>143</v>
      </c>
      <c r="D81" s="2">
        <v>1.643</v>
      </c>
      <c r="E81" s="2">
        <v>-4.008</v>
      </c>
      <c r="F81" s="2">
        <f t="shared" si="3"/>
        <v>5.6509999999999998</v>
      </c>
      <c r="G81" s="8">
        <f t="shared" si="4"/>
        <v>1.4099301397205588</v>
      </c>
      <c r="H81" s="17" t="str">
        <f t="shared" si="5"/>
        <v>P0</v>
      </c>
      <c r="J81" s="15" t="s">
        <v>136</v>
      </c>
      <c r="K81" s="1" t="s">
        <v>138</v>
      </c>
      <c r="L81" s="1" t="s">
        <v>137</v>
      </c>
      <c r="M81" s="1" t="s">
        <v>61</v>
      </c>
      <c r="N81" s="1" t="s">
        <v>37</v>
      </c>
    </row>
    <row r="82" spans="1:14" x14ac:dyDescent="0.15">
      <c r="A82" s="17"/>
      <c r="B82" s="7">
        <v>431000</v>
      </c>
      <c r="C82" s="7" t="s">
        <v>144</v>
      </c>
      <c r="D82" s="2">
        <v>-67.699579999999955</v>
      </c>
      <c r="E82" s="2">
        <v>-14.999240000000002</v>
      </c>
      <c r="F82" s="2">
        <f t="shared" si="3"/>
        <v>-52.700339999999954</v>
      </c>
      <c r="G82" s="8">
        <f t="shared" si="4"/>
        <v>-3.5135340190569622</v>
      </c>
      <c r="H82" s="17" t="str">
        <f t="shared" si="5"/>
        <v>P0</v>
      </c>
      <c r="J82" s="15" t="s">
        <v>136</v>
      </c>
      <c r="K82" s="1" t="s">
        <v>137</v>
      </c>
      <c r="L82" s="1" t="s">
        <v>137</v>
      </c>
      <c r="M82" s="1" t="s">
        <v>37</v>
      </c>
      <c r="N82" s="1" t="s">
        <v>37</v>
      </c>
    </row>
    <row r="83" spans="1:14" x14ac:dyDescent="0.15">
      <c r="A83" s="17"/>
      <c r="B83" s="7">
        <v>437000</v>
      </c>
      <c r="C83" s="7" t="s">
        <v>145</v>
      </c>
      <c r="D83" s="2">
        <v>-19.427200000000013</v>
      </c>
      <c r="E83" s="2">
        <v>-12.948040000000001</v>
      </c>
      <c r="F83" s="2">
        <f t="shared" si="3"/>
        <v>-6.4791600000000127</v>
      </c>
      <c r="G83" s="8">
        <f t="shared" si="4"/>
        <v>-0.50039697127905169</v>
      </c>
      <c r="H83" s="17" t="str">
        <f t="shared" si="5"/>
        <v>P0</v>
      </c>
      <c r="J83" s="15" t="s">
        <v>136</v>
      </c>
      <c r="K83" s="1" t="s">
        <v>137</v>
      </c>
      <c r="L83" s="1" t="s">
        <v>137</v>
      </c>
      <c r="M83" s="1" t="s">
        <v>37</v>
      </c>
      <c r="N83" s="1" t="s">
        <v>37</v>
      </c>
    </row>
    <row r="84" spans="1:14" x14ac:dyDescent="0.15">
      <c r="A84" s="17"/>
      <c r="B84" s="7">
        <v>437110</v>
      </c>
      <c r="C84" s="7" t="s">
        <v>146</v>
      </c>
      <c r="D84" s="2">
        <v>-9.4995700000000003</v>
      </c>
      <c r="E84" s="2">
        <v>-4.9590399999999999</v>
      </c>
      <c r="F84" s="2">
        <f t="shared" si="3"/>
        <v>-4.5405300000000004</v>
      </c>
      <c r="G84" s="8">
        <f t="shared" si="4"/>
        <v>-0.91560664967413052</v>
      </c>
      <c r="H84" s="17" t="str">
        <f t="shared" si="5"/>
        <v>P0</v>
      </c>
      <c r="J84" s="15" t="s">
        <v>136</v>
      </c>
      <c r="K84" s="1" t="s">
        <v>137</v>
      </c>
      <c r="L84" s="1" t="s">
        <v>137</v>
      </c>
      <c r="M84" s="1" t="s">
        <v>37</v>
      </c>
      <c r="N84" s="1" t="s">
        <v>37</v>
      </c>
    </row>
    <row r="85" spans="1:14" x14ac:dyDescent="0.15">
      <c r="A85" s="17"/>
      <c r="B85" s="7">
        <v>437130</v>
      </c>
      <c r="C85" s="7" t="s">
        <v>147</v>
      </c>
      <c r="D85" s="2">
        <v>-11.105889999999999</v>
      </c>
      <c r="E85" s="2">
        <v>-8.8812099999999994</v>
      </c>
      <c r="F85" s="2">
        <f t="shared" si="3"/>
        <v>-2.2246799999999993</v>
      </c>
      <c r="G85" s="8">
        <f t="shared" si="4"/>
        <v>-0.2504928945492787</v>
      </c>
      <c r="H85" s="17" t="str">
        <f t="shared" si="5"/>
        <v>P0</v>
      </c>
      <c r="J85" s="15" t="s">
        <v>136</v>
      </c>
      <c r="K85" s="1" t="s">
        <v>137</v>
      </c>
      <c r="L85" s="1" t="s">
        <v>137</v>
      </c>
      <c r="M85" s="1" t="s">
        <v>37</v>
      </c>
      <c r="N85" s="1" t="s">
        <v>37</v>
      </c>
    </row>
    <row r="86" spans="1:14" x14ac:dyDescent="0.15">
      <c r="A86" s="17"/>
      <c r="B86" s="7">
        <v>437140</v>
      </c>
      <c r="C86" s="7" t="s">
        <v>148</v>
      </c>
      <c r="D86" s="2">
        <v>-7.5428999999999995</v>
      </c>
      <c r="E86" s="2">
        <v>-6.2072300000000009</v>
      </c>
      <c r="F86" s="2">
        <f t="shared" si="3"/>
        <v>-1.3356699999999986</v>
      </c>
      <c r="G86" s="8">
        <f t="shared" si="4"/>
        <v>-0.21517971784515771</v>
      </c>
      <c r="H86" s="17" t="str">
        <f t="shared" si="5"/>
        <v>P0</v>
      </c>
      <c r="J86" s="15" t="s">
        <v>136</v>
      </c>
      <c r="K86" s="1" t="s">
        <v>137</v>
      </c>
      <c r="L86" s="1" t="s">
        <v>137</v>
      </c>
      <c r="M86" s="1" t="s">
        <v>37</v>
      </c>
      <c r="N86" s="1" t="s">
        <v>37</v>
      </c>
    </row>
    <row r="87" spans="1:14" x14ac:dyDescent="0.15">
      <c r="A87" s="17"/>
      <c r="B87" s="7">
        <v>437150</v>
      </c>
      <c r="C87" s="7" t="s">
        <v>149</v>
      </c>
      <c r="D87" s="2">
        <v>-12.907540000000001</v>
      </c>
      <c r="E87" s="2">
        <v>-6.220990000000004</v>
      </c>
      <c r="F87" s="2">
        <f t="shared" si="3"/>
        <v>-6.6865499999999969</v>
      </c>
      <c r="G87" s="8">
        <f t="shared" si="4"/>
        <v>-1.0748369632486137</v>
      </c>
      <c r="H87" s="17" t="str">
        <f t="shared" si="5"/>
        <v>P0</v>
      </c>
      <c r="J87" s="15" t="s">
        <v>136</v>
      </c>
      <c r="K87" s="1" t="s">
        <v>137</v>
      </c>
      <c r="L87" s="1" t="s">
        <v>137</v>
      </c>
      <c r="M87" s="1" t="s">
        <v>37</v>
      </c>
      <c r="N87" s="1" t="s">
        <v>37</v>
      </c>
    </row>
    <row r="88" spans="1:14" x14ac:dyDescent="0.15">
      <c r="A88" s="17"/>
      <c r="B88" s="7">
        <v>437160</v>
      </c>
      <c r="C88" s="7" t="s">
        <v>150</v>
      </c>
      <c r="D88" s="2">
        <v>-3.8526899999999999</v>
      </c>
      <c r="E88" s="2">
        <v>0</v>
      </c>
      <c r="F88" s="2">
        <f t="shared" si="3"/>
        <v>-3.8526899999999999</v>
      </c>
      <c r="G88" s="8" t="str">
        <f t="shared" si="4"/>
        <v>n/a</v>
      </c>
      <c r="H88" s="17" t="str">
        <f t="shared" si="5"/>
        <v>P0</v>
      </c>
      <c r="J88" s="15" t="s">
        <v>136</v>
      </c>
      <c r="K88" s="1" t="s">
        <v>137</v>
      </c>
      <c r="L88" s="1" t="s">
        <v>138</v>
      </c>
      <c r="M88" s="1" t="s">
        <v>37</v>
      </c>
      <c r="N88" s="1" t="s">
        <v>61</v>
      </c>
    </row>
    <row r="89" spans="1:14" x14ac:dyDescent="0.15">
      <c r="A89" s="17"/>
      <c r="B89" s="7">
        <v>438200</v>
      </c>
      <c r="C89" s="7" t="s">
        <v>151</v>
      </c>
      <c r="D89" s="2">
        <v>-39.956489999999988</v>
      </c>
      <c r="E89" s="2">
        <v>-34.913499999999999</v>
      </c>
      <c r="F89" s="2">
        <f t="shared" si="3"/>
        <v>-5.042989999999989</v>
      </c>
      <c r="G89" s="8">
        <f t="shared" si="4"/>
        <v>-0.14444240766465663</v>
      </c>
      <c r="H89" s="17" t="str">
        <f t="shared" si="5"/>
        <v>P0</v>
      </c>
      <c r="J89" s="15" t="s">
        <v>136</v>
      </c>
      <c r="K89" s="1" t="s">
        <v>137</v>
      </c>
      <c r="L89" s="1" t="s">
        <v>137</v>
      </c>
      <c r="M89" s="1" t="s">
        <v>37</v>
      </c>
      <c r="N89" s="1" t="s">
        <v>37</v>
      </c>
    </row>
    <row r="90" spans="1:14" x14ac:dyDescent="0.15">
      <c r="A90" s="17"/>
      <c r="B90" s="7">
        <v>438610</v>
      </c>
      <c r="C90" s="7" t="s">
        <v>152</v>
      </c>
      <c r="D90" s="2">
        <v>-1.4</v>
      </c>
      <c r="E90" s="2">
        <v>0</v>
      </c>
      <c r="F90" s="2">
        <f t="shared" si="3"/>
        <v>-1.4</v>
      </c>
      <c r="G90" s="8" t="str">
        <f t="shared" si="4"/>
        <v>n/a</v>
      </c>
      <c r="H90" s="17" t="str">
        <f t="shared" si="5"/>
        <v>P0</v>
      </c>
      <c r="J90" s="15" t="s">
        <v>136</v>
      </c>
      <c r="K90" s="1" t="s">
        <v>137</v>
      </c>
      <c r="L90" s="1" t="s">
        <v>138</v>
      </c>
      <c r="M90" s="1" t="s">
        <v>37</v>
      </c>
      <c r="N90" s="1" t="s">
        <v>61</v>
      </c>
    </row>
    <row r="91" spans="1:14" x14ac:dyDescent="0.15">
      <c r="A91" s="17"/>
      <c r="B91" s="7">
        <v>438700</v>
      </c>
      <c r="C91" s="7" t="s">
        <v>153</v>
      </c>
      <c r="D91" s="2">
        <v>17.231150000000003</v>
      </c>
      <c r="E91" s="2">
        <v>4.2520999999999995</v>
      </c>
      <c r="F91" s="2">
        <f t="shared" si="3"/>
        <v>12.979050000000004</v>
      </c>
      <c r="G91" s="8">
        <f t="shared" si="4"/>
        <v>3.0523858799181594</v>
      </c>
      <c r="H91" s="17" t="str">
        <f t="shared" si="5"/>
        <v>P0</v>
      </c>
      <c r="J91" s="15" t="s">
        <v>136</v>
      </c>
      <c r="K91" s="1" t="s">
        <v>138</v>
      </c>
      <c r="L91" s="1" t="s">
        <v>138</v>
      </c>
      <c r="M91" s="1" t="s">
        <v>61</v>
      </c>
      <c r="N91" s="1" t="s">
        <v>61</v>
      </c>
    </row>
    <row r="92" spans="1:14" x14ac:dyDescent="0.15">
      <c r="A92" s="17"/>
      <c r="B92" s="7">
        <v>442100</v>
      </c>
      <c r="C92" s="7" t="s">
        <v>154</v>
      </c>
      <c r="D92" s="2">
        <v>-9.6115099999999796</v>
      </c>
      <c r="E92" s="2">
        <v>-6.3927900000000006</v>
      </c>
      <c r="F92" s="2">
        <f t="shared" si="3"/>
        <v>-3.2187199999999789</v>
      </c>
      <c r="G92" s="8">
        <f t="shared" si="4"/>
        <v>-0.50349221544896339</v>
      </c>
      <c r="H92" s="17" t="str">
        <f t="shared" si="5"/>
        <v>E0</v>
      </c>
      <c r="J92" s="15" t="s">
        <v>155</v>
      </c>
      <c r="K92" s="1" t="s">
        <v>156</v>
      </c>
      <c r="L92" s="1" t="s">
        <v>156</v>
      </c>
      <c r="M92" s="1" t="s">
        <v>37</v>
      </c>
      <c r="N92" s="1" t="s">
        <v>37</v>
      </c>
    </row>
    <row r="93" spans="1:14" x14ac:dyDescent="0.15">
      <c r="A93" s="17"/>
      <c r="B93" s="7">
        <v>442300</v>
      </c>
      <c r="C93" s="7" t="s">
        <v>157</v>
      </c>
      <c r="D93" s="2">
        <v>0</v>
      </c>
      <c r="E93" s="2">
        <v>3</v>
      </c>
      <c r="F93" s="2">
        <f t="shared" si="3"/>
        <v>-3</v>
      </c>
      <c r="G93" s="8">
        <f t="shared" si="4"/>
        <v>-1</v>
      </c>
      <c r="H93" s="17" t="str">
        <f t="shared" si="5"/>
        <v>E0</v>
      </c>
      <c r="J93" s="15" t="s">
        <v>155</v>
      </c>
      <c r="K93" s="1" t="s">
        <v>158</v>
      </c>
      <c r="L93" s="1" t="s">
        <v>158</v>
      </c>
      <c r="M93" s="1" t="s">
        <v>61</v>
      </c>
      <c r="N93" s="1" t="s">
        <v>61</v>
      </c>
    </row>
    <row r="94" spans="1:14" x14ac:dyDescent="0.15">
      <c r="A94" s="17"/>
      <c r="B94" s="7">
        <v>444000</v>
      </c>
      <c r="C94" s="7" t="s">
        <v>159</v>
      </c>
      <c r="D94" s="2">
        <v>597.47900000000004</v>
      </c>
      <c r="E94" s="2">
        <v>-79.523010000000014</v>
      </c>
      <c r="F94" s="2">
        <f t="shared" si="3"/>
        <v>677.00201000000004</v>
      </c>
      <c r="G94" s="8">
        <f t="shared" si="4"/>
        <v>8.5132845197886748</v>
      </c>
      <c r="H94" s="17" t="str">
        <f t="shared" si="5"/>
        <v>E0</v>
      </c>
      <c r="J94" s="15" t="s">
        <v>155</v>
      </c>
      <c r="K94" s="1" t="s">
        <v>158</v>
      </c>
      <c r="L94" s="1" t="s">
        <v>156</v>
      </c>
      <c r="M94" s="1" t="s">
        <v>61</v>
      </c>
      <c r="N94" s="1" t="s">
        <v>37</v>
      </c>
    </row>
    <row r="95" spans="1:14" x14ac:dyDescent="0.15">
      <c r="A95" s="17"/>
      <c r="B95" s="7">
        <v>445500</v>
      </c>
      <c r="C95" s="7" t="s">
        <v>160</v>
      </c>
      <c r="D95" s="2">
        <v>-50.853000000000002</v>
      </c>
      <c r="E95" s="2">
        <v>-5.15</v>
      </c>
      <c r="F95" s="2">
        <f t="shared" si="3"/>
        <v>-45.703000000000003</v>
      </c>
      <c r="G95" s="8">
        <f t="shared" si="4"/>
        <v>-8.8743689320388341</v>
      </c>
      <c r="H95" s="17" t="str">
        <f t="shared" si="5"/>
        <v>E0</v>
      </c>
      <c r="J95" s="15" t="s">
        <v>155</v>
      </c>
      <c r="K95" s="1" t="s">
        <v>156</v>
      </c>
      <c r="L95" s="1" t="s">
        <v>156</v>
      </c>
      <c r="M95" s="1" t="s">
        <v>37</v>
      </c>
      <c r="N95" s="1" t="s">
        <v>37</v>
      </c>
    </row>
    <row r="96" spans="1:14" x14ac:dyDescent="0.15">
      <c r="A96" s="17"/>
      <c r="B96" s="7">
        <v>445620</v>
      </c>
      <c r="C96" s="7" t="s">
        <v>161</v>
      </c>
      <c r="D96" s="2">
        <v>-6.6699999999982537E-3</v>
      </c>
      <c r="E96" s="2">
        <v>-0.83631999999999973</v>
      </c>
      <c r="F96" s="2">
        <f t="shared" si="3"/>
        <v>0.82965000000000144</v>
      </c>
      <c r="G96" s="8">
        <f t="shared" si="4"/>
        <v>0.99202458389133552</v>
      </c>
      <c r="H96" s="17" t="str">
        <f t="shared" si="5"/>
        <v>E0</v>
      </c>
      <c r="J96" s="15" t="s">
        <v>155</v>
      </c>
      <c r="K96" s="1" t="s">
        <v>156</v>
      </c>
      <c r="L96" s="1" t="s">
        <v>156</v>
      </c>
      <c r="M96" s="1" t="s">
        <v>37</v>
      </c>
      <c r="N96" s="1" t="s">
        <v>37</v>
      </c>
    </row>
    <row r="97" spans="1:14" x14ac:dyDescent="0.15">
      <c r="A97" s="17"/>
      <c r="B97" s="7">
        <v>445665</v>
      </c>
      <c r="C97" s="7" t="s">
        <v>162</v>
      </c>
      <c r="D97" s="2">
        <v>0</v>
      </c>
      <c r="E97" s="2">
        <v>0</v>
      </c>
      <c r="F97" s="2">
        <f t="shared" si="3"/>
        <v>0</v>
      </c>
      <c r="G97" s="8" t="str">
        <f t="shared" si="4"/>
        <v>n/a</v>
      </c>
      <c r="H97" s="17" t="str">
        <f t="shared" si="5"/>
        <v>E0</v>
      </c>
      <c r="J97" s="15" t="s">
        <v>155</v>
      </c>
      <c r="K97" s="1" t="s">
        <v>158</v>
      </c>
      <c r="L97" s="1" t="s">
        <v>158</v>
      </c>
      <c r="M97" s="1" t="s">
        <v>61</v>
      </c>
      <c r="N97" s="1" t="s">
        <v>61</v>
      </c>
    </row>
    <row r="98" spans="1:14" x14ac:dyDescent="0.15">
      <c r="A98" s="17"/>
      <c r="B98" s="7">
        <v>445667</v>
      </c>
      <c r="C98" s="7" t="s">
        <v>163</v>
      </c>
      <c r="D98" s="2">
        <v>0</v>
      </c>
      <c r="E98" s="2">
        <v>-58.4328</v>
      </c>
      <c r="F98" s="2">
        <f t="shared" si="3"/>
        <v>58.4328</v>
      </c>
      <c r="G98" s="8">
        <f t="shared" si="4"/>
        <v>1</v>
      </c>
      <c r="H98" s="17" t="str">
        <f t="shared" si="5"/>
        <v>E0</v>
      </c>
      <c r="J98" s="15" t="s">
        <v>155</v>
      </c>
      <c r="K98" s="1" t="s">
        <v>158</v>
      </c>
      <c r="L98" s="1" t="s">
        <v>156</v>
      </c>
      <c r="M98" s="1" t="s">
        <v>61</v>
      </c>
      <c r="N98" s="1" t="s">
        <v>37</v>
      </c>
    </row>
    <row r="99" spans="1:14" x14ac:dyDescent="0.15">
      <c r="A99" s="17"/>
      <c r="B99" s="7">
        <v>445668</v>
      </c>
      <c r="C99" s="7" t="s">
        <v>164</v>
      </c>
      <c r="D99" s="2">
        <v>1.7959999999962749E-2</v>
      </c>
      <c r="E99" s="2">
        <v>18.164269999999945</v>
      </c>
      <c r="F99" s="2">
        <f t="shared" si="3"/>
        <v>-18.146309999999982</v>
      </c>
      <c r="G99" s="8">
        <f t="shared" si="4"/>
        <v>-0.99901124570379307</v>
      </c>
      <c r="H99" s="17" t="str">
        <f t="shared" si="5"/>
        <v>E0</v>
      </c>
      <c r="J99" s="15" t="s">
        <v>155</v>
      </c>
      <c r="K99" s="1" t="s">
        <v>158</v>
      </c>
      <c r="L99" s="1" t="s">
        <v>158</v>
      </c>
      <c r="M99" s="1" t="s">
        <v>61</v>
      </c>
      <c r="N99" s="1" t="s">
        <v>61</v>
      </c>
    </row>
    <row r="100" spans="1:14" x14ac:dyDescent="0.15">
      <c r="A100" s="17"/>
      <c r="B100" s="7">
        <v>445670</v>
      </c>
      <c r="C100" s="7" t="s">
        <v>165</v>
      </c>
      <c r="D100" s="2">
        <v>0</v>
      </c>
      <c r="E100" s="2">
        <v>0</v>
      </c>
      <c r="F100" s="2">
        <f t="shared" si="3"/>
        <v>0</v>
      </c>
      <c r="G100" s="8" t="str">
        <f t="shared" si="4"/>
        <v>n/a</v>
      </c>
      <c r="H100" s="17" t="str">
        <f t="shared" si="5"/>
        <v>E0</v>
      </c>
      <c r="J100" s="15" t="s">
        <v>155</v>
      </c>
      <c r="K100" s="1" t="s">
        <v>158</v>
      </c>
      <c r="L100" s="1" t="s">
        <v>158</v>
      </c>
      <c r="M100" s="1" t="s">
        <v>61</v>
      </c>
      <c r="N100" s="1" t="s">
        <v>61</v>
      </c>
    </row>
    <row r="101" spans="1:14" x14ac:dyDescent="0.15">
      <c r="A101" s="17"/>
      <c r="B101" s="7">
        <v>445671</v>
      </c>
      <c r="C101" s="7" t="s">
        <v>166</v>
      </c>
      <c r="D101" s="2">
        <v>29.411059999999999</v>
      </c>
      <c r="E101" s="2">
        <v>30.188250000000018</v>
      </c>
      <c r="F101" s="2">
        <f t="shared" si="3"/>
        <v>-0.7771900000000187</v>
      </c>
      <c r="G101" s="8">
        <f t="shared" si="4"/>
        <v>-2.5744784808659601E-2</v>
      </c>
      <c r="H101" s="17" t="str">
        <f t="shared" si="5"/>
        <v>E0</v>
      </c>
      <c r="J101" s="15" t="s">
        <v>155</v>
      </c>
      <c r="K101" s="1" t="s">
        <v>158</v>
      </c>
      <c r="L101" s="1" t="s">
        <v>158</v>
      </c>
      <c r="M101" s="1" t="s">
        <v>61</v>
      </c>
      <c r="N101" s="1" t="s">
        <v>61</v>
      </c>
    </row>
    <row r="102" spans="1:14" x14ac:dyDescent="0.15">
      <c r="A102" s="17"/>
      <c r="B102" s="7">
        <v>445710</v>
      </c>
      <c r="C102" s="7" t="s">
        <v>167</v>
      </c>
      <c r="D102" s="2">
        <v>0</v>
      </c>
      <c r="E102" s="2">
        <v>0</v>
      </c>
      <c r="F102" s="2">
        <f t="shared" si="3"/>
        <v>0</v>
      </c>
      <c r="G102" s="8" t="str">
        <f t="shared" si="4"/>
        <v>n/a</v>
      </c>
      <c r="H102" s="17" t="str">
        <f t="shared" si="5"/>
        <v>E0</v>
      </c>
      <c r="J102" s="15" t="s">
        <v>155</v>
      </c>
      <c r="K102" s="1" t="s">
        <v>158</v>
      </c>
      <c r="L102" s="1" t="s">
        <v>158</v>
      </c>
      <c r="M102" s="1" t="s">
        <v>61</v>
      </c>
      <c r="N102" s="1" t="s">
        <v>61</v>
      </c>
    </row>
    <row r="103" spans="1:14" x14ac:dyDescent="0.15">
      <c r="A103" s="17"/>
      <c r="B103" s="7">
        <v>445712</v>
      </c>
      <c r="C103" s="7" t="s">
        <v>168</v>
      </c>
      <c r="D103" s="2">
        <v>0</v>
      </c>
      <c r="E103" s="2">
        <v>0</v>
      </c>
      <c r="F103" s="2">
        <f t="shared" si="3"/>
        <v>0</v>
      </c>
      <c r="G103" s="8" t="str">
        <f t="shared" si="4"/>
        <v>n/a</v>
      </c>
      <c r="H103" s="17" t="str">
        <f t="shared" si="5"/>
        <v>E0</v>
      </c>
      <c r="J103" s="15" t="s">
        <v>155</v>
      </c>
      <c r="K103" s="1" t="s">
        <v>158</v>
      </c>
      <c r="L103" s="1" t="s">
        <v>158</v>
      </c>
      <c r="M103" s="1" t="s">
        <v>61</v>
      </c>
      <c r="N103" s="1" t="s">
        <v>61</v>
      </c>
    </row>
    <row r="104" spans="1:14" x14ac:dyDescent="0.15">
      <c r="A104" s="17"/>
      <c r="B104" s="7">
        <v>445713</v>
      </c>
      <c r="C104" s="7" t="s">
        <v>169</v>
      </c>
      <c r="D104" s="2">
        <v>0</v>
      </c>
      <c r="E104" s="2">
        <v>58.4328</v>
      </c>
      <c r="F104" s="2">
        <f t="shared" si="3"/>
        <v>-58.4328</v>
      </c>
      <c r="G104" s="8">
        <f t="shared" si="4"/>
        <v>-1</v>
      </c>
      <c r="H104" s="17" t="str">
        <f t="shared" si="5"/>
        <v>E0</v>
      </c>
      <c r="J104" s="15" t="s">
        <v>155</v>
      </c>
      <c r="K104" s="1" t="s">
        <v>158</v>
      </c>
      <c r="L104" s="1" t="s">
        <v>158</v>
      </c>
      <c r="M104" s="1" t="s">
        <v>61</v>
      </c>
      <c r="N104" s="1" t="s">
        <v>61</v>
      </c>
    </row>
    <row r="105" spans="1:14" x14ac:dyDescent="0.15">
      <c r="A105" s="17"/>
      <c r="B105" s="7">
        <v>445715</v>
      </c>
      <c r="C105" s="7" t="s">
        <v>170</v>
      </c>
      <c r="D105" s="2">
        <v>0</v>
      </c>
      <c r="E105" s="2">
        <v>-5.5693760714348176E-13</v>
      </c>
      <c r="F105" s="2">
        <f t="shared" si="3"/>
        <v>5.5693760714348176E-13</v>
      </c>
      <c r="G105" s="8">
        <f t="shared" si="4"/>
        <v>1</v>
      </c>
      <c r="H105" s="17" t="str">
        <f t="shared" si="5"/>
        <v>E0</v>
      </c>
      <c r="J105" s="15" t="s">
        <v>155</v>
      </c>
      <c r="K105" s="1" t="s">
        <v>158</v>
      </c>
      <c r="L105" s="1" t="s">
        <v>156</v>
      </c>
      <c r="M105" s="1" t="s">
        <v>61</v>
      </c>
      <c r="N105" s="1" t="s">
        <v>37</v>
      </c>
    </row>
    <row r="106" spans="1:14" x14ac:dyDescent="0.15">
      <c r="A106" s="17"/>
      <c r="B106" s="7">
        <v>445800</v>
      </c>
      <c r="C106" s="7" t="s">
        <v>171</v>
      </c>
      <c r="D106" s="2">
        <v>0</v>
      </c>
      <c r="E106" s="2">
        <v>1.7993299999999999</v>
      </c>
      <c r="F106" s="2">
        <f t="shared" si="3"/>
        <v>-1.7993299999999999</v>
      </c>
      <c r="G106" s="8">
        <f t="shared" si="4"/>
        <v>-1</v>
      </c>
      <c r="H106" s="17" t="str">
        <f t="shared" si="5"/>
        <v>E0</v>
      </c>
      <c r="J106" s="15" t="s">
        <v>155</v>
      </c>
      <c r="K106" s="1" t="s">
        <v>158</v>
      </c>
      <c r="L106" s="1" t="s">
        <v>158</v>
      </c>
      <c r="M106" s="1" t="s">
        <v>61</v>
      </c>
      <c r="N106" s="1" t="s">
        <v>61</v>
      </c>
    </row>
    <row r="107" spans="1:14" x14ac:dyDescent="0.15">
      <c r="A107" s="17"/>
      <c r="B107" s="7">
        <v>445860</v>
      </c>
      <c r="C107" s="7" t="s">
        <v>172</v>
      </c>
      <c r="D107" s="2">
        <v>0</v>
      </c>
      <c r="E107" s="2">
        <v>0</v>
      </c>
      <c r="F107" s="2">
        <f t="shared" si="3"/>
        <v>0</v>
      </c>
      <c r="G107" s="8" t="str">
        <f t="shared" si="4"/>
        <v>n/a</v>
      </c>
      <c r="H107" s="17" t="str">
        <f t="shared" si="5"/>
        <v>E0</v>
      </c>
      <c r="J107" s="15" t="s">
        <v>155</v>
      </c>
      <c r="K107" s="1" t="s">
        <v>158</v>
      </c>
      <c r="L107" s="1" t="s">
        <v>158</v>
      </c>
      <c r="M107" s="1" t="s">
        <v>61</v>
      </c>
      <c r="N107" s="1" t="s">
        <v>61</v>
      </c>
    </row>
    <row r="108" spans="1:14" x14ac:dyDescent="0.15">
      <c r="A108" s="17"/>
      <c r="B108" s="7">
        <v>445870</v>
      </c>
      <c r="C108" s="7" t="s">
        <v>173</v>
      </c>
      <c r="D108" s="2">
        <v>0</v>
      </c>
      <c r="E108" s="2">
        <v>0</v>
      </c>
      <c r="F108" s="2">
        <f t="shared" si="3"/>
        <v>0</v>
      </c>
      <c r="G108" s="8" t="str">
        <f t="shared" si="4"/>
        <v>n/a</v>
      </c>
      <c r="H108" s="17" t="str">
        <f t="shared" si="5"/>
        <v>E0</v>
      </c>
      <c r="J108" s="15" t="s">
        <v>155</v>
      </c>
      <c r="K108" s="1" t="s">
        <v>158</v>
      </c>
      <c r="L108" s="1" t="s">
        <v>158</v>
      </c>
      <c r="M108" s="1" t="s">
        <v>61</v>
      </c>
      <c r="N108" s="1" t="s">
        <v>61</v>
      </c>
    </row>
    <row r="109" spans="1:14" x14ac:dyDescent="0.15">
      <c r="A109" s="17"/>
      <c r="B109" s="7">
        <v>448600</v>
      </c>
      <c r="C109" s="7" t="s">
        <v>174</v>
      </c>
      <c r="D109" s="2">
        <v>-1.5459999999999996</v>
      </c>
      <c r="E109" s="2">
        <v>-3.4629700000000012</v>
      </c>
      <c r="F109" s="2">
        <f t="shared" si="3"/>
        <v>1.9169700000000016</v>
      </c>
      <c r="G109" s="8">
        <f t="shared" si="4"/>
        <v>0.55356240452559535</v>
      </c>
      <c r="H109" s="17" t="str">
        <f t="shared" si="5"/>
        <v>E0</v>
      </c>
      <c r="J109" s="15" t="s">
        <v>155</v>
      </c>
      <c r="K109" s="1" t="s">
        <v>156</v>
      </c>
      <c r="L109" s="1" t="s">
        <v>156</v>
      </c>
      <c r="M109" s="1" t="s">
        <v>37</v>
      </c>
      <c r="N109" s="1" t="s">
        <v>37</v>
      </c>
    </row>
    <row r="110" spans="1:14" x14ac:dyDescent="0.15">
      <c r="A110" s="17"/>
      <c r="B110" s="7">
        <v>448602</v>
      </c>
      <c r="C110" s="7" t="s">
        <v>175</v>
      </c>
      <c r="D110" s="2">
        <v>0</v>
      </c>
      <c r="E110" s="2">
        <v>-17.012359999999997</v>
      </c>
      <c r="F110" s="2">
        <f t="shared" si="3"/>
        <v>17.012359999999997</v>
      </c>
      <c r="G110" s="8">
        <f t="shared" si="4"/>
        <v>1</v>
      </c>
      <c r="H110" s="17" t="str">
        <f t="shared" si="5"/>
        <v>E0</v>
      </c>
      <c r="J110" s="15" t="s">
        <v>155</v>
      </c>
      <c r="K110" s="1" t="s">
        <v>158</v>
      </c>
      <c r="L110" s="1" t="s">
        <v>156</v>
      </c>
      <c r="M110" s="1" t="s">
        <v>61</v>
      </c>
      <c r="N110" s="1" t="s">
        <v>37</v>
      </c>
    </row>
    <row r="111" spans="1:14" x14ac:dyDescent="0.15">
      <c r="A111" s="17"/>
      <c r="B111" s="7">
        <v>448603</v>
      </c>
      <c r="C111" s="7" t="s">
        <v>176</v>
      </c>
      <c r="D111" s="2">
        <v>0</v>
      </c>
      <c r="E111" s="2">
        <v>-2.3247199999999988</v>
      </c>
      <c r="F111" s="2">
        <f t="shared" si="3"/>
        <v>2.3247199999999988</v>
      </c>
      <c r="G111" s="8">
        <f t="shared" si="4"/>
        <v>1</v>
      </c>
      <c r="H111" s="17" t="str">
        <f t="shared" si="5"/>
        <v>E0</v>
      </c>
      <c r="J111" s="15" t="s">
        <v>155</v>
      </c>
      <c r="K111" s="1" t="s">
        <v>158</v>
      </c>
      <c r="L111" s="1" t="s">
        <v>156</v>
      </c>
      <c r="M111" s="1" t="s">
        <v>61</v>
      </c>
      <c r="N111" s="1" t="s">
        <v>37</v>
      </c>
    </row>
    <row r="112" spans="1:14" x14ac:dyDescent="0.15">
      <c r="A112" s="17"/>
      <c r="B112" s="7">
        <v>451020</v>
      </c>
      <c r="C112" s="7" t="s">
        <v>177</v>
      </c>
      <c r="D112" s="2">
        <v>-1716.5258400000002</v>
      </c>
      <c r="E112" s="2">
        <v>133.24970999999999</v>
      </c>
      <c r="F112" s="2">
        <f t="shared" si="3"/>
        <v>-1849.7755500000003</v>
      </c>
      <c r="G112" s="8">
        <f t="shared" si="4"/>
        <v>-13.882023082826976</v>
      </c>
      <c r="H112" s="17" t="str">
        <f t="shared" si="5"/>
        <v>F0</v>
      </c>
      <c r="J112" s="15" t="s">
        <v>48</v>
      </c>
      <c r="K112" s="1" t="s">
        <v>57</v>
      </c>
      <c r="L112" s="1" t="s">
        <v>178</v>
      </c>
      <c r="M112" s="1" t="s">
        <v>37</v>
      </c>
      <c r="N112" s="1" t="s">
        <v>61</v>
      </c>
    </row>
    <row r="113" spans="1:14" x14ac:dyDescent="0.15">
      <c r="A113" s="17"/>
      <c r="B113" s="7">
        <v>451030</v>
      </c>
      <c r="C113" s="7" t="s">
        <v>179</v>
      </c>
      <c r="D113" s="2">
        <v>-132.58920000000001</v>
      </c>
      <c r="E113" s="2">
        <v>0</v>
      </c>
      <c r="F113" s="2">
        <f t="shared" si="3"/>
        <v>-132.58920000000001</v>
      </c>
      <c r="G113" s="8" t="str">
        <f t="shared" si="4"/>
        <v>n/a</v>
      </c>
      <c r="H113" s="17" t="str">
        <f t="shared" si="5"/>
        <v>F0</v>
      </c>
      <c r="J113" s="15" t="s">
        <v>48</v>
      </c>
      <c r="K113" s="1" t="s">
        <v>57</v>
      </c>
      <c r="L113" s="1" t="s">
        <v>178</v>
      </c>
      <c r="M113" s="1" t="s">
        <v>37</v>
      </c>
      <c r="N113" s="1" t="s">
        <v>61</v>
      </c>
    </row>
    <row r="114" spans="1:14" x14ac:dyDescent="0.15">
      <c r="A114" s="17"/>
      <c r="B114" s="7">
        <v>451040</v>
      </c>
      <c r="C114" s="7" t="s">
        <v>180</v>
      </c>
      <c r="D114" s="2">
        <v>-138.56152999999998</v>
      </c>
      <c r="E114" s="2">
        <v>0</v>
      </c>
      <c r="F114" s="2">
        <f t="shared" si="3"/>
        <v>-138.56152999999998</v>
      </c>
      <c r="G114" s="8" t="str">
        <f t="shared" si="4"/>
        <v>n/a</v>
      </c>
      <c r="H114" s="17" t="str">
        <f t="shared" si="5"/>
        <v>F0</v>
      </c>
      <c r="J114" s="15" t="s">
        <v>48</v>
      </c>
      <c r="K114" s="1" t="s">
        <v>57</v>
      </c>
      <c r="L114" s="1" t="s">
        <v>178</v>
      </c>
      <c r="M114" s="1" t="s">
        <v>37</v>
      </c>
      <c r="N114" s="1" t="s">
        <v>61</v>
      </c>
    </row>
    <row r="115" spans="1:14" x14ac:dyDescent="0.15">
      <c r="A115" s="17"/>
      <c r="B115" s="7">
        <v>451050</v>
      </c>
      <c r="C115" s="7" t="s">
        <v>181</v>
      </c>
      <c r="D115" s="2">
        <v>310.80602000000005</v>
      </c>
      <c r="E115" s="2">
        <v>0</v>
      </c>
      <c r="F115" s="2">
        <f t="shared" si="3"/>
        <v>310.80602000000005</v>
      </c>
      <c r="G115" s="8" t="str">
        <f t="shared" si="4"/>
        <v>n/a</v>
      </c>
      <c r="H115" s="17" t="str">
        <f t="shared" si="5"/>
        <v>F0</v>
      </c>
      <c r="J115" s="15" t="s">
        <v>48</v>
      </c>
      <c r="K115" s="1" t="s">
        <v>178</v>
      </c>
      <c r="L115" s="1" t="s">
        <v>178</v>
      </c>
      <c r="M115" s="1" t="s">
        <v>61</v>
      </c>
      <c r="N115" s="1" t="s">
        <v>61</v>
      </c>
    </row>
    <row r="116" spans="1:14" x14ac:dyDescent="0.15">
      <c r="A116" s="17"/>
      <c r="B116" s="7">
        <v>451500</v>
      </c>
      <c r="C116" s="7" t="s">
        <v>182</v>
      </c>
      <c r="D116" s="2">
        <v>-93.320799999999991</v>
      </c>
      <c r="E116" s="2">
        <v>0</v>
      </c>
      <c r="F116" s="2">
        <f t="shared" si="3"/>
        <v>-93.320799999999991</v>
      </c>
      <c r="G116" s="8" t="str">
        <f t="shared" si="4"/>
        <v>n/a</v>
      </c>
      <c r="H116" s="17" t="str">
        <f t="shared" si="5"/>
        <v>F0</v>
      </c>
      <c r="J116" s="15" t="s">
        <v>48</v>
      </c>
      <c r="K116" s="1" t="s">
        <v>57</v>
      </c>
      <c r="L116" s="1" t="s">
        <v>178</v>
      </c>
      <c r="M116" s="1" t="s">
        <v>37</v>
      </c>
      <c r="N116" s="1" t="s">
        <v>61</v>
      </c>
    </row>
    <row r="117" spans="1:14" x14ac:dyDescent="0.15">
      <c r="A117" s="17"/>
      <c r="B117" s="7">
        <v>455010</v>
      </c>
      <c r="C117" s="7" t="s">
        <v>183</v>
      </c>
      <c r="D117" s="2">
        <v>320.28655000000003</v>
      </c>
      <c r="E117" s="2">
        <v>331.04050999999993</v>
      </c>
      <c r="F117" s="2">
        <f t="shared" si="3"/>
        <v>-10.753959999999893</v>
      </c>
      <c r="G117" s="8">
        <f t="shared" si="4"/>
        <v>-3.248532936346641E-2</v>
      </c>
      <c r="H117" s="17" t="str">
        <f t="shared" si="5"/>
        <v>F0</v>
      </c>
      <c r="J117" s="15" t="s">
        <v>48</v>
      </c>
      <c r="K117" s="1" t="s">
        <v>178</v>
      </c>
      <c r="L117" s="1" t="s">
        <v>178</v>
      </c>
      <c r="M117" s="1" t="s">
        <v>61</v>
      </c>
      <c r="N117" s="1" t="s">
        <v>61</v>
      </c>
    </row>
    <row r="118" spans="1:14" x14ac:dyDescent="0.15">
      <c r="A118" s="17"/>
      <c r="B118" s="7">
        <v>455020</v>
      </c>
      <c r="C118" s="7" t="s">
        <v>184</v>
      </c>
      <c r="D118" s="2">
        <v>-3.64316</v>
      </c>
      <c r="E118" s="2">
        <v>0</v>
      </c>
      <c r="F118" s="2">
        <f t="shared" si="3"/>
        <v>-3.64316</v>
      </c>
      <c r="G118" s="8" t="str">
        <f t="shared" si="4"/>
        <v>n/a</v>
      </c>
      <c r="H118" s="17" t="str">
        <f t="shared" si="5"/>
        <v>F0</v>
      </c>
      <c r="J118" s="15" t="s">
        <v>48</v>
      </c>
      <c r="K118" s="1" t="s">
        <v>57</v>
      </c>
      <c r="L118" s="1" t="s">
        <v>178</v>
      </c>
      <c r="M118" s="1" t="s">
        <v>37</v>
      </c>
      <c r="N118" s="1" t="s">
        <v>61</v>
      </c>
    </row>
    <row r="119" spans="1:14" x14ac:dyDescent="0.15">
      <c r="A119" s="17"/>
      <c r="B119" s="7">
        <v>455100</v>
      </c>
      <c r="C119" s="7" t="s">
        <v>185</v>
      </c>
      <c r="D119" s="2">
        <v>0</v>
      </c>
      <c r="E119" s="2">
        <v>-3.6431600000000035</v>
      </c>
      <c r="F119" s="2">
        <f t="shared" si="3"/>
        <v>3.6431600000000035</v>
      </c>
      <c r="G119" s="8">
        <f t="shared" si="4"/>
        <v>1</v>
      </c>
      <c r="H119" s="17" t="str">
        <f t="shared" si="5"/>
        <v>F0</v>
      </c>
      <c r="J119" s="15" t="s">
        <v>48</v>
      </c>
      <c r="K119" s="1" t="s">
        <v>178</v>
      </c>
      <c r="L119" s="1" t="s">
        <v>57</v>
      </c>
      <c r="M119" s="1" t="s">
        <v>61</v>
      </c>
      <c r="N119" s="1" t="s">
        <v>37</v>
      </c>
    </row>
    <row r="120" spans="1:14" x14ac:dyDescent="0.15">
      <c r="A120" s="17"/>
      <c r="B120" s="7">
        <v>455200</v>
      </c>
      <c r="C120" s="7" t="s">
        <v>186</v>
      </c>
      <c r="D120" s="2">
        <v>-133.667</v>
      </c>
      <c r="E120" s="2">
        <v>0</v>
      </c>
      <c r="F120" s="2">
        <f t="shared" si="3"/>
        <v>-133.667</v>
      </c>
      <c r="G120" s="8" t="str">
        <f t="shared" si="4"/>
        <v>n/a</v>
      </c>
      <c r="H120" s="17" t="str">
        <f t="shared" si="5"/>
        <v>F0</v>
      </c>
      <c r="J120" s="15" t="s">
        <v>48</v>
      </c>
      <c r="K120" s="1" t="s">
        <v>57</v>
      </c>
      <c r="L120" s="1" t="s">
        <v>178</v>
      </c>
      <c r="M120" s="1" t="s">
        <v>37</v>
      </c>
      <c r="N120" s="1" t="s">
        <v>61</v>
      </c>
    </row>
    <row r="121" spans="1:14" x14ac:dyDescent="0.15">
      <c r="A121" s="17"/>
      <c r="B121" s="7">
        <v>457000</v>
      </c>
      <c r="C121" s="7" t="s">
        <v>187</v>
      </c>
      <c r="D121" s="2">
        <v>0</v>
      </c>
      <c r="E121" s="2">
        <v>-3.0000000027939677E-5</v>
      </c>
      <c r="F121" s="2">
        <f t="shared" si="3"/>
        <v>3.0000000027939677E-5</v>
      </c>
      <c r="G121" s="8">
        <f t="shared" si="4"/>
        <v>1</v>
      </c>
      <c r="H121" s="17" t="str">
        <f t="shared" si="5"/>
        <v>F0</v>
      </c>
      <c r="J121" s="15" t="s">
        <v>48</v>
      </c>
      <c r="K121" s="1" t="s">
        <v>188</v>
      </c>
      <c r="L121" s="1" t="s">
        <v>188</v>
      </c>
      <c r="M121" s="1" t="s">
        <v>61</v>
      </c>
      <c r="N121" s="1" t="s">
        <v>37</v>
      </c>
    </row>
    <row r="122" spans="1:14" x14ac:dyDescent="0.15">
      <c r="A122" s="17"/>
      <c r="B122" s="7">
        <v>467000</v>
      </c>
      <c r="C122" s="7" t="s">
        <v>189</v>
      </c>
      <c r="D122" s="2">
        <v>1E-3</v>
      </c>
      <c r="E122" s="2">
        <v>1E-3</v>
      </c>
      <c r="F122" s="2">
        <f t="shared" si="3"/>
        <v>0</v>
      </c>
      <c r="G122" s="8">
        <f t="shared" si="4"/>
        <v>0</v>
      </c>
      <c r="H122" s="17" t="str">
        <f t="shared" si="5"/>
        <v>T0</v>
      </c>
      <c r="J122" s="15" t="s">
        <v>190</v>
      </c>
      <c r="K122" s="1" t="s">
        <v>191</v>
      </c>
      <c r="L122" s="1" t="s">
        <v>191</v>
      </c>
      <c r="M122" s="1" t="s">
        <v>61</v>
      </c>
      <c r="N122" s="1" t="s">
        <v>61</v>
      </c>
    </row>
    <row r="123" spans="1:14" x14ac:dyDescent="0.15">
      <c r="A123" s="17"/>
      <c r="B123" s="7">
        <v>467110</v>
      </c>
      <c r="C123" s="7" t="s">
        <v>192</v>
      </c>
      <c r="D123" s="2">
        <v>-0.47449000000000002</v>
      </c>
      <c r="E123" s="2">
        <v>-0.47449000000000002</v>
      </c>
      <c r="F123" s="2">
        <f t="shared" si="3"/>
        <v>0</v>
      </c>
      <c r="G123" s="8">
        <f t="shared" si="4"/>
        <v>0</v>
      </c>
      <c r="H123" s="17" t="str">
        <f t="shared" si="5"/>
        <v>T0</v>
      </c>
      <c r="J123" s="15" t="s">
        <v>190</v>
      </c>
      <c r="K123" s="1" t="s">
        <v>193</v>
      </c>
      <c r="L123" s="1" t="s">
        <v>193</v>
      </c>
      <c r="M123" s="1" t="s">
        <v>37</v>
      </c>
      <c r="N123" s="1" t="s">
        <v>37</v>
      </c>
    </row>
    <row r="124" spans="1:14" x14ac:dyDescent="0.15">
      <c r="A124" s="17"/>
      <c r="B124" s="7">
        <v>471000</v>
      </c>
      <c r="C124" s="7" t="s">
        <v>194</v>
      </c>
      <c r="D124" s="2">
        <v>1.7152099999999628</v>
      </c>
      <c r="E124" s="2">
        <v>-1.8814299999999999</v>
      </c>
      <c r="F124" s="2">
        <f t="shared" si="3"/>
        <v>3.5966399999999625</v>
      </c>
      <c r="G124" s="8">
        <f t="shared" si="4"/>
        <v>1.9116523070217668</v>
      </c>
      <c r="H124" s="17" t="str">
        <f t="shared" si="5"/>
        <v>T0</v>
      </c>
      <c r="J124" s="15" t="s">
        <v>190</v>
      </c>
      <c r="K124" s="1" t="s">
        <v>191</v>
      </c>
      <c r="L124" s="1" t="s">
        <v>193</v>
      </c>
      <c r="M124" s="1" t="s">
        <v>61</v>
      </c>
      <c r="N124" s="1" t="s">
        <v>37</v>
      </c>
    </row>
    <row r="125" spans="1:14" x14ac:dyDescent="0.15">
      <c r="A125" s="17"/>
      <c r="B125" s="7">
        <v>486000</v>
      </c>
      <c r="C125" s="7" t="s">
        <v>195</v>
      </c>
      <c r="D125" s="2">
        <v>17.545690000000004</v>
      </c>
      <c r="E125" s="2">
        <v>9.3279999999999994</v>
      </c>
      <c r="F125" s="2">
        <f t="shared" si="3"/>
        <v>8.2176900000000046</v>
      </c>
      <c r="G125" s="8">
        <f t="shared" si="4"/>
        <v>0.88097019725557513</v>
      </c>
      <c r="H125" s="17" t="str">
        <f t="shared" si="5"/>
        <v>A0</v>
      </c>
      <c r="J125" s="15" t="s">
        <v>121</v>
      </c>
      <c r="K125" s="1" t="s">
        <v>196</v>
      </c>
      <c r="L125" s="1" t="s">
        <v>196</v>
      </c>
      <c r="M125" s="1" t="s">
        <v>61</v>
      </c>
      <c r="N125" s="1" t="s">
        <v>61</v>
      </c>
    </row>
    <row r="126" spans="1:14" x14ac:dyDescent="0.15">
      <c r="A126" s="17"/>
      <c r="B126" s="7">
        <v>491000</v>
      </c>
      <c r="C126" s="7" t="s">
        <v>197</v>
      </c>
      <c r="D126" s="2">
        <v>-16.265899999999998</v>
      </c>
      <c r="E126" s="2">
        <v>-7.6494399999999994</v>
      </c>
      <c r="F126" s="2">
        <f t="shared" si="3"/>
        <v>-8.61646</v>
      </c>
      <c r="G126" s="8">
        <f t="shared" si="4"/>
        <v>-1.1264170971992722</v>
      </c>
      <c r="H126" s="17" t="str">
        <f t="shared" si="5"/>
        <v>V0</v>
      </c>
      <c r="J126" s="15" t="s">
        <v>127</v>
      </c>
      <c r="K126" s="1" t="s">
        <v>128</v>
      </c>
      <c r="L126" s="1" t="s">
        <v>128</v>
      </c>
      <c r="M126" s="1" t="s">
        <v>61</v>
      </c>
      <c r="N126" s="1" t="s">
        <v>61</v>
      </c>
    </row>
    <row r="127" spans="1:14" x14ac:dyDescent="0.15">
      <c r="A127" s="17"/>
      <c r="B127" s="7">
        <v>511200</v>
      </c>
      <c r="C127" s="7" t="s">
        <v>198</v>
      </c>
      <c r="D127" s="2">
        <v>0</v>
      </c>
      <c r="E127" s="2">
        <v>0</v>
      </c>
      <c r="F127" s="2">
        <f t="shared" si="3"/>
        <v>0</v>
      </c>
      <c r="G127" s="8" t="str">
        <f t="shared" si="4"/>
        <v>n/a</v>
      </c>
      <c r="H127" s="17" t="str">
        <f t="shared" si="5"/>
        <v>F0</v>
      </c>
      <c r="J127" s="15" t="s">
        <v>48</v>
      </c>
      <c r="K127" s="1" t="s">
        <v>199</v>
      </c>
      <c r="L127" s="1" t="s">
        <v>199</v>
      </c>
      <c r="M127" s="1" t="s">
        <v>61</v>
      </c>
      <c r="N127" s="1" t="s">
        <v>61</v>
      </c>
    </row>
    <row r="128" spans="1:14" x14ac:dyDescent="0.15">
      <c r="A128" s="17"/>
      <c r="B128" s="7">
        <v>511400</v>
      </c>
      <c r="C128" s="7" t="s">
        <v>200</v>
      </c>
      <c r="D128" s="2">
        <v>-2.059149999999907</v>
      </c>
      <c r="E128" s="2">
        <v>3.9698000000000495</v>
      </c>
      <c r="F128" s="2">
        <f t="shared" si="3"/>
        <v>-6.0289499999999565</v>
      </c>
      <c r="G128" s="8">
        <f t="shared" si="4"/>
        <v>-1.5187037130333723</v>
      </c>
      <c r="H128" s="17" t="str">
        <f t="shared" si="5"/>
        <v>F0</v>
      </c>
      <c r="J128" s="15" t="s">
        <v>48</v>
      </c>
      <c r="K128" s="1" t="s">
        <v>49</v>
      </c>
      <c r="L128" s="1" t="s">
        <v>199</v>
      </c>
      <c r="M128" s="1" t="s">
        <v>37</v>
      </c>
      <c r="N128" s="1" t="s">
        <v>61</v>
      </c>
    </row>
    <row r="129" spans="1:14" x14ac:dyDescent="0.15">
      <c r="A129" s="17"/>
      <c r="B129" s="7">
        <v>512110</v>
      </c>
      <c r="C129" s="7" t="s">
        <v>201</v>
      </c>
      <c r="D129" s="2">
        <v>172.20306000000053</v>
      </c>
      <c r="E129" s="2">
        <v>143.87236000000027</v>
      </c>
      <c r="F129" s="2">
        <f t="shared" si="3"/>
        <v>28.330700000000263</v>
      </c>
      <c r="G129" s="8">
        <f t="shared" si="4"/>
        <v>0.19691551594760948</v>
      </c>
      <c r="H129" s="17" t="str">
        <f t="shared" si="5"/>
        <v>F0</v>
      </c>
      <c r="J129" s="15" t="s">
        <v>48</v>
      </c>
      <c r="K129" s="1" t="s">
        <v>199</v>
      </c>
      <c r="L129" s="1" t="s">
        <v>199</v>
      </c>
      <c r="M129" s="1" t="s">
        <v>61</v>
      </c>
      <c r="N129" s="1" t="s">
        <v>61</v>
      </c>
    </row>
    <row r="130" spans="1:14" x14ac:dyDescent="0.15">
      <c r="A130" s="17"/>
      <c r="B130" s="7">
        <v>512112</v>
      </c>
      <c r="C130" s="7" t="s">
        <v>202</v>
      </c>
      <c r="D130" s="2">
        <v>0.17473999999999068</v>
      </c>
      <c r="E130" s="2">
        <v>16.453880000000002</v>
      </c>
      <c r="F130" s="2">
        <f t="shared" si="3"/>
        <v>-16.279140000000012</v>
      </c>
      <c r="G130" s="8">
        <f t="shared" si="4"/>
        <v>-0.98938001249553365</v>
      </c>
      <c r="H130" s="17" t="str">
        <f t="shared" si="5"/>
        <v>F0</v>
      </c>
      <c r="J130" s="15" t="s">
        <v>48</v>
      </c>
      <c r="K130" s="1" t="s">
        <v>199</v>
      </c>
      <c r="L130" s="1" t="s">
        <v>199</v>
      </c>
      <c r="M130" s="1" t="s">
        <v>61</v>
      </c>
      <c r="N130" s="1" t="s">
        <v>61</v>
      </c>
    </row>
    <row r="131" spans="1:14" x14ac:dyDescent="0.15">
      <c r="A131" s="17"/>
      <c r="B131" s="7">
        <v>512120</v>
      </c>
      <c r="C131" s="7" t="s">
        <v>203</v>
      </c>
      <c r="D131" s="2">
        <v>196.46471999999881</v>
      </c>
      <c r="E131" s="2">
        <v>241.61439000000004</v>
      </c>
      <c r="F131" s="2">
        <f t="shared" si="3"/>
        <v>-45.149670000001237</v>
      </c>
      <c r="G131" s="8">
        <f t="shared" si="4"/>
        <v>-0.18686664316641582</v>
      </c>
      <c r="H131" s="17" t="str">
        <f t="shared" si="5"/>
        <v>F0</v>
      </c>
      <c r="J131" s="15" t="s">
        <v>48</v>
      </c>
      <c r="K131" s="1" t="s">
        <v>199</v>
      </c>
      <c r="L131" s="1" t="s">
        <v>199</v>
      </c>
      <c r="M131" s="1" t="s">
        <v>61</v>
      </c>
      <c r="N131" s="1" t="s">
        <v>61</v>
      </c>
    </row>
    <row r="132" spans="1:14" x14ac:dyDescent="0.15">
      <c r="A132" s="17"/>
      <c r="B132" s="7">
        <v>512122</v>
      </c>
      <c r="C132" s="7" t="s">
        <v>204</v>
      </c>
      <c r="D132" s="2">
        <v>3.4310000000055879E-2</v>
      </c>
      <c r="E132" s="2">
        <v>8.0080300000000282</v>
      </c>
      <c r="F132" s="2">
        <f t="shared" si="3"/>
        <v>-7.9737199999999726</v>
      </c>
      <c r="G132" s="8">
        <f t="shared" si="4"/>
        <v>-0.99571555051616245</v>
      </c>
      <c r="H132" s="17" t="str">
        <f t="shared" si="5"/>
        <v>F0</v>
      </c>
      <c r="J132" s="15" t="s">
        <v>48</v>
      </c>
      <c r="K132" s="1" t="s">
        <v>199</v>
      </c>
      <c r="L132" s="1" t="s">
        <v>199</v>
      </c>
      <c r="M132" s="1" t="s">
        <v>61</v>
      </c>
      <c r="N132" s="1" t="s">
        <v>61</v>
      </c>
    </row>
    <row r="133" spans="1:14" x14ac:dyDescent="0.15">
      <c r="A133" s="17"/>
      <c r="B133" s="7">
        <v>512124</v>
      </c>
      <c r="C133" s="7" t="s">
        <v>205</v>
      </c>
      <c r="D133" s="2">
        <v>600</v>
      </c>
      <c r="E133" s="2">
        <v>1500</v>
      </c>
      <c r="F133" s="2">
        <f t="shared" si="3"/>
        <v>-900</v>
      </c>
      <c r="G133" s="8">
        <f t="shared" si="4"/>
        <v>-0.6</v>
      </c>
      <c r="H133" s="17" t="str">
        <f t="shared" si="5"/>
        <v>F0</v>
      </c>
      <c r="J133" s="15" t="s">
        <v>48</v>
      </c>
      <c r="K133" s="1" t="s">
        <v>199</v>
      </c>
      <c r="L133" s="1" t="s">
        <v>199</v>
      </c>
      <c r="M133" s="1" t="s">
        <v>61</v>
      </c>
      <c r="N133" s="1" t="s">
        <v>61</v>
      </c>
    </row>
    <row r="134" spans="1:14" x14ac:dyDescent="0.15">
      <c r="A134" s="17"/>
      <c r="B134" s="7">
        <v>512125</v>
      </c>
      <c r="C134" s="7" t="s">
        <v>206</v>
      </c>
      <c r="D134" s="2">
        <v>400</v>
      </c>
      <c r="E134" s="2">
        <v>0</v>
      </c>
      <c r="F134" s="2">
        <f t="shared" si="3"/>
        <v>400</v>
      </c>
      <c r="G134" s="8" t="str">
        <f t="shared" si="4"/>
        <v>n/a</v>
      </c>
      <c r="H134" s="17" t="str">
        <f t="shared" si="5"/>
        <v>F0</v>
      </c>
      <c r="J134" s="15" t="s">
        <v>48</v>
      </c>
      <c r="K134" s="1" t="s">
        <v>199</v>
      </c>
      <c r="L134" s="1" t="s">
        <v>199</v>
      </c>
      <c r="M134" s="1" t="s">
        <v>61</v>
      </c>
      <c r="N134" s="1" t="s">
        <v>61</v>
      </c>
    </row>
    <row r="135" spans="1:14" x14ac:dyDescent="0.15">
      <c r="A135" s="17"/>
      <c r="B135" s="7">
        <v>512130</v>
      </c>
      <c r="C135" s="7" t="s">
        <v>207</v>
      </c>
      <c r="D135" s="2">
        <v>0</v>
      </c>
      <c r="E135" s="2">
        <v>5.1829600000000005</v>
      </c>
      <c r="F135" s="2">
        <f t="shared" si="3"/>
        <v>-5.1829600000000005</v>
      </c>
      <c r="G135" s="8">
        <f t="shared" si="4"/>
        <v>-1</v>
      </c>
      <c r="H135" s="17" t="str">
        <f t="shared" si="5"/>
        <v>F0</v>
      </c>
      <c r="J135" s="15" t="s">
        <v>48</v>
      </c>
      <c r="K135" s="1" t="s">
        <v>199</v>
      </c>
      <c r="L135" s="1" t="s">
        <v>199</v>
      </c>
      <c r="M135" s="1" t="s">
        <v>61</v>
      </c>
      <c r="N135" s="1" t="s">
        <v>61</v>
      </c>
    </row>
    <row r="136" spans="1:14" x14ac:dyDescent="0.15">
      <c r="A136" s="17"/>
      <c r="B136" s="7">
        <v>512151</v>
      </c>
      <c r="C136" s="7" t="s">
        <v>208</v>
      </c>
      <c r="D136" s="2">
        <v>2.2029999999999998</v>
      </c>
      <c r="E136" s="2">
        <v>0</v>
      </c>
      <c r="F136" s="2">
        <f t="shared" si="3"/>
        <v>2.2029999999999998</v>
      </c>
      <c r="G136" s="8" t="str">
        <f t="shared" si="4"/>
        <v>n/a</v>
      </c>
      <c r="H136" s="17" t="str">
        <f t="shared" si="5"/>
        <v>F0</v>
      </c>
      <c r="J136" s="15" t="s">
        <v>48</v>
      </c>
      <c r="K136" s="1" t="s">
        <v>199</v>
      </c>
      <c r="L136" s="1" t="s">
        <v>199</v>
      </c>
      <c r="M136" s="1" t="s">
        <v>61</v>
      </c>
      <c r="N136" s="1" t="s">
        <v>61</v>
      </c>
    </row>
    <row r="137" spans="1:14" x14ac:dyDescent="0.15">
      <c r="A137" s="17"/>
      <c r="B137" s="7">
        <v>531000</v>
      </c>
      <c r="C137" s="7" t="s">
        <v>209</v>
      </c>
      <c r="D137" s="2">
        <v>7.0811999999999999</v>
      </c>
      <c r="E137" s="2">
        <v>7.0811999999999999</v>
      </c>
      <c r="F137" s="2">
        <f t="shared" si="3"/>
        <v>0</v>
      </c>
      <c r="G137" s="8">
        <f t="shared" si="4"/>
        <v>0</v>
      </c>
      <c r="H137" s="17" t="str">
        <f t="shared" si="5"/>
        <v>F0</v>
      </c>
      <c r="J137" s="15" t="s">
        <v>48</v>
      </c>
      <c r="K137" s="1" t="s">
        <v>199</v>
      </c>
      <c r="L137" s="1" t="s">
        <v>199</v>
      </c>
      <c r="M137" s="1" t="s">
        <v>61</v>
      </c>
      <c r="N137" s="1" t="s">
        <v>61</v>
      </c>
    </row>
    <row r="138" spans="1:14" x14ac:dyDescent="0.15">
      <c r="A138" s="17"/>
      <c r="B138" s="7">
        <v>580000</v>
      </c>
      <c r="C138" s="7" t="s">
        <v>210</v>
      </c>
      <c r="D138" s="2">
        <v>0</v>
      </c>
      <c r="E138" s="2">
        <v>0</v>
      </c>
      <c r="F138" s="2">
        <f t="shared" si="3"/>
        <v>0</v>
      </c>
      <c r="G138" s="8" t="str">
        <f t="shared" si="4"/>
        <v>n/a</v>
      </c>
      <c r="H138" s="17" t="str">
        <f t="shared" si="5"/>
        <v>F0</v>
      </c>
      <c r="J138" s="15" t="s">
        <v>48</v>
      </c>
      <c r="K138" s="1" t="s">
        <v>199</v>
      </c>
      <c r="L138" s="1" t="s">
        <v>199</v>
      </c>
      <c r="M138" s="1" t="s">
        <v>61</v>
      </c>
      <c r="N138" s="1" t="s">
        <v>61</v>
      </c>
    </row>
    <row r="139" spans="1:14" x14ac:dyDescent="0.15">
      <c r="A139" s="17"/>
      <c r="B139" s="7">
        <v>601100</v>
      </c>
      <c r="C139" s="7" t="s">
        <v>211</v>
      </c>
      <c r="D139" s="2">
        <v>731.69415000000004</v>
      </c>
      <c r="E139" s="2">
        <v>621.89149999999984</v>
      </c>
      <c r="F139" s="2">
        <f t="shared" ref="F139:F202" si="6">D139-E139</f>
        <v>109.8026500000002</v>
      </c>
      <c r="G139" s="8">
        <f t="shared" ref="G139:G202" si="7">IF(E139=0,"n/a",F139/ABS(E139))</f>
        <v>0.1765623907064178</v>
      </c>
      <c r="H139" s="17" t="str">
        <f t="shared" ref="H139:H202" si="8">J139&amp;0</f>
        <v>A0</v>
      </c>
      <c r="J139" s="15" t="s">
        <v>121</v>
      </c>
      <c r="K139" s="1" t="s">
        <v>212</v>
      </c>
      <c r="L139" s="1" t="s">
        <v>212</v>
      </c>
      <c r="M139" s="1" t="s">
        <v>213</v>
      </c>
      <c r="N139" s="1" t="s">
        <v>213</v>
      </c>
    </row>
    <row r="140" spans="1:14" x14ac:dyDescent="0.15">
      <c r="A140" s="17"/>
      <c r="B140" s="7">
        <v>601110</v>
      </c>
      <c r="C140" s="7" t="s">
        <v>214</v>
      </c>
      <c r="D140" s="2">
        <v>150.10864000000001</v>
      </c>
      <c r="E140" s="2">
        <v>215.99233000000001</v>
      </c>
      <c r="F140" s="2">
        <f t="shared" si="6"/>
        <v>-65.883690000000001</v>
      </c>
      <c r="G140" s="8">
        <f t="shared" si="7"/>
        <v>-0.30502791464863588</v>
      </c>
      <c r="H140" s="17" t="str">
        <f t="shared" si="8"/>
        <v>A0</v>
      </c>
      <c r="J140" s="15" t="s">
        <v>121</v>
      </c>
      <c r="K140" s="1" t="s">
        <v>212</v>
      </c>
      <c r="L140" s="1" t="s">
        <v>212</v>
      </c>
      <c r="M140" s="1" t="s">
        <v>213</v>
      </c>
      <c r="N140" s="1" t="s">
        <v>213</v>
      </c>
    </row>
    <row r="141" spans="1:14" x14ac:dyDescent="0.15">
      <c r="A141" s="17"/>
      <c r="B141" s="7">
        <v>601130</v>
      </c>
      <c r="C141" s="7" t="s">
        <v>215</v>
      </c>
      <c r="D141" s="2">
        <v>808.29171999999994</v>
      </c>
      <c r="E141" s="2">
        <v>804.64821999999992</v>
      </c>
      <c r="F141" s="2">
        <f t="shared" si="6"/>
        <v>3.6435000000000173</v>
      </c>
      <c r="G141" s="8">
        <f t="shared" si="7"/>
        <v>4.5280656931050165E-3</v>
      </c>
      <c r="H141" s="17" t="str">
        <f t="shared" si="8"/>
        <v>A0</v>
      </c>
      <c r="J141" s="15" t="s">
        <v>121</v>
      </c>
      <c r="K141" s="1" t="s">
        <v>212</v>
      </c>
      <c r="L141" s="1" t="s">
        <v>212</v>
      </c>
      <c r="M141" s="1" t="s">
        <v>213</v>
      </c>
      <c r="N141" s="1" t="s">
        <v>213</v>
      </c>
    </row>
    <row r="142" spans="1:14" x14ac:dyDescent="0.15">
      <c r="A142" s="17"/>
      <c r="B142" s="7">
        <v>601700</v>
      </c>
      <c r="C142" s="7" t="s">
        <v>216</v>
      </c>
      <c r="D142" s="2">
        <v>339.02127000000002</v>
      </c>
      <c r="E142" s="2">
        <v>339.14440000000002</v>
      </c>
      <c r="F142" s="2">
        <f t="shared" si="6"/>
        <v>-0.12313000000000329</v>
      </c>
      <c r="G142" s="8">
        <f t="shared" si="7"/>
        <v>-3.6306069037260615E-4</v>
      </c>
      <c r="H142" s="17" t="str">
        <f t="shared" si="8"/>
        <v>A0</v>
      </c>
      <c r="J142" s="15" t="s">
        <v>121</v>
      </c>
      <c r="K142" s="1" t="s">
        <v>212</v>
      </c>
      <c r="L142" s="1" t="s">
        <v>212</v>
      </c>
      <c r="M142" s="1" t="s">
        <v>213</v>
      </c>
      <c r="N142" s="1" t="s">
        <v>213</v>
      </c>
    </row>
    <row r="143" spans="1:14" x14ac:dyDescent="0.15">
      <c r="A143" s="17"/>
      <c r="B143" s="7">
        <v>601710</v>
      </c>
      <c r="C143" s="7" t="s">
        <v>217</v>
      </c>
      <c r="D143" s="2">
        <v>137.78455</v>
      </c>
      <c r="E143" s="2">
        <v>95.991950000000017</v>
      </c>
      <c r="F143" s="2">
        <f t="shared" si="6"/>
        <v>41.792599999999979</v>
      </c>
      <c r="G143" s="8">
        <f t="shared" si="7"/>
        <v>0.4353760914326667</v>
      </c>
      <c r="H143" s="17" t="str">
        <f t="shared" si="8"/>
        <v>A0</v>
      </c>
      <c r="J143" s="15" t="s">
        <v>121</v>
      </c>
      <c r="K143" s="1" t="s">
        <v>212</v>
      </c>
      <c r="L143" s="1" t="s">
        <v>212</v>
      </c>
      <c r="M143" s="1" t="s">
        <v>213</v>
      </c>
      <c r="N143" s="1" t="s">
        <v>213</v>
      </c>
    </row>
    <row r="144" spans="1:14" x14ac:dyDescent="0.15">
      <c r="A144" s="17"/>
      <c r="B144" s="7">
        <v>601730</v>
      </c>
      <c r="C144" s="7" t="s">
        <v>218</v>
      </c>
      <c r="D144" s="2">
        <v>42.384</v>
      </c>
      <c r="E144" s="2">
        <v>22.968</v>
      </c>
      <c r="F144" s="2">
        <f t="shared" si="6"/>
        <v>19.416</v>
      </c>
      <c r="G144" s="8">
        <f t="shared" si="7"/>
        <v>0.84535005224660398</v>
      </c>
      <c r="H144" s="17" t="str">
        <f t="shared" si="8"/>
        <v>A0</v>
      </c>
      <c r="J144" s="15" t="s">
        <v>121</v>
      </c>
      <c r="K144" s="1" t="s">
        <v>212</v>
      </c>
      <c r="L144" s="1" t="s">
        <v>212</v>
      </c>
      <c r="M144" s="1" t="s">
        <v>213</v>
      </c>
      <c r="N144" s="1" t="s">
        <v>213</v>
      </c>
    </row>
    <row r="145" spans="1:14" x14ac:dyDescent="0.15">
      <c r="A145" s="17"/>
      <c r="B145" s="7">
        <v>602600</v>
      </c>
      <c r="C145" s="7" t="s">
        <v>219</v>
      </c>
      <c r="D145" s="2">
        <v>248.57225999999997</v>
      </c>
      <c r="E145" s="2">
        <v>235.11167</v>
      </c>
      <c r="F145" s="2">
        <f t="shared" si="6"/>
        <v>13.460589999999968</v>
      </c>
      <c r="G145" s="8">
        <f t="shared" si="7"/>
        <v>5.7251900766984332E-2</v>
      </c>
      <c r="H145" s="17" t="str">
        <f t="shared" si="8"/>
        <v>A0</v>
      </c>
      <c r="J145" s="15" t="s">
        <v>121</v>
      </c>
      <c r="K145" s="1" t="s">
        <v>212</v>
      </c>
      <c r="L145" s="1" t="s">
        <v>212</v>
      </c>
      <c r="M145" s="1" t="s">
        <v>213</v>
      </c>
      <c r="N145" s="1" t="s">
        <v>213</v>
      </c>
    </row>
    <row r="146" spans="1:14" x14ac:dyDescent="0.15">
      <c r="A146" s="17"/>
      <c r="B146" s="7">
        <v>602610</v>
      </c>
      <c r="C146" s="7" t="s">
        <v>220</v>
      </c>
      <c r="D146" s="2">
        <v>0.154</v>
      </c>
      <c r="E146" s="2">
        <v>21.975000000000001</v>
      </c>
      <c r="F146" s="2">
        <f t="shared" si="6"/>
        <v>-21.821000000000002</v>
      </c>
      <c r="G146" s="8">
        <f t="shared" si="7"/>
        <v>-0.99299203640500566</v>
      </c>
      <c r="H146" s="17" t="str">
        <f t="shared" si="8"/>
        <v>A0</v>
      </c>
      <c r="J146" s="15" t="s">
        <v>121</v>
      </c>
      <c r="K146" s="1" t="s">
        <v>212</v>
      </c>
      <c r="L146" s="1" t="s">
        <v>212</v>
      </c>
      <c r="M146" s="1" t="s">
        <v>213</v>
      </c>
      <c r="N146" s="1" t="s">
        <v>213</v>
      </c>
    </row>
    <row r="147" spans="1:14" x14ac:dyDescent="0.15">
      <c r="A147" s="17"/>
      <c r="B147" s="7">
        <v>603100</v>
      </c>
      <c r="C147" s="7" t="s">
        <v>221</v>
      </c>
      <c r="D147" s="2">
        <v>-90.67064000000002</v>
      </c>
      <c r="E147" s="2">
        <v>64.435719999999975</v>
      </c>
      <c r="F147" s="2">
        <f t="shared" si="6"/>
        <v>-155.10636</v>
      </c>
      <c r="G147" s="8">
        <f t="shared" si="7"/>
        <v>-2.4071487057178853</v>
      </c>
      <c r="H147" s="17" t="str">
        <f t="shared" si="8"/>
        <v>S0</v>
      </c>
      <c r="J147" s="15" t="s">
        <v>105</v>
      </c>
      <c r="K147" s="1" t="s">
        <v>222</v>
      </c>
      <c r="L147" s="1" t="s">
        <v>222</v>
      </c>
      <c r="M147" s="1" t="s">
        <v>213</v>
      </c>
      <c r="N147" s="1" t="s">
        <v>213</v>
      </c>
    </row>
    <row r="148" spans="1:14" x14ac:dyDescent="0.15">
      <c r="A148" s="17"/>
      <c r="B148" s="7">
        <v>603200</v>
      </c>
      <c r="C148" s="7" t="s">
        <v>223</v>
      </c>
      <c r="D148" s="2">
        <v>-13.651630000000004</v>
      </c>
      <c r="E148" s="2">
        <v>-0.43519000000000235</v>
      </c>
      <c r="F148" s="2">
        <f t="shared" si="6"/>
        <v>-13.216440000000002</v>
      </c>
      <c r="G148" s="8">
        <f t="shared" si="7"/>
        <v>-30.369355913508883</v>
      </c>
      <c r="H148" s="17" t="str">
        <f t="shared" si="8"/>
        <v>S0</v>
      </c>
      <c r="J148" s="15" t="s">
        <v>105</v>
      </c>
      <c r="K148" s="1" t="s">
        <v>222</v>
      </c>
      <c r="L148" s="1" t="s">
        <v>222</v>
      </c>
      <c r="M148" s="1" t="s">
        <v>213</v>
      </c>
      <c r="N148" s="1" t="s">
        <v>213</v>
      </c>
    </row>
    <row r="149" spans="1:14" x14ac:dyDescent="0.15">
      <c r="A149" s="17"/>
      <c r="B149" s="7">
        <v>603700</v>
      </c>
      <c r="C149" s="7" t="s">
        <v>224</v>
      </c>
      <c r="D149" s="2">
        <v>-101.78612</v>
      </c>
      <c r="E149" s="2">
        <v>5.7379699999999723</v>
      </c>
      <c r="F149" s="2">
        <f t="shared" si="6"/>
        <v>-107.52408999999997</v>
      </c>
      <c r="G149" s="8">
        <f t="shared" si="7"/>
        <v>-18.739047084596205</v>
      </c>
      <c r="H149" s="17" t="str">
        <f t="shared" si="8"/>
        <v>S0</v>
      </c>
      <c r="J149" s="15" t="s">
        <v>105</v>
      </c>
      <c r="K149" s="1" t="s">
        <v>225</v>
      </c>
      <c r="L149" s="1" t="s">
        <v>225</v>
      </c>
      <c r="M149" s="1" t="s">
        <v>213</v>
      </c>
      <c r="N149" s="1" t="s">
        <v>213</v>
      </c>
    </row>
    <row r="150" spans="1:14" x14ac:dyDescent="0.15">
      <c r="A150" s="17"/>
      <c r="B150" s="7">
        <v>604100</v>
      </c>
      <c r="C150" s="7" t="s">
        <v>226</v>
      </c>
      <c r="D150" s="2">
        <v>566.07103000000006</v>
      </c>
      <c r="E150" s="2">
        <v>557.14880000000005</v>
      </c>
      <c r="F150" s="2">
        <f t="shared" si="6"/>
        <v>8.9222300000000132</v>
      </c>
      <c r="G150" s="8">
        <f t="shared" si="7"/>
        <v>1.601408815741865E-2</v>
      </c>
      <c r="H150" s="17" t="str">
        <f t="shared" si="8"/>
        <v>A0</v>
      </c>
      <c r="J150" s="15" t="s">
        <v>121</v>
      </c>
      <c r="K150" s="1" t="s">
        <v>212</v>
      </c>
      <c r="L150" s="1" t="s">
        <v>212</v>
      </c>
      <c r="M150" s="1" t="s">
        <v>213</v>
      </c>
      <c r="N150" s="1" t="s">
        <v>213</v>
      </c>
    </row>
    <row r="151" spans="1:14" x14ac:dyDescent="0.15">
      <c r="A151" s="17"/>
      <c r="B151" s="7">
        <v>604101</v>
      </c>
      <c r="C151" s="7" t="s">
        <v>227</v>
      </c>
      <c r="D151" s="2">
        <v>1837.10618</v>
      </c>
      <c r="E151" s="2">
        <v>2032.1870100000003</v>
      </c>
      <c r="F151" s="2">
        <f t="shared" si="6"/>
        <v>-195.08083000000033</v>
      </c>
      <c r="G151" s="8">
        <f t="shared" si="7"/>
        <v>-9.5995510767486053E-2</v>
      </c>
      <c r="H151" s="17" t="str">
        <f t="shared" si="8"/>
        <v>A0</v>
      </c>
      <c r="J151" s="15" t="s">
        <v>121</v>
      </c>
      <c r="K151" s="1" t="s">
        <v>212</v>
      </c>
      <c r="L151" s="1" t="s">
        <v>212</v>
      </c>
      <c r="M151" s="1" t="s">
        <v>213</v>
      </c>
      <c r="N151" s="1" t="s">
        <v>213</v>
      </c>
    </row>
    <row r="152" spans="1:14" x14ac:dyDescent="0.15">
      <c r="A152" s="17"/>
      <c r="B152" s="7">
        <v>606110</v>
      </c>
      <c r="C152" s="7" t="s">
        <v>228</v>
      </c>
      <c r="D152" s="2">
        <v>285.61255999999992</v>
      </c>
      <c r="E152" s="2">
        <v>294.93119000000002</v>
      </c>
      <c r="F152" s="2">
        <f t="shared" si="6"/>
        <v>-9.3186300000000983</v>
      </c>
      <c r="G152" s="8">
        <f t="shared" si="7"/>
        <v>-3.1595946159509607E-2</v>
      </c>
      <c r="H152" s="17" t="str">
        <f t="shared" si="8"/>
        <v>A0</v>
      </c>
      <c r="J152" s="15" t="s">
        <v>121</v>
      </c>
      <c r="K152" s="1" t="s">
        <v>11</v>
      </c>
      <c r="L152" s="1" t="s">
        <v>11</v>
      </c>
      <c r="M152" s="1" t="s">
        <v>213</v>
      </c>
      <c r="N152" s="1" t="s">
        <v>213</v>
      </c>
    </row>
    <row r="153" spans="1:14" x14ac:dyDescent="0.15">
      <c r="A153" s="17"/>
      <c r="B153" s="7">
        <v>606120</v>
      </c>
      <c r="C153" s="7" t="s">
        <v>229</v>
      </c>
      <c r="D153" s="2">
        <v>0.43120999999999998</v>
      </c>
      <c r="E153" s="2">
        <v>0</v>
      </c>
      <c r="F153" s="2">
        <f t="shared" si="6"/>
        <v>0.43120999999999998</v>
      </c>
      <c r="G153" s="8" t="str">
        <f t="shared" si="7"/>
        <v>n/a</v>
      </c>
      <c r="H153" s="17" t="str">
        <f t="shared" si="8"/>
        <v>A0</v>
      </c>
      <c r="J153" s="15" t="s">
        <v>121</v>
      </c>
      <c r="K153" s="1" t="s">
        <v>11</v>
      </c>
      <c r="L153" s="1" t="s">
        <v>11</v>
      </c>
      <c r="M153" s="1" t="s">
        <v>213</v>
      </c>
      <c r="N153" s="1" t="s">
        <v>213</v>
      </c>
    </row>
    <row r="154" spans="1:14" x14ac:dyDescent="0.15">
      <c r="A154" s="17"/>
      <c r="B154" s="7">
        <v>606130</v>
      </c>
      <c r="C154" s="7" t="s">
        <v>230</v>
      </c>
      <c r="D154" s="2">
        <v>9.6601599999999994</v>
      </c>
      <c r="E154" s="2">
        <v>10.796439999999999</v>
      </c>
      <c r="F154" s="2">
        <f t="shared" si="6"/>
        <v>-1.1362799999999993</v>
      </c>
      <c r="G154" s="8">
        <f t="shared" si="7"/>
        <v>-0.1052458032462552</v>
      </c>
      <c r="H154" s="17" t="str">
        <f t="shared" si="8"/>
        <v>A0</v>
      </c>
      <c r="J154" s="15" t="s">
        <v>121</v>
      </c>
      <c r="K154" s="1" t="s">
        <v>11</v>
      </c>
      <c r="L154" s="1" t="s">
        <v>11</v>
      </c>
      <c r="M154" s="1" t="s">
        <v>213</v>
      </c>
      <c r="N154" s="1" t="s">
        <v>213</v>
      </c>
    </row>
    <row r="155" spans="1:14" x14ac:dyDescent="0.15">
      <c r="A155" s="17"/>
      <c r="B155" s="7">
        <v>606300</v>
      </c>
      <c r="C155" s="7" t="s">
        <v>231</v>
      </c>
      <c r="D155" s="2">
        <v>13.19168</v>
      </c>
      <c r="E155" s="2">
        <v>6.5942200000000009</v>
      </c>
      <c r="F155" s="2">
        <f t="shared" si="6"/>
        <v>6.597459999999999</v>
      </c>
      <c r="G155" s="8">
        <f t="shared" si="7"/>
        <v>1.0004913393850976</v>
      </c>
      <c r="H155" s="17" t="str">
        <f t="shared" si="8"/>
        <v>A0</v>
      </c>
      <c r="J155" s="15" t="s">
        <v>121</v>
      </c>
      <c r="K155" s="1" t="s">
        <v>11</v>
      </c>
      <c r="L155" s="1" t="s">
        <v>11</v>
      </c>
      <c r="M155" s="1" t="s">
        <v>213</v>
      </c>
      <c r="N155" s="1" t="s">
        <v>213</v>
      </c>
    </row>
    <row r="156" spans="1:14" x14ac:dyDescent="0.15">
      <c r="A156" s="17"/>
      <c r="B156" s="7">
        <v>606400</v>
      </c>
      <c r="C156" s="7" t="s">
        <v>232</v>
      </c>
      <c r="D156" s="2">
        <v>43.783730000000006</v>
      </c>
      <c r="E156" s="2">
        <v>12.203189999999999</v>
      </c>
      <c r="F156" s="2">
        <f t="shared" si="6"/>
        <v>31.580540000000006</v>
      </c>
      <c r="G156" s="8">
        <f t="shared" si="7"/>
        <v>2.5878921822900414</v>
      </c>
      <c r="H156" s="17" t="str">
        <f t="shared" si="8"/>
        <v>A0</v>
      </c>
      <c r="J156" s="15" t="s">
        <v>121</v>
      </c>
      <c r="K156" s="1" t="s">
        <v>11</v>
      </c>
      <c r="L156" s="1" t="s">
        <v>11</v>
      </c>
      <c r="M156" s="1" t="s">
        <v>213</v>
      </c>
      <c r="N156" s="1" t="s">
        <v>213</v>
      </c>
    </row>
    <row r="157" spans="1:14" x14ac:dyDescent="0.15">
      <c r="A157" s="17"/>
      <c r="B157" s="7">
        <v>606420</v>
      </c>
      <c r="C157" s="7" t="s">
        <v>233</v>
      </c>
      <c r="D157" s="2">
        <v>0</v>
      </c>
      <c r="E157" s="2">
        <v>3.7799999999999999E-3</v>
      </c>
      <c r="F157" s="2">
        <f t="shared" si="6"/>
        <v>-3.7799999999999999E-3</v>
      </c>
      <c r="G157" s="8">
        <f t="shared" si="7"/>
        <v>-1</v>
      </c>
      <c r="H157" s="17" t="str">
        <f t="shared" si="8"/>
        <v>A0</v>
      </c>
      <c r="J157" s="15" t="s">
        <v>121</v>
      </c>
      <c r="K157" s="1" t="s">
        <v>11</v>
      </c>
      <c r="L157" s="1" t="s">
        <v>11</v>
      </c>
      <c r="M157" s="1" t="s">
        <v>213</v>
      </c>
      <c r="N157" s="1" t="s">
        <v>213</v>
      </c>
    </row>
    <row r="158" spans="1:14" x14ac:dyDescent="0.15">
      <c r="A158" s="17"/>
      <c r="B158" s="7">
        <v>606430</v>
      </c>
      <c r="C158" s="7" t="s">
        <v>234</v>
      </c>
      <c r="D158" s="2">
        <v>2.3925999999999998</v>
      </c>
      <c r="E158" s="2">
        <v>0</v>
      </c>
      <c r="F158" s="2">
        <f t="shared" si="6"/>
        <v>2.3925999999999998</v>
      </c>
      <c r="G158" s="8" t="str">
        <f t="shared" si="7"/>
        <v>n/a</v>
      </c>
      <c r="H158" s="17" t="str">
        <f t="shared" si="8"/>
        <v>A0</v>
      </c>
      <c r="J158" s="15" t="s">
        <v>121</v>
      </c>
      <c r="K158" s="1" t="s">
        <v>11</v>
      </c>
      <c r="L158" s="1" t="s">
        <v>11</v>
      </c>
      <c r="M158" s="1" t="s">
        <v>213</v>
      </c>
      <c r="N158" s="1" t="s">
        <v>213</v>
      </c>
    </row>
    <row r="159" spans="1:14" x14ac:dyDescent="0.15">
      <c r="A159" s="17"/>
      <c r="B159" s="7">
        <v>607000</v>
      </c>
      <c r="C159" s="7" t="s">
        <v>235</v>
      </c>
      <c r="D159" s="2">
        <v>415.51378000000005</v>
      </c>
      <c r="E159" s="2">
        <v>309.97122000000002</v>
      </c>
      <c r="F159" s="2">
        <f t="shared" si="6"/>
        <v>105.54256000000004</v>
      </c>
      <c r="G159" s="8">
        <f t="shared" si="7"/>
        <v>0.34049148175756455</v>
      </c>
      <c r="H159" s="17" t="str">
        <f t="shared" si="8"/>
        <v>A0</v>
      </c>
      <c r="J159" s="15" t="s">
        <v>121</v>
      </c>
      <c r="K159" s="1" t="s">
        <v>236</v>
      </c>
      <c r="L159" s="1" t="s">
        <v>236</v>
      </c>
      <c r="M159" s="1" t="s">
        <v>213</v>
      </c>
      <c r="N159" s="1" t="s">
        <v>213</v>
      </c>
    </row>
    <row r="160" spans="1:14" x14ac:dyDescent="0.15">
      <c r="A160" s="17"/>
      <c r="B160" s="7">
        <v>607010</v>
      </c>
      <c r="C160" s="7" t="s">
        <v>237</v>
      </c>
      <c r="D160" s="2">
        <v>295.19114999999999</v>
      </c>
      <c r="E160" s="2">
        <v>260.81894</v>
      </c>
      <c r="F160" s="2">
        <f t="shared" si="6"/>
        <v>34.372209999999995</v>
      </c>
      <c r="G160" s="8">
        <f t="shared" si="7"/>
        <v>0.13178571310810477</v>
      </c>
      <c r="H160" s="17" t="str">
        <f t="shared" si="8"/>
        <v>A0</v>
      </c>
      <c r="J160" s="15" t="s">
        <v>121</v>
      </c>
      <c r="K160" s="1" t="s">
        <v>236</v>
      </c>
      <c r="L160" s="1" t="s">
        <v>236</v>
      </c>
      <c r="M160" s="1" t="s">
        <v>213</v>
      </c>
      <c r="N160" s="1" t="s">
        <v>213</v>
      </c>
    </row>
    <row r="161" spans="1:14" x14ac:dyDescent="0.15">
      <c r="A161" s="17"/>
      <c r="B161" s="7">
        <v>608100</v>
      </c>
      <c r="C161" s="7" t="s">
        <v>238</v>
      </c>
      <c r="D161" s="2">
        <v>12.128069999999999</v>
      </c>
      <c r="E161" s="2">
        <v>9.2936300000000003</v>
      </c>
      <c r="F161" s="2">
        <f t="shared" si="6"/>
        <v>2.834439999999999</v>
      </c>
      <c r="G161" s="8">
        <f t="shared" si="7"/>
        <v>0.30498739459177943</v>
      </c>
      <c r="H161" s="17" t="str">
        <f t="shared" si="8"/>
        <v>A0</v>
      </c>
      <c r="J161" s="15" t="s">
        <v>121</v>
      </c>
      <c r="K161" s="1" t="s">
        <v>212</v>
      </c>
      <c r="L161" s="1" t="s">
        <v>212</v>
      </c>
      <c r="M161" s="1" t="s">
        <v>213</v>
      </c>
      <c r="N161" s="1" t="s">
        <v>213</v>
      </c>
    </row>
    <row r="162" spans="1:14" x14ac:dyDescent="0.15">
      <c r="A162" s="17"/>
      <c r="B162" s="7">
        <v>608110</v>
      </c>
      <c r="C162" s="7" t="s">
        <v>239</v>
      </c>
      <c r="D162" s="2">
        <v>6.6682299999999994</v>
      </c>
      <c r="E162" s="2">
        <v>10.933020000000001</v>
      </c>
      <c r="F162" s="2">
        <f t="shared" si="6"/>
        <v>-4.2647900000000014</v>
      </c>
      <c r="G162" s="8">
        <f t="shared" si="7"/>
        <v>-0.39008343531796347</v>
      </c>
      <c r="H162" s="17" t="str">
        <f t="shared" si="8"/>
        <v>A0</v>
      </c>
      <c r="J162" s="15" t="s">
        <v>121</v>
      </c>
      <c r="K162" s="1" t="s">
        <v>212</v>
      </c>
      <c r="L162" s="1" t="s">
        <v>212</v>
      </c>
      <c r="M162" s="1" t="s">
        <v>213</v>
      </c>
      <c r="N162" s="1" t="s">
        <v>213</v>
      </c>
    </row>
    <row r="163" spans="1:14" x14ac:dyDescent="0.15">
      <c r="A163" s="17"/>
      <c r="B163" s="7">
        <v>608130</v>
      </c>
      <c r="C163" s="7" t="s">
        <v>240</v>
      </c>
      <c r="D163" s="2">
        <v>0</v>
      </c>
      <c r="E163" s="2">
        <v>1.33</v>
      </c>
      <c r="F163" s="2">
        <f t="shared" si="6"/>
        <v>-1.33</v>
      </c>
      <c r="G163" s="8">
        <f t="shared" si="7"/>
        <v>-1</v>
      </c>
      <c r="H163" s="17" t="str">
        <f t="shared" si="8"/>
        <v>A0</v>
      </c>
      <c r="J163" s="15" t="s">
        <v>121</v>
      </c>
      <c r="K163" s="1" t="s">
        <v>212</v>
      </c>
      <c r="L163" s="1" t="s">
        <v>212</v>
      </c>
      <c r="M163" s="1" t="s">
        <v>213</v>
      </c>
      <c r="N163" s="1" t="s">
        <v>213</v>
      </c>
    </row>
    <row r="164" spans="1:14" x14ac:dyDescent="0.15">
      <c r="A164" s="17"/>
      <c r="B164" s="7">
        <v>608140</v>
      </c>
      <c r="C164" s="7" t="s">
        <v>241</v>
      </c>
      <c r="D164" s="2">
        <v>56.398099999999999</v>
      </c>
      <c r="E164" s="2">
        <v>123.44561999999998</v>
      </c>
      <c r="F164" s="2">
        <f t="shared" si="6"/>
        <v>-67.047519999999977</v>
      </c>
      <c r="G164" s="8">
        <f t="shared" si="7"/>
        <v>-0.54313405368290901</v>
      </c>
      <c r="H164" s="17" t="str">
        <f t="shared" si="8"/>
        <v>A0</v>
      </c>
      <c r="J164" s="15" t="s">
        <v>121</v>
      </c>
      <c r="K164" s="1" t="s">
        <v>212</v>
      </c>
      <c r="L164" s="1" t="s">
        <v>212</v>
      </c>
      <c r="M164" s="1" t="s">
        <v>213</v>
      </c>
      <c r="N164" s="1" t="s">
        <v>213</v>
      </c>
    </row>
    <row r="165" spans="1:14" x14ac:dyDescent="0.15">
      <c r="A165" s="17"/>
      <c r="B165" s="7">
        <v>608500</v>
      </c>
      <c r="C165" s="7" t="s">
        <v>242</v>
      </c>
      <c r="D165" s="2">
        <v>8.8829999999999991</v>
      </c>
      <c r="E165" s="2">
        <v>10.635999999999999</v>
      </c>
      <c r="F165" s="2">
        <f t="shared" si="6"/>
        <v>-1.7530000000000001</v>
      </c>
      <c r="G165" s="8">
        <f t="shared" si="7"/>
        <v>-0.16481760060173001</v>
      </c>
      <c r="H165" s="17" t="str">
        <f t="shared" si="8"/>
        <v>A0</v>
      </c>
      <c r="J165" s="15" t="s">
        <v>121</v>
      </c>
      <c r="K165" s="1" t="s">
        <v>11</v>
      </c>
      <c r="L165" s="1" t="s">
        <v>11</v>
      </c>
      <c r="M165" s="1" t="s">
        <v>213</v>
      </c>
      <c r="N165" s="1" t="s">
        <v>213</v>
      </c>
    </row>
    <row r="166" spans="1:14" x14ac:dyDescent="0.15">
      <c r="A166" s="17"/>
      <c r="B166" s="7">
        <v>608800</v>
      </c>
      <c r="C166" s="7" t="s">
        <v>243</v>
      </c>
      <c r="D166" s="2">
        <v>4.4385399999999997</v>
      </c>
      <c r="E166" s="2">
        <v>2.0354000000000001</v>
      </c>
      <c r="F166" s="2">
        <f t="shared" si="6"/>
        <v>2.4031399999999996</v>
      </c>
      <c r="G166" s="8">
        <f t="shared" si="7"/>
        <v>1.1806721037633878</v>
      </c>
      <c r="H166" s="17" t="str">
        <f t="shared" si="8"/>
        <v>A0</v>
      </c>
      <c r="J166" s="15" t="s">
        <v>121</v>
      </c>
      <c r="M166" s="1" t="s">
        <v>213</v>
      </c>
      <c r="N166" s="1" t="s">
        <v>213</v>
      </c>
    </row>
    <row r="167" spans="1:14" x14ac:dyDescent="0.15">
      <c r="A167" s="17"/>
      <c r="B167" s="7">
        <v>608810</v>
      </c>
      <c r="C167" s="7" t="s">
        <v>244</v>
      </c>
      <c r="D167" s="2">
        <v>0</v>
      </c>
      <c r="E167" s="2">
        <v>0.27500000000000002</v>
      </c>
      <c r="F167" s="2">
        <f t="shared" si="6"/>
        <v>-0.27500000000000002</v>
      </c>
      <c r="G167" s="8">
        <f t="shared" si="7"/>
        <v>-1</v>
      </c>
      <c r="H167" s="17" t="str">
        <f t="shared" si="8"/>
        <v>A0</v>
      </c>
      <c r="J167" s="15" t="s">
        <v>121</v>
      </c>
      <c r="M167" s="1" t="s">
        <v>213</v>
      </c>
      <c r="N167" s="1" t="s">
        <v>213</v>
      </c>
    </row>
    <row r="168" spans="1:14" x14ac:dyDescent="0.15">
      <c r="A168" s="17"/>
      <c r="B168" s="7">
        <v>609100</v>
      </c>
      <c r="C168" s="7" t="s">
        <v>245</v>
      </c>
      <c r="D168" s="2">
        <v>-6.6416500000000003</v>
      </c>
      <c r="E168" s="2">
        <v>-4.9129100000000001</v>
      </c>
      <c r="F168" s="2">
        <f t="shared" si="6"/>
        <v>-1.7287400000000002</v>
      </c>
      <c r="G168" s="8">
        <f t="shared" si="7"/>
        <v>-0.35187699347230056</v>
      </c>
      <c r="H168" s="17" t="str">
        <f t="shared" si="8"/>
        <v>A0</v>
      </c>
      <c r="J168" s="15" t="s">
        <v>121</v>
      </c>
      <c r="K168" s="1" t="s">
        <v>212</v>
      </c>
      <c r="L168" s="1" t="s">
        <v>212</v>
      </c>
      <c r="M168" s="1" t="s">
        <v>213</v>
      </c>
      <c r="N168" s="1" t="s">
        <v>213</v>
      </c>
    </row>
    <row r="169" spans="1:14" x14ac:dyDescent="0.15">
      <c r="A169" s="17"/>
      <c r="B169" s="7">
        <v>609110</v>
      </c>
      <c r="C169" s="7" t="s">
        <v>246</v>
      </c>
      <c r="D169" s="2">
        <v>0</v>
      </c>
      <c r="E169" s="2">
        <v>-0.86399999999999999</v>
      </c>
      <c r="F169" s="2">
        <f t="shared" si="6"/>
        <v>0.86399999999999999</v>
      </c>
      <c r="G169" s="8">
        <f t="shared" si="7"/>
        <v>1</v>
      </c>
      <c r="H169" s="17" t="str">
        <f t="shared" si="8"/>
        <v>A0</v>
      </c>
      <c r="J169" s="15" t="s">
        <v>121</v>
      </c>
      <c r="K169" s="1" t="s">
        <v>212</v>
      </c>
      <c r="L169" s="1" t="s">
        <v>212</v>
      </c>
      <c r="M169" s="1" t="s">
        <v>213</v>
      </c>
      <c r="N169" s="1" t="s">
        <v>213</v>
      </c>
    </row>
    <row r="170" spans="1:14" x14ac:dyDescent="0.15">
      <c r="A170" s="17"/>
      <c r="B170" s="7">
        <v>609130</v>
      </c>
      <c r="C170" s="7" t="s">
        <v>247</v>
      </c>
      <c r="D170" s="2">
        <v>-0.27600000000000002</v>
      </c>
      <c r="E170" s="2">
        <v>0</v>
      </c>
      <c r="F170" s="2">
        <f t="shared" si="6"/>
        <v>-0.27600000000000002</v>
      </c>
      <c r="G170" s="8" t="str">
        <f t="shared" si="7"/>
        <v>n/a</v>
      </c>
      <c r="H170" s="17" t="str">
        <f t="shared" si="8"/>
        <v>A0</v>
      </c>
      <c r="J170" s="15" t="s">
        <v>121</v>
      </c>
      <c r="K170" s="1" t="s">
        <v>212</v>
      </c>
      <c r="L170" s="1" t="s">
        <v>212</v>
      </c>
      <c r="M170" s="1" t="s">
        <v>213</v>
      </c>
      <c r="N170" s="1" t="s">
        <v>213</v>
      </c>
    </row>
    <row r="171" spans="1:14" x14ac:dyDescent="0.15">
      <c r="A171" s="17"/>
      <c r="B171" s="7">
        <v>611000</v>
      </c>
      <c r="C171" s="7" t="s">
        <v>248</v>
      </c>
      <c r="D171" s="2">
        <v>14.156420000000001</v>
      </c>
      <c r="E171" s="2">
        <v>45.077709999999996</v>
      </c>
      <c r="F171" s="2">
        <f t="shared" si="6"/>
        <v>-30.921289999999996</v>
      </c>
      <c r="G171" s="8">
        <f t="shared" si="7"/>
        <v>-0.68595520934847842</v>
      </c>
      <c r="H171" s="17" t="str">
        <f t="shared" si="8"/>
        <v>A0</v>
      </c>
      <c r="J171" s="15" t="s">
        <v>121</v>
      </c>
      <c r="K171" s="1" t="s">
        <v>11</v>
      </c>
      <c r="L171" s="1" t="s">
        <v>11</v>
      </c>
      <c r="M171" s="1" t="s">
        <v>213</v>
      </c>
      <c r="N171" s="1" t="s">
        <v>213</v>
      </c>
    </row>
    <row r="172" spans="1:14" x14ac:dyDescent="0.15">
      <c r="A172" s="17"/>
      <c r="B172" s="7">
        <v>611010</v>
      </c>
      <c r="C172" s="7" t="s">
        <v>249</v>
      </c>
      <c r="D172" s="2">
        <v>250.86985999999999</v>
      </c>
      <c r="E172" s="2">
        <v>242.87228000000002</v>
      </c>
      <c r="F172" s="2">
        <f t="shared" si="6"/>
        <v>7.9975799999999708</v>
      </c>
      <c r="G172" s="8">
        <f t="shared" si="7"/>
        <v>3.2929159309576087E-2</v>
      </c>
      <c r="H172" s="17" t="str">
        <f t="shared" si="8"/>
        <v>A0</v>
      </c>
      <c r="J172" s="15" t="s">
        <v>121</v>
      </c>
      <c r="K172" s="1" t="s">
        <v>11</v>
      </c>
      <c r="L172" s="1" t="s">
        <v>11</v>
      </c>
      <c r="M172" s="1" t="s">
        <v>213</v>
      </c>
      <c r="N172" s="1" t="s">
        <v>213</v>
      </c>
    </row>
    <row r="173" spans="1:14" x14ac:dyDescent="0.15">
      <c r="A173" s="17"/>
      <c r="B173" s="7">
        <v>611030</v>
      </c>
      <c r="C173" s="7" t="s">
        <v>250</v>
      </c>
      <c r="D173" s="2">
        <v>79.830570000000009</v>
      </c>
      <c r="E173" s="2">
        <v>73.234929999999991</v>
      </c>
      <c r="F173" s="2">
        <f t="shared" si="6"/>
        <v>6.5956400000000173</v>
      </c>
      <c r="G173" s="8">
        <f t="shared" si="7"/>
        <v>9.0061395566296276E-2</v>
      </c>
      <c r="H173" s="17" t="str">
        <f t="shared" si="8"/>
        <v>A0</v>
      </c>
      <c r="J173" s="15" t="s">
        <v>121</v>
      </c>
      <c r="K173" s="1" t="s">
        <v>11</v>
      </c>
      <c r="L173" s="1" t="s">
        <v>11</v>
      </c>
      <c r="M173" s="1" t="s">
        <v>213</v>
      </c>
      <c r="N173" s="1" t="s">
        <v>213</v>
      </c>
    </row>
    <row r="174" spans="1:14" x14ac:dyDescent="0.15">
      <c r="A174" s="17"/>
      <c r="B174" s="7">
        <v>613200</v>
      </c>
      <c r="C174" s="7" t="s">
        <v>251</v>
      </c>
      <c r="D174" s="2">
        <v>21.49014</v>
      </c>
      <c r="E174" s="2">
        <v>20.107880000000005</v>
      </c>
      <c r="F174" s="2">
        <f t="shared" si="6"/>
        <v>1.3822599999999952</v>
      </c>
      <c r="G174" s="8">
        <f t="shared" si="7"/>
        <v>6.874220454866424E-2</v>
      </c>
      <c r="H174" s="17" t="str">
        <f t="shared" si="8"/>
        <v>A0</v>
      </c>
      <c r="J174" s="15" t="s">
        <v>121</v>
      </c>
      <c r="K174" s="1" t="s">
        <v>11</v>
      </c>
      <c r="L174" s="1" t="s">
        <v>11</v>
      </c>
      <c r="M174" s="1" t="s">
        <v>213</v>
      </c>
      <c r="N174" s="1" t="s">
        <v>213</v>
      </c>
    </row>
    <row r="175" spans="1:14" x14ac:dyDescent="0.15">
      <c r="A175" s="17"/>
      <c r="B175" s="7">
        <v>613201</v>
      </c>
      <c r="C175" s="7" t="s">
        <v>252</v>
      </c>
      <c r="D175" s="2">
        <v>300.45916</v>
      </c>
      <c r="E175" s="2">
        <v>252.64956000000001</v>
      </c>
      <c r="F175" s="2">
        <f t="shared" si="6"/>
        <v>47.809599999999989</v>
      </c>
      <c r="G175" s="8">
        <f t="shared" si="7"/>
        <v>0.1892328646841894</v>
      </c>
      <c r="H175" s="17" t="str">
        <f t="shared" si="8"/>
        <v>A0</v>
      </c>
      <c r="J175" s="15" t="s">
        <v>121</v>
      </c>
      <c r="K175" s="1" t="s">
        <v>11</v>
      </c>
      <c r="L175" s="1" t="s">
        <v>11</v>
      </c>
      <c r="M175" s="1" t="s">
        <v>213</v>
      </c>
      <c r="N175" s="1" t="s">
        <v>213</v>
      </c>
    </row>
    <row r="176" spans="1:14" x14ac:dyDescent="0.15">
      <c r="A176" s="17"/>
      <c r="B176" s="7">
        <v>613500</v>
      </c>
      <c r="C176" s="7" t="s">
        <v>253</v>
      </c>
      <c r="D176" s="2">
        <v>68.52713</v>
      </c>
      <c r="E176" s="2">
        <v>69.251569999999987</v>
      </c>
      <c r="F176" s="2">
        <f t="shared" si="6"/>
        <v>-0.72443999999998709</v>
      </c>
      <c r="G176" s="8">
        <f t="shared" si="7"/>
        <v>-1.0460990270689708E-2</v>
      </c>
      <c r="H176" s="17" t="str">
        <f t="shared" si="8"/>
        <v>A0</v>
      </c>
      <c r="J176" s="15" t="s">
        <v>121</v>
      </c>
      <c r="K176" s="1" t="s">
        <v>11</v>
      </c>
      <c r="L176" s="1" t="s">
        <v>11</v>
      </c>
      <c r="M176" s="1" t="s">
        <v>213</v>
      </c>
      <c r="N176" s="1" t="s">
        <v>213</v>
      </c>
    </row>
    <row r="177" spans="1:14" x14ac:dyDescent="0.15">
      <c r="A177" s="17"/>
      <c r="B177" s="7">
        <v>613550</v>
      </c>
      <c r="C177" s="7" t="s">
        <v>254</v>
      </c>
      <c r="D177" s="2">
        <v>0.3952</v>
      </c>
      <c r="E177" s="2">
        <v>0.64066000000000001</v>
      </c>
      <c r="F177" s="2">
        <f t="shared" si="6"/>
        <v>-0.24546000000000001</v>
      </c>
      <c r="G177" s="8">
        <f t="shared" si="7"/>
        <v>-0.38313614085474357</v>
      </c>
      <c r="H177" s="17" t="str">
        <f t="shared" si="8"/>
        <v>A0</v>
      </c>
      <c r="J177" s="15" t="s">
        <v>121</v>
      </c>
      <c r="K177" s="1" t="s">
        <v>11</v>
      </c>
      <c r="L177" s="1" t="s">
        <v>11</v>
      </c>
      <c r="M177" s="1" t="s">
        <v>213</v>
      </c>
      <c r="N177" s="1" t="s">
        <v>213</v>
      </c>
    </row>
    <row r="178" spans="1:14" x14ac:dyDescent="0.15">
      <c r="A178" s="17"/>
      <c r="B178" s="7">
        <v>613580</v>
      </c>
      <c r="C178" s="7" t="s">
        <v>255</v>
      </c>
      <c r="D178" s="2">
        <v>24.678759999999997</v>
      </c>
      <c r="E178" s="2">
        <v>30.745990000000003</v>
      </c>
      <c r="F178" s="2">
        <f t="shared" si="6"/>
        <v>-6.0672300000000057</v>
      </c>
      <c r="G178" s="8">
        <f t="shared" si="7"/>
        <v>-0.19733402632343292</v>
      </c>
      <c r="H178" s="17" t="str">
        <f t="shared" si="8"/>
        <v>A0</v>
      </c>
      <c r="J178" s="15" t="s">
        <v>121</v>
      </c>
      <c r="K178" s="1" t="s">
        <v>11</v>
      </c>
      <c r="L178" s="1" t="s">
        <v>11</v>
      </c>
      <c r="M178" s="1" t="s">
        <v>213</v>
      </c>
      <c r="N178" s="1" t="s">
        <v>213</v>
      </c>
    </row>
    <row r="179" spans="1:14" x14ac:dyDescent="0.15">
      <c r="A179" s="17"/>
      <c r="B179" s="7">
        <v>613585</v>
      </c>
      <c r="C179" s="7" t="s">
        <v>256</v>
      </c>
      <c r="D179" s="2">
        <v>9.3765200000000011</v>
      </c>
      <c r="E179" s="2">
        <v>11.71139</v>
      </c>
      <c r="F179" s="2">
        <f t="shared" si="6"/>
        <v>-2.3348699999999987</v>
      </c>
      <c r="G179" s="8">
        <f t="shared" si="7"/>
        <v>-0.19936745339366196</v>
      </c>
      <c r="H179" s="17" t="str">
        <f t="shared" si="8"/>
        <v>A0</v>
      </c>
      <c r="J179" s="15" t="s">
        <v>121</v>
      </c>
      <c r="K179" s="1" t="s">
        <v>11</v>
      </c>
      <c r="L179" s="1" t="s">
        <v>11</v>
      </c>
      <c r="M179" s="1" t="s">
        <v>213</v>
      </c>
      <c r="N179" s="1" t="s">
        <v>213</v>
      </c>
    </row>
    <row r="180" spans="1:14" x14ac:dyDescent="0.15">
      <c r="A180" s="17"/>
      <c r="B180" s="7">
        <v>614000</v>
      </c>
      <c r="C180" s="7" t="s">
        <v>257</v>
      </c>
      <c r="D180" s="2">
        <v>12.70688</v>
      </c>
      <c r="E180" s="2">
        <v>7.799999999999998</v>
      </c>
      <c r="F180" s="2">
        <f t="shared" si="6"/>
        <v>4.9068800000000019</v>
      </c>
      <c r="G180" s="8">
        <f t="shared" si="7"/>
        <v>0.62908717948717985</v>
      </c>
      <c r="H180" s="17" t="str">
        <f t="shared" si="8"/>
        <v>A0</v>
      </c>
      <c r="J180" s="15" t="s">
        <v>121</v>
      </c>
      <c r="K180" s="1" t="s">
        <v>11</v>
      </c>
      <c r="L180" s="1" t="s">
        <v>11</v>
      </c>
      <c r="M180" s="1" t="s">
        <v>213</v>
      </c>
      <c r="N180" s="1" t="s">
        <v>213</v>
      </c>
    </row>
    <row r="181" spans="1:14" x14ac:dyDescent="0.15">
      <c r="A181" s="17"/>
      <c r="B181" s="7">
        <v>614001</v>
      </c>
      <c r="C181" s="7" t="s">
        <v>258</v>
      </c>
      <c r="D181" s="2">
        <v>12.084670000000001</v>
      </c>
      <c r="E181" s="2">
        <v>0</v>
      </c>
      <c r="F181" s="2">
        <f t="shared" si="6"/>
        <v>12.084670000000001</v>
      </c>
      <c r="G181" s="8" t="str">
        <f t="shared" si="7"/>
        <v>n/a</v>
      </c>
      <c r="H181" s="17" t="str">
        <f t="shared" si="8"/>
        <v>A0</v>
      </c>
      <c r="J181" s="15" t="s">
        <v>121</v>
      </c>
      <c r="K181" s="1" t="s">
        <v>11</v>
      </c>
      <c r="L181" s="1" t="s">
        <v>11</v>
      </c>
      <c r="M181" s="1" t="s">
        <v>213</v>
      </c>
      <c r="N181" s="1" t="s">
        <v>213</v>
      </c>
    </row>
    <row r="182" spans="1:14" x14ac:dyDescent="0.15">
      <c r="A182" s="17"/>
      <c r="B182" s="7">
        <v>615200</v>
      </c>
      <c r="C182" s="7" t="s">
        <v>259</v>
      </c>
      <c r="D182" s="2">
        <v>21.163689999999999</v>
      </c>
      <c r="E182" s="2">
        <v>36.494589999999981</v>
      </c>
      <c r="F182" s="2">
        <f t="shared" si="6"/>
        <v>-15.330899999999982</v>
      </c>
      <c r="G182" s="8">
        <f t="shared" si="7"/>
        <v>-0.42008692247261825</v>
      </c>
      <c r="H182" s="17" t="str">
        <f t="shared" si="8"/>
        <v>A0</v>
      </c>
      <c r="J182" s="15" t="s">
        <v>121</v>
      </c>
      <c r="K182" s="1" t="s">
        <v>11</v>
      </c>
      <c r="L182" s="1" t="s">
        <v>11</v>
      </c>
      <c r="M182" s="1" t="s">
        <v>213</v>
      </c>
      <c r="N182" s="1" t="s">
        <v>213</v>
      </c>
    </row>
    <row r="183" spans="1:14" x14ac:dyDescent="0.15">
      <c r="A183" s="17"/>
      <c r="B183" s="7">
        <v>615500</v>
      </c>
      <c r="C183" s="7" t="s">
        <v>260</v>
      </c>
      <c r="D183" s="2">
        <v>1.92</v>
      </c>
      <c r="E183" s="2">
        <v>4.18</v>
      </c>
      <c r="F183" s="2">
        <f t="shared" si="6"/>
        <v>-2.2599999999999998</v>
      </c>
      <c r="G183" s="8">
        <f t="shared" si="7"/>
        <v>-0.54066985645933008</v>
      </c>
      <c r="H183" s="17" t="str">
        <f t="shared" si="8"/>
        <v>A0</v>
      </c>
      <c r="J183" s="15" t="s">
        <v>121</v>
      </c>
      <c r="K183" s="1" t="s">
        <v>11</v>
      </c>
      <c r="L183" s="1" t="s">
        <v>11</v>
      </c>
      <c r="M183" s="1" t="s">
        <v>213</v>
      </c>
      <c r="N183" s="1" t="s">
        <v>213</v>
      </c>
    </row>
    <row r="184" spans="1:14" x14ac:dyDescent="0.15">
      <c r="A184" s="17"/>
      <c r="B184" s="7">
        <v>615520</v>
      </c>
      <c r="C184" s="7" t="s">
        <v>261</v>
      </c>
      <c r="D184" s="2">
        <v>11.005559999999997</v>
      </c>
      <c r="E184" s="2">
        <v>129.55763000000002</v>
      </c>
      <c r="F184" s="2">
        <f t="shared" si="6"/>
        <v>-118.55207000000001</v>
      </c>
      <c r="G184" s="8">
        <f t="shared" si="7"/>
        <v>-0.9150527838460768</v>
      </c>
      <c r="H184" s="17" t="str">
        <f t="shared" si="8"/>
        <v>A0</v>
      </c>
      <c r="J184" s="15" t="s">
        <v>121</v>
      </c>
      <c r="K184" s="1" t="s">
        <v>11</v>
      </c>
      <c r="L184" s="1" t="s">
        <v>11</v>
      </c>
      <c r="M184" s="1" t="s">
        <v>213</v>
      </c>
      <c r="N184" s="1" t="s">
        <v>213</v>
      </c>
    </row>
    <row r="185" spans="1:14" x14ac:dyDescent="0.15">
      <c r="A185" s="17"/>
      <c r="B185" s="7">
        <v>615580</v>
      </c>
      <c r="C185" s="7" t="s">
        <v>262</v>
      </c>
      <c r="D185" s="2">
        <v>15.679779999999999</v>
      </c>
      <c r="E185" s="2">
        <v>20.712019999999992</v>
      </c>
      <c r="F185" s="2">
        <f t="shared" si="6"/>
        <v>-5.0322399999999927</v>
      </c>
      <c r="G185" s="8">
        <f t="shared" si="7"/>
        <v>-0.2429622991866556</v>
      </c>
      <c r="H185" s="17" t="str">
        <f t="shared" si="8"/>
        <v>A0</v>
      </c>
      <c r="J185" s="15" t="s">
        <v>121</v>
      </c>
      <c r="K185" s="1" t="s">
        <v>11</v>
      </c>
      <c r="L185" s="1" t="s">
        <v>11</v>
      </c>
      <c r="M185" s="1" t="s">
        <v>213</v>
      </c>
      <c r="N185" s="1" t="s">
        <v>213</v>
      </c>
    </row>
    <row r="186" spans="1:14" x14ac:dyDescent="0.15">
      <c r="A186" s="17"/>
      <c r="B186" s="7">
        <v>615581</v>
      </c>
      <c r="C186" s="7" t="s">
        <v>263</v>
      </c>
      <c r="D186" s="2">
        <v>15.110940000000001</v>
      </c>
      <c r="E186" s="2">
        <v>0.02</v>
      </c>
      <c r="F186" s="2">
        <f t="shared" si="6"/>
        <v>15.090940000000002</v>
      </c>
      <c r="G186" s="8">
        <f t="shared" si="7"/>
        <v>754.54700000000003</v>
      </c>
      <c r="H186" s="17" t="str">
        <f t="shared" si="8"/>
        <v>A0</v>
      </c>
      <c r="J186" s="15" t="s">
        <v>121</v>
      </c>
      <c r="K186" s="1" t="s">
        <v>11</v>
      </c>
      <c r="L186" s="1" t="s">
        <v>11</v>
      </c>
      <c r="M186" s="1" t="s">
        <v>213</v>
      </c>
      <c r="N186" s="1" t="s">
        <v>213</v>
      </c>
    </row>
    <row r="187" spans="1:14" x14ac:dyDescent="0.15">
      <c r="A187" s="17"/>
      <c r="B187" s="7">
        <v>615600</v>
      </c>
      <c r="C187" s="7" t="s">
        <v>264</v>
      </c>
      <c r="D187" s="2">
        <v>1.8047800000000001</v>
      </c>
      <c r="E187" s="2">
        <v>1.6026800000000001</v>
      </c>
      <c r="F187" s="2">
        <f t="shared" si="6"/>
        <v>0.20209999999999995</v>
      </c>
      <c r="G187" s="8">
        <f t="shared" si="7"/>
        <v>0.12610128035540466</v>
      </c>
      <c r="H187" s="17" t="str">
        <f t="shared" si="8"/>
        <v>A0</v>
      </c>
      <c r="J187" s="15" t="s">
        <v>121</v>
      </c>
      <c r="K187" s="1" t="s">
        <v>11</v>
      </c>
      <c r="L187" s="1" t="s">
        <v>11</v>
      </c>
      <c r="M187" s="1" t="s">
        <v>213</v>
      </c>
      <c r="N187" s="1" t="s">
        <v>213</v>
      </c>
    </row>
    <row r="188" spans="1:14" x14ac:dyDescent="0.15">
      <c r="A188" s="17"/>
      <c r="B188" s="7">
        <v>615610</v>
      </c>
      <c r="C188" s="7" t="s">
        <v>265</v>
      </c>
      <c r="D188" s="2">
        <v>9.6611399999999996</v>
      </c>
      <c r="E188" s="2">
        <v>0</v>
      </c>
      <c r="F188" s="2">
        <f t="shared" si="6"/>
        <v>9.6611399999999996</v>
      </c>
      <c r="G188" s="8" t="str">
        <f t="shared" si="7"/>
        <v>n/a</v>
      </c>
      <c r="H188" s="17" t="str">
        <f t="shared" si="8"/>
        <v>A0</v>
      </c>
      <c r="J188" s="15" t="s">
        <v>121</v>
      </c>
      <c r="K188" s="1" t="s">
        <v>11</v>
      </c>
      <c r="L188" s="1" t="s">
        <v>11</v>
      </c>
      <c r="M188" s="1" t="s">
        <v>213</v>
      </c>
      <c r="N188" s="1" t="s">
        <v>213</v>
      </c>
    </row>
    <row r="189" spans="1:14" x14ac:dyDescent="0.15">
      <c r="A189" s="17"/>
      <c r="B189" s="7">
        <v>616100</v>
      </c>
      <c r="C189" s="7" t="s">
        <v>266</v>
      </c>
      <c r="D189" s="2">
        <v>46.204370000000004</v>
      </c>
      <c r="E189" s="2">
        <v>36.985239999999997</v>
      </c>
      <c r="F189" s="2">
        <f t="shared" si="6"/>
        <v>9.2191300000000069</v>
      </c>
      <c r="G189" s="8">
        <f t="shared" si="7"/>
        <v>0.24926511224477677</v>
      </c>
      <c r="H189" s="17" t="str">
        <f t="shared" si="8"/>
        <v>A0</v>
      </c>
      <c r="J189" s="15" t="s">
        <v>121</v>
      </c>
      <c r="K189" s="1" t="s">
        <v>11</v>
      </c>
      <c r="L189" s="1" t="s">
        <v>11</v>
      </c>
      <c r="M189" s="1" t="s">
        <v>213</v>
      </c>
      <c r="N189" s="1" t="s">
        <v>213</v>
      </c>
    </row>
    <row r="190" spans="1:14" x14ac:dyDescent="0.15">
      <c r="A190" s="17"/>
      <c r="B190" s="7">
        <v>616110</v>
      </c>
      <c r="C190" s="7" t="s">
        <v>267</v>
      </c>
      <c r="D190" s="2">
        <v>5.24</v>
      </c>
      <c r="E190" s="2">
        <v>0</v>
      </c>
      <c r="F190" s="2">
        <f t="shared" si="6"/>
        <v>5.24</v>
      </c>
      <c r="G190" s="8" t="str">
        <f t="shared" si="7"/>
        <v>n/a</v>
      </c>
      <c r="H190" s="17" t="str">
        <f t="shared" si="8"/>
        <v>A0</v>
      </c>
      <c r="J190" s="15" t="s">
        <v>121</v>
      </c>
      <c r="K190" s="1" t="s">
        <v>11</v>
      </c>
      <c r="L190" s="1" t="s">
        <v>11</v>
      </c>
      <c r="M190" s="1" t="s">
        <v>213</v>
      </c>
      <c r="N190" s="1" t="s">
        <v>213</v>
      </c>
    </row>
    <row r="191" spans="1:14" x14ac:dyDescent="0.15">
      <c r="A191" s="17"/>
      <c r="B191" s="7">
        <v>616120</v>
      </c>
      <c r="C191" s="7" t="s">
        <v>268</v>
      </c>
      <c r="D191" s="2">
        <v>0.70834000000000008</v>
      </c>
      <c r="E191" s="2">
        <v>0</v>
      </c>
      <c r="F191" s="2">
        <f t="shared" si="6"/>
        <v>0.70834000000000008</v>
      </c>
      <c r="G191" s="8" t="str">
        <f t="shared" si="7"/>
        <v>n/a</v>
      </c>
      <c r="H191" s="17" t="str">
        <f t="shared" si="8"/>
        <v>A0</v>
      </c>
      <c r="J191" s="15" t="s">
        <v>121</v>
      </c>
      <c r="K191" s="1" t="s">
        <v>11</v>
      </c>
      <c r="L191" s="1" t="s">
        <v>11</v>
      </c>
      <c r="M191" s="1" t="s">
        <v>213</v>
      </c>
      <c r="N191" s="1" t="s">
        <v>213</v>
      </c>
    </row>
    <row r="192" spans="1:14" x14ac:dyDescent="0.15">
      <c r="A192" s="17"/>
      <c r="B192" s="7">
        <v>616160</v>
      </c>
      <c r="C192" s="7" t="s">
        <v>269</v>
      </c>
      <c r="D192" s="2">
        <v>43.082999999999998</v>
      </c>
      <c r="E192" s="2">
        <v>16.756540000000001</v>
      </c>
      <c r="F192" s="2">
        <f t="shared" si="6"/>
        <v>26.326459999999997</v>
      </c>
      <c r="G192" s="8">
        <f t="shared" si="7"/>
        <v>1.5711155166878124</v>
      </c>
      <c r="H192" s="17" t="str">
        <f t="shared" si="8"/>
        <v>A0</v>
      </c>
      <c r="J192" s="15" t="s">
        <v>121</v>
      </c>
      <c r="K192" s="1" t="s">
        <v>11</v>
      </c>
      <c r="L192" s="1" t="s">
        <v>11</v>
      </c>
      <c r="M192" s="1" t="s">
        <v>213</v>
      </c>
      <c r="N192" s="1" t="s">
        <v>213</v>
      </c>
    </row>
    <row r="193" spans="1:14" x14ac:dyDescent="0.15">
      <c r="A193" s="17"/>
      <c r="B193" s="7">
        <v>616180</v>
      </c>
      <c r="C193" s="7" t="s">
        <v>270</v>
      </c>
      <c r="D193" s="2">
        <v>0</v>
      </c>
      <c r="E193" s="2">
        <v>0.186</v>
      </c>
      <c r="F193" s="2">
        <f t="shared" si="6"/>
        <v>-0.186</v>
      </c>
      <c r="G193" s="8">
        <f t="shared" si="7"/>
        <v>-1</v>
      </c>
      <c r="H193" s="17" t="str">
        <f t="shared" si="8"/>
        <v>A0</v>
      </c>
      <c r="J193" s="15" t="s">
        <v>121</v>
      </c>
      <c r="K193" s="1" t="s">
        <v>11</v>
      </c>
      <c r="L193" s="1" t="s">
        <v>11</v>
      </c>
      <c r="M193" s="1" t="s">
        <v>213</v>
      </c>
      <c r="N193" s="1" t="s">
        <v>213</v>
      </c>
    </row>
    <row r="194" spans="1:14" x14ac:dyDescent="0.15">
      <c r="A194" s="17"/>
      <c r="B194" s="7">
        <v>617100</v>
      </c>
      <c r="C194" s="7" t="s">
        <v>271</v>
      </c>
      <c r="D194" s="2">
        <v>17.987179999999999</v>
      </c>
      <c r="E194" s="2">
        <v>12.951700000000001</v>
      </c>
      <c r="F194" s="2">
        <f t="shared" si="6"/>
        <v>5.035479999999998</v>
      </c>
      <c r="G194" s="8">
        <f t="shared" si="7"/>
        <v>0.38878911648663866</v>
      </c>
      <c r="H194" s="17" t="str">
        <f t="shared" si="8"/>
        <v>A0</v>
      </c>
      <c r="J194" s="15" t="s">
        <v>121</v>
      </c>
      <c r="K194" s="1" t="s">
        <v>11</v>
      </c>
      <c r="L194" s="1" t="s">
        <v>11</v>
      </c>
      <c r="M194" s="1" t="s">
        <v>213</v>
      </c>
      <c r="N194" s="1" t="s">
        <v>213</v>
      </c>
    </row>
    <row r="195" spans="1:14" x14ac:dyDescent="0.15">
      <c r="A195" s="17"/>
      <c r="B195" s="7">
        <v>617300</v>
      </c>
      <c r="C195" s="7" t="s">
        <v>272</v>
      </c>
      <c r="D195" s="2">
        <v>1.92</v>
      </c>
      <c r="E195" s="2">
        <v>9.6875600000000013</v>
      </c>
      <c r="F195" s="2">
        <f t="shared" si="6"/>
        <v>-7.7675600000000014</v>
      </c>
      <c r="G195" s="8">
        <f t="shared" si="7"/>
        <v>-0.80180767912663253</v>
      </c>
      <c r="H195" s="17" t="str">
        <f t="shared" si="8"/>
        <v>A0</v>
      </c>
      <c r="J195" s="15" t="s">
        <v>121</v>
      </c>
      <c r="K195" s="1" t="s">
        <v>11</v>
      </c>
      <c r="L195" s="1" t="s">
        <v>11</v>
      </c>
      <c r="M195" s="1" t="s">
        <v>213</v>
      </c>
      <c r="N195" s="1" t="s">
        <v>213</v>
      </c>
    </row>
    <row r="196" spans="1:14" x14ac:dyDescent="0.15">
      <c r="A196" s="17"/>
      <c r="B196" s="7">
        <v>618100</v>
      </c>
      <c r="C196" s="7" t="s">
        <v>273</v>
      </c>
      <c r="D196" s="2">
        <v>2.0770200000000005</v>
      </c>
      <c r="E196" s="2">
        <v>1.0089599999999999</v>
      </c>
      <c r="F196" s="2">
        <f t="shared" si="6"/>
        <v>1.0680600000000007</v>
      </c>
      <c r="G196" s="8">
        <f t="shared" si="7"/>
        <v>1.0585751665080882</v>
      </c>
      <c r="H196" s="17" t="str">
        <f t="shared" si="8"/>
        <v>A0</v>
      </c>
      <c r="J196" s="15" t="s">
        <v>121</v>
      </c>
      <c r="K196" s="1" t="s">
        <v>11</v>
      </c>
      <c r="L196" s="1" t="s">
        <v>11</v>
      </c>
      <c r="M196" s="1" t="s">
        <v>213</v>
      </c>
      <c r="N196" s="1" t="s">
        <v>213</v>
      </c>
    </row>
    <row r="197" spans="1:14" x14ac:dyDescent="0.15">
      <c r="A197" s="17"/>
      <c r="B197" s="7">
        <v>618200</v>
      </c>
      <c r="C197" s="7" t="s">
        <v>274</v>
      </c>
      <c r="D197" s="2">
        <v>15.790509999999999</v>
      </c>
      <c r="E197" s="2">
        <v>31.874869999999998</v>
      </c>
      <c r="F197" s="2">
        <f t="shared" si="6"/>
        <v>-16.084359999999997</v>
      </c>
      <c r="G197" s="8">
        <f t="shared" si="7"/>
        <v>-0.50460943056395202</v>
      </c>
      <c r="H197" s="17" t="str">
        <f t="shared" si="8"/>
        <v>A0</v>
      </c>
      <c r="J197" s="15" t="s">
        <v>121</v>
      </c>
      <c r="K197" s="1" t="s">
        <v>11</v>
      </c>
      <c r="L197" s="1" t="s">
        <v>11</v>
      </c>
      <c r="M197" s="1" t="s">
        <v>213</v>
      </c>
      <c r="N197" s="1" t="s">
        <v>213</v>
      </c>
    </row>
    <row r="198" spans="1:14" x14ac:dyDescent="0.15">
      <c r="A198" s="17"/>
      <c r="B198" s="7">
        <v>621120</v>
      </c>
      <c r="C198" s="7" t="s">
        <v>275</v>
      </c>
      <c r="D198" s="2">
        <v>47.894800000000004</v>
      </c>
      <c r="E198" s="2">
        <v>22.234819999999999</v>
      </c>
      <c r="F198" s="2">
        <f t="shared" si="6"/>
        <v>25.659980000000004</v>
      </c>
      <c r="G198" s="8">
        <f t="shared" si="7"/>
        <v>1.1540448719620848</v>
      </c>
      <c r="H198" s="17" t="str">
        <f t="shared" si="8"/>
        <v>A0</v>
      </c>
      <c r="J198" s="15" t="s">
        <v>121</v>
      </c>
      <c r="K198" s="1" t="s">
        <v>11</v>
      </c>
      <c r="L198" s="1" t="s">
        <v>11</v>
      </c>
      <c r="M198" s="1" t="s">
        <v>213</v>
      </c>
      <c r="N198" s="1" t="s">
        <v>213</v>
      </c>
    </row>
    <row r="199" spans="1:14" x14ac:dyDescent="0.15">
      <c r="A199" s="17"/>
      <c r="B199" s="7">
        <v>622200</v>
      </c>
      <c r="C199" s="7" t="s">
        <v>276</v>
      </c>
      <c r="D199" s="2">
        <v>11.48648</v>
      </c>
      <c r="E199" s="2">
        <v>25.834989999999998</v>
      </c>
      <c r="F199" s="2">
        <f t="shared" si="6"/>
        <v>-14.348509999999997</v>
      </c>
      <c r="G199" s="8">
        <f t="shared" si="7"/>
        <v>-0.55539057688816595</v>
      </c>
      <c r="H199" s="17" t="str">
        <f t="shared" si="8"/>
        <v>A0</v>
      </c>
      <c r="J199" s="15" t="s">
        <v>121</v>
      </c>
      <c r="K199" s="1" t="s">
        <v>11</v>
      </c>
      <c r="L199" s="1" t="s">
        <v>11</v>
      </c>
      <c r="M199" s="1" t="s">
        <v>213</v>
      </c>
      <c r="N199" s="1" t="s">
        <v>213</v>
      </c>
    </row>
    <row r="200" spans="1:14" x14ac:dyDescent="0.15">
      <c r="A200" s="17"/>
      <c r="B200" s="7">
        <v>622500</v>
      </c>
      <c r="C200" s="7" t="s">
        <v>277</v>
      </c>
      <c r="D200" s="2">
        <v>20.230419999999999</v>
      </c>
      <c r="E200" s="2">
        <v>15.237380000000002</v>
      </c>
      <c r="F200" s="2">
        <f t="shared" si="6"/>
        <v>4.993039999999997</v>
      </c>
      <c r="G200" s="8">
        <f t="shared" si="7"/>
        <v>0.32768363065041345</v>
      </c>
      <c r="H200" s="17" t="str">
        <f t="shared" si="8"/>
        <v>A0</v>
      </c>
      <c r="J200" s="15" t="s">
        <v>121</v>
      </c>
      <c r="K200" s="1" t="s">
        <v>11</v>
      </c>
      <c r="L200" s="1" t="s">
        <v>11</v>
      </c>
      <c r="M200" s="1" t="s">
        <v>213</v>
      </c>
      <c r="N200" s="1" t="s">
        <v>213</v>
      </c>
    </row>
    <row r="201" spans="1:14" x14ac:dyDescent="0.15">
      <c r="A201" s="17"/>
      <c r="B201" s="7">
        <v>622600</v>
      </c>
      <c r="C201" s="7" t="s">
        <v>278</v>
      </c>
      <c r="D201" s="2">
        <v>587.67208999999991</v>
      </c>
      <c r="E201" s="2">
        <v>324.88373000000001</v>
      </c>
      <c r="F201" s="2">
        <f t="shared" si="6"/>
        <v>262.7883599999999</v>
      </c>
      <c r="G201" s="8">
        <f t="shared" si="7"/>
        <v>0.80886894520695107</v>
      </c>
      <c r="H201" s="17" t="str">
        <f t="shared" si="8"/>
        <v>A0</v>
      </c>
      <c r="J201" s="15" t="s">
        <v>121</v>
      </c>
      <c r="K201" s="1" t="s">
        <v>11</v>
      </c>
      <c r="L201" s="1" t="s">
        <v>11</v>
      </c>
      <c r="M201" s="1" t="s">
        <v>213</v>
      </c>
      <c r="N201" s="1" t="s">
        <v>213</v>
      </c>
    </row>
    <row r="202" spans="1:14" x14ac:dyDescent="0.15">
      <c r="A202" s="17"/>
      <c r="B202" s="7">
        <v>622700</v>
      </c>
      <c r="C202" s="7" t="s">
        <v>279</v>
      </c>
      <c r="D202" s="2">
        <v>0.55535999999999996</v>
      </c>
      <c r="E202" s="2">
        <v>0.40794000000000002</v>
      </c>
      <c r="F202" s="2">
        <f t="shared" si="6"/>
        <v>0.14741999999999994</v>
      </c>
      <c r="G202" s="8">
        <f t="shared" si="7"/>
        <v>0.36137667304015281</v>
      </c>
      <c r="H202" s="17" t="str">
        <f t="shared" si="8"/>
        <v>A0</v>
      </c>
      <c r="J202" s="15" t="s">
        <v>121</v>
      </c>
      <c r="K202" s="1" t="s">
        <v>11</v>
      </c>
      <c r="L202" s="1" t="s">
        <v>11</v>
      </c>
      <c r="M202" s="1" t="s">
        <v>213</v>
      </c>
      <c r="N202" s="1" t="s">
        <v>213</v>
      </c>
    </row>
    <row r="203" spans="1:14" x14ac:dyDescent="0.15">
      <c r="A203" s="17"/>
      <c r="B203" s="7">
        <v>623100</v>
      </c>
      <c r="C203" s="7" t="s">
        <v>280</v>
      </c>
      <c r="D203" s="2">
        <v>0.214</v>
      </c>
      <c r="E203" s="2">
        <v>1.9896300000000002</v>
      </c>
      <c r="F203" s="2">
        <f t="shared" ref="F203:F266" si="9">D203-E203</f>
        <v>-1.7756300000000003</v>
      </c>
      <c r="G203" s="8">
        <f t="shared" ref="G203:G266" si="10">IF(E203=0,"n/a",F203/ABS(E203))</f>
        <v>-0.89244231339495284</v>
      </c>
      <c r="H203" s="17" t="str">
        <f t="shared" ref="H203:H266" si="11">J203&amp;0</f>
        <v>A0</v>
      </c>
      <c r="J203" s="15" t="s">
        <v>121</v>
      </c>
      <c r="K203" s="1" t="s">
        <v>11</v>
      </c>
      <c r="L203" s="1" t="s">
        <v>11</v>
      </c>
      <c r="M203" s="1" t="s">
        <v>213</v>
      </c>
      <c r="N203" s="1" t="s">
        <v>213</v>
      </c>
    </row>
    <row r="204" spans="1:14" x14ac:dyDescent="0.15">
      <c r="A204" s="17"/>
      <c r="B204" s="7">
        <v>623110</v>
      </c>
      <c r="C204" s="7" t="s">
        <v>281</v>
      </c>
      <c r="D204" s="2">
        <v>304.44644</v>
      </c>
      <c r="E204" s="2">
        <v>1.62707</v>
      </c>
      <c r="F204" s="2">
        <f t="shared" si="9"/>
        <v>302.81936999999999</v>
      </c>
      <c r="G204" s="8">
        <f t="shared" si="10"/>
        <v>186.11330182475245</v>
      </c>
      <c r="H204" s="17" t="str">
        <f t="shared" si="11"/>
        <v>A0</v>
      </c>
      <c r="J204" s="15" t="s">
        <v>121</v>
      </c>
      <c r="K204" s="1" t="s">
        <v>11</v>
      </c>
      <c r="L204" s="1" t="s">
        <v>11</v>
      </c>
      <c r="M204" s="1" t="s">
        <v>213</v>
      </c>
      <c r="N204" s="1" t="s">
        <v>213</v>
      </c>
    </row>
    <row r="205" spans="1:14" x14ac:dyDescent="0.15">
      <c r="A205" s="17"/>
      <c r="B205" s="7">
        <v>623200</v>
      </c>
      <c r="C205" s="7" t="s">
        <v>282</v>
      </c>
      <c r="D205" s="2">
        <v>83.603580000000008</v>
      </c>
      <c r="E205" s="2">
        <v>308.2544199999997</v>
      </c>
      <c r="F205" s="2">
        <f t="shared" si="9"/>
        <v>-224.65083999999968</v>
      </c>
      <c r="G205" s="8">
        <f t="shared" si="10"/>
        <v>-0.72878384030957255</v>
      </c>
      <c r="H205" s="17" t="str">
        <f t="shared" si="11"/>
        <v>A0</v>
      </c>
      <c r="J205" s="15" t="s">
        <v>121</v>
      </c>
      <c r="K205" s="1" t="s">
        <v>11</v>
      </c>
      <c r="L205" s="1" t="s">
        <v>11</v>
      </c>
      <c r="M205" s="1" t="s">
        <v>213</v>
      </c>
      <c r="N205" s="1" t="s">
        <v>213</v>
      </c>
    </row>
    <row r="206" spans="1:14" x14ac:dyDescent="0.15">
      <c r="A206" s="17"/>
      <c r="B206" s="7">
        <v>623400</v>
      </c>
      <c r="C206" s="7" t="s">
        <v>283</v>
      </c>
      <c r="D206" s="2">
        <v>0.72495000000000009</v>
      </c>
      <c r="E206" s="2">
        <v>0.85853000000000013</v>
      </c>
      <c r="F206" s="2">
        <f t="shared" si="9"/>
        <v>-0.13358000000000003</v>
      </c>
      <c r="G206" s="8">
        <f t="shared" si="10"/>
        <v>-0.15559153436688294</v>
      </c>
      <c r="H206" s="17" t="str">
        <f t="shared" si="11"/>
        <v>A0</v>
      </c>
      <c r="J206" s="15" t="s">
        <v>121</v>
      </c>
      <c r="K206" s="1" t="s">
        <v>11</v>
      </c>
      <c r="L206" s="1" t="s">
        <v>11</v>
      </c>
      <c r="M206" s="1" t="s">
        <v>213</v>
      </c>
      <c r="N206" s="1" t="s">
        <v>213</v>
      </c>
    </row>
    <row r="207" spans="1:14" x14ac:dyDescent="0.15">
      <c r="A207" s="17"/>
      <c r="B207" s="7">
        <v>623500</v>
      </c>
      <c r="C207" s="7" t="s">
        <v>284</v>
      </c>
      <c r="D207" s="2">
        <v>343.29601000000002</v>
      </c>
      <c r="E207" s="2">
        <v>290.68038999999999</v>
      </c>
      <c r="F207" s="2">
        <f t="shared" si="9"/>
        <v>52.615620000000035</v>
      </c>
      <c r="G207" s="8">
        <f t="shared" si="10"/>
        <v>0.18100849527551563</v>
      </c>
      <c r="H207" s="17" t="str">
        <f t="shared" si="11"/>
        <v>A0</v>
      </c>
      <c r="J207" s="15" t="s">
        <v>121</v>
      </c>
      <c r="K207" s="1" t="s">
        <v>11</v>
      </c>
      <c r="L207" s="1" t="s">
        <v>11</v>
      </c>
      <c r="M207" s="1" t="s">
        <v>213</v>
      </c>
      <c r="N207" s="1" t="s">
        <v>213</v>
      </c>
    </row>
    <row r="208" spans="1:14" x14ac:dyDescent="0.15">
      <c r="A208" s="17"/>
      <c r="B208" s="7">
        <v>623800</v>
      </c>
      <c r="C208" s="7" t="s">
        <v>285</v>
      </c>
      <c r="D208" s="2">
        <v>8.56</v>
      </c>
      <c r="E208" s="2">
        <v>10.6</v>
      </c>
      <c r="F208" s="2">
        <f t="shared" si="9"/>
        <v>-2.0399999999999991</v>
      </c>
      <c r="G208" s="8">
        <f t="shared" si="10"/>
        <v>-0.19245283018867917</v>
      </c>
      <c r="H208" s="17" t="str">
        <f t="shared" si="11"/>
        <v>A0</v>
      </c>
      <c r="J208" s="15" t="s">
        <v>121</v>
      </c>
      <c r="K208" s="1" t="s">
        <v>11</v>
      </c>
      <c r="L208" s="1" t="s">
        <v>11</v>
      </c>
      <c r="M208" s="1" t="s">
        <v>213</v>
      </c>
      <c r="N208" s="1" t="s">
        <v>213</v>
      </c>
    </row>
    <row r="209" spans="1:14" x14ac:dyDescent="0.15">
      <c r="A209" s="17"/>
      <c r="B209" s="7">
        <v>624100</v>
      </c>
      <c r="C209" s="7" t="s">
        <v>286</v>
      </c>
      <c r="D209" s="2">
        <v>0.50243000000000004</v>
      </c>
      <c r="E209" s="2">
        <v>0</v>
      </c>
      <c r="F209" s="2">
        <f t="shared" si="9"/>
        <v>0.50243000000000004</v>
      </c>
      <c r="G209" s="8" t="str">
        <f t="shared" si="10"/>
        <v>n/a</v>
      </c>
      <c r="H209" s="17" t="str">
        <f t="shared" si="11"/>
        <v>A0</v>
      </c>
      <c r="J209" s="15" t="s">
        <v>121</v>
      </c>
      <c r="K209" s="1" t="s">
        <v>11</v>
      </c>
      <c r="L209" s="1" t="s">
        <v>11</v>
      </c>
      <c r="M209" s="1" t="s">
        <v>213</v>
      </c>
      <c r="N209" s="1" t="s">
        <v>213</v>
      </c>
    </row>
    <row r="210" spans="1:14" x14ac:dyDescent="0.15">
      <c r="A210" s="17"/>
      <c r="B210" s="7">
        <v>624200</v>
      </c>
      <c r="C210" s="7" t="s">
        <v>287</v>
      </c>
      <c r="D210" s="2">
        <v>742.86795000000006</v>
      </c>
      <c r="E210" s="2">
        <v>692.82021999999972</v>
      </c>
      <c r="F210" s="2">
        <f t="shared" si="9"/>
        <v>50.047730000000342</v>
      </c>
      <c r="G210" s="8">
        <f t="shared" si="10"/>
        <v>7.2237686711857749E-2</v>
      </c>
      <c r="H210" s="17" t="str">
        <f t="shared" si="11"/>
        <v>A0</v>
      </c>
      <c r="J210" s="15" t="s">
        <v>121</v>
      </c>
      <c r="K210" s="1" t="s">
        <v>11</v>
      </c>
      <c r="L210" s="1" t="s">
        <v>11</v>
      </c>
      <c r="M210" s="1" t="s">
        <v>213</v>
      </c>
      <c r="N210" s="1" t="s">
        <v>213</v>
      </c>
    </row>
    <row r="211" spans="1:14" x14ac:dyDescent="0.15">
      <c r="A211" s="17"/>
      <c r="B211" s="7">
        <v>624210</v>
      </c>
      <c r="C211" s="7" t="s">
        <v>288</v>
      </c>
      <c r="D211" s="2">
        <v>107.60759000000002</v>
      </c>
      <c r="E211" s="2">
        <v>49.617159999999998</v>
      </c>
      <c r="F211" s="2">
        <f t="shared" si="9"/>
        <v>57.990430000000018</v>
      </c>
      <c r="G211" s="8">
        <f t="shared" si="10"/>
        <v>1.1687575427533543</v>
      </c>
      <c r="H211" s="17" t="str">
        <f t="shared" si="11"/>
        <v>A0</v>
      </c>
      <c r="J211" s="15" t="s">
        <v>121</v>
      </c>
      <c r="K211" s="1" t="s">
        <v>11</v>
      </c>
      <c r="L211" s="1" t="s">
        <v>11</v>
      </c>
      <c r="M211" s="1" t="s">
        <v>213</v>
      </c>
      <c r="N211" s="1" t="s">
        <v>213</v>
      </c>
    </row>
    <row r="212" spans="1:14" x14ac:dyDescent="0.15">
      <c r="A212" s="17"/>
      <c r="B212" s="7">
        <v>624230</v>
      </c>
      <c r="C212" s="7" t="s">
        <v>289</v>
      </c>
      <c r="D212" s="2">
        <v>12.738620000000001</v>
      </c>
      <c r="E212" s="2">
        <v>16.151289999999996</v>
      </c>
      <c r="F212" s="2">
        <f t="shared" si="9"/>
        <v>-3.412669999999995</v>
      </c>
      <c r="G212" s="8">
        <f t="shared" si="10"/>
        <v>-0.21129395856306188</v>
      </c>
      <c r="H212" s="17" t="str">
        <f t="shared" si="11"/>
        <v>A0</v>
      </c>
      <c r="J212" s="15" t="s">
        <v>121</v>
      </c>
      <c r="K212" s="1" t="s">
        <v>11</v>
      </c>
      <c r="L212" s="1" t="s">
        <v>11</v>
      </c>
      <c r="M212" s="1" t="s">
        <v>213</v>
      </c>
      <c r="N212" s="1" t="s">
        <v>213</v>
      </c>
    </row>
    <row r="213" spans="1:14" x14ac:dyDescent="0.15">
      <c r="A213" s="17"/>
      <c r="B213" s="7">
        <v>624400</v>
      </c>
      <c r="C213" s="7" t="s">
        <v>290</v>
      </c>
      <c r="D213" s="2">
        <v>5.6000000000000001E-2</v>
      </c>
      <c r="E213" s="2">
        <v>7.4999999999999997E-2</v>
      </c>
      <c r="F213" s="2">
        <f t="shared" si="9"/>
        <v>-1.8999999999999996E-2</v>
      </c>
      <c r="G213" s="8">
        <f t="shared" si="10"/>
        <v>-0.2533333333333333</v>
      </c>
      <c r="H213" s="17" t="str">
        <f t="shared" si="11"/>
        <v>A0</v>
      </c>
      <c r="J213" s="15" t="s">
        <v>121</v>
      </c>
      <c r="K213" s="1" t="s">
        <v>11</v>
      </c>
      <c r="L213" s="1" t="s">
        <v>11</v>
      </c>
      <c r="M213" s="1" t="s">
        <v>213</v>
      </c>
      <c r="N213" s="1" t="s">
        <v>213</v>
      </c>
    </row>
    <row r="214" spans="1:14" x14ac:dyDescent="0.15">
      <c r="A214" s="17"/>
      <c r="B214" s="7">
        <v>625100</v>
      </c>
      <c r="C214" s="7" t="s">
        <v>291</v>
      </c>
      <c r="D214" s="2">
        <v>130.03490000000002</v>
      </c>
      <c r="E214" s="2">
        <v>63.467120000000008</v>
      </c>
      <c r="F214" s="2">
        <f t="shared" si="9"/>
        <v>66.567780000000013</v>
      </c>
      <c r="G214" s="8">
        <f t="shared" si="10"/>
        <v>1.048854588013447</v>
      </c>
      <c r="H214" s="17" t="str">
        <f t="shared" si="11"/>
        <v>A0</v>
      </c>
      <c r="J214" s="15" t="s">
        <v>121</v>
      </c>
      <c r="K214" s="1" t="s">
        <v>11</v>
      </c>
      <c r="L214" s="1" t="s">
        <v>11</v>
      </c>
      <c r="M214" s="1" t="s">
        <v>213</v>
      </c>
      <c r="N214" s="1" t="s">
        <v>213</v>
      </c>
    </row>
    <row r="215" spans="1:14" x14ac:dyDescent="0.15">
      <c r="A215" s="17"/>
      <c r="B215" s="7">
        <v>625700</v>
      </c>
      <c r="C215" s="7" t="s">
        <v>292</v>
      </c>
      <c r="D215" s="2">
        <v>10.45073</v>
      </c>
      <c r="E215" s="2">
        <v>2.6827299999999998</v>
      </c>
      <c r="F215" s="2">
        <f t="shared" si="9"/>
        <v>7.7680000000000007</v>
      </c>
      <c r="G215" s="8">
        <f t="shared" si="10"/>
        <v>2.895557883201068</v>
      </c>
      <c r="H215" s="17" t="str">
        <f t="shared" si="11"/>
        <v>A0</v>
      </c>
      <c r="J215" s="15" t="s">
        <v>121</v>
      </c>
      <c r="K215" s="1" t="s">
        <v>11</v>
      </c>
      <c r="L215" s="1" t="s">
        <v>11</v>
      </c>
      <c r="M215" s="1" t="s">
        <v>213</v>
      </c>
      <c r="N215" s="1" t="s">
        <v>213</v>
      </c>
    </row>
    <row r="216" spans="1:14" x14ac:dyDescent="0.15">
      <c r="A216" s="17"/>
      <c r="B216" s="7">
        <v>626000</v>
      </c>
      <c r="C216" s="7" t="s">
        <v>293</v>
      </c>
      <c r="D216" s="2">
        <v>9.8767899999999997</v>
      </c>
      <c r="E216" s="2">
        <v>8.9702799999999954</v>
      </c>
      <c r="F216" s="2">
        <f t="shared" si="9"/>
        <v>0.90651000000000437</v>
      </c>
      <c r="G216" s="8">
        <f t="shared" si="10"/>
        <v>0.10105704615686521</v>
      </c>
      <c r="H216" s="17" t="str">
        <f t="shared" si="11"/>
        <v>A0</v>
      </c>
      <c r="J216" s="15" t="s">
        <v>121</v>
      </c>
      <c r="K216" s="1" t="s">
        <v>11</v>
      </c>
      <c r="L216" s="1" t="s">
        <v>11</v>
      </c>
      <c r="M216" s="1" t="s">
        <v>213</v>
      </c>
      <c r="N216" s="1" t="s">
        <v>213</v>
      </c>
    </row>
    <row r="217" spans="1:14" x14ac:dyDescent="0.15">
      <c r="A217" s="17"/>
      <c r="B217" s="7">
        <v>626100</v>
      </c>
      <c r="C217" s="7" t="s">
        <v>294</v>
      </c>
      <c r="D217" s="2">
        <v>1.24383</v>
      </c>
      <c r="E217" s="2">
        <v>0.66877999999999993</v>
      </c>
      <c r="F217" s="2">
        <f t="shared" si="9"/>
        <v>0.57505000000000006</v>
      </c>
      <c r="G217" s="8">
        <f t="shared" si="10"/>
        <v>0.85984927778940778</v>
      </c>
      <c r="H217" s="17" t="str">
        <f t="shared" si="11"/>
        <v>A0</v>
      </c>
      <c r="J217" s="15" t="s">
        <v>121</v>
      </c>
      <c r="K217" s="1" t="s">
        <v>11</v>
      </c>
      <c r="L217" s="1" t="s">
        <v>11</v>
      </c>
      <c r="M217" s="1" t="s">
        <v>213</v>
      </c>
      <c r="N217" s="1" t="s">
        <v>213</v>
      </c>
    </row>
    <row r="218" spans="1:14" x14ac:dyDescent="0.15">
      <c r="A218" s="17"/>
      <c r="B218" s="7">
        <v>626110</v>
      </c>
      <c r="C218" s="7" t="s">
        <v>295</v>
      </c>
      <c r="D218" s="2">
        <v>20.862079999999999</v>
      </c>
      <c r="E218" s="2">
        <v>19.902549999999998</v>
      </c>
      <c r="F218" s="2">
        <f t="shared" si="9"/>
        <v>0.95953000000000088</v>
      </c>
      <c r="G218" s="8">
        <f t="shared" si="10"/>
        <v>4.8211410095691305E-2</v>
      </c>
      <c r="H218" s="17" t="str">
        <f t="shared" si="11"/>
        <v>A0</v>
      </c>
      <c r="J218" s="15" t="s">
        <v>121</v>
      </c>
      <c r="K218" s="1" t="s">
        <v>11</v>
      </c>
      <c r="L218" s="1" t="s">
        <v>11</v>
      </c>
      <c r="M218" s="1" t="s">
        <v>213</v>
      </c>
      <c r="N218" s="1" t="s">
        <v>213</v>
      </c>
    </row>
    <row r="219" spans="1:14" x14ac:dyDescent="0.15">
      <c r="A219" s="17"/>
      <c r="B219" s="7">
        <v>627540</v>
      </c>
      <c r="C219" s="7" t="s">
        <v>296</v>
      </c>
      <c r="D219" s="2">
        <v>19.877579999999998</v>
      </c>
      <c r="E219" s="2">
        <v>16.424689999999984</v>
      </c>
      <c r="F219" s="2">
        <f t="shared" si="9"/>
        <v>3.4528900000000142</v>
      </c>
      <c r="G219" s="8">
        <f t="shared" si="10"/>
        <v>0.21022558112208009</v>
      </c>
      <c r="H219" s="17" t="str">
        <f t="shared" si="11"/>
        <v>A0</v>
      </c>
      <c r="J219" s="15" t="s">
        <v>121</v>
      </c>
      <c r="K219" s="1" t="s">
        <v>11</v>
      </c>
      <c r="L219" s="1" t="s">
        <v>11</v>
      </c>
      <c r="M219" s="1" t="s">
        <v>213</v>
      </c>
      <c r="N219" s="1" t="s">
        <v>213</v>
      </c>
    </row>
    <row r="220" spans="1:14" x14ac:dyDescent="0.15">
      <c r="A220" s="17"/>
      <c r="B220" s="7">
        <v>628100</v>
      </c>
      <c r="C220" s="7" t="s">
        <v>297</v>
      </c>
      <c r="D220" s="2">
        <v>23.36656</v>
      </c>
      <c r="E220" s="2">
        <v>22.16893</v>
      </c>
      <c r="F220" s="2">
        <f t="shared" si="9"/>
        <v>1.1976300000000002</v>
      </c>
      <c r="G220" s="8">
        <f t="shared" si="10"/>
        <v>5.4022905029696977E-2</v>
      </c>
      <c r="H220" s="17" t="str">
        <f t="shared" si="11"/>
        <v>A0</v>
      </c>
      <c r="J220" s="15" t="s">
        <v>121</v>
      </c>
      <c r="K220" s="1" t="s">
        <v>11</v>
      </c>
      <c r="L220" s="1" t="s">
        <v>11</v>
      </c>
      <c r="M220" s="1" t="s">
        <v>213</v>
      </c>
      <c r="N220" s="1" t="s">
        <v>213</v>
      </c>
    </row>
    <row r="221" spans="1:14" x14ac:dyDescent="0.15">
      <c r="A221" s="17"/>
      <c r="B221" s="7">
        <v>628400</v>
      </c>
      <c r="C221" s="7" t="s">
        <v>298</v>
      </c>
      <c r="D221" s="2">
        <v>28.65</v>
      </c>
      <c r="E221" s="2">
        <v>83.367070000000012</v>
      </c>
      <c r="F221" s="2">
        <f t="shared" si="9"/>
        <v>-54.717070000000014</v>
      </c>
      <c r="G221" s="8">
        <f t="shared" si="10"/>
        <v>-0.65633912766755509</v>
      </c>
      <c r="H221" s="17" t="str">
        <f t="shared" si="11"/>
        <v>A0</v>
      </c>
      <c r="J221" s="15" t="s">
        <v>121</v>
      </c>
      <c r="K221" s="1" t="s">
        <v>11</v>
      </c>
      <c r="L221" s="1" t="s">
        <v>11</v>
      </c>
      <c r="M221" s="1" t="s">
        <v>213</v>
      </c>
      <c r="N221" s="1" t="s">
        <v>213</v>
      </c>
    </row>
    <row r="222" spans="1:14" x14ac:dyDescent="0.15">
      <c r="A222" s="17"/>
      <c r="B222" s="7">
        <v>633300</v>
      </c>
      <c r="C222" s="7" t="s">
        <v>299</v>
      </c>
      <c r="D222" s="2">
        <v>18.826599999999999</v>
      </c>
      <c r="E222" s="2">
        <v>15.070480000000003</v>
      </c>
      <c r="F222" s="2">
        <f t="shared" si="9"/>
        <v>3.7561199999999957</v>
      </c>
      <c r="G222" s="8">
        <f t="shared" si="10"/>
        <v>0.24923691879754292</v>
      </c>
      <c r="H222" s="17" t="str">
        <f t="shared" si="11"/>
        <v>E0</v>
      </c>
      <c r="J222" s="15" t="s">
        <v>155</v>
      </c>
      <c r="K222" s="1" t="s">
        <v>300</v>
      </c>
      <c r="L222" s="1" t="s">
        <v>300</v>
      </c>
      <c r="M222" s="1" t="s">
        <v>213</v>
      </c>
      <c r="N222" s="1" t="s">
        <v>213</v>
      </c>
    </row>
    <row r="223" spans="1:14" x14ac:dyDescent="0.15">
      <c r="A223" s="17"/>
      <c r="B223" s="7">
        <v>633500</v>
      </c>
      <c r="C223" s="7" t="s">
        <v>301</v>
      </c>
      <c r="D223" s="2">
        <v>9.0335900000000002</v>
      </c>
      <c r="E223" s="2">
        <v>7.4312800000000019</v>
      </c>
      <c r="F223" s="2">
        <f t="shared" si="9"/>
        <v>1.6023099999999983</v>
      </c>
      <c r="G223" s="8">
        <f t="shared" si="10"/>
        <v>0.21561695966239974</v>
      </c>
      <c r="H223" s="17" t="str">
        <f t="shared" si="11"/>
        <v>E0</v>
      </c>
      <c r="J223" s="15" t="s">
        <v>155</v>
      </c>
      <c r="K223" s="1" t="s">
        <v>300</v>
      </c>
      <c r="L223" s="1" t="s">
        <v>300</v>
      </c>
      <c r="M223" s="1" t="s">
        <v>213</v>
      </c>
      <c r="N223" s="1" t="s">
        <v>213</v>
      </c>
    </row>
    <row r="224" spans="1:14" x14ac:dyDescent="0.15">
      <c r="A224" s="17"/>
      <c r="B224" s="7">
        <v>635120</v>
      </c>
      <c r="C224" s="7" t="s">
        <v>302</v>
      </c>
      <c r="D224" s="2">
        <v>0</v>
      </c>
      <c r="E224" s="2">
        <v>-19</v>
      </c>
      <c r="F224" s="2">
        <f t="shared" si="9"/>
        <v>19</v>
      </c>
      <c r="G224" s="8">
        <f t="shared" si="10"/>
        <v>1</v>
      </c>
      <c r="H224" s="17" t="str">
        <f t="shared" si="11"/>
        <v>E0</v>
      </c>
      <c r="J224" s="15" t="s">
        <v>155</v>
      </c>
      <c r="K224" s="1" t="s">
        <v>300</v>
      </c>
      <c r="L224" s="1" t="s">
        <v>300</v>
      </c>
      <c r="M224" s="1" t="s">
        <v>213</v>
      </c>
      <c r="N224" s="1" t="s">
        <v>213</v>
      </c>
    </row>
    <row r="225" spans="1:14" x14ac:dyDescent="0.15">
      <c r="A225" s="17"/>
      <c r="B225" s="7">
        <v>635140</v>
      </c>
      <c r="C225" s="7" t="s">
        <v>303</v>
      </c>
      <c r="D225" s="2">
        <v>1.546</v>
      </c>
      <c r="E225" s="2">
        <v>1.643</v>
      </c>
      <c r="F225" s="2">
        <f t="shared" si="9"/>
        <v>-9.6999999999999975E-2</v>
      </c>
      <c r="G225" s="8">
        <f t="shared" si="10"/>
        <v>-5.9038344491783308E-2</v>
      </c>
      <c r="H225" s="17" t="str">
        <f t="shared" si="11"/>
        <v>E0</v>
      </c>
      <c r="J225" s="15" t="s">
        <v>155</v>
      </c>
      <c r="K225" s="1" t="s">
        <v>300</v>
      </c>
      <c r="L225" s="1" t="s">
        <v>300</v>
      </c>
      <c r="M225" s="1" t="s">
        <v>213</v>
      </c>
      <c r="N225" s="1" t="s">
        <v>213</v>
      </c>
    </row>
    <row r="226" spans="1:14" x14ac:dyDescent="0.15">
      <c r="A226" s="17"/>
      <c r="B226" s="7">
        <v>635160</v>
      </c>
      <c r="C226" s="7" t="s">
        <v>304</v>
      </c>
      <c r="D226" s="2">
        <v>26.132999999999999</v>
      </c>
      <c r="E226" s="2">
        <v>35.841000000000001</v>
      </c>
      <c r="F226" s="2">
        <f t="shared" si="9"/>
        <v>-9.708000000000002</v>
      </c>
      <c r="G226" s="8">
        <f t="shared" si="10"/>
        <v>-0.2708629781535114</v>
      </c>
      <c r="H226" s="17" t="str">
        <f t="shared" si="11"/>
        <v>E0</v>
      </c>
      <c r="J226" s="15" t="s">
        <v>155</v>
      </c>
      <c r="K226" s="1" t="s">
        <v>300</v>
      </c>
      <c r="L226" s="1" t="s">
        <v>300</v>
      </c>
      <c r="M226" s="1" t="s">
        <v>213</v>
      </c>
      <c r="N226" s="1" t="s">
        <v>213</v>
      </c>
    </row>
    <row r="227" spans="1:14" x14ac:dyDescent="0.15">
      <c r="A227" s="17"/>
      <c r="B227" s="7">
        <v>635170</v>
      </c>
      <c r="C227" s="7" t="s">
        <v>305</v>
      </c>
      <c r="D227" s="2">
        <v>9.5730000000000004</v>
      </c>
      <c r="E227" s="2">
        <v>14.013</v>
      </c>
      <c r="F227" s="2">
        <f t="shared" si="9"/>
        <v>-4.4399999999999995</v>
      </c>
      <c r="G227" s="8">
        <f t="shared" si="10"/>
        <v>-0.3168486405480625</v>
      </c>
      <c r="H227" s="17" t="str">
        <f t="shared" si="11"/>
        <v>E0</v>
      </c>
      <c r="J227" s="15" t="s">
        <v>155</v>
      </c>
      <c r="K227" s="1" t="s">
        <v>300</v>
      </c>
      <c r="L227" s="1" t="s">
        <v>300</v>
      </c>
      <c r="M227" s="1" t="s">
        <v>213</v>
      </c>
      <c r="N227" s="1" t="s">
        <v>213</v>
      </c>
    </row>
    <row r="228" spans="1:14" x14ac:dyDescent="0.15">
      <c r="A228" s="17"/>
      <c r="B228" s="7">
        <v>635180</v>
      </c>
      <c r="C228" s="7" t="s">
        <v>306</v>
      </c>
      <c r="D228" s="2">
        <v>4.9017200000000001</v>
      </c>
      <c r="E228" s="2">
        <v>4.7215499999999997</v>
      </c>
      <c r="F228" s="2">
        <f t="shared" si="9"/>
        <v>0.18017000000000039</v>
      </c>
      <c r="G228" s="8">
        <f t="shared" si="10"/>
        <v>3.8159079115968358E-2</v>
      </c>
      <c r="H228" s="17" t="str">
        <f t="shared" si="11"/>
        <v>E0</v>
      </c>
      <c r="J228" s="15" t="s">
        <v>155</v>
      </c>
      <c r="K228" s="1" t="s">
        <v>300</v>
      </c>
      <c r="L228" s="1" t="s">
        <v>300</v>
      </c>
      <c r="M228" s="1" t="s">
        <v>213</v>
      </c>
      <c r="N228" s="1" t="s">
        <v>213</v>
      </c>
    </row>
    <row r="229" spans="1:14" x14ac:dyDescent="0.15">
      <c r="A229" s="17"/>
      <c r="B229" s="7">
        <v>635310</v>
      </c>
      <c r="C229" s="7" t="s">
        <v>307</v>
      </c>
      <c r="D229" s="2">
        <v>0.26275999999999999</v>
      </c>
      <c r="E229" s="2">
        <v>0</v>
      </c>
      <c r="F229" s="2">
        <f t="shared" si="9"/>
        <v>0.26275999999999999</v>
      </c>
      <c r="G229" s="8" t="str">
        <f t="shared" si="10"/>
        <v>n/a</v>
      </c>
      <c r="H229" s="17" t="str">
        <f t="shared" si="11"/>
        <v>E0</v>
      </c>
      <c r="J229" s="15" t="s">
        <v>155</v>
      </c>
      <c r="K229" s="1" t="s">
        <v>300</v>
      </c>
      <c r="L229" s="1" t="s">
        <v>300</v>
      </c>
      <c r="M229" s="1" t="s">
        <v>213</v>
      </c>
      <c r="N229" s="1" t="s">
        <v>213</v>
      </c>
    </row>
    <row r="230" spans="1:14" x14ac:dyDescent="0.15">
      <c r="A230" s="17"/>
      <c r="B230" s="7">
        <v>637800</v>
      </c>
      <c r="C230" s="7" t="s">
        <v>308</v>
      </c>
      <c r="D230" s="2">
        <v>0.40318999999999999</v>
      </c>
      <c r="E230" s="2">
        <v>0</v>
      </c>
      <c r="F230" s="2">
        <f t="shared" si="9"/>
        <v>0.40318999999999999</v>
      </c>
      <c r="G230" s="8" t="str">
        <f t="shared" si="10"/>
        <v>n/a</v>
      </c>
      <c r="H230" s="17" t="str">
        <f t="shared" si="11"/>
        <v>E0</v>
      </c>
      <c r="J230" s="15" t="s">
        <v>155</v>
      </c>
      <c r="K230" s="1" t="s">
        <v>300</v>
      </c>
      <c r="L230" s="1" t="s">
        <v>300</v>
      </c>
      <c r="M230" s="1" t="s">
        <v>213</v>
      </c>
      <c r="N230" s="1" t="s">
        <v>213</v>
      </c>
    </row>
    <row r="231" spans="1:14" x14ac:dyDescent="0.15">
      <c r="A231" s="17"/>
      <c r="B231" s="7">
        <v>641000</v>
      </c>
      <c r="C231" s="7" t="s">
        <v>309</v>
      </c>
      <c r="D231" s="2">
        <v>1182.8626399999998</v>
      </c>
      <c r="E231" s="2">
        <v>969.34702000000027</v>
      </c>
      <c r="F231" s="2">
        <f t="shared" si="9"/>
        <v>213.51561999999956</v>
      </c>
      <c r="G231" s="8">
        <f t="shared" si="10"/>
        <v>0.22026747449019804</v>
      </c>
      <c r="H231" s="17" t="str">
        <f t="shared" si="11"/>
        <v>P0</v>
      </c>
      <c r="J231" s="15" t="s">
        <v>136</v>
      </c>
      <c r="K231" s="1" t="s">
        <v>310</v>
      </c>
      <c r="L231" s="1" t="s">
        <v>310</v>
      </c>
      <c r="M231" s="1" t="s">
        <v>213</v>
      </c>
      <c r="N231" s="1" t="s">
        <v>213</v>
      </c>
    </row>
    <row r="232" spans="1:14" x14ac:dyDescent="0.15">
      <c r="A232" s="17"/>
      <c r="B232" s="7">
        <v>641150</v>
      </c>
      <c r="C232" s="7" t="s">
        <v>311</v>
      </c>
      <c r="D232" s="2">
        <v>-1.1893500000000004</v>
      </c>
      <c r="E232" s="2">
        <v>6.6919799999999992</v>
      </c>
      <c r="F232" s="2">
        <f t="shared" si="9"/>
        <v>-7.8813299999999993</v>
      </c>
      <c r="G232" s="8">
        <f t="shared" si="10"/>
        <v>-1.1777276680444353</v>
      </c>
      <c r="H232" s="17" t="str">
        <f t="shared" si="11"/>
        <v>P0</v>
      </c>
      <c r="J232" s="15" t="s">
        <v>136</v>
      </c>
      <c r="K232" s="1" t="s">
        <v>310</v>
      </c>
      <c r="L232" s="1" t="s">
        <v>310</v>
      </c>
      <c r="M232" s="1" t="s">
        <v>213</v>
      </c>
      <c r="N232" s="1" t="s">
        <v>213</v>
      </c>
    </row>
    <row r="233" spans="1:14" x14ac:dyDescent="0.15">
      <c r="A233" s="17"/>
      <c r="B233" s="7">
        <v>641200</v>
      </c>
      <c r="C233" s="7" t="s">
        <v>312</v>
      </c>
      <c r="D233" s="2">
        <v>12.51693</v>
      </c>
      <c r="E233" s="2">
        <v>-8.2313499999999991</v>
      </c>
      <c r="F233" s="2">
        <f t="shared" si="9"/>
        <v>20.748280000000001</v>
      </c>
      <c r="G233" s="8">
        <f t="shared" si="10"/>
        <v>2.5206412070923974</v>
      </c>
      <c r="H233" s="17" t="str">
        <f t="shared" si="11"/>
        <v>P0</v>
      </c>
      <c r="J233" s="15" t="s">
        <v>136</v>
      </c>
      <c r="K233" s="1" t="s">
        <v>310</v>
      </c>
      <c r="L233" s="1" t="s">
        <v>310</v>
      </c>
      <c r="M233" s="1" t="s">
        <v>213</v>
      </c>
      <c r="N233" s="1" t="s">
        <v>213</v>
      </c>
    </row>
    <row r="234" spans="1:14" x14ac:dyDescent="0.15">
      <c r="A234" s="17"/>
      <c r="B234" s="7">
        <v>641300</v>
      </c>
      <c r="C234" s="7" t="s">
        <v>313</v>
      </c>
      <c r="D234" s="2">
        <v>9.4439899999999994</v>
      </c>
      <c r="E234" s="2">
        <v>0</v>
      </c>
      <c r="F234" s="2">
        <f t="shared" si="9"/>
        <v>9.4439899999999994</v>
      </c>
      <c r="G234" s="8" t="str">
        <f t="shared" si="10"/>
        <v>n/a</v>
      </c>
      <c r="H234" s="17" t="str">
        <f t="shared" si="11"/>
        <v>P0</v>
      </c>
      <c r="J234" s="15" t="s">
        <v>136</v>
      </c>
      <c r="K234" s="1" t="s">
        <v>310</v>
      </c>
      <c r="L234" s="1" t="s">
        <v>310</v>
      </c>
      <c r="M234" s="1" t="s">
        <v>213</v>
      </c>
      <c r="N234" s="1" t="s">
        <v>213</v>
      </c>
    </row>
    <row r="235" spans="1:14" x14ac:dyDescent="0.15">
      <c r="A235" s="17"/>
      <c r="B235" s="7">
        <v>641400</v>
      </c>
      <c r="C235" s="7" t="s">
        <v>314</v>
      </c>
      <c r="D235" s="2">
        <v>168.42210999999998</v>
      </c>
      <c r="E235" s="2">
        <v>153.54670999999999</v>
      </c>
      <c r="F235" s="2">
        <f t="shared" si="9"/>
        <v>14.875399999999985</v>
      </c>
      <c r="G235" s="8">
        <f t="shared" si="10"/>
        <v>9.6878663176827334E-2</v>
      </c>
      <c r="H235" s="17" t="str">
        <f t="shared" si="11"/>
        <v>P0</v>
      </c>
      <c r="J235" s="15" t="s">
        <v>136</v>
      </c>
      <c r="K235" s="1" t="s">
        <v>310</v>
      </c>
      <c r="L235" s="1" t="s">
        <v>310</v>
      </c>
      <c r="M235" s="1" t="s">
        <v>213</v>
      </c>
      <c r="N235" s="1" t="s">
        <v>213</v>
      </c>
    </row>
    <row r="236" spans="1:14" x14ac:dyDescent="0.15">
      <c r="A236" s="17"/>
      <c r="B236" s="7">
        <v>641410</v>
      </c>
      <c r="C236" s="7" t="s">
        <v>315</v>
      </c>
      <c r="D236" s="2">
        <v>0</v>
      </c>
      <c r="E236" s="2">
        <v>3.6400000000000002E-2</v>
      </c>
      <c r="F236" s="2">
        <f t="shared" si="9"/>
        <v>-3.6400000000000002E-2</v>
      </c>
      <c r="G236" s="8">
        <f t="shared" si="10"/>
        <v>-1</v>
      </c>
      <c r="H236" s="17" t="str">
        <f t="shared" si="11"/>
        <v>P0</v>
      </c>
      <c r="J236" s="15" t="s">
        <v>136</v>
      </c>
      <c r="K236" s="1" t="s">
        <v>310</v>
      </c>
      <c r="L236" s="1" t="s">
        <v>310</v>
      </c>
      <c r="M236" s="1" t="s">
        <v>213</v>
      </c>
      <c r="N236" s="1" t="s">
        <v>213</v>
      </c>
    </row>
    <row r="237" spans="1:14" x14ac:dyDescent="0.15">
      <c r="A237" s="17"/>
      <c r="B237" s="7">
        <v>641420</v>
      </c>
      <c r="C237" s="7" t="s">
        <v>316</v>
      </c>
      <c r="D237" s="2">
        <v>29.834</v>
      </c>
      <c r="E237" s="2">
        <v>19.231189999999998</v>
      </c>
      <c r="F237" s="2">
        <f t="shared" si="9"/>
        <v>10.602810000000002</v>
      </c>
      <c r="G237" s="8">
        <f t="shared" si="10"/>
        <v>0.55133405681083714</v>
      </c>
      <c r="H237" s="17" t="str">
        <f t="shared" si="11"/>
        <v>P0</v>
      </c>
      <c r="J237" s="15" t="s">
        <v>136</v>
      </c>
      <c r="K237" s="1" t="s">
        <v>310</v>
      </c>
      <c r="L237" s="1" t="s">
        <v>310</v>
      </c>
      <c r="M237" s="1" t="s">
        <v>213</v>
      </c>
      <c r="N237" s="1" t="s">
        <v>213</v>
      </c>
    </row>
    <row r="238" spans="1:14" x14ac:dyDescent="0.15">
      <c r="A238" s="17"/>
      <c r="B238" s="7">
        <v>641450</v>
      </c>
      <c r="C238" s="7" t="s">
        <v>317</v>
      </c>
      <c r="D238" s="2">
        <v>23.240259999999999</v>
      </c>
      <c r="E238" s="2">
        <v>20.42202</v>
      </c>
      <c r="F238" s="2">
        <f t="shared" si="9"/>
        <v>2.8182399999999994</v>
      </c>
      <c r="G238" s="8">
        <f t="shared" si="10"/>
        <v>0.13800006071877313</v>
      </c>
      <c r="H238" s="17" t="str">
        <f t="shared" si="11"/>
        <v>P0</v>
      </c>
      <c r="J238" s="15" t="s">
        <v>136</v>
      </c>
      <c r="K238" s="1" t="s">
        <v>310</v>
      </c>
      <c r="L238" s="1" t="s">
        <v>310</v>
      </c>
      <c r="M238" s="1" t="s">
        <v>213</v>
      </c>
      <c r="N238" s="1" t="s">
        <v>213</v>
      </c>
    </row>
    <row r="239" spans="1:14" x14ac:dyDescent="0.15">
      <c r="A239" s="17"/>
      <c r="B239" s="7">
        <v>643000</v>
      </c>
      <c r="C239" s="7" t="s">
        <v>318</v>
      </c>
      <c r="D239" s="2">
        <v>4.2830000000000004</v>
      </c>
      <c r="E239" s="2">
        <v>0</v>
      </c>
      <c r="F239" s="2">
        <f t="shared" si="9"/>
        <v>4.2830000000000004</v>
      </c>
      <c r="G239" s="8" t="str">
        <f t="shared" si="10"/>
        <v>n/a</v>
      </c>
      <c r="H239" s="17" t="str">
        <f t="shared" si="11"/>
        <v>P0</v>
      </c>
      <c r="J239" s="15" t="s">
        <v>136</v>
      </c>
      <c r="K239" s="1" t="s">
        <v>310</v>
      </c>
      <c r="L239" s="1" t="s">
        <v>310</v>
      </c>
      <c r="M239" s="1" t="s">
        <v>213</v>
      </c>
      <c r="N239" s="1" t="s">
        <v>213</v>
      </c>
    </row>
    <row r="240" spans="1:14" x14ac:dyDescent="0.15">
      <c r="A240" s="17"/>
      <c r="B240" s="7">
        <v>645100</v>
      </c>
      <c r="C240" s="7" t="s">
        <v>319</v>
      </c>
      <c r="D240" s="2">
        <v>368.90318000000002</v>
      </c>
      <c r="E240" s="2">
        <v>305.0543899999999</v>
      </c>
      <c r="F240" s="2">
        <f t="shared" si="9"/>
        <v>63.848790000000122</v>
      </c>
      <c r="G240" s="8">
        <f t="shared" si="10"/>
        <v>0.2093029705292887</v>
      </c>
      <c r="H240" s="17" t="str">
        <f t="shared" si="11"/>
        <v>P0</v>
      </c>
      <c r="J240" s="15" t="s">
        <v>136</v>
      </c>
      <c r="K240" s="1" t="s">
        <v>320</v>
      </c>
      <c r="L240" s="1" t="s">
        <v>320</v>
      </c>
      <c r="M240" s="1" t="s">
        <v>213</v>
      </c>
      <c r="N240" s="1" t="s">
        <v>213</v>
      </c>
    </row>
    <row r="241" spans="1:14" x14ac:dyDescent="0.15">
      <c r="A241" s="17"/>
      <c r="B241" s="7">
        <v>645200</v>
      </c>
      <c r="C241" s="7" t="s">
        <v>321</v>
      </c>
      <c r="D241" s="2">
        <v>42.641489999999997</v>
      </c>
      <c r="E241" s="2">
        <v>30.964550000000003</v>
      </c>
      <c r="F241" s="2">
        <f t="shared" si="9"/>
        <v>11.676939999999995</v>
      </c>
      <c r="G241" s="8">
        <f t="shared" si="10"/>
        <v>0.37710672365656833</v>
      </c>
      <c r="H241" s="17" t="str">
        <f t="shared" si="11"/>
        <v>P0</v>
      </c>
      <c r="J241" s="15" t="s">
        <v>136</v>
      </c>
      <c r="K241" s="1" t="s">
        <v>320</v>
      </c>
      <c r="L241" s="1" t="s">
        <v>320</v>
      </c>
      <c r="M241" s="1" t="s">
        <v>213</v>
      </c>
      <c r="N241" s="1" t="s">
        <v>213</v>
      </c>
    </row>
    <row r="242" spans="1:14" x14ac:dyDescent="0.15">
      <c r="A242" s="17"/>
      <c r="B242" s="7">
        <v>645300</v>
      </c>
      <c r="C242" s="7" t="s">
        <v>322</v>
      </c>
      <c r="D242" s="2">
        <v>99.219380000000001</v>
      </c>
      <c r="E242" s="2">
        <v>86.420060000000007</v>
      </c>
      <c r="F242" s="2">
        <f t="shared" si="9"/>
        <v>12.799319999999994</v>
      </c>
      <c r="G242" s="8">
        <f t="shared" si="10"/>
        <v>0.14810589115536363</v>
      </c>
      <c r="H242" s="17" t="str">
        <f t="shared" si="11"/>
        <v>P0</v>
      </c>
      <c r="J242" s="15" t="s">
        <v>136</v>
      </c>
      <c r="K242" s="1" t="s">
        <v>320</v>
      </c>
      <c r="L242" s="1" t="s">
        <v>320</v>
      </c>
      <c r="M242" s="1" t="s">
        <v>213</v>
      </c>
      <c r="N242" s="1" t="s">
        <v>213</v>
      </c>
    </row>
    <row r="243" spans="1:14" x14ac:dyDescent="0.15">
      <c r="A243" s="17"/>
      <c r="B243" s="7">
        <v>645320</v>
      </c>
      <c r="C243" s="7" t="s">
        <v>323</v>
      </c>
      <c r="D243" s="2">
        <v>18.48743</v>
      </c>
      <c r="E243" s="2">
        <v>15.188220000000005</v>
      </c>
      <c r="F243" s="2">
        <f t="shared" si="9"/>
        <v>3.2992099999999951</v>
      </c>
      <c r="G243" s="8">
        <f t="shared" si="10"/>
        <v>0.21722163624177118</v>
      </c>
      <c r="H243" s="17" t="str">
        <f t="shared" si="11"/>
        <v>P0</v>
      </c>
      <c r="J243" s="15" t="s">
        <v>136</v>
      </c>
      <c r="K243" s="1" t="s">
        <v>320</v>
      </c>
      <c r="L243" s="1" t="s">
        <v>320</v>
      </c>
      <c r="M243" s="1" t="s">
        <v>213</v>
      </c>
      <c r="N243" s="1" t="s">
        <v>213</v>
      </c>
    </row>
    <row r="244" spans="1:14" x14ac:dyDescent="0.15">
      <c r="A244" s="17"/>
      <c r="B244" s="7">
        <v>645330</v>
      </c>
      <c r="C244" s="7" t="s">
        <v>324</v>
      </c>
      <c r="D244" s="2">
        <v>25.350009999999997</v>
      </c>
      <c r="E244" s="2">
        <v>21.982150000000008</v>
      </c>
      <c r="F244" s="2">
        <f t="shared" si="9"/>
        <v>3.3678599999999896</v>
      </c>
      <c r="G244" s="8">
        <f t="shared" si="10"/>
        <v>0.153208853547082</v>
      </c>
      <c r="H244" s="17" t="str">
        <f t="shared" si="11"/>
        <v>P0</v>
      </c>
      <c r="J244" s="15" t="s">
        <v>136</v>
      </c>
      <c r="K244" s="1" t="s">
        <v>320</v>
      </c>
      <c r="L244" s="1" t="s">
        <v>320</v>
      </c>
      <c r="M244" s="1" t="s">
        <v>213</v>
      </c>
      <c r="N244" s="1" t="s">
        <v>213</v>
      </c>
    </row>
    <row r="245" spans="1:14" x14ac:dyDescent="0.15">
      <c r="A245" s="17"/>
      <c r="B245" s="7">
        <v>645340</v>
      </c>
      <c r="C245" s="7" t="s">
        <v>325</v>
      </c>
      <c r="D245" s="2">
        <v>0.61536999999999997</v>
      </c>
      <c r="E245" s="2">
        <v>0</v>
      </c>
      <c r="F245" s="2">
        <f t="shared" si="9"/>
        <v>0.61536999999999997</v>
      </c>
      <c r="G245" s="8" t="str">
        <f t="shared" si="10"/>
        <v>n/a</v>
      </c>
      <c r="H245" s="17" t="str">
        <f t="shared" si="11"/>
        <v>P0</v>
      </c>
      <c r="J245" s="15" t="s">
        <v>136</v>
      </c>
      <c r="K245" s="1" t="s">
        <v>320</v>
      </c>
      <c r="L245" s="1" t="s">
        <v>320</v>
      </c>
      <c r="M245" s="1" t="s">
        <v>213</v>
      </c>
      <c r="N245" s="1" t="s">
        <v>213</v>
      </c>
    </row>
    <row r="246" spans="1:14" x14ac:dyDescent="0.15">
      <c r="A246" s="17"/>
      <c r="B246" s="7">
        <v>645800</v>
      </c>
      <c r="C246" s="7" t="s">
        <v>326</v>
      </c>
      <c r="D246" s="2">
        <v>6.4429899999999982</v>
      </c>
      <c r="E246" s="2">
        <v>-4.0997700000000057</v>
      </c>
      <c r="F246" s="2">
        <f t="shared" si="9"/>
        <v>10.542760000000005</v>
      </c>
      <c r="G246" s="8">
        <f t="shared" si="10"/>
        <v>2.571549135683219</v>
      </c>
      <c r="H246" s="17" t="str">
        <f t="shared" si="11"/>
        <v>P0</v>
      </c>
      <c r="J246" s="15" t="s">
        <v>136</v>
      </c>
      <c r="K246" s="1" t="s">
        <v>320</v>
      </c>
      <c r="L246" s="1" t="s">
        <v>320</v>
      </c>
      <c r="M246" s="1" t="s">
        <v>213</v>
      </c>
      <c r="N246" s="1" t="s">
        <v>213</v>
      </c>
    </row>
    <row r="247" spans="1:14" x14ac:dyDescent="0.15">
      <c r="A247" s="17"/>
      <c r="B247" s="7">
        <v>647400</v>
      </c>
      <c r="C247" s="7" t="s">
        <v>327</v>
      </c>
      <c r="D247" s="2">
        <v>6.66</v>
      </c>
      <c r="E247" s="2">
        <v>0</v>
      </c>
      <c r="F247" s="2">
        <f t="shared" si="9"/>
        <v>6.66</v>
      </c>
      <c r="G247" s="8" t="str">
        <f t="shared" si="10"/>
        <v>n/a</v>
      </c>
      <c r="H247" s="17" t="str">
        <f t="shared" si="11"/>
        <v>P0</v>
      </c>
      <c r="J247" s="15" t="s">
        <v>136</v>
      </c>
      <c r="K247" s="1" t="s">
        <v>320</v>
      </c>
      <c r="L247" s="1" t="s">
        <v>320</v>
      </c>
      <c r="M247" s="1" t="s">
        <v>213</v>
      </c>
      <c r="N247" s="1" t="s">
        <v>213</v>
      </c>
    </row>
    <row r="248" spans="1:14" x14ac:dyDescent="0.15">
      <c r="A248" s="17"/>
      <c r="B248" s="7">
        <v>647500</v>
      </c>
      <c r="C248" s="7" t="s">
        <v>328</v>
      </c>
      <c r="D248" s="2">
        <v>3.4710700000000001</v>
      </c>
      <c r="E248" s="2">
        <v>5.0725800000000003</v>
      </c>
      <c r="F248" s="2">
        <f t="shared" si="9"/>
        <v>-1.6015100000000002</v>
      </c>
      <c r="G248" s="8">
        <f t="shared" si="10"/>
        <v>-0.31571902266696633</v>
      </c>
      <c r="H248" s="17" t="str">
        <f t="shared" si="11"/>
        <v>P0</v>
      </c>
      <c r="J248" s="15" t="s">
        <v>136</v>
      </c>
      <c r="K248" s="1" t="s">
        <v>320</v>
      </c>
      <c r="L248" s="1" t="s">
        <v>320</v>
      </c>
      <c r="M248" s="1" t="s">
        <v>213</v>
      </c>
      <c r="N248" s="1" t="s">
        <v>213</v>
      </c>
    </row>
    <row r="249" spans="1:14" x14ac:dyDescent="0.15">
      <c r="A249" s="17"/>
      <c r="B249" s="7">
        <v>647600</v>
      </c>
      <c r="C249" s="7" t="s">
        <v>329</v>
      </c>
      <c r="D249" s="2">
        <v>0</v>
      </c>
      <c r="E249" s="2">
        <v>6.012E-2</v>
      </c>
      <c r="F249" s="2">
        <f t="shared" si="9"/>
        <v>-6.012E-2</v>
      </c>
      <c r="G249" s="8">
        <f t="shared" si="10"/>
        <v>-1</v>
      </c>
      <c r="H249" s="17" t="str">
        <f t="shared" si="11"/>
        <v>P0</v>
      </c>
      <c r="J249" s="15" t="s">
        <v>136</v>
      </c>
      <c r="K249" s="1" t="s">
        <v>320</v>
      </c>
      <c r="L249" s="1" t="s">
        <v>320</v>
      </c>
      <c r="M249" s="1" t="s">
        <v>213</v>
      </c>
      <c r="N249" s="1" t="s">
        <v>213</v>
      </c>
    </row>
    <row r="250" spans="1:14" x14ac:dyDescent="0.15">
      <c r="A250" s="17"/>
      <c r="B250" s="7">
        <v>648100</v>
      </c>
      <c r="C250" s="7" t="s">
        <v>330</v>
      </c>
      <c r="D250" s="2">
        <v>0</v>
      </c>
      <c r="E250" s="2">
        <v>12.291</v>
      </c>
      <c r="F250" s="2">
        <f t="shared" si="9"/>
        <v>-12.291</v>
      </c>
      <c r="G250" s="8">
        <f t="shared" si="10"/>
        <v>-1</v>
      </c>
      <c r="H250" s="17" t="str">
        <f t="shared" si="11"/>
        <v>P0</v>
      </c>
      <c r="J250" s="15" t="s">
        <v>136</v>
      </c>
      <c r="K250" s="1" t="s">
        <v>320</v>
      </c>
      <c r="L250" s="1" t="s">
        <v>320</v>
      </c>
      <c r="M250" s="1" t="s">
        <v>213</v>
      </c>
      <c r="N250" s="1" t="s">
        <v>213</v>
      </c>
    </row>
    <row r="251" spans="1:14" x14ac:dyDescent="0.15">
      <c r="A251" s="17"/>
      <c r="B251" s="7">
        <v>654100</v>
      </c>
      <c r="C251" s="7" t="s">
        <v>331</v>
      </c>
      <c r="D251" s="2">
        <v>0</v>
      </c>
      <c r="E251" s="2">
        <v>6.46183</v>
      </c>
      <c r="F251" s="2">
        <f t="shared" si="9"/>
        <v>-6.46183</v>
      </c>
      <c r="G251" s="8">
        <f t="shared" si="10"/>
        <v>-1</v>
      </c>
      <c r="H251" s="17" t="str">
        <f t="shared" si="11"/>
        <v>V0</v>
      </c>
      <c r="J251" s="15" t="s">
        <v>127</v>
      </c>
      <c r="K251" s="1" t="s">
        <v>332</v>
      </c>
      <c r="L251" s="1" t="s">
        <v>332</v>
      </c>
      <c r="M251" s="1" t="s">
        <v>213</v>
      </c>
      <c r="N251" s="1" t="s">
        <v>213</v>
      </c>
    </row>
    <row r="252" spans="1:14" x14ac:dyDescent="0.15">
      <c r="A252" s="17"/>
      <c r="B252" s="7">
        <v>658000</v>
      </c>
      <c r="C252" s="7" t="s">
        <v>333</v>
      </c>
      <c r="D252" s="2">
        <v>50.7119</v>
      </c>
      <c r="E252" s="2">
        <v>1.1269999999999563E-2</v>
      </c>
      <c r="F252" s="2">
        <f t="shared" si="9"/>
        <v>50.700630000000004</v>
      </c>
      <c r="G252" s="8">
        <f t="shared" si="10"/>
        <v>4498.7249334518165</v>
      </c>
      <c r="H252" s="17" t="str">
        <f t="shared" si="11"/>
        <v>T0</v>
      </c>
      <c r="J252" s="15" t="s">
        <v>190</v>
      </c>
      <c r="K252" s="1" t="s">
        <v>332</v>
      </c>
      <c r="L252" s="1" t="s">
        <v>332</v>
      </c>
      <c r="M252" s="1" t="s">
        <v>213</v>
      </c>
      <c r="N252" s="1" t="s">
        <v>213</v>
      </c>
    </row>
    <row r="253" spans="1:14" x14ac:dyDescent="0.15">
      <c r="A253" s="17"/>
      <c r="B253" s="7">
        <v>661160</v>
      </c>
      <c r="C253" s="7" t="s">
        <v>334</v>
      </c>
      <c r="D253" s="2">
        <v>53.563740000000003</v>
      </c>
      <c r="E253" s="2">
        <v>19.47006</v>
      </c>
      <c r="F253" s="2">
        <f t="shared" si="9"/>
        <v>34.093680000000006</v>
      </c>
      <c r="G253" s="8">
        <f t="shared" si="10"/>
        <v>1.751082431178949</v>
      </c>
      <c r="H253" s="17" t="str">
        <f t="shared" si="11"/>
        <v>F0</v>
      </c>
      <c r="J253" s="15" t="s">
        <v>48</v>
      </c>
      <c r="K253" s="1" t="s">
        <v>335</v>
      </c>
      <c r="L253" s="1" t="s">
        <v>335</v>
      </c>
      <c r="M253" s="1" t="s">
        <v>213</v>
      </c>
      <c r="N253" s="1" t="s">
        <v>213</v>
      </c>
    </row>
    <row r="254" spans="1:14" x14ac:dyDescent="0.15">
      <c r="A254" s="17"/>
      <c r="B254" s="7">
        <v>661600</v>
      </c>
      <c r="C254" s="7" t="s">
        <v>336</v>
      </c>
      <c r="D254" s="2">
        <v>1.9568299999999998</v>
      </c>
      <c r="E254" s="2">
        <v>7.3175600000000003</v>
      </c>
      <c r="F254" s="2">
        <f t="shared" si="9"/>
        <v>-5.3607300000000002</v>
      </c>
      <c r="G254" s="8">
        <f t="shared" si="10"/>
        <v>-0.73258435872066641</v>
      </c>
      <c r="H254" s="17" t="str">
        <f t="shared" si="11"/>
        <v>F0</v>
      </c>
      <c r="J254" s="15" t="s">
        <v>48</v>
      </c>
      <c r="K254" s="1" t="s">
        <v>335</v>
      </c>
      <c r="L254" s="1" t="s">
        <v>335</v>
      </c>
      <c r="M254" s="1" t="s">
        <v>213</v>
      </c>
      <c r="N254" s="1" t="s">
        <v>213</v>
      </c>
    </row>
    <row r="255" spans="1:14" x14ac:dyDescent="0.15">
      <c r="A255" s="17"/>
      <c r="B255" s="7">
        <v>665000</v>
      </c>
      <c r="C255" s="7" t="s">
        <v>337</v>
      </c>
      <c r="D255" s="2">
        <v>0</v>
      </c>
      <c r="E255" s="2">
        <v>0.5593800000000001</v>
      </c>
      <c r="F255" s="2">
        <f t="shared" si="9"/>
        <v>-0.5593800000000001</v>
      </c>
      <c r="G255" s="8">
        <f t="shared" si="10"/>
        <v>-1</v>
      </c>
      <c r="H255" s="17" t="str">
        <f t="shared" si="11"/>
        <v>F0</v>
      </c>
      <c r="J255" s="15" t="s">
        <v>48</v>
      </c>
      <c r="K255" s="1" t="s">
        <v>335</v>
      </c>
      <c r="L255" s="1" t="s">
        <v>335</v>
      </c>
      <c r="M255" s="1" t="s">
        <v>213</v>
      </c>
      <c r="N255" s="1" t="s">
        <v>213</v>
      </c>
    </row>
    <row r="256" spans="1:14" x14ac:dyDescent="0.15">
      <c r="A256" s="17"/>
      <c r="B256" s="7">
        <v>665030</v>
      </c>
      <c r="C256" s="7" t="s">
        <v>338</v>
      </c>
      <c r="D256" s="2">
        <v>0</v>
      </c>
      <c r="E256" s="2">
        <v>0.25680999999999982</v>
      </c>
      <c r="F256" s="2">
        <f t="shared" si="9"/>
        <v>-0.25680999999999982</v>
      </c>
      <c r="G256" s="8">
        <f t="shared" si="10"/>
        <v>-1</v>
      </c>
      <c r="H256" s="17" t="str">
        <f t="shared" si="11"/>
        <v>F0</v>
      </c>
      <c r="J256" s="15" t="s">
        <v>48</v>
      </c>
      <c r="K256" s="1" t="s">
        <v>335</v>
      </c>
      <c r="L256" s="1" t="s">
        <v>335</v>
      </c>
      <c r="M256" s="1" t="s">
        <v>213</v>
      </c>
      <c r="N256" s="1" t="s">
        <v>213</v>
      </c>
    </row>
    <row r="257" spans="1:14" x14ac:dyDescent="0.15">
      <c r="A257" s="17"/>
      <c r="B257" s="7">
        <v>666000</v>
      </c>
      <c r="C257" s="7" t="s">
        <v>339</v>
      </c>
      <c r="D257" s="2">
        <v>8.0601800000000008</v>
      </c>
      <c r="E257" s="2">
        <v>0.16725999999999999</v>
      </c>
      <c r="F257" s="2">
        <f t="shared" si="9"/>
        <v>7.892920000000001</v>
      </c>
      <c r="G257" s="8">
        <f t="shared" si="10"/>
        <v>47.189525289967726</v>
      </c>
      <c r="H257" s="17" t="str">
        <f t="shared" si="11"/>
        <v>F0</v>
      </c>
      <c r="J257" s="15" t="s">
        <v>48</v>
      </c>
      <c r="K257" s="1" t="s">
        <v>340</v>
      </c>
      <c r="L257" s="1" t="s">
        <v>340</v>
      </c>
      <c r="M257" s="1" t="s">
        <v>213</v>
      </c>
      <c r="N257" s="1" t="s">
        <v>213</v>
      </c>
    </row>
    <row r="258" spans="1:14" x14ac:dyDescent="0.15">
      <c r="A258" s="17"/>
      <c r="B258" s="7">
        <v>672000</v>
      </c>
      <c r="C258" s="7" t="s">
        <v>341</v>
      </c>
      <c r="D258" s="2">
        <v>0</v>
      </c>
      <c r="E258" s="2">
        <v>16.641940000000002</v>
      </c>
      <c r="F258" s="2">
        <f t="shared" si="9"/>
        <v>-16.641940000000002</v>
      </c>
      <c r="G258" s="8">
        <f t="shared" si="10"/>
        <v>-1</v>
      </c>
      <c r="H258" s="17" t="str">
        <f t="shared" si="11"/>
        <v>X0</v>
      </c>
      <c r="J258" s="15" t="s">
        <v>342</v>
      </c>
      <c r="K258" s="1" t="s">
        <v>343</v>
      </c>
      <c r="L258" s="1" t="s">
        <v>343</v>
      </c>
      <c r="M258" s="1" t="s">
        <v>213</v>
      </c>
      <c r="N258" s="1" t="s">
        <v>213</v>
      </c>
    </row>
    <row r="259" spans="1:14" x14ac:dyDescent="0.15">
      <c r="A259" s="17"/>
      <c r="B259" s="7">
        <v>675200</v>
      </c>
      <c r="C259" s="7" t="s">
        <v>344</v>
      </c>
      <c r="D259" s="2">
        <v>15.591520000000001</v>
      </c>
      <c r="E259" s="2">
        <v>0</v>
      </c>
      <c r="F259" s="2">
        <f t="shared" si="9"/>
        <v>15.591520000000001</v>
      </c>
      <c r="G259" s="8" t="str">
        <f t="shared" si="10"/>
        <v>n/a</v>
      </c>
      <c r="H259" s="17" t="str">
        <f t="shared" si="11"/>
        <v>X0</v>
      </c>
      <c r="J259" s="15" t="s">
        <v>342</v>
      </c>
      <c r="K259" s="1" t="s">
        <v>345</v>
      </c>
      <c r="L259" s="1" t="s">
        <v>345</v>
      </c>
      <c r="M259" s="1" t="s">
        <v>213</v>
      </c>
      <c r="N259" s="1" t="s">
        <v>213</v>
      </c>
    </row>
    <row r="260" spans="1:14" x14ac:dyDescent="0.15">
      <c r="A260" s="17"/>
      <c r="B260" s="7">
        <v>681120</v>
      </c>
      <c r="C260" s="7" t="s">
        <v>346</v>
      </c>
      <c r="D260" s="2">
        <v>399.79007000000001</v>
      </c>
      <c r="E260" s="2">
        <v>302.87905000000001</v>
      </c>
      <c r="F260" s="2">
        <f t="shared" si="9"/>
        <v>96.911020000000008</v>
      </c>
      <c r="G260" s="8">
        <f t="shared" si="10"/>
        <v>0.31996607226548024</v>
      </c>
      <c r="H260" s="17" t="str">
        <f t="shared" si="11"/>
        <v>I Corp0</v>
      </c>
      <c r="J260" s="15" t="s">
        <v>59</v>
      </c>
      <c r="K260" s="1" t="s">
        <v>347</v>
      </c>
      <c r="L260" s="1" t="s">
        <v>347</v>
      </c>
      <c r="M260" s="1" t="s">
        <v>213</v>
      </c>
      <c r="N260" s="1" t="s">
        <v>213</v>
      </c>
    </row>
    <row r="261" spans="1:14" x14ac:dyDescent="0.15">
      <c r="A261" s="17"/>
      <c r="B261" s="7">
        <v>681730</v>
      </c>
      <c r="C261" s="7" t="s">
        <v>348</v>
      </c>
      <c r="D261" s="2">
        <v>1.9364699999999939</v>
      </c>
      <c r="E261" s="2">
        <v>13.415080000000001</v>
      </c>
      <c r="F261" s="2">
        <f t="shared" si="9"/>
        <v>-11.478610000000007</v>
      </c>
      <c r="G261" s="8">
        <f t="shared" si="10"/>
        <v>-0.85564976131338799</v>
      </c>
      <c r="H261" s="17" t="str">
        <f t="shared" si="11"/>
        <v>S0</v>
      </c>
      <c r="J261" s="15" t="s">
        <v>105</v>
      </c>
      <c r="K261" s="1" t="s">
        <v>349</v>
      </c>
      <c r="L261" s="1" t="s">
        <v>349</v>
      </c>
      <c r="M261" s="1" t="s">
        <v>213</v>
      </c>
      <c r="N261" s="1" t="s">
        <v>213</v>
      </c>
    </row>
    <row r="262" spans="1:14" x14ac:dyDescent="0.15">
      <c r="A262" s="17"/>
      <c r="B262" s="7">
        <v>681740</v>
      </c>
      <c r="C262" s="7" t="s">
        <v>350</v>
      </c>
      <c r="D262" s="2">
        <v>9.8274699999999999</v>
      </c>
      <c r="E262" s="2">
        <v>7.6494399999999994</v>
      </c>
      <c r="F262" s="2">
        <f t="shared" si="9"/>
        <v>2.1780300000000006</v>
      </c>
      <c r="G262" s="8">
        <f t="shared" si="10"/>
        <v>0.28473064694931927</v>
      </c>
      <c r="H262" s="17" t="str">
        <f t="shared" si="11"/>
        <v>V0</v>
      </c>
      <c r="J262" s="15" t="s">
        <v>127</v>
      </c>
      <c r="K262" s="1" t="s">
        <v>349</v>
      </c>
      <c r="L262" s="1" t="s">
        <v>349</v>
      </c>
      <c r="M262" s="1" t="s">
        <v>213</v>
      </c>
      <c r="N262" s="1" t="s">
        <v>213</v>
      </c>
    </row>
    <row r="263" spans="1:14" x14ac:dyDescent="0.15">
      <c r="A263" s="17"/>
      <c r="B263" s="7">
        <v>695000</v>
      </c>
      <c r="C263" s="7" t="s">
        <v>351</v>
      </c>
      <c r="D263" s="2">
        <v>0</v>
      </c>
      <c r="E263" s="2">
        <v>-4.26</v>
      </c>
      <c r="F263" s="2">
        <f t="shared" si="9"/>
        <v>4.26</v>
      </c>
      <c r="G263" s="8">
        <f t="shared" si="10"/>
        <v>1</v>
      </c>
      <c r="H263" s="17" t="str">
        <f t="shared" si="11"/>
        <v>E0</v>
      </c>
      <c r="J263" s="15" t="s">
        <v>155</v>
      </c>
      <c r="K263" s="1" t="s">
        <v>352</v>
      </c>
      <c r="L263" s="1" t="s">
        <v>352</v>
      </c>
      <c r="M263" s="1" t="s">
        <v>213</v>
      </c>
      <c r="N263" s="1" t="s">
        <v>213</v>
      </c>
    </row>
    <row r="264" spans="1:14" x14ac:dyDescent="0.15">
      <c r="A264" s="17"/>
      <c r="B264" s="7">
        <v>695300</v>
      </c>
      <c r="C264" s="7" t="s">
        <v>353</v>
      </c>
      <c r="D264" s="2">
        <v>0</v>
      </c>
      <c r="E264" s="2">
        <v>-16.324000000000002</v>
      </c>
      <c r="F264" s="2">
        <f t="shared" si="9"/>
        <v>16.324000000000002</v>
      </c>
      <c r="G264" s="8">
        <f t="shared" si="10"/>
        <v>1</v>
      </c>
      <c r="H264" s="17" t="str">
        <f t="shared" si="11"/>
        <v>E0</v>
      </c>
      <c r="J264" s="15" t="s">
        <v>155</v>
      </c>
      <c r="K264" s="1" t="s">
        <v>352</v>
      </c>
      <c r="L264" s="1" t="s">
        <v>352</v>
      </c>
      <c r="M264" s="1" t="s">
        <v>213</v>
      </c>
      <c r="N264" s="1" t="s">
        <v>213</v>
      </c>
    </row>
    <row r="265" spans="1:14" x14ac:dyDescent="0.15">
      <c r="A265" s="17"/>
      <c r="B265" s="7">
        <v>698100</v>
      </c>
      <c r="C265" s="7" t="s">
        <v>354</v>
      </c>
      <c r="D265" s="2">
        <v>0</v>
      </c>
      <c r="E265" s="2">
        <v>597.47801000000004</v>
      </c>
      <c r="F265" s="2">
        <f t="shared" si="9"/>
        <v>-597.47801000000004</v>
      </c>
      <c r="G265" s="8">
        <f t="shared" si="10"/>
        <v>-1</v>
      </c>
      <c r="H265" s="17" t="str">
        <f t="shared" si="11"/>
        <v>E0</v>
      </c>
      <c r="J265" s="15" t="s">
        <v>155</v>
      </c>
      <c r="K265" s="1" t="s">
        <v>352</v>
      </c>
      <c r="L265" s="1" t="s">
        <v>352</v>
      </c>
      <c r="M265" s="1" t="s">
        <v>213</v>
      </c>
      <c r="N265" s="1" t="s">
        <v>213</v>
      </c>
    </row>
    <row r="266" spans="1:14" x14ac:dyDescent="0.15">
      <c r="A266" s="17"/>
      <c r="B266" s="7">
        <v>698900</v>
      </c>
      <c r="C266" s="7" t="s">
        <v>355</v>
      </c>
      <c r="D266" s="2">
        <v>0</v>
      </c>
      <c r="E266" s="2">
        <v>-133.24970999999999</v>
      </c>
      <c r="F266" s="2">
        <f t="shared" si="9"/>
        <v>133.24970999999999</v>
      </c>
      <c r="G266" s="8">
        <f t="shared" si="10"/>
        <v>1</v>
      </c>
      <c r="H266" s="17" t="str">
        <f t="shared" si="11"/>
        <v>E0</v>
      </c>
      <c r="J266" s="15" t="s">
        <v>155</v>
      </c>
      <c r="K266" s="1" t="s">
        <v>352</v>
      </c>
      <c r="L266" s="1" t="s">
        <v>352</v>
      </c>
      <c r="M266" s="1" t="s">
        <v>213</v>
      </c>
      <c r="N266" s="1" t="s">
        <v>213</v>
      </c>
    </row>
    <row r="267" spans="1:14" x14ac:dyDescent="0.15">
      <c r="A267" s="17"/>
      <c r="B267" s="7">
        <v>701000</v>
      </c>
      <c r="C267" s="7" t="s">
        <v>356</v>
      </c>
      <c r="D267" s="2">
        <v>-11069.48487</v>
      </c>
      <c r="E267" s="2">
        <v>-10045.083910000081</v>
      </c>
      <c r="F267" s="2">
        <f t="shared" ref="F267:F297" si="12">D267-E267</f>
        <v>-1024.400959999919</v>
      </c>
      <c r="G267" s="8">
        <f t="shared" ref="G267:G297" si="13">IF(E267=0,"n/a",F267/ABS(E267))</f>
        <v>-0.10198032880343662</v>
      </c>
      <c r="H267" s="17" t="str">
        <f t="shared" ref="H267:H297" si="14">J267&amp;0</f>
        <v>V0</v>
      </c>
      <c r="J267" s="15" t="s">
        <v>127</v>
      </c>
      <c r="K267" s="1" t="s">
        <v>357</v>
      </c>
      <c r="L267" s="1" t="s">
        <v>357</v>
      </c>
      <c r="M267" s="1" t="s">
        <v>358</v>
      </c>
      <c r="N267" s="1" t="s">
        <v>358</v>
      </c>
    </row>
    <row r="268" spans="1:14" x14ac:dyDescent="0.15">
      <c r="A268" s="17"/>
      <c r="B268" s="7">
        <v>701010</v>
      </c>
      <c r="C268" s="7" t="s">
        <v>359</v>
      </c>
      <c r="D268" s="2">
        <v>-1114.1406300000001</v>
      </c>
      <c r="E268" s="2">
        <v>-969.267300000001</v>
      </c>
      <c r="F268" s="2">
        <f t="shared" si="12"/>
        <v>-144.8733299999991</v>
      </c>
      <c r="G268" s="8">
        <f t="shared" si="13"/>
        <v>-0.14946684985658645</v>
      </c>
      <c r="H268" s="17" t="str">
        <f t="shared" si="14"/>
        <v>V0</v>
      </c>
      <c r="J268" s="15" t="s">
        <v>127</v>
      </c>
      <c r="K268" s="1" t="s">
        <v>357</v>
      </c>
      <c r="L268" s="1" t="s">
        <v>357</v>
      </c>
      <c r="M268" s="1" t="s">
        <v>358</v>
      </c>
      <c r="N268" s="1" t="s">
        <v>358</v>
      </c>
    </row>
    <row r="269" spans="1:14" x14ac:dyDescent="0.15">
      <c r="A269" s="17"/>
      <c r="B269" s="7">
        <v>701020</v>
      </c>
      <c r="C269" s="7" t="s">
        <v>360</v>
      </c>
      <c r="D269" s="2">
        <v>-65.352829999999997</v>
      </c>
      <c r="E269" s="2">
        <v>-81.436170000000033</v>
      </c>
      <c r="F269" s="2">
        <f t="shared" si="12"/>
        <v>16.083340000000035</v>
      </c>
      <c r="G269" s="8">
        <f t="shared" si="13"/>
        <v>0.19749627223382471</v>
      </c>
      <c r="H269" s="17" t="str">
        <f t="shared" si="14"/>
        <v>V0</v>
      </c>
      <c r="J269" s="15" t="s">
        <v>127</v>
      </c>
      <c r="K269" s="1" t="s">
        <v>357</v>
      </c>
      <c r="L269" s="1" t="s">
        <v>357</v>
      </c>
      <c r="M269" s="1" t="s">
        <v>358</v>
      </c>
      <c r="N269" s="1" t="s">
        <v>358</v>
      </c>
    </row>
    <row r="270" spans="1:14" x14ac:dyDescent="0.15">
      <c r="A270" s="17"/>
      <c r="B270" s="7">
        <v>701030</v>
      </c>
      <c r="C270" s="7" t="s">
        <v>361</v>
      </c>
      <c r="D270" s="2">
        <v>-153.71644000000001</v>
      </c>
      <c r="E270" s="2">
        <v>-93.88657000000002</v>
      </c>
      <c r="F270" s="2">
        <f t="shared" si="12"/>
        <v>-59.829869999999985</v>
      </c>
      <c r="G270" s="8">
        <f t="shared" si="13"/>
        <v>-0.63725695805054938</v>
      </c>
      <c r="H270" s="17" t="str">
        <f t="shared" si="14"/>
        <v>V0</v>
      </c>
      <c r="J270" s="15" t="s">
        <v>127</v>
      </c>
      <c r="K270" s="1" t="s">
        <v>357</v>
      </c>
      <c r="L270" s="1" t="s">
        <v>357</v>
      </c>
      <c r="M270" s="1" t="s">
        <v>358</v>
      </c>
      <c r="N270" s="1" t="s">
        <v>358</v>
      </c>
    </row>
    <row r="271" spans="1:14" x14ac:dyDescent="0.15">
      <c r="A271" s="17"/>
      <c r="B271" s="7">
        <v>703000</v>
      </c>
      <c r="C271" s="7" t="s">
        <v>362</v>
      </c>
      <c r="D271" s="2">
        <v>-14.011209999999998</v>
      </c>
      <c r="E271" s="2">
        <v>-19.056010000000004</v>
      </c>
      <c r="F271" s="2">
        <f t="shared" si="12"/>
        <v>5.0448000000000057</v>
      </c>
      <c r="G271" s="8">
        <f t="shared" si="13"/>
        <v>0.26473537744785003</v>
      </c>
      <c r="H271" s="17" t="str">
        <f t="shared" si="14"/>
        <v>V0</v>
      </c>
      <c r="J271" s="15" t="s">
        <v>127</v>
      </c>
      <c r="K271" s="1" t="s">
        <v>357</v>
      </c>
      <c r="L271" s="1" t="s">
        <v>357</v>
      </c>
      <c r="M271" s="1" t="s">
        <v>358</v>
      </c>
      <c r="N271" s="1" t="s">
        <v>358</v>
      </c>
    </row>
    <row r="272" spans="1:14" x14ac:dyDescent="0.15">
      <c r="A272" s="17"/>
      <c r="B272" s="7">
        <v>707000</v>
      </c>
      <c r="C272" s="7" t="s">
        <v>363</v>
      </c>
      <c r="D272" s="2">
        <v>-1368.2297100000001</v>
      </c>
      <c r="E272" s="2">
        <v>-1131.4502699999998</v>
      </c>
      <c r="F272" s="2">
        <f t="shared" si="12"/>
        <v>-236.77944000000025</v>
      </c>
      <c r="G272" s="8">
        <f t="shared" si="13"/>
        <v>-0.20927074417508451</v>
      </c>
      <c r="H272" s="17" t="str">
        <f t="shared" si="14"/>
        <v>V0</v>
      </c>
      <c r="J272" s="15" t="s">
        <v>127</v>
      </c>
      <c r="K272" s="1" t="s">
        <v>364</v>
      </c>
      <c r="L272" s="1" t="s">
        <v>364</v>
      </c>
      <c r="M272" s="1" t="s">
        <v>358</v>
      </c>
      <c r="N272" s="1" t="s">
        <v>358</v>
      </c>
    </row>
    <row r="273" spans="1:14" x14ac:dyDescent="0.15">
      <c r="A273" s="17"/>
      <c r="B273" s="7">
        <v>707010</v>
      </c>
      <c r="C273" s="7" t="s">
        <v>365</v>
      </c>
      <c r="D273" s="2">
        <v>-26.541539999999998</v>
      </c>
      <c r="E273" s="2">
        <v>-24.12555</v>
      </c>
      <c r="F273" s="2">
        <f t="shared" si="12"/>
        <v>-2.4159899999999972</v>
      </c>
      <c r="G273" s="8">
        <f t="shared" si="13"/>
        <v>-0.10014238017371613</v>
      </c>
      <c r="H273" s="17" t="str">
        <f t="shared" si="14"/>
        <v>V0</v>
      </c>
      <c r="J273" s="15" t="s">
        <v>127</v>
      </c>
      <c r="K273" s="1" t="s">
        <v>364</v>
      </c>
      <c r="L273" s="1" t="s">
        <v>364</v>
      </c>
      <c r="M273" s="1" t="s">
        <v>358</v>
      </c>
      <c r="N273" s="1" t="s">
        <v>358</v>
      </c>
    </row>
    <row r="274" spans="1:14" x14ac:dyDescent="0.15">
      <c r="A274" s="17"/>
      <c r="B274" s="7">
        <v>707020</v>
      </c>
      <c r="C274" s="7" t="s">
        <v>366</v>
      </c>
      <c r="D274" s="2">
        <v>-30.710740000000001</v>
      </c>
      <c r="E274" s="2">
        <v>-18.269699999999997</v>
      </c>
      <c r="F274" s="2">
        <f t="shared" si="12"/>
        <v>-12.441040000000005</v>
      </c>
      <c r="G274" s="8">
        <f t="shared" si="13"/>
        <v>-0.68096575203752696</v>
      </c>
      <c r="H274" s="17" t="str">
        <f t="shared" si="14"/>
        <v>V0</v>
      </c>
      <c r="J274" s="15" t="s">
        <v>127</v>
      </c>
      <c r="K274" s="1" t="s">
        <v>364</v>
      </c>
      <c r="L274" s="1" t="s">
        <v>364</v>
      </c>
      <c r="M274" s="1" t="s">
        <v>358</v>
      </c>
      <c r="N274" s="1" t="s">
        <v>358</v>
      </c>
    </row>
    <row r="275" spans="1:14" x14ac:dyDescent="0.15">
      <c r="A275" s="17"/>
      <c r="B275" s="7">
        <v>707030</v>
      </c>
      <c r="C275" s="7" t="s">
        <v>367</v>
      </c>
      <c r="D275" s="2">
        <v>-21.829450000000001</v>
      </c>
      <c r="E275" s="2">
        <v>-25.87107</v>
      </c>
      <c r="F275" s="2">
        <f t="shared" si="12"/>
        <v>4.0416199999999982</v>
      </c>
      <c r="G275" s="8">
        <f t="shared" si="13"/>
        <v>0.15622160196698467</v>
      </c>
      <c r="H275" s="17" t="str">
        <f t="shared" si="14"/>
        <v>V0</v>
      </c>
      <c r="J275" s="15" t="s">
        <v>127</v>
      </c>
      <c r="K275" s="1" t="s">
        <v>364</v>
      </c>
      <c r="L275" s="1" t="s">
        <v>364</v>
      </c>
      <c r="M275" s="1" t="s">
        <v>358</v>
      </c>
      <c r="N275" s="1" t="s">
        <v>358</v>
      </c>
    </row>
    <row r="276" spans="1:14" x14ac:dyDescent="0.15">
      <c r="A276" s="17"/>
      <c r="B276" s="7">
        <v>708000</v>
      </c>
      <c r="C276" s="7" t="s">
        <v>368</v>
      </c>
      <c r="D276" s="2">
        <v>1.3250699999999997</v>
      </c>
      <c r="E276" s="2">
        <v>-8.92</v>
      </c>
      <c r="F276" s="2">
        <f t="shared" si="12"/>
        <v>10.24507</v>
      </c>
      <c r="G276" s="8">
        <f t="shared" si="13"/>
        <v>1.1485504484304934</v>
      </c>
      <c r="H276" s="17" t="str">
        <f t="shared" si="14"/>
        <v>V0</v>
      </c>
      <c r="J276" s="15" t="s">
        <v>127</v>
      </c>
      <c r="K276" s="1" t="s">
        <v>357</v>
      </c>
      <c r="L276" s="1" t="s">
        <v>357</v>
      </c>
      <c r="M276" s="1" t="s">
        <v>358</v>
      </c>
      <c r="N276" s="1" t="s">
        <v>358</v>
      </c>
    </row>
    <row r="277" spans="1:14" x14ac:dyDescent="0.15">
      <c r="A277" s="17"/>
      <c r="B277" s="7">
        <v>708010</v>
      </c>
      <c r="C277" s="7" t="s">
        <v>369</v>
      </c>
      <c r="D277" s="2">
        <v>-0.14000000000000001</v>
      </c>
      <c r="E277" s="2">
        <v>-0.18</v>
      </c>
      <c r="F277" s="2">
        <f t="shared" si="12"/>
        <v>3.999999999999998E-2</v>
      </c>
      <c r="G277" s="8">
        <f t="shared" si="13"/>
        <v>0.22222222222222213</v>
      </c>
      <c r="H277" s="17" t="str">
        <f t="shared" si="14"/>
        <v>V0</v>
      </c>
      <c r="J277" s="15" t="s">
        <v>127</v>
      </c>
      <c r="K277" s="1" t="s">
        <v>357</v>
      </c>
      <c r="L277" s="1" t="s">
        <v>357</v>
      </c>
      <c r="M277" s="1" t="s">
        <v>358</v>
      </c>
      <c r="N277" s="1" t="s">
        <v>358</v>
      </c>
    </row>
    <row r="278" spans="1:14" x14ac:dyDescent="0.15">
      <c r="A278" s="17"/>
      <c r="B278" s="7">
        <v>708020</v>
      </c>
      <c r="C278" s="7" t="s">
        <v>370</v>
      </c>
      <c r="D278" s="2">
        <v>-0.08</v>
      </c>
      <c r="E278" s="2">
        <v>-0.12</v>
      </c>
      <c r="F278" s="2">
        <f t="shared" si="12"/>
        <v>3.9999999999999994E-2</v>
      </c>
      <c r="G278" s="8">
        <f t="shared" si="13"/>
        <v>0.33333333333333331</v>
      </c>
      <c r="H278" s="17" t="str">
        <f t="shared" si="14"/>
        <v>V0</v>
      </c>
      <c r="J278" s="15" t="s">
        <v>127</v>
      </c>
      <c r="K278" s="1" t="s">
        <v>357</v>
      </c>
      <c r="L278" s="1" t="s">
        <v>357</v>
      </c>
      <c r="M278" s="1" t="s">
        <v>358</v>
      </c>
      <c r="N278" s="1" t="s">
        <v>358</v>
      </c>
    </row>
    <row r="279" spans="1:14" x14ac:dyDescent="0.15">
      <c r="A279" s="17"/>
      <c r="B279" s="7">
        <v>708030</v>
      </c>
      <c r="C279" s="7" t="s">
        <v>371</v>
      </c>
      <c r="D279" s="2">
        <v>-4.4999999999999998E-2</v>
      </c>
      <c r="E279" s="2">
        <v>-0.02</v>
      </c>
      <c r="F279" s="2">
        <f t="shared" si="12"/>
        <v>-2.4999999999999998E-2</v>
      </c>
      <c r="G279" s="8">
        <f t="shared" si="13"/>
        <v>-1.2499999999999998</v>
      </c>
      <c r="H279" s="17" t="str">
        <f t="shared" si="14"/>
        <v>V0</v>
      </c>
      <c r="J279" s="15" t="s">
        <v>127</v>
      </c>
      <c r="K279" s="1" t="s">
        <v>357</v>
      </c>
      <c r="L279" s="1" t="s">
        <v>357</v>
      </c>
      <c r="M279" s="1" t="s">
        <v>358</v>
      </c>
      <c r="N279" s="1" t="s">
        <v>358</v>
      </c>
    </row>
    <row r="280" spans="1:14" x14ac:dyDescent="0.15">
      <c r="A280" s="17"/>
      <c r="B280" s="7">
        <v>708500</v>
      </c>
      <c r="C280" s="7" t="s">
        <v>372</v>
      </c>
      <c r="D280" s="2">
        <v>-87.070200000000014</v>
      </c>
      <c r="E280" s="2">
        <v>-81.716070000000997</v>
      </c>
      <c r="F280" s="2">
        <f t="shared" si="12"/>
        <v>-5.3541299999990173</v>
      </c>
      <c r="G280" s="8">
        <f t="shared" si="13"/>
        <v>-6.5521139232453937E-2</v>
      </c>
      <c r="H280" s="17" t="str">
        <f t="shared" si="14"/>
        <v>V0</v>
      </c>
      <c r="J280" s="15" t="s">
        <v>127</v>
      </c>
      <c r="K280" s="1" t="s">
        <v>357</v>
      </c>
      <c r="L280" s="1" t="s">
        <v>357</v>
      </c>
      <c r="M280" s="1" t="s">
        <v>358</v>
      </c>
      <c r="N280" s="1" t="s">
        <v>358</v>
      </c>
    </row>
    <row r="281" spans="1:14" x14ac:dyDescent="0.15">
      <c r="A281" s="17"/>
      <c r="B281" s="7">
        <v>708510</v>
      </c>
      <c r="C281" s="7" t="s">
        <v>373</v>
      </c>
      <c r="D281" s="2">
        <v>-4.2877399999999994</v>
      </c>
      <c r="E281" s="2">
        <v>-5.5792299999999999</v>
      </c>
      <c r="F281" s="2">
        <f t="shared" si="12"/>
        <v>1.2914900000000005</v>
      </c>
      <c r="G281" s="8">
        <f t="shared" si="13"/>
        <v>0.23148176361254161</v>
      </c>
      <c r="H281" s="17" t="str">
        <f t="shared" si="14"/>
        <v>V0</v>
      </c>
      <c r="J281" s="15" t="s">
        <v>127</v>
      </c>
      <c r="K281" s="1" t="s">
        <v>357</v>
      </c>
      <c r="L281" s="1" t="s">
        <v>357</v>
      </c>
      <c r="M281" s="1" t="s">
        <v>358</v>
      </c>
      <c r="N281" s="1" t="s">
        <v>358</v>
      </c>
    </row>
    <row r="282" spans="1:14" x14ac:dyDescent="0.15">
      <c r="A282" s="17"/>
      <c r="B282" s="7">
        <v>708520</v>
      </c>
      <c r="C282" s="7" t="s">
        <v>374</v>
      </c>
      <c r="D282" s="2">
        <v>-0.67269000000000001</v>
      </c>
      <c r="E282" s="2">
        <v>-0.13800000000000001</v>
      </c>
      <c r="F282" s="2">
        <f t="shared" si="12"/>
        <v>-0.53469</v>
      </c>
      <c r="G282" s="8">
        <f t="shared" si="13"/>
        <v>-3.8745652173913041</v>
      </c>
      <c r="H282" s="17" t="str">
        <f t="shared" si="14"/>
        <v>V0</v>
      </c>
      <c r="J282" s="15" t="s">
        <v>127</v>
      </c>
      <c r="K282" s="1" t="s">
        <v>357</v>
      </c>
      <c r="L282" s="1" t="s">
        <v>357</v>
      </c>
      <c r="M282" s="1" t="s">
        <v>358</v>
      </c>
      <c r="N282" s="1" t="s">
        <v>358</v>
      </c>
    </row>
    <row r="283" spans="1:14" x14ac:dyDescent="0.15">
      <c r="A283" s="17"/>
      <c r="B283" s="7">
        <v>708530</v>
      </c>
      <c r="C283" s="7" t="s">
        <v>375</v>
      </c>
      <c r="D283" s="2">
        <v>-1.9989999999999997E-2</v>
      </c>
      <c r="E283" s="2">
        <v>-0.26477000000000001</v>
      </c>
      <c r="F283" s="2">
        <f t="shared" si="12"/>
        <v>0.24478</v>
      </c>
      <c r="G283" s="8">
        <f t="shared" si="13"/>
        <v>0.92450050987649657</v>
      </c>
      <c r="H283" s="17" t="str">
        <f t="shared" si="14"/>
        <v>V0</v>
      </c>
      <c r="J283" s="15" t="s">
        <v>127</v>
      </c>
      <c r="K283" s="1" t="s">
        <v>357</v>
      </c>
      <c r="L283" s="1" t="s">
        <v>357</v>
      </c>
      <c r="M283" s="1" t="s">
        <v>358</v>
      </c>
      <c r="N283" s="1" t="s">
        <v>358</v>
      </c>
    </row>
    <row r="284" spans="1:14" x14ac:dyDescent="0.15">
      <c r="A284" s="17"/>
      <c r="B284" s="7">
        <v>708800</v>
      </c>
      <c r="C284" s="7" t="s">
        <v>376</v>
      </c>
      <c r="D284" s="2">
        <v>-5.0308000000000028</v>
      </c>
      <c r="E284" s="2">
        <v>-3.7796199999999955</v>
      </c>
      <c r="F284" s="2">
        <f t="shared" si="12"/>
        <v>-1.2511800000000073</v>
      </c>
      <c r="G284" s="8">
        <f t="shared" si="13"/>
        <v>-0.3310332784777329</v>
      </c>
      <c r="H284" s="17" t="str">
        <f t="shared" si="14"/>
        <v>V0</v>
      </c>
      <c r="J284" s="15" t="s">
        <v>127</v>
      </c>
      <c r="K284" s="1" t="s">
        <v>357</v>
      </c>
      <c r="L284" s="1" t="s">
        <v>357</v>
      </c>
      <c r="M284" s="1" t="s">
        <v>358</v>
      </c>
      <c r="N284" s="1" t="s">
        <v>358</v>
      </c>
    </row>
    <row r="285" spans="1:14" x14ac:dyDescent="0.15">
      <c r="A285" s="17"/>
      <c r="B285" s="7">
        <v>708801</v>
      </c>
      <c r="C285" s="7" t="s">
        <v>377</v>
      </c>
      <c r="D285" s="2">
        <v>-468.71585000000005</v>
      </c>
      <c r="E285" s="2">
        <v>-384.62993</v>
      </c>
      <c r="F285" s="2">
        <f t="shared" si="12"/>
        <v>-84.085920000000044</v>
      </c>
      <c r="G285" s="8">
        <f t="shared" si="13"/>
        <v>-0.21861512441322506</v>
      </c>
      <c r="H285" s="17" t="str">
        <f t="shared" si="14"/>
        <v>V0</v>
      </c>
      <c r="J285" s="15" t="s">
        <v>127</v>
      </c>
      <c r="K285" s="1" t="s">
        <v>357</v>
      </c>
      <c r="L285" s="1" t="s">
        <v>357</v>
      </c>
      <c r="M285" s="1" t="s">
        <v>358</v>
      </c>
      <c r="N285" s="1" t="s">
        <v>358</v>
      </c>
    </row>
    <row r="286" spans="1:14" x14ac:dyDescent="0.15">
      <c r="A286" s="17"/>
      <c r="B286" s="7">
        <v>709100</v>
      </c>
      <c r="C286" s="7" t="s">
        <v>378</v>
      </c>
      <c r="D286" s="2">
        <v>41.004220000000004</v>
      </c>
      <c r="E286" s="2">
        <v>125.27760000000004</v>
      </c>
      <c r="F286" s="2">
        <f t="shared" si="12"/>
        <v>-84.273380000000031</v>
      </c>
      <c r="G286" s="8">
        <f t="shared" si="13"/>
        <v>-0.67269312311219254</v>
      </c>
      <c r="H286" s="17" t="str">
        <f t="shared" si="14"/>
        <v>V0</v>
      </c>
      <c r="J286" s="15" t="s">
        <v>127</v>
      </c>
      <c r="K286" s="1" t="s">
        <v>357</v>
      </c>
      <c r="L286" s="1" t="s">
        <v>357</v>
      </c>
      <c r="M286" s="1" t="s">
        <v>358</v>
      </c>
      <c r="N286" s="1" t="s">
        <v>358</v>
      </c>
    </row>
    <row r="287" spans="1:14" x14ac:dyDescent="0.15">
      <c r="A287" s="17"/>
      <c r="B287" s="7">
        <v>713550</v>
      </c>
      <c r="C287" s="7" t="s">
        <v>379</v>
      </c>
      <c r="D287" s="2">
        <v>-155.16354000000004</v>
      </c>
      <c r="E287" s="2">
        <v>50.861710000000194</v>
      </c>
      <c r="F287" s="2">
        <f t="shared" si="12"/>
        <v>-206.02525000000023</v>
      </c>
      <c r="G287" s="8">
        <f t="shared" si="13"/>
        <v>-4.0506945204948757</v>
      </c>
      <c r="H287" s="17" t="str">
        <f t="shared" si="14"/>
        <v>S0</v>
      </c>
      <c r="J287" s="15" t="s">
        <v>105</v>
      </c>
      <c r="K287" s="1" t="s">
        <v>380</v>
      </c>
      <c r="L287" s="1" t="s">
        <v>380</v>
      </c>
      <c r="M287" s="1" t="s">
        <v>358</v>
      </c>
      <c r="N287" s="1" t="s">
        <v>358</v>
      </c>
    </row>
    <row r="288" spans="1:14" x14ac:dyDescent="0.15">
      <c r="A288" s="17"/>
      <c r="B288" s="7">
        <v>740000</v>
      </c>
      <c r="C288" s="7" t="s">
        <v>381</v>
      </c>
      <c r="D288" s="2">
        <v>-9.08</v>
      </c>
      <c r="E288" s="2">
        <v>0</v>
      </c>
      <c r="F288" s="2">
        <f t="shared" si="12"/>
        <v>-9.08</v>
      </c>
      <c r="G288" s="8" t="str">
        <f t="shared" si="13"/>
        <v>n/a</v>
      </c>
      <c r="H288" s="17" t="str">
        <f t="shared" si="14"/>
        <v>C Propres0</v>
      </c>
      <c r="J288" s="15" t="s">
        <v>35</v>
      </c>
      <c r="K288" s="1" t="s">
        <v>382</v>
      </c>
      <c r="L288" s="1" t="s">
        <v>382</v>
      </c>
      <c r="M288" s="1" t="s">
        <v>358</v>
      </c>
      <c r="N288" s="1" t="s">
        <v>358</v>
      </c>
    </row>
    <row r="289" spans="1:14" x14ac:dyDescent="0.15">
      <c r="A289" s="17"/>
      <c r="B289" s="7">
        <v>758000</v>
      </c>
      <c r="C289" s="7" t="s">
        <v>383</v>
      </c>
      <c r="D289" s="2">
        <v>-54.54251</v>
      </c>
      <c r="E289" s="2">
        <v>-2.0449799999999998</v>
      </c>
      <c r="F289" s="2">
        <f t="shared" si="12"/>
        <v>-52.497529999999998</v>
      </c>
      <c r="G289" s="8">
        <f t="shared" si="13"/>
        <v>-25.671414879363123</v>
      </c>
      <c r="H289" s="17" t="str">
        <f t="shared" si="14"/>
        <v>T0</v>
      </c>
      <c r="J289" s="15" t="s">
        <v>190</v>
      </c>
      <c r="K289" s="1" t="s">
        <v>384</v>
      </c>
      <c r="L289" s="1" t="s">
        <v>384</v>
      </c>
      <c r="M289" s="1" t="s">
        <v>358</v>
      </c>
      <c r="N289" s="1" t="s">
        <v>358</v>
      </c>
    </row>
    <row r="290" spans="1:14" x14ac:dyDescent="0.15">
      <c r="A290" s="17"/>
      <c r="B290" s="7">
        <v>764000</v>
      </c>
      <c r="C290" s="7" t="s">
        <v>385</v>
      </c>
      <c r="D290" s="2">
        <v>-17.313639999999999</v>
      </c>
      <c r="E290" s="2">
        <v>-42.292970000000018</v>
      </c>
      <c r="F290" s="2">
        <f t="shared" si="12"/>
        <v>24.979330000000019</v>
      </c>
      <c r="G290" s="8">
        <f t="shared" si="13"/>
        <v>0.59062605440100346</v>
      </c>
      <c r="H290" s="17" t="str">
        <f t="shared" si="14"/>
        <v>F0</v>
      </c>
      <c r="J290" s="15" t="s">
        <v>48</v>
      </c>
      <c r="K290" s="1" t="s">
        <v>386</v>
      </c>
      <c r="L290" s="1" t="s">
        <v>386</v>
      </c>
      <c r="M290" s="1" t="s">
        <v>358</v>
      </c>
      <c r="N290" s="1" t="s">
        <v>358</v>
      </c>
    </row>
    <row r="291" spans="1:14" x14ac:dyDescent="0.15">
      <c r="A291" s="17"/>
      <c r="B291" s="7">
        <v>766000</v>
      </c>
      <c r="C291" s="7" t="s">
        <v>387</v>
      </c>
      <c r="D291" s="2">
        <v>-3.6036100000000002</v>
      </c>
      <c r="E291" s="2">
        <v>-1.8433299999999999</v>
      </c>
      <c r="F291" s="2">
        <f t="shared" si="12"/>
        <v>-1.7602800000000003</v>
      </c>
      <c r="G291" s="8">
        <f t="shared" si="13"/>
        <v>-0.95494566897951016</v>
      </c>
      <c r="H291" s="17" t="str">
        <f t="shared" si="14"/>
        <v>F0</v>
      </c>
      <c r="J291" s="15" t="s">
        <v>48</v>
      </c>
      <c r="K291" s="1" t="s">
        <v>388</v>
      </c>
      <c r="L291" s="1" t="s">
        <v>388</v>
      </c>
      <c r="M291" s="1" t="s">
        <v>358</v>
      </c>
      <c r="N291" s="1" t="s">
        <v>358</v>
      </c>
    </row>
    <row r="292" spans="1:14" ht="14" x14ac:dyDescent="0.15">
      <c r="A292" s="17"/>
      <c r="B292" s="9">
        <v>772000</v>
      </c>
      <c r="C292" s="10" t="s">
        <v>389</v>
      </c>
      <c r="D292" s="2">
        <v>0</v>
      </c>
      <c r="E292" s="2">
        <v>-1.81785</v>
      </c>
      <c r="F292" s="2">
        <f t="shared" si="12"/>
        <v>1.81785</v>
      </c>
      <c r="G292" s="8">
        <f t="shared" si="13"/>
        <v>1</v>
      </c>
      <c r="H292" s="17" t="str">
        <f t="shared" si="14"/>
        <v>X0</v>
      </c>
      <c r="J292" s="15" t="s">
        <v>342</v>
      </c>
      <c r="K292" s="1" t="s">
        <v>390</v>
      </c>
      <c r="L292" s="1" t="s">
        <v>390</v>
      </c>
      <c r="M292" s="1" t="s">
        <v>358</v>
      </c>
      <c r="N292" s="1" t="s">
        <v>358</v>
      </c>
    </row>
    <row r="293" spans="1:14" x14ac:dyDescent="0.15">
      <c r="A293" s="17"/>
      <c r="B293" s="7">
        <v>775200</v>
      </c>
      <c r="C293" s="7" t="s">
        <v>391</v>
      </c>
      <c r="D293" s="2">
        <v>-22.2</v>
      </c>
      <c r="E293" s="2">
        <v>0</v>
      </c>
      <c r="F293" s="2">
        <f t="shared" si="12"/>
        <v>-22.2</v>
      </c>
      <c r="G293" s="8" t="str">
        <f t="shared" si="13"/>
        <v>n/a</v>
      </c>
      <c r="H293" s="17" t="str">
        <f t="shared" si="14"/>
        <v>X0</v>
      </c>
      <c r="J293" s="15" t="s">
        <v>342</v>
      </c>
      <c r="K293" s="1" t="s">
        <v>392</v>
      </c>
      <c r="L293" s="1" t="s">
        <v>392</v>
      </c>
      <c r="M293" s="1" t="s">
        <v>358</v>
      </c>
      <c r="N293" s="1" t="s">
        <v>358</v>
      </c>
    </row>
    <row r="294" spans="1:14" x14ac:dyDescent="0.15">
      <c r="A294" s="17"/>
      <c r="B294" s="7">
        <v>781730</v>
      </c>
      <c r="C294" s="7" t="s">
        <v>393</v>
      </c>
      <c r="D294" s="2">
        <v>-15.058590000000001</v>
      </c>
      <c r="E294" s="2">
        <v>0</v>
      </c>
      <c r="F294" s="2">
        <f t="shared" si="12"/>
        <v>-15.058590000000001</v>
      </c>
      <c r="G294" s="8" t="str">
        <f t="shared" si="13"/>
        <v>n/a</v>
      </c>
      <c r="H294" s="17" t="str">
        <f t="shared" si="14"/>
        <v>S0</v>
      </c>
      <c r="J294" s="15" t="s">
        <v>105</v>
      </c>
      <c r="K294" s="1" t="s">
        <v>394</v>
      </c>
      <c r="L294" s="1" t="s">
        <v>394</v>
      </c>
      <c r="M294" s="1" t="s">
        <v>358</v>
      </c>
      <c r="N294" s="1" t="s">
        <v>358</v>
      </c>
    </row>
    <row r="295" spans="1:14" x14ac:dyDescent="0.15">
      <c r="A295" s="17"/>
      <c r="B295" s="7">
        <v>781740</v>
      </c>
      <c r="C295" s="7" t="s">
        <v>395</v>
      </c>
      <c r="D295" s="2">
        <v>-1.2110099999999999</v>
      </c>
      <c r="E295" s="2">
        <v>-10.711819999999999</v>
      </c>
      <c r="F295" s="2">
        <f t="shared" si="12"/>
        <v>9.5008099999999995</v>
      </c>
      <c r="G295" s="8">
        <f t="shared" si="13"/>
        <v>0.88694638259418102</v>
      </c>
      <c r="H295" s="17" t="str">
        <f t="shared" si="14"/>
        <v>V0</v>
      </c>
      <c r="J295" s="15" t="s">
        <v>127</v>
      </c>
      <c r="K295" s="1" t="s">
        <v>394</v>
      </c>
      <c r="L295" s="1" t="s">
        <v>394</v>
      </c>
      <c r="M295" s="1" t="s">
        <v>358</v>
      </c>
      <c r="N295" s="1" t="s">
        <v>358</v>
      </c>
    </row>
    <row r="296" spans="1:14" x14ac:dyDescent="0.15">
      <c r="A296" s="17"/>
      <c r="B296" s="7">
        <v>791000</v>
      </c>
      <c r="C296" s="7" t="s">
        <v>396</v>
      </c>
      <c r="D296" s="2">
        <v>-23.47466</v>
      </c>
      <c r="E296" s="2">
        <v>-20.42202</v>
      </c>
      <c r="F296" s="2">
        <f t="shared" si="12"/>
        <v>-3.0526400000000002</v>
      </c>
      <c r="G296" s="8">
        <f t="shared" si="13"/>
        <v>-0.14947786751751296</v>
      </c>
      <c r="H296" s="17" t="str">
        <f t="shared" si="14"/>
        <v>T0</v>
      </c>
      <c r="J296" s="15" t="s">
        <v>190</v>
      </c>
      <c r="K296" s="1" t="s">
        <v>397</v>
      </c>
      <c r="L296" s="1" t="s">
        <v>397</v>
      </c>
      <c r="M296" s="1" t="s">
        <v>358</v>
      </c>
      <c r="N296" s="1" t="s">
        <v>358</v>
      </c>
    </row>
    <row r="297" spans="1:14" x14ac:dyDescent="0.15">
      <c r="A297" s="17"/>
      <c r="B297" s="7">
        <v>791500</v>
      </c>
      <c r="C297" s="7" t="s">
        <v>398</v>
      </c>
      <c r="D297" s="2">
        <v>-11.56532</v>
      </c>
      <c r="E297" s="2">
        <v>0</v>
      </c>
      <c r="F297" s="2">
        <f t="shared" si="12"/>
        <v>-11.56532</v>
      </c>
      <c r="G297" s="8" t="str">
        <f t="shared" si="13"/>
        <v>n/a</v>
      </c>
      <c r="H297" s="17" t="str">
        <f t="shared" si="14"/>
        <v>T0</v>
      </c>
      <c r="J297" s="15" t="s">
        <v>190</v>
      </c>
      <c r="K297" s="1" t="s">
        <v>397</v>
      </c>
      <c r="L297" s="1" t="s">
        <v>397</v>
      </c>
      <c r="M297" s="1" t="s">
        <v>358</v>
      </c>
      <c r="N297" s="1" t="s">
        <v>358</v>
      </c>
    </row>
    <row r="299" spans="1:14" x14ac:dyDescent="0.15">
      <c r="B299" s="19" t="s">
        <v>399</v>
      </c>
      <c r="C299" s="18"/>
      <c r="D299" s="18"/>
      <c r="E299" s="18"/>
      <c r="F299" s="18"/>
    </row>
    <row r="300" spans="1:14" x14ac:dyDescent="0.15">
      <c r="B300" s="18"/>
      <c r="C300" s="18" t="s">
        <v>400</v>
      </c>
      <c r="D300" s="18">
        <f>SUMIF($M$10:$M$297, "Actif",$D$10:$D$297)</f>
        <v>12091.68101</v>
      </c>
      <c r="E300" s="18">
        <f>SUMIF($N$10:$N$297, "Actif",$E$10:$E$297)</f>
        <v>8458.2285899999752</v>
      </c>
      <c r="F300" s="18"/>
    </row>
    <row r="301" spans="1:14" x14ac:dyDescent="0.15">
      <c r="B301" s="18"/>
      <c r="C301" s="18" t="s">
        <v>401</v>
      </c>
      <c r="D301" s="18">
        <f>SUMIF($M$10:$M$297, "Passif",$D$10:$D$297)</f>
        <v>-9327.2456499999953</v>
      </c>
      <c r="E301" s="18">
        <f>SUMIF($N$10:$N$297, "Passif",$E$10:$E$297)</f>
        <v>-7272.934919999997</v>
      </c>
      <c r="F301" s="18"/>
    </row>
    <row r="302" spans="1:14" x14ac:dyDescent="0.15">
      <c r="B302" s="18"/>
      <c r="C302" s="18" t="s">
        <v>402</v>
      </c>
      <c r="D302" s="18">
        <f>SUM($D$300,$D$301)</f>
        <v>2764.4353600000049</v>
      </c>
      <c r="E302" s="18">
        <f>SUM($E$300,$E$301)</f>
        <v>1185.2936699999782</v>
      </c>
      <c r="F302" s="18"/>
    </row>
    <row r="303" spans="1:14" x14ac:dyDescent="0.15">
      <c r="B303" s="18"/>
      <c r="C303" s="18"/>
      <c r="D303" s="18"/>
      <c r="E303" s="18"/>
      <c r="F303" s="18"/>
    </row>
    <row r="304" spans="1:14" x14ac:dyDescent="0.15">
      <c r="B304" s="19" t="s">
        <v>403</v>
      </c>
      <c r="C304" s="18"/>
      <c r="D304" s="18"/>
      <c r="E304" s="18"/>
      <c r="F304" s="18"/>
    </row>
    <row r="305" spans="2:6" x14ac:dyDescent="0.15">
      <c r="B305" s="18"/>
      <c r="C305" s="18" t="s">
        <v>404</v>
      </c>
      <c r="D305" s="18">
        <f>-SUMIF($M$10:$M$297, "Produits",$D$10:$D$297)</f>
        <v>14700.96328</v>
      </c>
      <c r="E305" s="18">
        <f>-SUMIF($N$10:$N$297, "Produits",$E$10:$E$297)</f>
        <v>12796.787830000085</v>
      </c>
      <c r="F305" s="18"/>
    </row>
    <row r="306" spans="2:6" x14ac:dyDescent="0.15">
      <c r="B306" s="18"/>
      <c r="C306" s="18" t="s">
        <v>405</v>
      </c>
      <c r="D306" s="18">
        <f>-SUMIF($M$10:$M$297, "Charges",$D$10:$D$297)</f>
        <v>-11936.52792</v>
      </c>
      <c r="E306" s="18">
        <f>-SUMIF($N$10:$N$297, "Charges",$E$10:$E$297)</f>
        <v>-11611.494160000006</v>
      </c>
      <c r="F306" s="18"/>
    </row>
    <row r="307" spans="2:6" x14ac:dyDescent="0.15">
      <c r="B307" s="18"/>
      <c r="C307" s="18" t="s">
        <v>43</v>
      </c>
      <c r="D307" s="18">
        <f>SUM($D$305,$D$306)</f>
        <v>2764.4353599999995</v>
      </c>
      <c r="E307" s="18">
        <f>SUM($E$305,$E$306)</f>
        <v>1185.2936700000791</v>
      </c>
      <c r="F307" s="18"/>
    </row>
    <row r="308" spans="2:6" x14ac:dyDescent="0.15">
      <c r="D308" s="20" t="str">
        <f>IF($D$307&gt;=0,"(Gain)  ","(Perte)  ")</f>
        <v xml:space="preserve">(Gain)  </v>
      </c>
      <c r="E308" s="20" t="str">
        <f>IF($E$307&gt;=0,"(Gain)  ","(Perte)  ")</f>
        <v xml:space="preserve">(Gain)  </v>
      </c>
    </row>
    <row r="310" spans="2:6" x14ac:dyDescent="0.15">
      <c r="C310" s="1" t="s">
        <v>406</v>
      </c>
      <c r="D310" s="1">
        <f>ROUND(D302,2)-ROUND(D307,2)</f>
        <v>0</v>
      </c>
      <c r="E310" s="1">
        <f>ROUND(E302,2)-ROUND(E307,2)</f>
        <v>0</v>
      </c>
    </row>
  </sheetData>
  <autoFilter ref="A8:N297" xr:uid="{AB0F127A-D013-4522-A105-1F05C4BE3E99}"/>
  <conditionalFormatting sqref="D4">
    <cfRule type="expression" dxfId="71" priority="1" stopIfTrue="1">
      <formula>ISBLANK(D4)</formula>
    </cfRule>
  </conditionalFormatting>
  <conditionalFormatting sqref="D8">
    <cfRule type="expression" dxfId="70" priority="2" stopIfTrue="1">
      <formula>$D$8="Date N ?"</formula>
    </cfRule>
  </conditionalFormatting>
  <conditionalFormatting sqref="D310:E310">
    <cfRule type="cellIs" dxfId="69" priority="4" stopIfTrue="1" operator="notEqual">
      <formula>0</formula>
    </cfRule>
  </conditionalFormatting>
  <conditionalFormatting sqref="E8">
    <cfRule type="expression" dxfId="68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3834A674-C7CB-48FD-8169-823D47A79F9B}"/>
  </dataValidations>
  <hyperlinks>
    <hyperlink ref="A1" location="Sommaire!C3" display="Retour sommaire" xr:uid="{5E2B3463-9F16-4CD6-A29A-4F3E0663FC60}"/>
  </hyperlinks>
  <printOptions horizontalCentered="1"/>
  <pageMargins left="0.75" right="0.75" top="1" bottom="1" header="0.4921259845" footer="0.4921259845"/>
  <pageSetup paperSize="9" fitToHeight="0" orientation="portrait" r:id="rId1"/>
  <headerFooter alignWithMargins="0">
    <oddHeader>&amp;L&amp;10Dossier : GILAC
Date de clôture : 31/12/2024&amp;C&amp;"Times New Roman,Gras"&amp;12Balances générales auditées : 31/12/2024 Vs 31/12/2023&amp;R&amp;"Times New Roman,Gras"&amp;10
&amp;P/&amp;N</oddHeader>
    <oddFooter>&amp;L&amp;"Times New Roman"&amp;10Firex Audit&amp;C&amp;"Times New Roman"&amp;10&amp;D&amp;R&amp;"Times New Roman"&amp;10Document de travail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383B-63AA-43C6-80E5-FD646BC93553}">
  <sheetPr>
    <pageSetUpPr fitToPage="1"/>
  </sheetPr>
  <dimension ref="A1:N34"/>
  <sheetViews>
    <sheetView showGridLines="0" defaultGridColor="0" colorId="52" workbookViewId="0"/>
  </sheetViews>
  <sheetFormatPr baseColWidth="10" defaultColWidth="12" defaultRowHeight="13" x14ac:dyDescent="0.15"/>
  <cols>
    <col min="1" max="1" width="12" style="1"/>
    <col min="2" max="2" width="41.796875" style="1" bestFit="1" customWidth="1"/>
    <col min="3" max="3" width="0" style="1" hidden="1" customWidth="1"/>
    <col min="4" max="7" width="12" style="1"/>
    <col min="8" max="8" width="1.796875" style="1" customWidth="1"/>
    <col min="9" max="9" width="49.3984375" style="1" bestFit="1" customWidth="1"/>
    <col min="10" max="10" width="0" style="1" hidden="1" customWidth="1"/>
    <col min="11" max="16384" width="12" style="1"/>
  </cols>
  <sheetData>
    <row r="1" spans="1:14" ht="14" x14ac:dyDescent="0.15">
      <c r="A1" s="40" t="s">
        <v>23</v>
      </c>
    </row>
    <row r="3" spans="1:14" ht="18" x14ac:dyDescent="0.15">
      <c r="D3" s="25" t="s">
        <v>4</v>
      </c>
    </row>
    <row r="4" spans="1:14" ht="16" x14ac:dyDescent="0.15">
      <c r="D4" s="23" t="s">
        <v>1</v>
      </c>
    </row>
    <row r="8" spans="1:14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I8" s="5" t="s">
        <v>26</v>
      </c>
      <c r="J8" s="6"/>
      <c r="K8" s="13">
        <v>45657</v>
      </c>
      <c r="L8" s="13">
        <v>45291</v>
      </c>
      <c r="M8" s="6" t="s">
        <v>27</v>
      </c>
      <c r="N8" s="6" t="s">
        <v>28</v>
      </c>
    </row>
    <row r="9" spans="1:14" ht="6" customHeight="1" x14ac:dyDescent="0.15"/>
    <row r="10" spans="1:14" x14ac:dyDescent="0.15">
      <c r="B10" s="12" t="s">
        <v>407</v>
      </c>
      <c r="C10" s="12"/>
      <c r="D10" s="19">
        <f>VLOOKUP(B10,tab_Actif,3,FALSE)</f>
        <v>0</v>
      </c>
      <c r="E10" s="19">
        <f>VLOOKUP(B10,tab_Actif,4,FALSE)</f>
        <v>0</v>
      </c>
      <c r="F10" s="19">
        <f>D10-E10</f>
        <v>0</v>
      </c>
      <c r="G10" s="27" t="str">
        <f>IF(E10=0,"n/a",F10/ABS(E10))</f>
        <v>n/a</v>
      </c>
      <c r="I10" s="1" t="s">
        <v>408</v>
      </c>
      <c r="K10" s="18">
        <f>VLOOKUP("Capital social",tab_Passif,3,FALSE)+VLOOKUP("Primes d'émission, de fusion, d'apport",tab_Passif,3,FALSE)</f>
        <v>1149.8611000000001</v>
      </c>
      <c r="L10" s="18">
        <f>VLOOKUP("Capital social",tab_Passif,4,FALSE)+VLOOKUP("Primes d'émission, de fusion, d'apport",tab_Passif,4,FALSE)</f>
        <v>1150.001</v>
      </c>
      <c r="M10" s="18">
        <f t="shared" ref="M10:M16" si="0">K10-L10</f>
        <v>-0.13989999999989777</v>
      </c>
      <c r="N10" s="26">
        <f t="shared" ref="N10:N16" si="1">IF(L10=0,"n/a",M10/ABS(L10))</f>
        <v>-1.2165206812854752E-4</v>
      </c>
    </row>
    <row r="11" spans="1:14" x14ac:dyDescent="0.15">
      <c r="D11" s="18"/>
      <c r="E11" s="18"/>
      <c r="F11" s="18"/>
      <c r="G11" s="26"/>
      <c r="I11" s="1" t="s">
        <v>40</v>
      </c>
      <c r="K11" s="18">
        <f>VLOOKUP("Ecarts de réévaluation",tab_Passif,3,FALSE)+VLOOKUP("Ecart d'équivalence",tab_Passif,3,FALSE)+VLOOKUP("Réserves",tab_Passif,3,FALSE)</f>
        <v>1966.1934799999999</v>
      </c>
      <c r="L11" s="18">
        <f>VLOOKUP("Ecarts de réévaluation",tab_Passif,4,FALSE)+VLOOKUP("Ecart d'équivalence",tab_Passif,4,FALSE)+VLOOKUP("Réserves",tab_Passif,4,FALSE)</f>
        <v>2280.8998100000003</v>
      </c>
      <c r="M11" s="18">
        <f t="shared" si="0"/>
        <v>-314.70633000000043</v>
      </c>
      <c r="N11" s="26">
        <f t="shared" si="1"/>
        <v>-0.1379746399294936</v>
      </c>
    </row>
    <row r="12" spans="1:14" x14ac:dyDescent="0.15">
      <c r="B12" s="1" t="s">
        <v>409</v>
      </c>
      <c r="D12" s="18">
        <f>VLOOKUP(B12,tab_Actif,3,FALSE)</f>
        <v>191.351</v>
      </c>
      <c r="E12" s="18">
        <f>VLOOKUP(B12,tab_Actif,4,FALSE)</f>
        <v>191.351</v>
      </c>
      <c r="F12" s="18">
        <f>D12-E12</f>
        <v>0</v>
      </c>
      <c r="G12" s="26">
        <f>IF(E12=0,"n/a",F12/ABS(E12))</f>
        <v>0</v>
      </c>
      <c r="I12" s="1" t="s">
        <v>410</v>
      </c>
      <c r="K12" s="18">
        <f>VLOOKUP(I12,tab_Passif,3,FALSE)</f>
        <v>0</v>
      </c>
      <c r="L12" s="18">
        <f>VLOOKUP(I12,tab_Passif,4,FALSE)</f>
        <v>0</v>
      </c>
      <c r="M12" s="18">
        <f t="shared" si="0"/>
        <v>0</v>
      </c>
      <c r="N12" s="26" t="str">
        <f t="shared" si="1"/>
        <v>n/a</v>
      </c>
    </row>
    <row r="13" spans="1:14" x14ac:dyDescent="0.15">
      <c r="B13" s="1" t="s">
        <v>411</v>
      </c>
      <c r="D13" s="18">
        <f>VLOOKUP(B13,tab_Actif,3,FALSE)</f>
        <v>520.01207999999986</v>
      </c>
      <c r="E13" s="18">
        <f>VLOOKUP(B13,tab_Actif,4,FALSE)</f>
        <v>688.72823999999969</v>
      </c>
      <c r="F13" s="18">
        <f>D13-E13</f>
        <v>-168.71615999999983</v>
      </c>
      <c r="G13" s="26">
        <f>IF(E13=0,"n/a",F13/ABS(E13))</f>
        <v>-0.24496768130198918</v>
      </c>
      <c r="I13" s="12" t="s">
        <v>43</v>
      </c>
      <c r="J13" s="12"/>
      <c r="K13" s="19">
        <f>VLOOKUP(I13,tab_Passif,3,FALSE)</f>
        <v>2764.4353599999995</v>
      </c>
      <c r="L13" s="19">
        <f>VLOOKUP(I13,tab_Passif,4,FALSE)</f>
        <v>1185.2936700000791</v>
      </c>
      <c r="M13" s="19">
        <f t="shared" si="0"/>
        <v>1579.1416899999203</v>
      </c>
      <c r="N13" s="27">
        <f t="shared" si="1"/>
        <v>1.3322788520416335</v>
      </c>
    </row>
    <row r="14" spans="1:14" x14ac:dyDescent="0.15">
      <c r="B14" s="1" t="s">
        <v>412</v>
      </c>
      <c r="D14" s="18">
        <f>VLOOKUP(B14,tab_Actif,3,FALSE)</f>
        <v>3932.5959999999995</v>
      </c>
      <c r="E14" s="18">
        <f>VLOOKUP(B14,tab_Actif,4,FALSE)</f>
        <v>599.2129900000001</v>
      </c>
      <c r="F14" s="18">
        <f>D14-E14</f>
        <v>3333.3830099999996</v>
      </c>
      <c r="G14" s="26">
        <f>IF(E14=0,"n/a",F14/ABS(E14))</f>
        <v>5.5629351593329091</v>
      </c>
      <c r="I14" s="1" t="s">
        <v>413</v>
      </c>
      <c r="K14" s="18">
        <f>VLOOKUP(I14,tab_Passif,3,FALSE)</f>
        <v>0</v>
      </c>
      <c r="L14" s="18">
        <f>VLOOKUP(I14,tab_Passif,4,FALSE)</f>
        <v>0</v>
      </c>
      <c r="M14" s="18">
        <f t="shared" si="0"/>
        <v>0</v>
      </c>
      <c r="N14" s="26" t="str">
        <f t="shared" si="1"/>
        <v>n/a</v>
      </c>
    </row>
    <row r="15" spans="1:14" x14ac:dyDescent="0.15">
      <c r="D15" s="18"/>
      <c r="E15" s="18"/>
      <c r="F15" s="18"/>
      <c r="G15" s="26"/>
      <c r="I15" s="1" t="s">
        <v>414</v>
      </c>
      <c r="K15" s="18">
        <f>VLOOKUP(I15,tab_Passif,3,FALSE)</f>
        <v>0</v>
      </c>
      <c r="L15" s="18">
        <f>VLOOKUP(I15,tab_Passif,4,FALSE)</f>
        <v>0</v>
      </c>
      <c r="M15" s="18">
        <f t="shared" si="0"/>
        <v>0</v>
      </c>
      <c r="N15" s="26" t="str">
        <f t="shared" si="1"/>
        <v>n/a</v>
      </c>
    </row>
    <row r="16" spans="1:14" x14ac:dyDescent="0.15">
      <c r="B16" s="31" t="s">
        <v>415</v>
      </c>
      <c r="C16" s="31"/>
      <c r="D16" s="32">
        <f>SUBTOTAL(9,D12:D15)</f>
        <v>4643.9590799999996</v>
      </c>
      <c r="E16" s="32">
        <f>SUBTOTAL(9,E12:E15)</f>
        <v>1479.2922299999998</v>
      </c>
      <c r="F16" s="32">
        <f>D16-E16</f>
        <v>3164.6668499999996</v>
      </c>
      <c r="G16" s="33">
        <f>IF(E16=0,"n/a",F16/ABS(E16))</f>
        <v>2.1393114800582711</v>
      </c>
      <c r="I16" s="31" t="s">
        <v>416</v>
      </c>
      <c r="J16" s="31"/>
      <c r="K16" s="32">
        <f>SUBTOTAL(9,K10:K15)</f>
        <v>5880.4899399999995</v>
      </c>
      <c r="L16" s="32">
        <f>SUBTOTAL(9,L10:L15)</f>
        <v>4616.1944800000792</v>
      </c>
      <c r="M16" s="32">
        <f t="shared" si="0"/>
        <v>1264.2954599999202</v>
      </c>
      <c r="N16" s="33">
        <f t="shared" si="1"/>
        <v>0.2738826246332452</v>
      </c>
    </row>
    <row r="17" spans="2:14" ht="6" customHeight="1" x14ac:dyDescent="0.15">
      <c r="D17" s="18"/>
      <c r="E17" s="18"/>
      <c r="F17" s="18"/>
      <c r="G17" s="26"/>
      <c r="K17" s="18"/>
      <c r="L17" s="18"/>
      <c r="M17" s="18"/>
      <c r="N17" s="26"/>
    </row>
    <row r="18" spans="2:14" x14ac:dyDescent="0.15">
      <c r="D18" s="18"/>
      <c r="E18" s="18"/>
      <c r="F18" s="18"/>
      <c r="G18" s="26"/>
      <c r="I18" s="12" t="s">
        <v>417</v>
      </c>
      <c r="J18" s="12"/>
      <c r="K18" s="19">
        <f>VLOOKUP(I18,tab_Passif,3,FALSE)</f>
        <v>0</v>
      </c>
      <c r="L18" s="19">
        <f>VLOOKUP(I18,tab_Passif,4,FALSE)</f>
        <v>0</v>
      </c>
      <c r="M18" s="19">
        <f>K18-L18</f>
        <v>0</v>
      </c>
      <c r="N18" s="27" t="str">
        <f>IF(L18=0,"n/a",M18/ABS(L18))</f>
        <v>n/a</v>
      </c>
    </row>
    <row r="19" spans="2:14" ht="6" customHeight="1" x14ac:dyDescent="0.15">
      <c r="D19" s="18"/>
      <c r="E19" s="18"/>
      <c r="F19" s="18"/>
      <c r="G19" s="26"/>
      <c r="K19" s="18"/>
      <c r="L19" s="18"/>
      <c r="M19" s="18"/>
      <c r="N19" s="26"/>
    </row>
    <row r="20" spans="2:14" x14ac:dyDescent="0.15">
      <c r="D20" s="18"/>
      <c r="E20" s="18"/>
      <c r="F20" s="18"/>
      <c r="G20" s="26"/>
      <c r="I20" s="12" t="s">
        <v>418</v>
      </c>
      <c r="J20" s="12"/>
      <c r="K20" s="19">
        <f>VLOOKUP(I20,tab_Passif,3,FALSE)</f>
        <v>30</v>
      </c>
      <c r="L20" s="19">
        <f>VLOOKUP(I20,tab_Passif,4,FALSE)</f>
        <v>30</v>
      </c>
      <c r="M20" s="19">
        <f>K20-L20</f>
        <v>0</v>
      </c>
      <c r="N20" s="27">
        <f>IF(L20=0,"n/a",M20/ABS(L20))</f>
        <v>0</v>
      </c>
    </row>
    <row r="21" spans="2:14" ht="6" customHeight="1" x14ac:dyDescent="0.15">
      <c r="D21" s="18"/>
      <c r="E21" s="18"/>
      <c r="F21" s="18"/>
      <c r="G21" s="26"/>
      <c r="K21" s="18"/>
      <c r="L21" s="18"/>
      <c r="M21" s="18"/>
      <c r="N21" s="26"/>
    </row>
    <row r="22" spans="2:14" x14ac:dyDescent="0.15">
      <c r="B22" s="1" t="s">
        <v>419</v>
      </c>
      <c r="D22" s="18">
        <f t="shared" ref="D22:D27" si="2">VLOOKUP(B22,tab_Actif,3,FALSE)</f>
        <v>2944.3167399999998</v>
      </c>
      <c r="E22" s="18">
        <f t="shared" ref="E22:E27" si="3">VLOOKUP(B22,tab_Actif,4,FALSE)</f>
        <v>2569.9226900000003</v>
      </c>
      <c r="F22" s="18">
        <f t="shared" ref="F22:F28" si="4">D22-E22</f>
        <v>374.39404999999942</v>
      </c>
      <c r="G22" s="26">
        <f t="shared" ref="G22:G28" si="5">IF(E22=0,"n/a",F22/ABS(E22))</f>
        <v>0.14568300107113313</v>
      </c>
      <c r="I22" s="1" t="s">
        <v>420</v>
      </c>
      <c r="K22" s="18">
        <f>VLOOKUP("Emprunts obligataires convertibles",tab_Passif,3,FALSE)+VLOOKUP("Autres emprunts obligataires",tab_Passif,3,FALSE)+VLOOKUP("Emprunts et dettes auprès d'établissements de crédit",tab_Passif,3,FALSE)+VLOOKUP("Emprunts et dettes financières",tab_Passif,3,FALSE)</f>
        <v>4835.5864999999994</v>
      </c>
      <c r="L22" s="18">
        <f>VLOOKUP("Emprunts obligataires convertibles",tab_Passif,4,FALSE)+VLOOKUP("Autres emprunts obligataires",tab_Passif,4,FALSE)+VLOOKUP("Emprunts et dettes auprès d'établissements de crédit",tab_Passif,4,FALSE)+VLOOKUP("Emprunts et dettes financières",tab_Passif,4,FALSE)</f>
        <v>1282.3228000000001</v>
      </c>
      <c r="M22" s="18">
        <f t="shared" ref="M22:M28" si="6">K22-L22</f>
        <v>3553.2636999999995</v>
      </c>
      <c r="N22" s="26">
        <f t="shared" ref="N22:N28" si="7">IF(L22=0,"n/a",M22/ABS(L22))</f>
        <v>2.7709588412527633</v>
      </c>
    </row>
    <row r="23" spans="2:14" x14ac:dyDescent="0.15">
      <c r="B23" s="1" t="s">
        <v>421</v>
      </c>
      <c r="D23" s="18">
        <f t="shared" si="2"/>
        <v>0</v>
      </c>
      <c r="E23" s="18">
        <f t="shared" si="3"/>
        <v>0</v>
      </c>
      <c r="F23" s="18">
        <f t="shared" si="4"/>
        <v>0</v>
      </c>
      <c r="G23" s="26" t="str">
        <f t="shared" si="5"/>
        <v>n/a</v>
      </c>
      <c r="I23" s="1" t="s">
        <v>422</v>
      </c>
      <c r="K23" s="18">
        <f>VLOOKUP(I23,tab_Passif,3,FALSE)</f>
        <v>0</v>
      </c>
      <c r="L23" s="18">
        <f>VLOOKUP(I23,tab_Passif,4,FALSE)</f>
        <v>0</v>
      </c>
      <c r="M23" s="18">
        <f t="shared" si="6"/>
        <v>0</v>
      </c>
      <c r="N23" s="26" t="str">
        <f t="shared" si="7"/>
        <v>n/a</v>
      </c>
    </row>
    <row r="24" spans="2:14" x14ac:dyDescent="0.15">
      <c r="B24" s="1" t="s">
        <v>128</v>
      </c>
      <c r="D24" s="18">
        <f t="shared" si="2"/>
        <v>1829.1075200000025</v>
      </c>
      <c r="E24" s="18">
        <f t="shared" si="3"/>
        <v>1892.2450799999745</v>
      </c>
      <c r="F24" s="18">
        <f t="shared" si="4"/>
        <v>-63.137559999971927</v>
      </c>
      <c r="G24" s="26">
        <f t="shared" si="5"/>
        <v>-3.3366481259379348E-2</v>
      </c>
      <c r="I24" s="1" t="s">
        <v>122</v>
      </c>
      <c r="K24" s="18">
        <f>VLOOKUP(I24,tab_Passif,3,FALSE)</f>
        <v>1008.7845499999987</v>
      </c>
      <c r="L24" s="18">
        <f>VLOOKUP(I24,tab_Passif,4,FALSE)</f>
        <v>2181.3936399999993</v>
      </c>
      <c r="M24" s="18">
        <f t="shared" si="6"/>
        <v>-1172.6090900000006</v>
      </c>
      <c r="N24" s="26">
        <f t="shared" si="7"/>
        <v>-0.5375504303753269</v>
      </c>
    </row>
    <row r="25" spans="2:14" x14ac:dyDescent="0.15">
      <c r="B25" s="1" t="s">
        <v>423</v>
      </c>
      <c r="D25" s="18">
        <f t="shared" si="2"/>
        <v>1278.5909500000002</v>
      </c>
      <c r="E25" s="18">
        <f t="shared" si="3"/>
        <v>581.25796999999989</v>
      </c>
      <c r="F25" s="18">
        <f t="shared" si="4"/>
        <v>697.33298000000036</v>
      </c>
      <c r="G25" s="26">
        <f t="shared" si="5"/>
        <v>1.1996962037354955</v>
      </c>
      <c r="I25" s="1" t="s">
        <v>424</v>
      </c>
      <c r="K25" s="18">
        <f>VLOOKUP(I25,tab_Passif,3,FALSE)</f>
        <v>336.34552999999994</v>
      </c>
      <c r="L25" s="18">
        <f>VLOOKUP(I25,tab_Passif,4,FALSE)</f>
        <v>345.96172000000058</v>
      </c>
      <c r="M25" s="18">
        <f t="shared" si="6"/>
        <v>-9.6161900000006426</v>
      </c>
      <c r="N25" s="26">
        <f t="shared" si="7"/>
        <v>-2.7795531829361429E-2</v>
      </c>
    </row>
    <row r="26" spans="2:14" x14ac:dyDescent="0.15">
      <c r="B26" s="1" t="s">
        <v>425</v>
      </c>
      <c r="D26" s="18">
        <f t="shared" si="2"/>
        <v>0</v>
      </c>
      <c r="E26" s="18">
        <f t="shared" si="3"/>
        <v>0</v>
      </c>
      <c r="F26" s="18">
        <f t="shared" si="4"/>
        <v>0</v>
      </c>
      <c r="G26" s="26" t="str">
        <f t="shared" si="5"/>
        <v>n/a</v>
      </c>
      <c r="I26" s="1" t="s">
        <v>426</v>
      </c>
      <c r="K26" s="18">
        <f>VLOOKUP(I26,tab_Passif,3,FALSE)</f>
        <v>0</v>
      </c>
      <c r="L26" s="18">
        <f>VLOOKUP(I26,tab_Passif,4,FALSE)</f>
        <v>0</v>
      </c>
      <c r="M26" s="18">
        <f t="shared" si="6"/>
        <v>0</v>
      </c>
      <c r="N26" s="26" t="str">
        <f t="shared" si="7"/>
        <v>n/a</v>
      </c>
    </row>
    <row r="27" spans="2:14" x14ac:dyDescent="0.15">
      <c r="B27" s="1" t="s">
        <v>427</v>
      </c>
      <c r="D27" s="18">
        <f t="shared" si="2"/>
        <v>1378.1610299999995</v>
      </c>
      <c r="E27" s="18">
        <f t="shared" si="3"/>
        <v>1926.1826200000005</v>
      </c>
      <c r="F27" s="18">
        <f t="shared" si="4"/>
        <v>-548.02159000000097</v>
      </c>
      <c r="G27" s="26">
        <f t="shared" si="5"/>
        <v>-0.28451175101974541</v>
      </c>
      <c r="I27" s="1" t="s">
        <v>428</v>
      </c>
      <c r="K27" s="18">
        <f>VLOOKUP(I27,tab_Passif,3,FALSE)</f>
        <v>0.47449000000000002</v>
      </c>
      <c r="L27" s="18">
        <f>VLOOKUP(I27,tab_Passif,4,FALSE)</f>
        <v>2.3559500000000506</v>
      </c>
      <c r="M27" s="18">
        <f t="shared" si="6"/>
        <v>-1.8814600000000505</v>
      </c>
      <c r="N27" s="26">
        <f t="shared" si="7"/>
        <v>-0.79859929115643802</v>
      </c>
    </row>
    <row r="28" spans="2:14" x14ac:dyDescent="0.15">
      <c r="B28" s="31" t="s">
        <v>429</v>
      </c>
      <c r="C28" s="31"/>
      <c r="D28" s="32">
        <f>SUBTOTAL(9,D22:D27)</f>
        <v>7430.1762400000025</v>
      </c>
      <c r="E28" s="32">
        <f>SUBTOTAL(9,E22:E27)</f>
        <v>6969.6083599999747</v>
      </c>
      <c r="F28" s="32">
        <f t="shared" si="4"/>
        <v>460.5678800000278</v>
      </c>
      <c r="G28" s="33">
        <f t="shared" si="5"/>
        <v>6.6082318576653781E-2</v>
      </c>
      <c r="I28" s="31" t="s">
        <v>430</v>
      </c>
      <c r="J28" s="31"/>
      <c r="K28" s="32">
        <f>SUBTOTAL(9,K22:K27)</f>
        <v>6181.1910699999971</v>
      </c>
      <c r="L28" s="32">
        <f>SUBTOTAL(9,L22:L27)</f>
        <v>3812.0341100000001</v>
      </c>
      <c r="M28" s="32">
        <f t="shared" si="6"/>
        <v>2369.1569599999971</v>
      </c>
      <c r="N28" s="33">
        <f t="shared" si="7"/>
        <v>0.62149416601101637</v>
      </c>
    </row>
    <row r="29" spans="2:14" ht="6" customHeight="1" x14ac:dyDescent="0.15">
      <c r="D29" s="18"/>
      <c r="E29" s="18"/>
      <c r="F29" s="18"/>
      <c r="G29" s="26"/>
      <c r="K29" s="18"/>
      <c r="L29" s="18"/>
      <c r="M29" s="18"/>
      <c r="N29" s="26"/>
    </row>
    <row r="30" spans="2:14" x14ac:dyDescent="0.15">
      <c r="B30" s="1" t="s">
        <v>431</v>
      </c>
      <c r="D30" s="18">
        <f>VLOOKUP(B30,tab_Actif,3,FALSE)</f>
        <v>17.545690000000004</v>
      </c>
      <c r="E30" s="18">
        <f>VLOOKUP(B30,tab_Actif,4,FALSE)</f>
        <v>9.3279999999999994</v>
      </c>
      <c r="F30" s="18">
        <f>D30-E30</f>
        <v>8.2176900000000046</v>
      </c>
      <c r="G30" s="26">
        <f>IF(E30=0,"n/a",F30/ABS(E30))</f>
        <v>0.88097019725557513</v>
      </c>
      <c r="I30" s="1" t="s">
        <v>431</v>
      </c>
      <c r="K30" s="18">
        <f>VLOOKUP(I30,tab_Passif,3,FALSE)</f>
        <v>0</v>
      </c>
      <c r="L30" s="18">
        <f>VLOOKUP(I30,tab_Passif,4,FALSE)</f>
        <v>0</v>
      </c>
      <c r="M30" s="18">
        <f>K30-L30</f>
        <v>0</v>
      </c>
      <c r="N30" s="26" t="str">
        <f>IF(L30=0,"n/a",M30/ABS(L30))</f>
        <v>n/a</v>
      </c>
    </row>
    <row r="31" spans="2:14" ht="6" customHeight="1" x14ac:dyDescent="0.15">
      <c r="D31" s="18"/>
      <c r="E31" s="18"/>
      <c r="F31" s="18"/>
      <c r="G31" s="26"/>
      <c r="K31" s="18"/>
      <c r="L31" s="18"/>
      <c r="M31" s="18"/>
      <c r="N31" s="26"/>
    </row>
    <row r="32" spans="2:14" ht="14" thickBot="1" x14ac:dyDescent="0.2">
      <c r="B32" s="34" t="s">
        <v>432</v>
      </c>
      <c r="C32" s="34"/>
      <c r="D32" s="35">
        <f>SUBTOTAL(9,D9:D31)</f>
        <v>12091.681010000002</v>
      </c>
      <c r="E32" s="35">
        <f>SUBTOTAL(9,E9:E31)</f>
        <v>8458.2285899999752</v>
      </c>
      <c r="F32" s="35">
        <f>D32-E32</f>
        <v>3633.4524200000269</v>
      </c>
      <c r="G32" s="36">
        <f>IF(E32=0,"n/a",F32/ABS(E32))</f>
        <v>0.42957604909091701</v>
      </c>
      <c r="I32" s="34" t="s">
        <v>433</v>
      </c>
      <c r="J32" s="34"/>
      <c r="K32" s="35">
        <f>SUBTOTAL(9,K9:K31)</f>
        <v>12091.681009999998</v>
      </c>
      <c r="L32" s="35">
        <f>SUBTOTAL(9,L9:L31)</f>
        <v>8458.2285900000788</v>
      </c>
      <c r="M32" s="35">
        <f>K32-L32</f>
        <v>3633.4524199999196</v>
      </c>
      <c r="N32" s="36">
        <f>IF(L32=0,"n/a",M32/ABS(L32))</f>
        <v>0.42957604909089903</v>
      </c>
    </row>
    <row r="33" spans="2:14" x14ac:dyDescent="0.15">
      <c r="D33" s="18"/>
      <c r="E33" s="18"/>
      <c r="F33" s="18"/>
      <c r="G33" s="26"/>
      <c r="K33" s="18"/>
      <c r="L33" s="18"/>
      <c r="M33" s="18"/>
      <c r="N33" s="26"/>
    </row>
    <row r="34" spans="2:14" x14ac:dyDescent="0.15">
      <c r="B34" s="1" t="s">
        <v>434</v>
      </c>
      <c r="D34" s="18">
        <f>D32-K32</f>
        <v>0</v>
      </c>
      <c r="E34" s="18">
        <f>E32-L32</f>
        <v>-1.0368239600211382E-10</v>
      </c>
      <c r="F34" s="18"/>
      <c r="G34" s="26"/>
      <c r="K34" s="18"/>
      <c r="L34" s="18"/>
      <c r="M34" s="18"/>
      <c r="N34" s="26"/>
    </row>
  </sheetData>
  <conditionalFormatting sqref="D8">
    <cfRule type="expression" dxfId="67" priority="3" stopIfTrue="1">
      <formula>$D$8="Date N ?"</formula>
    </cfRule>
  </conditionalFormatting>
  <conditionalFormatting sqref="D34:E34">
    <cfRule type="cellIs" dxfId="66" priority="5" stopIfTrue="1" operator="notEqual">
      <formula>0</formula>
    </cfRule>
  </conditionalFormatting>
  <conditionalFormatting sqref="E8">
    <cfRule type="expression" dxfId="65" priority="4" stopIfTrue="1">
      <formula>$E$8="Date N-1 ?"</formula>
    </cfRule>
  </conditionalFormatting>
  <conditionalFormatting sqref="K8">
    <cfRule type="expression" dxfId="64" priority="1" stopIfTrue="1">
      <formula>$D$8="Date N ?"</formula>
    </cfRule>
  </conditionalFormatting>
  <conditionalFormatting sqref="L8">
    <cfRule type="expression" dxfId="63" priority="2" stopIfTrue="1">
      <formula>$E$8="Date N-1 ?"</formula>
    </cfRule>
  </conditionalFormatting>
  <hyperlinks>
    <hyperlink ref="A1" location="Sommaire!C3" display="Retour sommaire" xr:uid="{B86B89B6-B294-41DC-9323-711A07F92AB5}"/>
  </hyperlinks>
  <printOptions horizontalCentered="1" verticalCentered="1"/>
  <pageMargins left="0.7" right="0.7" top="0.75" bottom="0.75" header="0.3" footer="0.3"/>
  <pageSetup paperSize="9" scale="77" orientation="landscape" r:id="rId1"/>
  <headerFooter>
    <oddHeader>&amp;L&amp;10Dossier : GILAC
Date de clôture : 31/12/2024&amp;C&amp;"Times New Roman,Gras"&amp;12Bilan</oddHeader>
    <oddFooter>&amp;L&amp;"Times New Roman"&amp;10Firex Audit&amp;C&amp;"Times New Roman"&amp;10&amp;D&amp;R&amp;"Times New Roman"&amp;10Document de travail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CA1C-24C1-4225-B324-9442A78B439B}">
  <sheetPr>
    <pageSetUpPr fitToPage="1"/>
  </sheetPr>
  <dimension ref="A1:G51"/>
  <sheetViews>
    <sheetView showGridLines="0" defaultGridColor="0" colorId="52" zoomScale="82" zoomScaleNormal="100" workbookViewId="0">
      <selection activeCell="T48" sqref="T48"/>
    </sheetView>
  </sheetViews>
  <sheetFormatPr baseColWidth="10" defaultColWidth="12" defaultRowHeight="13" x14ac:dyDescent="0.15"/>
  <cols>
    <col min="1" max="1" width="12" style="1"/>
    <col min="2" max="2" width="54.3984375" style="1" bestFit="1" customWidth="1"/>
    <col min="3" max="3" width="0" style="1" hidden="1" customWidth="1"/>
    <col min="4" max="16384" width="12" style="1"/>
  </cols>
  <sheetData>
    <row r="1" spans="1:7" ht="14" x14ac:dyDescent="0.15">
      <c r="A1" s="40" t="s">
        <v>23</v>
      </c>
    </row>
    <row r="3" spans="1:7" ht="18" x14ac:dyDescent="0.15">
      <c r="D3" s="25" t="s">
        <v>5</v>
      </c>
    </row>
    <row r="4" spans="1:7" ht="16" x14ac:dyDescent="0.15">
      <c r="D4" s="23" t="s">
        <v>1</v>
      </c>
    </row>
    <row r="8" spans="1:7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</row>
    <row r="9" spans="1:7" ht="6" customHeight="1" x14ac:dyDescent="0.15"/>
    <row r="10" spans="1:7" x14ac:dyDescent="0.15">
      <c r="B10" s="1" t="s">
        <v>364</v>
      </c>
      <c r="D10" s="18">
        <f>VLOOKUP(B10,tab_PnL,3,FALSE)</f>
        <v>1447.3114399999999</v>
      </c>
      <c r="E10" s="18">
        <f>VLOOKUP(B10,tab_PnL,4,FALSE)</f>
        <v>1199.7165899999998</v>
      </c>
      <c r="F10" s="18">
        <f>D10-E10</f>
        <v>247.59485000000018</v>
      </c>
      <c r="G10" s="26">
        <f>IF(E10=0,"n/a",F10/ABS(E10))</f>
        <v>0.20637778293955261</v>
      </c>
    </row>
    <row r="11" spans="1:7" x14ac:dyDescent="0.15">
      <c r="B11" s="1" t="s">
        <v>357</v>
      </c>
      <c r="D11" s="18">
        <f>VLOOKUP(B11,tab_PnL,3,FALSE)</f>
        <v>12940.438959999999</v>
      </c>
      <c r="E11" s="18">
        <f>VLOOKUP(B11,tab_PnL,4,FALSE)</f>
        <v>11568.799980000085</v>
      </c>
      <c r="F11" s="18">
        <f>D11-E11</f>
        <v>1371.6389799999142</v>
      </c>
      <c r="G11" s="26">
        <f>IF(E11=0,"n/a",F11/ABS(E11))</f>
        <v>0.11856363515413672</v>
      </c>
    </row>
    <row r="12" spans="1:7" x14ac:dyDescent="0.15">
      <c r="B12" s="12" t="s">
        <v>435</v>
      </c>
      <c r="C12" s="12"/>
      <c r="D12" s="19">
        <f>SUM(D10:D11)</f>
        <v>14387.750399999999</v>
      </c>
      <c r="E12" s="19">
        <f>SUM(E10:E11)</f>
        <v>12768.516570000085</v>
      </c>
      <c r="F12" s="19">
        <f>D12-E12</f>
        <v>1619.2338299999137</v>
      </c>
      <c r="G12" s="27">
        <f>IF(E12=0,"n/a",F12/ABS(E12))</f>
        <v>0.12681456151330373</v>
      </c>
    </row>
    <row r="13" spans="1:7" ht="6" customHeight="1" x14ac:dyDescent="0.15">
      <c r="D13" s="18"/>
      <c r="E13" s="18"/>
      <c r="F13" s="18"/>
      <c r="G13" s="26"/>
    </row>
    <row r="14" spans="1:7" x14ac:dyDescent="0.15">
      <c r="B14" s="1" t="s">
        <v>436</v>
      </c>
      <c r="D14" s="18">
        <f>VLOOKUP(B14,tab_PnL,3,FALSE)</f>
        <v>155.16354000000004</v>
      </c>
      <c r="E14" s="18">
        <f>VLOOKUP(B14,tab_PnL,4,FALSE)</f>
        <v>-50.861710000000194</v>
      </c>
      <c r="F14" s="18">
        <f>D14-E14</f>
        <v>206.02525000000023</v>
      </c>
      <c r="G14" s="26">
        <f>IF(E14=0,"n/a",F14/ABS(E14))</f>
        <v>4.0506945204948757</v>
      </c>
    </row>
    <row r="15" spans="1:7" x14ac:dyDescent="0.15">
      <c r="B15" s="1" t="s">
        <v>437</v>
      </c>
      <c r="D15" s="18">
        <f>VLOOKUP(B15,tab_PnL,3,FALSE)</f>
        <v>0</v>
      </c>
      <c r="E15" s="18">
        <f>VLOOKUP(B15,tab_PnL,4,FALSE)</f>
        <v>0</v>
      </c>
      <c r="F15" s="18">
        <f>D15-E15</f>
        <v>0</v>
      </c>
      <c r="G15" s="26" t="str">
        <f>IF(E15=0,"n/a",F15/ABS(E15))</f>
        <v>n/a</v>
      </c>
    </row>
    <row r="16" spans="1:7" x14ac:dyDescent="0.15">
      <c r="B16" s="12" t="s">
        <v>438</v>
      </c>
      <c r="C16" s="12"/>
      <c r="D16" s="19">
        <f>SUM(D12:D15)</f>
        <v>14542.913939999999</v>
      </c>
      <c r="E16" s="19">
        <f>SUM(E12:E15)</f>
        <v>12717.654860000084</v>
      </c>
      <c r="F16" s="19">
        <f>D16-E16</f>
        <v>1825.2590799999143</v>
      </c>
      <c r="G16" s="27">
        <f>IF(E16=0,"n/a",F16/ABS(E16))</f>
        <v>0.14352167125880802</v>
      </c>
    </row>
    <row r="17" spans="2:7" ht="6" customHeight="1" x14ac:dyDescent="0.15">
      <c r="D17" s="18"/>
      <c r="E17" s="18"/>
      <c r="F17" s="18"/>
      <c r="G17" s="26"/>
    </row>
    <row r="18" spans="2:7" x14ac:dyDescent="0.15">
      <c r="B18" s="1" t="s">
        <v>236</v>
      </c>
      <c r="D18" s="18">
        <f>VLOOKUP(B18,tab_PnL,3,FALSE)</f>
        <v>-710.7049300000001</v>
      </c>
      <c r="E18" s="18">
        <f>VLOOKUP(B18,tab_PnL,4,FALSE)</f>
        <v>-570.79016000000001</v>
      </c>
      <c r="F18" s="18">
        <f>D18-E18</f>
        <v>-139.91477000000009</v>
      </c>
      <c r="G18" s="26">
        <f>IF(E18=0,"n/a",F18/ABS(E18))</f>
        <v>-0.24512470572372883</v>
      </c>
    </row>
    <row r="19" spans="2:7" x14ac:dyDescent="0.15">
      <c r="B19" s="1" t="s">
        <v>225</v>
      </c>
      <c r="D19" s="18">
        <f>VLOOKUP(B19,tab_PnL,3,FALSE)</f>
        <v>101.78612</v>
      </c>
      <c r="E19" s="18">
        <f>VLOOKUP(B19,tab_PnL,4,FALSE)</f>
        <v>-5.7379699999999723</v>
      </c>
      <c r="F19" s="18">
        <f>D19-E19</f>
        <v>107.52408999999997</v>
      </c>
      <c r="G19" s="26">
        <f>IF(E19=0,"n/a",F19/ABS(E19))</f>
        <v>18.739047084596205</v>
      </c>
    </row>
    <row r="20" spans="2:7" x14ac:dyDescent="0.15">
      <c r="B20" s="1" t="s">
        <v>212</v>
      </c>
      <c r="D20" s="18">
        <f>VLOOKUP(B20,tab_PnL,3,FALSE)</f>
        <v>-4929.4645500000006</v>
      </c>
      <c r="E20" s="18">
        <f>VLOOKUP(B20,tab_PnL,4,FALSE)</f>
        <v>-5086.2842400000009</v>
      </c>
      <c r="F20" s="18">
        <f>D20-E20</f>
        <v>156.81969000000026</v>
      </c>
      <c r="G20" s="26">
        <f>IF(E20=0,"n/a",F20/ABS(E20))</f>
        <v>3.0831876985309856E-2</v>
      </c>
    </row>
    <row r="21" spans="2:7" x14ac:dyDescent="0.15">
      <c r="B21" s="1" t="s">
        <v>222</v>
      </c>
      <c r="D21" s="18">
        <f>VLOOKUP(B21,tab_PnL,3,FALSE)</f>
        <v>104.32227000000003</v>
      </c>
      <c r="E21" s="18">
        <f>VLOOKUP(B21,tab_PnL,4,FALSE)</f>
        <v>-64.000529999999969</v>
      </c>
      <c r="F21" s="18">
        <f>D21-E21</f>
        <v>168.3228</v>
      </c>
      <c r="G21" s="26">
        <f>IF(E21=0,"n/a",F21/ABS(E21))</f>
        <v>2.6300219701305609</v>
      </c>
    </row>
    <row r="22" spans="2:7" x14ac:dyDescent="0.15">
      <c r="B22" s="12" t="s">
        <v>439</v>
      </c>
      <c r="C22" s="12"/>
      <c r="D22" s="19">
        <f>SUM(D16:D21)</f>
        <v>9108.8528499999993</v>
      </c>
      <c r="E22" s="19">
        <f>SUM(E16:E21)</f>
        <v>6990.8419600000825</v>
      </c>
      <c r="F22" s="19">
        <f>D22-E22</f>
        <v>2118.0108899999168</v>
      </c>
      <c r="G22" s="27">
        <f>IF(E22=0,"n/a",F22/ABS(E22))</f>
        <v>0.30296935649792489</v>
      </c>
    </row>
    <row r="23" spans="2:7" ht="6" customHeight="1" x14ac:dyDescent="0.15">
      <c r="D23" s="18"/>
      <c r="E23" s="18"/>
      <c r="F23" s="18"/>
      <c r="G23" s="26"/>
    </row>
    <row r="24" spans="2:7" x14ac:dyDescent="0.15">
      <c r="B24" s="1" t="s">
        <v>440</v>
      </c>
      <c r="D24" s="18">
        <f t="shared" ref="D24:D33" si="0">VLOOKUP(B24,tab_PnL,3,FALSE)</f>
        <v>0</v>
      </c>
      <c r="E24" s="18">
        <f t="shared" ref="E24:E33" si="1">VLOOKUP(B24,tab_PnL,4,FALSE)</f>
        <v>0</v>
      </c>
      <c r="F24" s="18">
        <f t="shared" ref="F24:F34" si="2">D24-E24</f>
        <v>0</v>
      </c>
      <c r="G24" s="26" t="str">
        <f t="shared" ref="G24:G34" si="3">IF(E24=0,"n/a",F24/ABS(E24))</f>
        <v>n/a</v>
      </c>
    </row>
    <row r="25" spans="2:7" x14ac:dyDescent="0.15">
      <c r="B25" s="1" t="s">
        <v>382</v>
      </c>
      <c r="D25" s="18">
        <f t="shared" si="0"/>
        <v>9.08</v>
      </c>
      <c r="E25" s="18">
        <f t="shared" si="1"/>
        <v>0</v>
      </c>
      <c r="F25" s="18">
        <f t="shared" si="2"/>
        <v>9.08</v>
      </c>
      <c r="G25" s="26" t="str">
        <f t="shared" si="3"/>
        <v>n/a</v>
      </c>
    </row>
    <row r="26" spans="2:7" x14ac:dyDescent="0.15">
      <c r="B26" s="1" t="s">
        <v>397</v>
      </c>
      <c r="D26" s="18">
        <f t="shared" si="0"/>
        <v>35.03998</v>
      </c>
      <c r="E26" s="18">
        <f t="shared" si="1"/>
        <v>20.42202</v>
      </c>
      <c r="F26" s="18">
        <f t="shared" si="2"/>
        <v>14.61796</v>
      </c>
      <c r="G26" s="26">
        <f t="shared" si="3"/>
        <v>0.71579403016939558</v>
      </c>
    </row>
    <row r="27" spans="2:7" x14ac:dyDescent="0.15">
      <c r="B27" s="1" t="s">
        <v>384</v>
      </c>
      <c r="D27" s="18">
        <f t="shared" si="0"/>
        <v>54.54251</v>
      </c>
      <c r="E27" s="18">
        <f t="shared" si="1"/>
        <v>2.0449799999999998</v>
      </c>
      <c r="F27" s="18">
        <f t="shared" si="2"/>
        <v>52.497529999999998</v>
      </c>
      <c r="G27" s="26">
        <f t="shared" si="3"/>
        <v>25.671414879363123</v>
      </c>
    </row>
    <row r="28" spans="2:7" x14ac:dyDescent="0.15">
      <c r="B28" s="1" t="s">
        <v>11</v>
      </c>
      <c r="D28" s="18">
        <f t="shared" si="0"/>
        <v>-3884.7057499999996</v>
      </c>
      <c r="E28" s="18">
        <f t="shared" si="1"/>
        <v>-3370.1992999999975</v>
      </c>
      <c r="F28" s="18">
        <f t="shared" si="2"/>
        <v>-514.50645000000213</v>
      </c>
      <c r="G28" s="26">
        <f t="shared" si="3"/>
        <v>-0.15266350865362843</v>
      </c>
    </row>
    <row r="29" spans="2:7" x14ac:dyDescent="0.15">
      <c r="B29" s="1" t="s">
        <v>300</v>
      </c>
      <c r="D29" s="18">
        <f t="shared" si="0"/>
        <v>-70.679859999999991</v>
      </c>
      <c r="E29" s="18">
        <f t="shared" si="1"/>
        <v>-59.720310000000005</v>
      </c>
      <c r="F29" s="18">
        <f t="shared" si="2"/>
        <v>-10.959549999999986</v>
      </c>
      <c r="G29" s="26">
        <f t="shared" si="3"/>
        <v>-0.18351462006811392</v>
      </c>
    </row>
    <row r="30" spans="2:7" x14ac:dyDescent="0.15">
      <c r="B30" s="1" t="s">
        <v>441</v>
      </c>
      <c r="D30" s="18">
        <f t="shared" si="0"/>
        <v>-2001.2044999999998</v>
      </c>
      <c r="E30" s="18">
        <f t="shared" si="1"/>
        <v>-1633.9772700000001</v>
      </c>
      <c r="F30" s="18">
        <f t="shared" si="2"/>
        <v>-367.22722999999974</v>
      </c>
      <c r="G30" s="26">
        <f t="shared" si="3"/>
        <v>-0.2247443931701692</v>
      </c>
    </row>
    <row r="31" spans="2:7" x14ac:dyDescent="0.15">
      <c r="B31" s="1" t="s">
        <v>442</v>
      </c>
      <c r="D31" s="18">
        <f t="shared" si="0"/>
        <v>0</v>
      </c>
      <c r="E31" s="18">
        <f t="shared" si="1"/>
        <v>0</v>
      </c>
      <c r="F31" s="18">
        <f t="shared" si="2"/>
        <v>0</v>
      </c>
      <c r="G31" s="26" t="str">
        <f t="shared" si="3"/>
        <v>n/a</v>
      </c>
    </row>
    <row r="32" spans="2:7" x14ac:dyDescent="0.15">
      <c r="B32" s="1" t="s">
        <v>332</v>
      </c>
      <c r="D32" s="18">
        <f t="shared" si="0"/>
        <v>-50.7119</v>
      </c>
      <c r="E32" s="18">
        <f t="shared" si="1"/>
        <v>-6.4730999999999996</v>
      </c>
      <c r="F32" s="18">
        <f t="shared" si="2"/>
        <v>-44.238799999999998</v>
      </c>
      <c r="G32" s="26">
        <f t="shared" si="3"/>
        <v>-6.8342525219755608</v>
      </c>
    </row>
    <row r="33" spans="2:7" x14ac:dyDescent="0.15">
      <c r="B33" s="1" t="s">
        <v>443</v>
      </c>
      <c r="D33" s="18">
        <f t="shared" si="0"/>
        <v>0</v>
      </c>
      <c r="E33" s="18">
        <f t="shared" si="1"/>
        <v>0</v>
      </c>
      <c r="F33" s="18">
        <f t="shared" si="2"/>
        <v>0</v>
      </c>
      <c r="G33" s="26" t="str">
        <f t="shared" si="3"/>
        <v>n/a</v>
      </c>
    </row>
    <row r="34" spans="2:7" x14ac:dyDescent="0.15">
      <c r="B34" s="31" t="s">
        <v>444</v>
      </c>
      <c r="C34" s="31"/>
      <c r="D34" s="32">
        <f>SUM(D22:D33)</f>
        <v>3200.2133299999991</v>
      </c>
      <c r="E34" s="32">
        <f>SUM(E22:E33)</f>
        <v>1942.9389800000845</v>
      </c>
      <c r="F34" s="32">
        <f t="shared" si="2"/>
        <v>1257.2743499999146</v>
      </c>
      <c r="G34" s="33">
        <f t="shared" si="3"/>
        <v>0.64709924652387174</v>
      </c>
    </row>
    <row r="35" spans="2:7" ht="6" customHeight="1" x14ac:dyDescent="0.15">
      <c r="D35" s="18"/>
      <c r="E35" s="18"/>
      <c r="F35" s="18"/>
      <c r="G35" s="26"/>
    </row>
    <row r="36" spans="2:7" x14ac:dyDescent="0.15">
      <c r="B36" s="1" t="s">
        <v>394</v>
      </c>
      <c r="D36" s="18">
        <f>VLOOKUP(B36,tab_PnL,3,FALSE)</f>
        <v>16.269600000000001</v>
      </c>
      <c r="E36" s="18">
        <f>VLOOKUP(B36,tab_PnL,4,FALSE)</f>
        <v>10.711819999999999</v>
      </c>
      <c r="F36" s="18">
        <f>D36-E36</f>
        <v>5.5577800000000011</v>
      </c>
      <c r="G36" s="26">
        <f>IF(E36=0,"n/a",F36/ABS(E36))</f>
        <v>0.51884553698624525</v>
      </c>
    </row>
    <row r="37" spans="2:7" x14ac:dyDescent="0.15">
      <c r="B37" s="1" t="s">
        <v>347</v>
      </c>
      <c r="D37" s="18">
        <f>VLOOKUP(B37,tab_PnL,3,FALSE)</f>
        <v>-399.79007000000001</v>
      </c>
      <c r="E37" s="18">
        <f>VLOOKUP(B37,tab_PnL,4,FALSE)</f>
        <v>-302.87905000000001</v>
      </c>
      <c r="F37" s="18">
        <f>D37-E37</f>
        <v>-96.911020000000008</v>
      </c>
      <c r="G37" s="26">
        <f>IF(E37=0,"n/a",F37/ABS(E37))</f>
        <v>-0.31996607226548024</v>
      </c>
    </row>
    <row r="38" spans="2:7" x14ac:dyDescent="0.15">
      <c r="B38" s="1" t="s">
        <v>445</v>
      </c>
      <c r="D38" s="18">
        <f>VLOOKUP(B38,tab_PnL,3,FALSE)</f>
        <v>0</v>
      </c>
      <c r="E38" s="18">
        <f>VLOOKUP(B38,tab_PnL,4,FALSE)</f>
        <v>0</v>
      </c>
      <c r="F38" s="18">
        <f>D38-E38</f>
        <v>0</v>
      </c>
      <c r="G38" s="26" t="str">
        <f>IF(E38=0,"n/a",F38/ABS(E38))</f>
        <v>n/a</v>
      </c>
    </row>
    <row r="39" spans="2:7" x14ac:dyDescent="0.15">
      <c r="B39" s="1" t="s">
        <v>349</v>
      </c>
      <c r="D39" s="18">
        <f>VLOOKUP(B39,tab_PnL,3,FALSE)</f>
        <v>-11.763939999999995</v>
      </c>
      <c r="E39" s="18">
        <f>VLOOKUP(B39,tab_PnL,4,FALSE)</f>
        <v>-21.064520000000002</v>
      </c>
      <c r="F39" s="18">
        <f>D39-E39</f>
        <v>9.3005800000000072</v>
      </c>
      <c r="G39" s="26">
        <f>IF(E39=0,"n/a",F39/ABS(E39))</f>
        <v>0.44152821901472267</v>
      </c>
    </row>
    <row r="40" spans="2:7" ht="6" customHeight="1" x14ac:dyDescent="0.15">
      <c r="D40" s="18"/>
      <c r="E40" s="18"/>
      <c r="F40" s="18"/>
      <c r="G40" s="26"/>
    </row>
    <row r="41" spans="2:7" x14ac:dyDescent="0.15">
      <c r="B41" s="31" t="s">
        <v>5</v>
      </c>
      <c r="C41" s="31"/>
      <c r="D41" s="32">
        <f>SUM(D34:D40)</f>
        <v>2804.9289199999994</v>
      </c>
      <c r="E41" s="32">
        <f>SUM(E34:E40)</f>
        <v>1629.7072300000846</v>
      </c>
      <c r="F41" s="32">
        <f>D41-E41</f>
        <v>1175.2216899999148</v>
      </c>
      <c r="G41" s="33">
        <f>IF(E41=0,"n/a",F41/ABS(E41))</f>
        <v>0.72112442552019229</v>
      </c>
    </row>
    <row r="42" spans="2:7" ht="6" customHeight="1" x14ac:dyDescent="0.15">
      <c r="D42" s="18"/>
      <c r="E42" s="18"/>
      <c r="F42" s="18"/>
      <c r="G42" s="26"/>
    </row>
    <row r="43" spans="2:7" x14ac:dyDescent="0.15">
      <c r="B43" s="1" t="s">
        <v>446</v>
      </c>
      <c r="D43" s="18">
        <f>VLOOKUP(B43,tab_PnL,3,FALSE)</f>
        <v>0</v>
      </c>
      <c r="E43" s="18">
        <f>VLOOKUP(B43,tab_PnL,4,FALSE)</f>
        <v>0</v>
      </c>
      <c r="F43" s="18">
        <f>D43-E43</f>
        <v>0</v>
      </c>
      <c r="G43" s="26" t="str">
        <f>IF(E43=0,"n/a",F43/ABS(E43))</f>
        <v>n/a</v>
      </c>
    </row>
    <row r="44" spans="2:7" x14ac:dyDescent="0.15">
      <c r="B44" s="1" t="s">
        <v>447</v>
      </c>
      <c r="D44" s="18">
        <f>VLOOKUP(B44,tab_PnL,3,FALSE)</f>
        <v>-42.663499999999999</v>
      </c>
      <c r="E44" s="18">
        <f>VLOOKUP(B44,tab_PnL,4,FALSE)</f>
        <v>16.365230000000018</v>
      </c>
      <c r="F44" s="18">
        <f>D44-E44</f>
        <v>-59.028730000000017</v>
      </c>
      <c r="G44" s="26">
        <f>IF(E44=0,"n/a",F44/ABS(E44))</f>
        <v>-3.6069599999511128</v>
      </c>
    </row>
    <row r="45" spans="2:7" x14ac:dyDescent="0.15">
      <c r="B45" s="1" t="s">
        <v>448</v>
      </c>
      <c r="D45" s="18">
        <f>VLOOKUP(B45,tab_PnL,3,FALSE)</f>
        <v>6.6084799999999984</v>
      </c>
      <c r="E45" s="18">
        <f>VLOOKUP(B45,tab_PnL,4,FALSE)</f>
        <v>-14.824090000000002</v>
      </c>
      <c r="F45" s="18">
        <f>D45-E45</f>
        <v>21.432569999999998</v>
      </c>
      <c r="G45" s="26">
        <f>IF(E45=0,"n/a",F45/ABS(E45))</f>
        <v>1.4457932999597274</v>
      </c>
    </row>
    <row r="46" spans="2:7" x14ac:dyDescent="0.15">
      <c r="B46" s="1" t="s">
        <v>352</v>
      </c>
      <c r="D46" s="18">
        <f>VLOOKUP(B46,tab_PnL,3,FALSE)</f>
        <v>0</v>
      </c>
      <c r="E46" s="18">
        <f>VLOOKUP(B46,tab_PnL,4,FALSE)</f>
        <v>-443.64429999999999</v>
      </c>
      <c r="F46" s="18">
        <f>D46-E46</f>
        <v>443.64429999999999</v>
      </c>
      <c r="G46" s="26">
        <f>IF(E46=0,"n/a",F46/ABS(E46))</f>
        <v>1</v>
      </c>
    </row>
    <row r="47" spans="2:7" ht="6" customHeight="1" x14ac:dyDescent="0.15">
      <c r="D47" s="18"/>
      <c r="E47" s="18"/>
      <c r="F47" s="18"/>
      <c r="G47" s="26"/>
    </row>
    <row r="48" spans="2:7" ht="14" thickBot="1" x14ac:dyDescent="0.2">
      <c r="B48" s="34" t="s">
        <v>449</v>
      </c>
      <c r="C48" s="34"/>
      <c r="D48" s="35">
        <f>SUM(D41:D47)</f>
        <v>2768.8738999999991</v>
      </c>
      <c r="E48" s="35">
        <f>SUM(E41:E47)</f>
        <v>1187.6040700000847</v>
      </c>
      <c r="F48" s="35">
        <f>D48-E48</f>
        <v>1581.2698299999145</v>
      </c>
      <c r="G48" s="36">
        <f>IF(E48=0,"n/a",F48/ABS(E48))</f>
        <v>1.3314789583028304</v>
      </c>
    </row>
    <row r="49" spans="2:7" x14ac:dyDescent="0.15">
      <c r="D49" s="18"/>
      <c r="E49" s="18"/>
      <c r="F49" s="18"/>
      <c r="G49" s="26"/>
    </row>
    <row r="50" spans="2:7" x14ac:dyDescent="0.15">
      <c r="B50" s="1" t="s">
        <v>450</v>
      </c>
      <c r="D50" s="18">
        <f>RésultatN</f>
        <v>2764.4353599999995</v>
      </c>
      <c r="E50" s="18">
        <f>RésultatN_1</f>
        <v>1185.2936700000791</v>
      </c>
      <c r="F50" s="18"/>
      <c r="G50" s="26"/>
    </row>
    <row r="51" spans="2:7" x14ac:dyDescent="0.15">
      <c r="B51" s="1" t="s">
        <v>451</v>
      </c>
      <c r="D51" s="18">
        <f>ROUND(D48,2)-ROUND(D50,2)</f>
        <v>4.4299999999998363</v>
      </c>
      <c r="E51" s="18">
        <f>ROUND(E48,2)-ROUND(E50,2)</f>
        <v>2.3099999999999454</v>
      </c>
      <c r="F51" s="18"/>
      <c r="G51" s="26"/>
    </row>
  </sheetData>
  <conditionalFormatting sqref="D8">
    <cfRule type="expression" dxfId="62" priority="1" stopIfTrue="1">
      <formula>$D$8="Date N ?"</formula>
    </cfRule>
  </conditionalFormatting>
  <conditionalFormatting sqref="D51:E51">
    <cfRule type="cellIs" dxfId="61" priority="3" stopIfTrue="1" operator="notEqual">
      <formula>0</formula>
    </cfRule>
  </conditionalFormatting>
  <conditionalFormatting sqref="E8">
    <cfRule type="expression" dxfId="60" priority="2" stopIfTrue="1">
      <formula>$E$8="Date N-1 ?"</formula>
    </cfRule>
  </conditionalFormatting>
  <hyperlinks>
    <hyperlink ref="A1" location="Sommaire!C3" display="Retour sommaire" xr:uid="{6EE990FA-082B-47CD-BBA4-D766AC8F88E7}"/>
  </hyperlinks>
  <printOptions horizontalCentered="1" verticalCentered="1"/>
  <pageMargins left="0.7" right="0.7" top="0.75" bottom="0.75" header="0.3" footer="0.3"/>
  <pageSetup paperSize="9" scale="96" orientation="portrait" r:id="rId1"/>
  <headerFooter>
    <oddHeader>&amp;L&amp;10Dossier : GILAC
Date de clôture : 31/12/2024&amp;C&amp;"Times New Roman,Gras"&amp;12EBIT</oddHeader>
    <oddFooter>&amp;L&amp;"Times New Roman"&amp;10Firex Audit&amp;C&amp;"Times New Roman"&amp;10&amp;D&amp;R&amp;"Times New Roman"&amp;10Document de travail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88BF-BFF4-4B30-95F2-8CED5194B653}">
  <sheetPr>
    <pageSetUpPr fitToPage="1"/>
  </sheetPr>
  <dimension ref="A1:G75"/>
  <sheetViews>
    <sheetView showGridLines="0" defaultGridColor="0" colorId="52" workbookViewId="0"/>
  </sheetViews>
  <sheetFormatPr baseColWidth="10" defaultColWidth="12" defaultRowHeight="13" outlineLevelRow="1" x14ac:dyDescent="0.15"/>
  <cols>
    <col min="1" max="1" width="12" style="1"/>
    <col min="2" max="2" width="54.19921875" style="1" bestFit="1" customWidth="1"/>
    <col min="3" max="3" width="0" style="1" hidden="1" customWidth="1"/>
    <col min="4" max="16384" width="12" style="1"/>
  </cols>
  <sheetData>
    <row r="1" spans="1:7" ht="14" x14ac:dyDescent="0.15">
      <c r="A1" s="40" t="s">
        <v>23</v>
      </c>
    </row>
    <row r="3" spans="1:7" ht="18" x14ac:dyDescent="0.15">
      <c r="D3" s="25" t="s">
        <v>6</v>
      </c>
    </row>
    <row r="4" spans="1:7" ht="16" x14ac:dyDescent="0.15">
      <c r="D4" s="23" t="s">
        <v>1</v>
      </c>
    </row>
    <row r="8" spans="1:7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</row>
    <row r="9" spans="1:7" ht="6" customHeight="1" x14ac:dyDescent="0.15"/>
    <row r="10" spans="1:7" x14ac:dyDescent="0.15">
      <c r="B10" s="12" t="s">
        <v>407</v>
      </c>
      <c r="C10" s="12"/>
      <c r="D10" s="19">
        <f>SUMIF(tab_EtatsFinanciersN,B10, tab_BGN)</f>
        <v>0</v>
      </c>
      <c r="E10" s="19">
        <f>SUMIF(tab_EtatsFinanciersN_1,B10, tab_BGN_1)</f>
        <v>0</v>
      </c>
      <c r="F10" s="19">
        <f>D10-E10</f>
        <v>0</v>
      </c>
      <c r="G10" s="27" t="str">
        <f>IF(E10=0,"n/a",F10/ABS(E10))</f>
        <v>n/a</v>
      </c>
    </row>
    <row r="11" spans="1:7" ht="6" customHeight="1" x14ac:dyDescent="0.15">
      <c r="D11" s="18"/>
      <c r="E11" s="18"/>
      <c r="F11" s="18"/>
      <c r="G11" s="26"/>
    </row>
    <row r="12" spans="1:7" x14ac:dyDescent="0.15">
      <c r="B12" s="1" t="s">
        <v>452</v>
      </c>
      <c r="D12" s="18">
        <f t="shared" ref="D12:D19" si="0">SUMIF(tab_EtatsFinanciersN,B12, tab_BGN)</f>
        <v>0</v>
      </c>
      <c r="E12" s="18">
        <f t="shared" ref="E12:E19" si="1">SUMIF(tab_EtatsFinanciersN_1,B12, tab_BGN_1)</f>
        <v>0</v>
      </c>
      <c r="F12" s="18">
        <f t="shared" ref="F12:F20" si="2">D12-E12</f>
        <v>0</v>
      </c>
      <c r="G12" s="26" t="str">
        <f t="shared" ref="G12:G20" si="3">IF(E12=0,"n/a",F12/ABS(E12))</f>
        <v>n/a</v>
      </c>
    </row>
    <row r="13" spans="1:7" x14ac:dyDescent="0.15">
      <c r="B13" s="1" t="s">
        <v>453</v>
      </c>
      <c r="D13" s="18">
        <f t="shared" si="0"/>
        <v>0</v>
      </c>
      <c r="E13" s="18">
        <f t="shared" si="1"/>
        <v>0</v>
      </c>
      <c r="F13" s="18">
        <f t="shared" si="2"/>
        <v>0</v>
      </c>
      <c r="G13" s="26" t="str">
        <f t="shared" si="3"/>
        <v>n/a</v>
      </c>
    </row>
    <row r="14" spans="1:7" x14ac:dyDescent="0.15">
      <c r="B14" s="1" t="s">
        <v>60</v>
      </c>
      <c r="D14" s="18">
        <f t="shared" si="0"/>
        <v>5</v>
      </c>
      <c r="E14" s="18">
        <f t="shared" si="1"/>
        <v>5</v>
      </c>
      <c r="F14" s="18">
        <f t="shared" si="2"/>
        <v>0</v>
      </c>
      <c r="G14" s="26">
        <f t="shared" si="3"/>
        <v>0</v>
      </c>
    </row>
    <row r="15" spans="1:7" x14ac:dyDescent="0.15">
      <c r="B15" s="1" t="s">
        <v>454</v>
      </c>
      <c r="D15" s="18">
        <f t="shared" si="0"/>
        <v>0</v>
      </c>
      <c r="E15" s="18">
        <f t="shared" si="1"/>
        <v>0</v>
      </c>
      <c r="F15" s="18">
        <f t="shared" si="2"/>
        <v>0</v>
      </c>
      <c r="G15" s="26" t="str">
        <f t="shared" si="3"/>
        <v>n/a</v>
      </c>
    </row>
    <row r="16" spans="1:7" x14ac:dyDescent="0.15">
      <c r="B16" s="1" t="s">
        <v>64</v>
      </c>
      <c r="D16" s="18">
        <f t="shared" si="0"/>
        <v>186.351</v>
      </c>
      <c r="E16" s="18">
        <f t="shared" si="1"/>
        <v>186.351</v>
      </c>
      <c r="F16" s="18">
        <f t="shared" si="2"/>
        <v>0</v>
      </c>
      <c r="G16" s="26">
        <f t="shared" si="3"/>
        <v>0</v>
      </c>
    </row>
    <row r="17" spans="2:7" x14ac:dyDescent="0.15">
      <c r="B17" s="1" t="s">
        <v>66</v>
      </c>
      <c r="D17" s="18">
        <f t="shared" si="0"/>
        <v>0</v>
      </c>
      <c r="E17" s="18">
        <f t="shared" si="1"/>
        <v>0</v>
      </c>
      <c r="F17" s="18">
        <f t="shared" si="2"/>
        <v>0</v>
      </c>
      <c r="G17" s="26" t="str">
        <f t="shared" si="3"/>
        <v>n/a</v>
      </c>
    </row>
    <row r="18" spans="2:7" x14ac:dyDescent="0.15">
      <c r="B18" s="1" t="s">
        <v>455</v>
      </c>
      <c r="D18" s="18">
        <f t="shared" si="0"/>
        <v>0</v>
      </c>
      <c r="E18" s="18">
        <f t="shared" si="1"/>
        <v>0</v>
      </c>
      <c r="F18" s="18">
        <f t="shared" si="2"/>
        <v>0</v>
      </c>
      <c r="G18" s="26" t="str">
        <f t="shared" si="3"/>
        <v>n/a</v>
      </c>
    </row>
    <row r="19" spans="2:7" x14ac:dyDescent="0.15">
      <c r="B19" s="1" t="s">
        <v>456</v>
      </c>
      <c r="D19" s="18">
        <f t="shared" si="0"/>
        <v>0</v>
      </c>
      <c r="E19" s="18">
        <f t="shared" si="1"/>
        <v>0</v>
      </c>
      <c r="F19" s="18">
        <f t="shared" si="2"/>
        <v>0</v>
      </c>
      <c r="G19" s="26" t="str">
        <f t="shared" si="3"/>
        <v>n/a</v>
      </c>
    </row>
    <row r="20" spans="2:7" x14ac:dyDescent="0.15">
      <c r="B20" s="12" t="s">
        <v>409</v>
      </c>
      <c r="C20" s="12"/>
      <c r="D20" s="19">
        <f>SUBTOTAL(9,D12:D19)</f>
        <v>191.351</v>
      </c>
      <c r="E20" s="19">
        <f>SUBTOTAL(9,E12:E19)</f>
        <v>191.351</v>
      </c>
      <c r="F20" s="19">
        <f t="shared" si="2"/>
        <v>0</v>
      </c>
      <c r="G20" s="27">
        <f t="shared" si="3"/>
        <v>0</v>
      </c>
    </row>
    <row r="21" spans="2:7" ht="6" customHeight="1" x14ac:dyDescent="0.15">
      <c r="D21" s="18"/>
      <c r="E21" s="18"/>
      <c r="F21" s="18"/>
      <c r="G21" s="26"/>
    </row>
    <row r="22" spans="2:7" x14ac:dyDescent="0.15">
      <c r="B22" s="1" t="s">
        <v>457</v>
      </c>
      <c r="D22" s="18">
        <f t="shared" ref="D22:D27" si="4">SUMIF(tab_EtatsFinanciersN,B22, tab_BGN)</f>
        <v>0</v>
      </c>
      <c r="E22" s="18">
        <f t="shared" ref="E22:E27" si="5">SUMIF(tab_EtatsFinanciersN_1,B22, tab_BGN_1)</f>
        <v>0</v>
      </c>
      <c r="F22" s="18">
        <f t="shared" ref="F22:F28" si="6">D22-E22</f>
        <v>0</v>
      </c>
      <c r="G22" s="26" t="str">
        <f t="shared" ref="G22:G28" si="7">IF(E22=0,"n/a",F22/ABS(E22))</f>
        <v>n/a</v>
      </c>
    </row>
    <row r="23" spans="2:7" x14ac:dyDescent="0.15">
      <c r="B23" s="1" t="s">
        <v>68</v>
      </c>
      <c r="D23" s="18">
        <f t="shared" si="4"/>
        <v>7.6880000000006277E-2</v>
      </c>
      <c r="E23" s="18">
        <f t="shared" si="5"/>
        <v>1.7116700000000051</v>
      </c>
      <c r="F23" s="18">
        <f t="shared" si="6"/>
        <v>-1.6347899999999989</v>
      </c>
      <c r="G23" s="26">
        <f t="shared" si="7"/>
        <v>-0.95508480022433873</v>
      </c>
    </row>
    <row r="24" spans="2:7" x14ac:dyDescent="0.15">
      <c r="B24" s="1" t="s">
        <v>71</v>
      </c>
      <c r="D24" s="18">
        <f t="shared" si="4"/>
        <v>312.76236999999981</v>
      </c>
      <c r="E24" s="18">
        <f t="shared" si="5"/>
        <v>550.71645999999964</v>
      </c>
      <c r="F24" s="18">
        <f t="shared" si="6"/>
        <v>-237.95408999999984</v>
      </c>
      <c r="G24" s="26">
        <f t="shared" si="7"/>
        <v>-0.43208094778935785</v>
      </c>
    </row>
    <row r="25" spans="2:7" x14ac:dyDescent="0.15">
      <c r="B25" s="1" t="s">
        <v>75</v>
      </c>
      <c r="D25" s="18">
        <f t="shared" si="4"/>
        <v>207.17283000000003</v>
      </c>
      <c r="E25" s="18">
        <f t="shared" si="5"/>
        <v>118.93010999999998</v>
      </c>
      <c r="F25" s="18">
        <f t="shared" si="6"/>
        <v>88.242720000000048</v>
      </c>
      <c r="G25" s="26">
        <f t="shared" si="7"/>
        <v>0.74197122999381793</v>
      </c>
    </row>
    <row r="26" spans="2:7" x14ac:dyDescent="0.15">
      <c r="B26" s="1" t="s">
        <v>458</v>
      </c>
      <c r="D26" s="18">
        <f t="shared" si="4"/>
        <v>0</v>
      </c>
      <c r="E26" s="18">
        <f t="shared" si="5"/>
        <v>0</v>
      </c>
      <c r="F26" s="18">
        <f t="shared" si="6"/>
        <v>0</v>
      </c>
      <c r="G26" s="26" t="str">
        <f t="shared" si="7"/>
        <v>n/a</v>
      </c>
    </row>
    <row r="27" spans="2:7" x14ac:dyDescent="0.15">
      <c r="B27" s="1" t="s">
        <v>81</v>
      </c>
      <c r="D27" s="18">
        <f t="shared" si="4"/>
        <v>0</v>
      </c>
      <c r="E27" s="18">
        <f t="shared" si="5"/>
        <v>17.37</v>
      </c>
      <c r="F27" s="18">
        <f t="shared" si="6"/>
        <v>-17.37</v>
      </c>
      <c r="G27" s="26">
        <f t="shared" si="7"/>
        <v>-1</v>
      </c>
    </row>
    <row r="28" spans="2:7" x14ac:dyDescent="0.15">
      <c r="B28" s="12" t="s">
        <v>411</v>
      </c>
      <c r="C28" s="12"/>
      <c r="D28" s="19">
        <f>SUBTOTAL(9,D22:D27)</f>
        <v>520.01207999999986</v>
      </c>
      <c r="E28" s="19">
        <f>SUBTOTAL(9,E22:E27)</f>
        <v>688.72823999999969</v>
      </c>
      <c r="F28" s="19">
        <f t="shared" si="6"/>
        <v>-168.71615999999983</v>
      </c>
      <c r="G28" s="27">
        <f t="shared" si="7"/>
        <v>-0.24496768130198918</v>
      </c>
    </row>
    <row r="29" spans="2:7" ht="6" customHeight="1" x14ac:dyDescent="0.15">
      <c r="D29" s="18"/>
      <c r="E29" s="18"/>
      <c r="F29" s="18"/>
      <c r="G29" s="26"/>
    </row>
    <row r="30" spans="2:7" x14ac:dyDescent="0.15">
      <c r="B30" s="1" t="s">
        <v>84</v>
      </c>
      <c r="D30" s="18">
        <f t="shared" ref="D30:D35" si="8">SUMIF(tab_EtatsFinanciersN,B30, tab_BGN)</f>
        <v>3283.9037599999997</v>
      </c>
      <c r="E30" s="18">
        <f t="shared" ref="E30:E35" si="9">SUMIF(tab_EtatsFinanciersN_1,B30, tab_BGN_1)</f>
        <v>380.03975000000003</v>
      </c>
      <c r="F30" s="18">
        <f t="shared" ref="F30:F36" si="10">D30-E30</f>
        <v>2903.8640099999998</v>
      </c>
      <c r="G30" s="26">
        <f t="shared" ref="G30:G36" si="11">IF(E30=0,"n/a",F30/ABS(E30))</f>
        <v>7.6409481113488775</v>
      </c>
    </row>
    <row r="31" spans="2:7" x14ac:dyDescent="0.15">
      <c r="B31" s="1" t="s">
        <v>459</v>
      </c>
      <c r="D31" s="18">
        <f t="shared" si="8"/>
        <v>0</v>
      </c>
      <c r="E31" s="18">
        <f t="shared" si="9"/>
        <v>0</v>
      </c>
      <c r="F31" s="18">
        <f t="shared" si="10"/>
        <v>0</v>
      </c>
      <c r="G31" s="26" t="str">
        <f t="shared" si="11"/>
        <v>n/a</v>
      </c>
    </row>
    <row r="32" spans="2:7" x14ac:dyDescent="0.15">
      <c r="B32" s="1" t="s">
        <v>460</v>
      </c>
      <c r="D32" s="18">
        <f t="shared" si="8"/>
        <v>0</v>
      </c>
      <c r="E32" s="18">
        <f t="shared" si="9"/>
        <v>0</v>
      </c>
      <c r="F32" s="18">
        <f t="shared" si="10"/>
        <v>0</v>
      </c>
      <c r="G32" s="26" t="str">
        <f t="shared" si="11"/>
        <v>n/a</v>
      </c>
    </row>
    <row r="33" spans="2:7" x14ac:dyDescent="0.15">
      <c r="B33" s="1" t="s">
        <v>86</v>
      </c>
      <c r="D33" s="18">
        <f t="shared" si="8"/>
        <v>176.68720999999999</v>
      </c>
      <c r="E33" s="18">
        <f t="shared" si="9"/>
        <v>182.48921000000001</v>
      </c>
      <c r="F33" s="18">
        <f t="shared" si="10"/>
        <v>-5.8020000000000209</v>
      </c>
      <c r="G33" s="26">
        <f t="shared" si="11"/>
        <v>-3.1793660567657783E-2</v>
      </c>
    </row>
    <row r="34" spans="2:7" x14ac:dyDescent="0.15">
      <c r="B34" s="1" t="s">
        <v>90</v>
      </c>
      <c r="D34" s="18">
        <f t="shared" si="8"/>
        <v>36.68403</v>
      </c>
      <c r="E34" s="18">
        <f t="shared" si="9"/>
        <v>36.68403</v>
      </c>
      <c r="F34" s="18">
        <f t="shared" si="10"/>
        <v>0</v>
      </c>
      <c r="G34" s="26">
        <f t="shared" si="11"/>
        <v>0</v>
      </c>
    </row>
    <row r="35" spans="2:7" x14ac:dyDescent="0.15">
      <c r="B35" s="1" t="s">
        <v>92</v>
      </c>
      <c r="D35" s="18">
        <f t="shared" si="8"/>
        <v>435.32100000000003</v>
      </c>
      <c r="E35" s="18">
        <f t="shared" si="9"/>
        <v>0</v>
      </c>
      <c r="F35" s="18">
        <f t="shared" si="10"/>
        <v>435.32100000000003</v>
      </c>
      <c r="G35" s="26" t="str">
        <f t="shared" si="11"/>
        <v>n/a</v>
      </c>
    </row>
    <row r="36" spans="2:7" x14ac:dyDescent="0.15">
      <c r="B36" s="12" t="s">
        <v>412</v>
      </c>
      <c r="C36" s="12"/>
      <c r="D36" s="19">
        <f>SUBTOTAL(9,D30:D35)</f>
        <v>3932.5959999999995</v>
      </c>
      <c r="E36" s="19">
        <f>SUBTOTAL(9,E30:E35)</f>
        <v>599.2129900000001</v>
      </c>
      <c r="F36" s="19">
        <f t="shared" si="10"/>
        <v>3333.3830099999996</v>
      </c>
      <c r="G36" s="27">
        <f t="shared" si="11"/>
        <v>5.5629351593329091</v>
      </c>
    </row>
    <row r="37" spans="2:7" ht="6" customHeight="1" x14ac:dyDescent="0.15">
      <c r="D37" s="18"/>
      <c r="E37" s="18"/>
      <c r="F37" s="18"/>
      <c r="G37" s="26"/>
    </row>
    <row r="38" spans="2:7" x14ac:dyDescent="0.15">
      <c r="B38" s="31" t="s">
        <v>415</v>
      </c>
      <c r="C38" s="31"/>
      <c r="D38" s="32">
        <f>SUBTOTAL(9,D12:D37)</f>
        <v>4643.9590799999996</v>
      </c>
      <c r="E38" s="32">
        <f>SUBTOTAL(9,E12:E37)</f>
        <v>1479.2922299999996</v>
      </c>
      <c r="F38" s="32">
        <f>D38-E38</f>
        <v>3164.6668500000001</v>
      </c>
      <c r="G38" s="33">
        <f>IF(E38=0,"n/a",F38/ABS(E38))</f>
        <v>2.1393114800582715</v>
      </c>
    </row>
    <row r="39" spans="2:7" ht="6" customHeight="1" x14ac:dyDescent="0.15">
      <c r="D39" s="18"/>
      <c r="E39" s="18"/>
      <c r="F39" s="18"/>
      <c r="G39" s="26"/>
    </row>
    <row r="40" spans="2:7" x14ac:dyDescent="0.15">
      <c r="B40" s="1" t="s">
        <v>106</v>
      </c>
      <c r="D40" s="18">
        <f>SUMIF(tab_EtatsFinanciersN,B40, tab_BGN)</f>
        <v>1054.2359899999999</v>
      </c>
      <c r="E40" s="18">
        <f>SUMIF(tab_EtatsFinanciersN_1,B40, tab_BGN_1)</f>
        <v>935.63337000000013</v>
      </c>
      <c r="F40" s="18">
        <f>D40-E40</f>
        <v>118.60261999999977</v>
      </c>
      <c r="G40" s="26">
        <f>IF(E40=0,"n/a",F40/ABS(E40))</f>
        <v>0.12676185331012699</v>
      </c>
    </row>
    <row r="41" spans="2:7" x14ac:dyDescent="0.15">
      <c r="B41" s="1" t="s">
        <v>461</v>
      </c>
      <c r="D41" s="18">
        <f>SUMIF(tab_EtatsFinanciersN,B41, tab_BGN)</f>
        <v>0</v>
      </c>
      <c r="E41" s="18">
        <f>SUMIF(tab_EtatsFinanciersN_1,B41, tab_BGN_1)</f>
        <v>0</v>
      </c>
      <c r="F41" s="18">
        <f>D41-E41</f>
        <v>0</v>
      </c>
      <c r="G41" s="26" t="str">
        <f>IF(E41=0,"n/a",F41/ABS(E41))</f>
        <v>n/a</v>
      </c>
    </row>
    <row r="42" spans="2:7" x14ac:dyDescent="0.15">
      <c r="B42" s="1" t="s">
        <v>110</v>
      </c>
      <c r="D42" s="18">
        <f>SUMIF(tab_EtatsFinanciersN,B42, tab_BGN)</f>
        <v>1485.10481</v>
      </c>
      <c r="E42" s="18">
        <f>SUMIF(tab_EtatsFinanciersN_1,B42, tab_BGN_1)</f>
        <v>1329.1746000000001</v>
      </c>
      <c r="F42" s="18">
        <f>D42-E42</f>
        <v>155.93020999999999</v>
      </c>
      <c r="G42" s="26">
        <f>IF(E42=0,"n/a",F42/ABS(E42))</f>
        <v>0.11731356437295747</v>
      </c>
    </row>
    <row r="43" spans="2:7" x14ac:dyDescent="0.15">
      <c r="B43" s="1" t="s">
        <v>113</v>
      </c>
      <c r="D43" s="18">
        <f>SUMIF(tab_EtatsFinanciersN,B43, tab_BGN)</f>
        <v>404.97593999999998</v>
      </c>
      <c r="E43" s="18">
        <f>SUMIF(tab_EtatsFinanciersN_1,B43, tab_BGN_1)</f>
        <v>305.11472000000003</v>
      </c>
      <c r="F43" s="18">
        <f>D43-E43</f>
        <v>99.861219999999946</v>
      </c>
      <c r="G43" s="26">
        <f>IF(E43=0,"n/a",F43/ABS(E43))</f>
        <v>0.32729073182703194</v>
      </c>
    </row>
    <row r="44" spans="2:7" x14ac:dyDescent="0.15">
      <c r="B44" s="12" t="s">
        <v>419</v>
      </c>
      <c r="C44" s="12"/>
      <c r="D44" s="19">
        <f>SUBTOTAL(9,D40:D43)</f>
        <v>2944.3167399999998</v>
      </c>
      <c r="E44" s="19">
        <f>SUBTOTAL(9,E40:E43)</f>
        <v>2569.9226900000003</v>
      </c>
      <c r="F44" s="19">
        <f>D44-E44</f>
        <v>374.39404999999942</v>
      </c>
      <c r="G44" s="27">
        <f>IF(E44=0,"n/a",F44/ABS(E44))</f>
        <v>0.14568300107113313</v>
      </c>
    </row>
    <row r="45" spans="2:7" ht="6" customHeight="1" x14ac:dyDescent="0.15">
      <c r="D45" s="18"/>
      <c r="E45" s="18"/>
      <c r="F45" s="18"/>
      <c r="G45" s="26"/>
    </row>
    <row r="46" spans="2:7" x14ac:dyDescent="0.15">
      <c r="B46" s="12" t="s">
        <v>421</v>
      </c>
      <c r="C46" s="12"/>
      <c r="D46" s="19">
        <f>SUMIF(tab_EtatsFinanciersN,B46, tab_BGN)</f>
        <v>0</v>
      </c>
      <c r="E46" s="19">
        <f>SUMIF(tab_EtatsFinanciersN_1,B46, tab_BGN_1)</f>
        <v>0</v>
      </c>
      <c r="F46" s="19">
        <f>D46-E46</f>
        <v>0</v>
      </c>
      <c r="G46" s="27" t="str">
        <f>IF(E46=0,"n/a",F46/ABS(E46))</f>
        <v>n/a</v>
      </c>
    </row>
    <row r="47" spans="2:7" ht="6" customHeight="1" x14ac:dyDescent="0.15">
      <c r="D47" s="18"/>
      <c r="E47" s="18"/>
      <c r="F47" s="18"/>
      <c r="G47" s="26"/>
    </row>
    <row r="48" spans="2:7" x14ac:dyDescent="0.15">
      <c r="B48" s="1" t="s">
        <v>128</v>
      </c>
      <c r="D48" s="18">
        <f>SUMIF(tab_EtatsFinanciersN,B48, tab_BGN)</f>
        <v>1829.1075200000025</v>
      </c>
      <c r="E48" s="18">
        <f>SUMIF(tab_EtatsFinanciersN_1,B48, tab_BGN_1)</f>
        <v>1892.2450799999745</v>
      </c>
      <c r="F48" s="18">
        <f>D48-E48</f>
        <v>-63.137559999971927</v>
      </c>
      <c r="G48" s="26">
        <f>IF(E48=0,"n/a",F48/ABS(E48))</f>
        <v>-3.3366481259379348E-2</v>
      </c>
    </row>
    <row r="49" spans="2:7" ht="6" hidden="1" customHeight="1" outlineLevel="1" x14ac:dyDescent="0.15">
      <c r="D49" s="18"/>
      <c r="E49" s="18"/>
      <c r="F49" s="18"/>
      <c r="G49" s="26"/>
    </row>
    <row r="50" spans="2:7" hidden="1" outlineLevel="1" x14ac:dyDescent="0.15">
      <c r="B50" s="1" t="s">
        <v>124</v>
      </c>
      <c r="D50" s="18">
        <f>SUMIF(tab_EtatsFinanciersN,B50, tab_BGN)</f>
        <v>0</v>
      </c>
      <c r="E50" s="18">
        <f>SUMIF(tab_EtatsFinanciersN_1,B50, tab_BGN_1)</f>
        <v>0</v>
      </c>
      <c r="F50" s="18">
        <f t="shared" ref="F50:F57" si="12">D50-E50</f>
        <v>0</v>
      </c>
      <c r="G50" s="26" t="str">
        <f t="shared" ref="G50:G57" si="13">IF(E50=0,"n/a",F50/ABS(E50))</f>
        <v>n/a</v>
      </c>
    </row>
    <row r="51" spans="2:7" hidden="1" outlineLevel="1" x14ac:dyDescent="0.15">
      <c r="B51" s="1" t="s">
        <v>138</v>
      </c>
      <c r="D51" s="18">
        <f>SUMIF(tab_EtatsFinanciersN,B51, tab_BGN)</f>
        <v>18.874150000000004</v>
      </c>
      <c r="E51" s="18">
        <f>SUMIF(tab_EtatsFinanciersN_1,B51, tab_BGN_1)</f>
        <v>5.3820999999999986</v>
      </c>
      <c r="F51" s="18">
        <f t="shared" si="12"/>
        <v>13.492050000000006</v>
      </c>
      <c r="G51" s="26">
        <f t="shared" si="13"/>
        <v>2.5068374797941342</v>
      </c>
    </row>
    <row r="52" spans="2:7" hidden="1" outlineLevel="1" x14ac:dyDescent="0.15">
      <c r="B52" s="1" t="s">
        <v>158</v>
      </c>
      <c r="D52" s="18">
        <f>SUMIF(tab_EtatsFinanciersN,B52, tab_BGN)</f>
        <v>626.90802000000008</v>
      </c>
      <c r="E52" s="18">
        <f>SUMIF(tab_EtatsFinanciersN_1,B52, tab_BGN_1)</f>
        <v>111.58464999999995</v>
      </c>
      <c r="F52" s="18">
        <f t="shared" si="12"/>
        <v>515.32337000000007</v>
      </c>
      <c r="G52" s="26">
        <f t="shared" si="13"/>
        <v>4.6182281344253022</v>
      </c>
    </row>
    <row r="53" spans="2:7" hidden="1" outlineLevel="1" x14ac:dyDescent="0.15">
      <c r="B53" s="1" t="s">
        <v>178</v>
      </c>
      <c r="D53" s="18">
        <f>SUMIF(tab_EtatsFinanciersN,B53, tab_BGN)</f>
        <v>631.09257000000002</v>
      </c>
      <c r="E53" s="18">
        <f>SUMIF(tab_EtatsFinanciersN_1,B53, tab_BGN_1)</f>
        <v>464.29021999999992</v>
      </c>
      <c r="F53" s="18">
        <f t="shared" si="12"/>
        <v>166.8023500000001</v>
      </c>
      <c r="G53" s="26">
        <f t="shared" si="13"/>
        <v>0.359263113489662</v>
      </c>
    </row>
    <row r="54" spans="2:7" hidden="1" outlineLevel="1" x14ac:dyDescent="0.15">
      <c r="B54" s="1" t="s">
        <v>191</v>
      </c>
      <c r="D54" s="18">
        <f>SUMIF(tab_EtatsFinanciersN,B54, tab_BGN)</f>
        <v>1.7162099999999627</v>
      </c>
      <c r="E54" s="18">
        <f>SUMIF(tab_EtatsFinanciersN_1,B54, tab_BGN_1)</f>
        <v>1E-3</v>
      </c>
      <c r="F54" s="18">
        <f t="shared" si="12"/>
        <v>1.7152099999999628</v>
      </c>
      <c r="G54" s="26">
        <f t="shared" si="13"/>
        <v>1715.2099999999627</v>
      </c>
    </row>
    <row r="55" spans="2:7" collapsed="1" x14ac:dyDescent="0.15">
      <c r="B55" s="1" t="s">
        <v>423</v>
      </c>
      <c r="D55" s="18">
        <f>SUBTOTAL(9,D50:D54)</f>
        <v>1278.5909500000002</v>
      </c>
      <c r="E55" s="18">
        <f>SUBTOTAL(9,E50:E54)</f>
        <v>581.25796999999989</v>
      </c>
      <c r="F55" s="18">
        <f t="shared" si="12"/>
        <v>697.33298000000036</v>
      </c>
      <c r="G55" s="26">
        <f t="shared" si="13"/>
        <v>1.1996962037354955</v>
      </c>
    </row>
    <row r="56" spans="2:7" x14ac:dyDescent="0.15">
      <c r="B56" s="1" t="s">
        <v>425</v>
      </c>
      <c r="D56" s="18">
        <f>SUMIF(tab_EtatsFinanciersN,B56, tab_BGN)</f>
        <v>0</v>
      </c>
      <c r="E56" s="18">
        <f>SUMIF(tab_EtatsFinanciersN_1,B56, tab_BGN_1)</f>
        <v>0</v>
      </c>
      <c r="F56" s="18">
        <f t="shared" si="12"/>
        <v>0</v>
      </c>
      <c r="G56" s="26" t="str">
        <f t="shared" si="13"/>
        <v>n/a</v>
      </c>
    </row>
    <row r="57" spans="2:7" x14ac:dyDescent="0.15">
      <c r="B57" s="12" t="s">
        <v>462</v>
      </c>
      <c r="C57" s="12"/>
      <c r="D57" s="19">
        <f>SUBTOTAL(9,D48:D56)</f>
        <v>3107.6984700000025</v>
      </c>
      <c r="E57" s="19">
        <f>SUBTOTAL(9,E48:E56)</f>
        <v>2473.5030499999748</v>
      </c>
      <c r="F57" s="19">
        <f t="shared" si="12"/>
        <v>634.19542000002775</v>
      </c>
      <c r="G57" s="27">
        <f t="shared" si="13"/>
        <v>0.25639564907754375</v>
      </c>
    </row>
    <row r="58" spans="2:7" ht="6" customHeight="1" x14ac:dyDescent="0.15">
      <c r="D58" s="18"/>
      <c r="E58" s="18"/>
      <c r="F58" s="18"/>
      <c r="G58" s="26"/>
    </row>
    <row r="59" spans="2:7" x14ac:dyDescent="0.15">
      <c r="B59" s="1" t="s">
        <v>463</v>
      </c>
      <c r="D59" s="18">
        <f>SUMIF(tab_EtatsFinanciersN,B59, tab_BGN)</f>
        <v>0</v>
      </c>
      <c r="E59" s="18">
        <f>SUMIF(tab_EtatsFinanciersN_1,B59, tab_BGN_1)</f>
        <v>0</v>
      </c>
      <c r="F59" s="18">
        <f>D59-E59</f>
        <v>0</v>
      </c>
      <c r="G59" s="26" t="str">
        <f>IF(E59=0,"n/a",F59/ABS(E59))</f>
        <v>n/a</v>
      </c>
    </row>
    <row r="60" spans="2:7" x14ac:dyDescent="0.15">
      <c r="B60" s="1" t="s">
        <v>199</v>
      </c>
      <c r="D60" s="18">
        <f>SUMIF(tab_EtatsFinanciersN,B60, tab_BGN)</f>
        <v>1378.1610299999995</v>
      </c>
      <c r="E60" s="18">
        <f>SUMIF(tab_EtatsFinanciersN_1,B60, tab_BGN_1)</f>
        <v>1926.1826200000005</v>
      </c>
      <c r="F60" s="18">
        <f>D60-E60</f>
        <v>-548.02159000000097</v>
      </c>
      <c r="G60" s="26">
        <f>IF(E60=0,"n/a",F60/ABS(E60))</f>
        <v>-0.28451175101974541</v>
      </c>
    </row>
    <row r="61" spans="2:7" x14ac:dyDescent="0.15">
      <c r="B61" s="12" t="s">
        <v>427</v>
      </c>
      <c r="C61" s="12"/>
      <c r="D61" s="19">
        <f>SUBTOTAL(9,D59:D60)</f>
        <v>1378.1610299999995</v>
      </c>
      <c r="E61" s="19">
        <f>SUBTOTAL(9,E59:E60)</f>
        <v>1926.1826200000005</v>
      </c>
      <c r="F61" s="19">
        <f>D61-E61</f>
        <v>-548.02159000000097</v>
      </c>
      <c r="G61" s="27">
        <f>IF(E61=0,"n/a",F61/ABS(E61))</f>
        <v>-0.28451175101974541</v>
      </c>
    </row>
    <row r="62" spans="2:7" ht="6" customHeight="1" x14ac:dyDescent="0.15">
      <c r="D62" s="18"/>
      <c r="E62" s="18"/>
      <c r="F62" s="18"/>
      <c r="G62" s="26"/>
    </row>
    <row r="63" spans="2:7" x14ac:dyDescent="0.15">
      <c r="B63" s="31" t="s">
        <v>429</v>
      </c>
      <c r="C63" s="31"/>
      <c r="D63" s="32">
        <f>SUBTOTAL(9,D40:D62)</f>
        <v>7430.1762400000007</v>
      </c>
      <c r="E63" s="32">
        <f>SUBTOTAL(9,E40:E62)</f>
        <v>6969.6083599999747</v>
      </c>
      <c r="F63" s="32">
        <f>D63-E63</f>
        <v>460.56788000002598</v>
      </c>
      <c r="G63" s="33">
        <f>IF(E63=0,"n/a",F63/ABS(E63))</f>
        <v>6.6082318576653518E-2</v>
      </c>
    </row>
    <row r="64" spans="2:7" ht="6" customHeight="1" x14ac:dyDescent="0.15">
      <c r="D64" s="18"/>
      <c r="E64" s="18"/>
      <c r="F64" s="18"/>
      <c r="G64" s="26"/>
    </row>
    <row r="65" spans="2:7" x14ac:dyDescent="0.15">
      <c r="B65" s="1" t="s">
        <v>196</v>
      </c>
      <c r="D65" s="18">
        <f>SUMIF(tab_EtatsFinanciersN,B65, tab_BGN)</f>
        <v>17.545690000000004</v>
      </c>
      <c r="E65" s="18">
        <f>SUMIF(tab_EtatsFinanciersN_1,B65, tab_BGN_1)</f>
        <v>9.3279999999999994</v>
      </c>
      <c r="F65" s="18">
        <f>D65-E65</f>
        <v>8.2176900000000046</v>
      </c>
      <c r="G65" s="26">
        <f>IF(E65=0,"n/a",F65/ABS(E65))</f>
        <v>0.88097019725557513</v>
      </c>
    </row>
    <row r="66" spans="2:7" x14ac:dyDescent="0.15">
      <c r="B66" s="1" t="s">
        <v>464</v>
      </c>
      <c r="D66" s="18">
        <f>SUMIF(tab_EtatsFinanciersN,B66, tab_BGN)</f>
        <v>0</v>
      </c>
      <c r="E66" s="18">
        <f>SUMIF(tab_EtatsFinanciersN_1,B66, tab_BGN_1)</f>
        <v>0</v>
      </c>
      <c r="F66" s="18">
        <f>D66-E66</f>
        <v>0</v>
      </c>
      <c r="G66" s="26" t="str">
        <f>IF(E66=0,"n/a",F66/ABS(E66))</f>
        <v>n/a</v>
      </c>
    </row>
    <row r="67" spans="2:7" x14ac:dyDescent="0.15">
      <c r="B67" s="1" t="s">
        <v>465</v>
      </c>
      <c r="D67" s="18">
        <f>SUMIF(tab_EtatsFinanciersN,B67, tab_BGN)</f>
        <v>0</v>
      </c>
      <c r="E67" s="18">
        <f>SUMIF(tab_EtatsFinanciersN_1,B67, tab_BGN_1)</f>
        <v>0</v>
      </c>
      <c r="F67" s="18">
        <f>D67-E67</f>
        <v>0</v>
      </c>
      <c r="G67" s="26" t="str">
        <f>IF(E67=0,"n/a",F67/ABS(E67))</f>
        <v>n/a</v>
      </c>
    </row>
    <row r="68" spans="2:7" x14ac:dyDescent="0.15">
      <c r="B68" s="1" t="s">
        <v>466</v>
      </c>
      <c r="D68" s="18">
        <f>SUMIF(tab_EtatsFinanciersN,B68, tab_BGN)</f>
        <v>0</v>
      </c>
      <c r="E68" s="18">
        <f>SUMIF(tab_EtatsFinanciersN_1,B68, tab_BGN_1)</f>
        <v>0</v>
      </c>
      <c r="F68" s="18">
        <f>D68-E68</f>
        <v>0</v>
      </c>
      <c r="G68" s="26" t="str">
        <f>IF(E68=0,"n/a",F68/ABS(E68))</f>
        <v>n/a</v>
      </c>
    </row>
    <row r="69" spans="2:7" x14ac:dyDescent="0.15">
      <c r="B69" s="12" t="s">
        <v>431</v>
      </c>
      <c r="C69" s="12"/>
      <c r="D69" s="19">
        <f>SUBTOTAL(9,D65:D68)</f>
        <v>17.545690000000004</v>
      </c>
      <c r="E69" s="19">
        <f>SUBTOTAL(9,E65:E68)</f>
        <v>9.3279999999999994</v>
      </c>
      <c r="F69" s="19">
        <f>D69-E69</f>
        <v>8.2176900000000046</v>
      </c>
      <c r="G69" s="27">
        <f>IF(E69=0,"n/a",F69/ABS(E69))</f>
        <v>0.88097019725557513</v>
      </c>
    </row>
    <row r="70" spans="2:7" ht="6" customHeight="1" x14ac:dyDescent="0.15">
      <c r="D70" s="18"/>
      <c r="E70" s="18"/>
      <c r="F70" s="18"/>
      <c r="G70" s="26"/>
    </row>
    <row r="71" spans="2:7" ht="14" thickBot="1" x14ac:dyDescent="0.2">
      <c r="B71" s="34" t="s">
        <v>467</v>
      </c>
      <c r="C71" s="34"/>
      <c r="D71" s="35">
        <f>SUBTOTAL(9,D10:D70)</f>
        <v>12091.681010000004</v>
      </c>
      <c r="E71" s="35">
        <f>SUBTOTAL(9,E10:E70)</f>
        <v>8458.2285899999752</v>
      </c>
      <c r="F71" s="35">
        <f>D71-E71</f>
        <v>3633.4524200000287</v>
      </c>
      <c r="G71" s="36">
        <f>IF(E71=0,"n/a",F71/ABS(E71))</f>
        <v>0.42957604909091718</v>
      </c>
    </row>
    <row r="72" spans="2:7" x14ac:dyDescent="0.15">
      <c r="D72" s="18"/>
      <c r="E72" s="18"/>
      <c r="F72" s="18"/>
      <c r="G72" s="26"/>
    </row>
    <row r="73" spans="2:7" x14ac:dyDescent="0.15">
      <c r="B73" s="1" t="s">
        <v>468</v>
      </c>
      <c r="D73" s="18">
        <f>ActifN</f>
        <v>12091.68101</v>
      </c>
      <c r="E73" s="18">
        <f>ActifN_1</f>
        <v>8458.2285899999752</v>
      </c>
      <c r="F73" s="18"/>
      <c r="G73" s="26"/>
    </row>
    <row r="74" spans="2:7" x14ac:dyDescent="0.15">
      <c r="B74" s="1" t="s">
        <v>469</v>
      </c>
      <c r="D74" s="18">
        <f>ROUND(D71,2)-ROUND(D73,2)</f>
        <v>0</v>
      </c>
      <c r="E74" s="18">
        <f>ROUND(E71,2)-ROUND(E73,2)</f>
        <v>0</v>
      </c>
      <c r="F74" s="18"/>
      <c r="G74" s="26"/>
    </row>
    <row r="75" spans="2:7" x14ac:dyDescent="0.15">
      <c r="D75" s="18"/>
      <c r="E75" s="18"/>
      <c r="F75" s="18"/>
      <c r="G75" s="26"/>
    </row>
  </sheetData>
  <conditionalFormatting sqref="D8">
    <cfRule type="expression" dxfId="59" priority="1" stopIfTrue="1">
      <formula>$D$8="Date N ?"</formula>
    </cfRule>
  </conditionalFormatting>
  <conditionalFormatting sqref="D74:E74">
    <cfRule type="cellIs" dxfId="58" priority="3" stopIfTrue="1" operator="notEqual">
      <formula>0</formula>
    </cfRule>
  </conditionalFormatting>
  <conditionalFormatting sqref="E8">
    <cfRule type="expression" dxfId="57" priority="2" stopIfTrue="1">
      <formula>$E$8="Date N-1 ?"</formula>
    </cfRule>
  </conditionalFormatting>
  <hyperlinks>
    <hyperlink ref="A1" location="Sommaire!C3" display="Retour sommaire" xr:uid="{E63CF7D0-8DCF-43B4-8271-8374F83314CF}"/>
  </hyperlinks>
  <printOptions horizontalCentered="1" verticalCentered="1"/>
  <pageMargins left="0.7" right="0.7" top="0.75" bottom="0.75" header="0.3" footer="0.3"/>
  <pageSetup paperSize="9" orientation="portrait" r:id="rId1"/>
  <headerFooter>
    <oddHeader>&amp;L&amp;10Dossier : GILAC
Date de clôture : 31/12/2024&amp;C&amp;"Times New Roman,Gras"&amp;12Actif détaillé</oddHeader>
    <oddFooter>&amp;L&amp;"Times New Roman"&amp;10Firex Audit&amp;C&amp;"Times New Roman"&amp;10&amp;D&amp;R&amp;"Times New Roman"&amp;10Document de travail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06D2-0EC3-4540-B4F5-D2E8F8137AB6}">
  <sheetPr>
    <pageSetUpPr fitToPage="1"/>
  </sheetPr>
  <dimension ref="A1:G60"/>
  <sheetViews>
    <sheetView showGridLines="0" defaultGridColor="0" colorId="52" workbookViewId="0"/>
  </sheetViews>
  <sheetFormatPr baseColWidth="10" defaultColWidth="12" defaultRowHeight="13" outlineLevelRow="1" x14ac:dyDescent="0.15"/>
  <cols>
    <col min="1" max="1" width="12" style="1"/>
    <col min="2" max="2" width="49.3984375" style="1" bestFit="1" customWidth="1"/>
    <col min="3" max="3" width="0" style="1" hidden="1" customWidth="1"/>
    <col min="4" max="16384" width="12" style="1"/>
  </cols>
  <sheetData>
    <row r="1" spans="1:7" ht="14" x14ac:dyDescent="0.15">
      <c r="A1" s="40" t="s">
        <v>23</v>
      </c>
    </row>
    <row r="3" spans="1:7" ht="18" x14ac:dyDescent="0.15">
      <c r="D3" s="25" t="s">
        <v>7</v>
      </c>
    </row>
    <row r="4" spans="1:7" ht="16" x14ac:dyDescent="0.15">
      <c r="D4" s="23" t="s">
        <v>1</v>
      </c>
    </row>
    <row r="8" spans="1:7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</row>
    <row r="9" spans="1:7" ht="6" customHeight="1" x14ac:dyDescent="0.15"/>
    <row r="10" spans="1:7" x14ac:dyDescent="0.15">
      <c r="B10" s="1" t="s">
        <v>36</v>
      </c>
      <c r="D10" s="18">
        <f t="shared" ref="D10:D15" si="0">-SUMIF(tab_EtatsFinanciersN,B10, tab_BGN)</f>
        <v>1149.8611000000001</v>
      </c>
      <c r="E10" s="18">
        <f t="shared" ref="E10:E15" si="1">-SUMIF(tab_EtatsFinanciersN_1,B10, tab_BGN_1)</f>
        <v>1150.001</v>
      </c>
      <c r="F10" s="18">
        <f t="shared" ref="F10:F19" si="2">D10-E10</f>
        <v>-0.13989999999989777</v>
      </c>
      <c r="G10" s="26">
        <f t="shared" ref="G10:G19" si="3">IF(E10=0,"n/a",F10/ABS(E10))</f>
        <v>-1.2165206812854752E-4</v>
      </c>
    </row>
    <row r="11" spans="1:7" x14ac:dyDescent="0.15">
      <c r="B11" s="1" t="s">
        <v>470</v>
      </c>
      <c r="D11" s="18">
        <f t="shared" si="0"/>
        <v>0</v>
      </c>
      <c r="E11" s="18">
        <f t="shared" si="1"/>
        <v>0</v>
      </c>
      <c r="F11" s="18">
        <f t="shared" si="2"/>
        <v>0</v>
      </c>
      <c r="G11" s="26" t="str">
        <f t="shared" si="3"/>
        <v>n/a</v>
      </c>
    </row>
    <row r="12" spans="1:7" x14ac:dyDescent="0.15">
      <c r="B12" s="1" t="s">
        <v>471</v>
      </c>
      <c r="D12" s="18">
        <f t="shared" si="0"/>
        <v>0</v>
      </c>
      <c r="E12" s="18">
        <f t="shared" si="1"/>
        <v>0</v>
      </c>
      <c r="F12" s="18">
        <f t="shared" si="2"/>
        <v>0</v>
      </c>
      <c r="G12" s="26" t="str">
        <f t="shared" si="3"/>
        <v>n/a</v>
      </c>
    </row>
    <row r="13" spans="1:7" x14ac:dyDescent="0.15">
      <c r="B13" s="1" t="s">
        <v>472</v>
      </c>
      <c r="D13" s="18">
        <f t="shared" si="0"/>
        <v>0</v>
      </c>
      <c r="E13" s="18">
        <f t="shared" si="1"/>
        <v>0</v>
      </c>
      <c r="F13" s="18">
        <f t="shared" si="2"/>
        <v>0</v>
      </c>
      <c r="G13" s="26" t="str">
        <f t="shared" si="3"/>
        <v>n/a</v>
      </c>
    </row>
    <row r="14" spans="1:7" x14ac:dyDescent="0.15">
      <c r="B14" s="1" t="s">
        <v>40</v>
      </c>
      <c r="D14" s="18">
        <f t="shared" si="0"/>
        <v>1966.1934799999999</v>
      </c>
      <c r="E14" s="18">
        <f t="shared" si="1"/>
        <v>2280.8998100000003</v>
      </c>
      <c r="F14" s="18">
        <f t="shared" si="2"/>
        <v>-314.70633000000043</v>
      </c>
      <c r="G14" s="26">
        <f t="shared" si="3"/>
        <v>-0.1379746399294936</v>
      </c>
    </row>
    <row r="15" spans="1:7" x14ac:dyDescent="0.15">
      <c r="B15" s="1" t="s">
        <v>410</v>
      </c>
      <c r="D15" s="18">
        <f t="shared" si="0"/>
        <v>0</v>
      </c>
      <c r="E15" s="18">
        <f t="shared" si="1"/>
        <v>0</v>
      </c>
      <c r="F15" s="18">
        <f t="shared" si="2"/>
        <v>0</v>
      </c>
      <c r="G15" s="26" t="str">
        <f t="shared" si="3"/>
        <v>n/a</v>
      </c>
    </row>
    <row r="16" spans="1:7" x14ac:dyDescent="0.15">
      <c r="B16" s="12" t="s">
        <v>43</v>
      </c>
      <c r="C16" s="12"/>
      <c r="D16" s="19">
        <f>RésultatN</f>
        <v>2764.4353599999995</v>
      </c>
      <c r="E16" s="19">
        <f>RésultatN_1</f>
        <v>1185.2936700000791</v>
      </c>
      <c r="F16" s="19">
        <f t="shared" si="2"/>
        <v>1579.1416899999203</v>
      </c>
      <c r="G16" s="27">
        <f t="shared" si="3"/>
        <v>1.3322788520416335</v>
      </c>
    </row>
    <row r="17" spans="2:7" x14ac:dyDescent="0.15">
      <c r="B17" s="1" t="s">
        <v>413</v>
      </c>
      <c r="D17" s="18">
        <f>-SUMIF(tab_EtatsFinanciersN,B17, tab_BGN)</f>
        <v>0</v>
      </c>
      <c r="E17" s="18">
        <f>-SUMIF(tab_EtatsFinanciersN_1,B17, tab_BGN_1)</f>
        <v>0</v>
      </c>
      <c r="F17" s="18">
        <f t="shared" si="2"/>
        <v>0</v>
      </c>
      <c r="G17" s="26" t="str">
        <f t="shared" si="3"/>
        <v>n/a</v>
      </c>
    </row>
    <row r="18" spans="2:7" x14ac:dyDescent="0.15">
      <c r="B18" s="1" t="s">
        <v>414</v>
      </c>
      <c r="D18" s="18">
        <f>-SUMIF(tab_EtatsFinanciersN,B18, tab_BGN)</f>
        <v>0</v>
      </c>
      <c r="E18" s="18">
        <f>-SUMIF(tab_EtatsFinanciersN_1,B18, tab_BGN_1)</f>
        <v>0</v>
      </c>
      <c r="F18" s="18">
        <f t="shared" si="2"/>
        <v>0</v>
      </c>
      <c r="G18" s="26" t="str">
        <f t="shared" si="3"/>
        <v>n/a</v>
      </c>
    </row>
    <row r="19" spans="2:7" x14ac:dyDescent="0.15">
      <c r="B19" s="31" t="s">
        <v>416</v>
      </c>
      <c r="C19" s="31"/>
      <c r="D19" s="32">
        <f>SUBTOTAL(9,D10:D18)</f>
        <v>5880.4899399999995</v>
      </c>
      <c r="E19" s="32">
        <f>SUBTOTAL(9,E10:E18)</f>
        <v>4616.1944800000792</v>
      </c>
      <c r="F19" s="32">
        <f t="shared" si="2"/>
        <v>1264.2954599999202</v>
      </c>
      <c r="G19" s="33">
        <f t="shared" si="3"/>
        <v>0.2738826246332452</v>
      </c>
    </row>
    <row r="20" spans="2:7" ht="6" customHeight="1" x14ac:dyDescent="0.15">
      <c r="D20" s="18"/>
      <c r="E20" s="18"/>
      <c r="F20" s="18"/>
      <c r="G20" s="26"/>
    </row>
    <row r="21" spans="2:7" x14ac:dyDescent="0.15">
      <c r="B21" s="1" t="s">
        <v>473</v>
      </c>
      <c r="D21" s="18">
        <f>-SUMIF(tab_EtatsFinanciersN,B21, tab_BGN)</f>
        <v>0</v>
      </c>
      <c r="E21" s="18">
        <f>-SUMIF(tab_EtatsFinanciersN_1,B21, tab_BGN_1)</f>
        <v>0</v>
      </c>
      <c r="F21" s="18">
        <f>D21-E21</f>
        <v>0</v>
      </c>
      <c r="G21" s="26" t="str">
        <f>IF(E21=0,"n/a",F21/ABS(E21))</f>
        <v>n/a</v>
      </c>
    </row>
    <row r="22" spans="2:7" x14ac:dyDescent="0.15">
      <c r="B22" s="1" t="s">
        <v>474</v>
      </c>
      <c r="D22" s="18">
        <f>-SUMIF(tab_EtatsFinanciersN,B22, tab_BGN)</f>
        <v>0</v>
      </c>
      <c r="E22" s="18">
        <f>-SUMIF(tab_EtatsFinanciersN_1,B22, tab_BGN_1)</f>
        <v>0</v>
      </c>
      <c r="F22" s="18">
        <f>D22-E22</f>
        <v>0</v>
      </c>
      <c r="G22" s="26" t="str">
        <f>IF(E22=0,"n/a",F22/ABS(E22))</f>
        <v>n/a</v>
      </c>
    </row>
    <row r="23" spans="2:7" x14ac:dyDescent="0.15">
      <c r="B23" s="31" t="s">
        <v>417</v>
      </c>
      <c r="C23" s="31"/>
      <c r="D23" s="32">
        <f>SUBTOTAL(9,D21:D22)</f>
        <v>0</v>
      </c>
      <c r="E23" s="32">
        <f>SUBTOTAL(9,E21:E22)</f>
        <v>0</v>
      </c>
      <c r="F23" s="32">
        <f>D23-E23</f>
        <v>0</v>
      </c>
      <c r="G23" s="33" t="str">
        <f>IF(E23=0,"n/a",F23/ABS(E23))</f>
        <v>n/a</v>
      </c>
    </row>
    <row r="24" spans="2:7" ht="6" customHeight="1" x14ac:dyDescent="0.15">
      <c r="D24" s="18"/>
      <c r="E24" s="18"/>
      <c r="F24" s="18"/>
      <c r="G24" s="26"/>
    </row>
    <row r="25" spans="2:7" x14ac:dyDescent="0.15">
      <c r="B25" s="1" t="s">
        <v>46</v>
      </c>
      <c r="D25" s="18">
        <f>-SUMIF(tab_EtatsFinanciersN,B25, tab_BGN)</f>
        <v>30</v>
      </c>
      <c r="E25" s="18">
        <f>-SUMIF(tab_EtatsFinanciersN_1,B25, tab_BGN_1)</f>
        <v>30</v>
      </c>
      <c r="F25" s="18">
        <f>D25-E25</f>
        <v>0</v>
      </c>
      <c r="G25" s="26">
        <f>IF(E25=0,"n/a",F25/ABS(E25))</f>
        <v>0</v>
      </c>
    </row>
    <row r="26" spans="2:7" x14ac:dyDescent="0.15">
      <c r="B26" s="1" t="s">
        <v>475</v>
      </c>
      <c r="D26" s="18">
        <f>-SUMIF(tab_EtatsFinanciersN,B26, tab_BGN)</f>
        <v>0</v>
      </c>
      <c r="E26" s="18">
        <f>-SUMIF(tab_EtatsFinanciersN_1,B26, tab_BGN_1)</f>
        <v>0</v>
      </c>
      <c r="F26" s="18">
        <f>D26-E26</f>
        <v>0</v>
      </c>
      <c r="G26" s="26" t="str">
        <f>IF(E26=0,"n/a",F26/ABS(E26))</f>
        <v>n/a</v>
      </c>
    </row>
    <row r="27" spans="2:7" x14ac:dyDescent="0.15">
      <c r="B27" s="31" t="s">
        <v>418</v>
      </c>
      <c r="C27" s="31"/>
      <c r="D27" s="32">
        <f>SUBTOTAL(9,D25:D26)</f>
        <v>30</v>
      </c>
      <c r="E27" s="32">
        <f>SUBTOTAL(9,E25:E26)</f>
        <v>30</v>
      </c>
      <c r="F27" s="32">
        <f>D27-E27</f>
        <v>0</v>
      </c>
      <c r="G27" s="33">
        <f>IF(E27=0,"n/a",F27/ABS(E27))</f>
        <v>0</v>
      </c>
    </row>
    <row r="28" spans="2:7" ht="6" customHeight="1" x14ac:dyDescent="0.15">
      <c r="D28" s="18"/>
      <c r="E28" s="18"/>
      <c r="F28" s="18"/>
      <c r="G28" s="26"/>
    </row>
    <row r="29" spans="2:7" x14ac:dyDescent="0.15">
      <c r="B29" s="1" t="s">
        <v>476</v>
      </c>
      <c r="D29" s="18">
        <f t="shared" ref="D29:D34" si="4">-SUMIF(tab_EtatsFinanciersN,B29, tab_BGN)</f>
        <v>0</v>
      </c>
      <c r="E29" s="18">
        <f t="shared" ref="E29:E34" si="5">-SUMIF(tab_EtatsFinanciersN_1,B29, tab_BGN_1)</f>
        <v>0</v>
      </c>
      <c r="F29" s="18">
        <f t="shared" ref="F29:F34" si="6">D29-E29</f>
        <v>0</v>
      </c>
      <c r="G29" s="26" t="str">
        <f t="shared" ref="G29:G34" si="7">IF(E29=0,"n/a",F29/ABS(E29))</f>
        <v>n/a</v>
      </c>
    </row>
    <row r="30" spans="2:7" x14ac:dyDescent="0.15">
      <c r="B30" s="1" t="s">
        <v>477</v>
      </c>
      <c r="D30" s="18">
        <f t="shared" si="4"/>
        <v>0</v>
      </c>
      <c r="E30" s="18">
        <f t="shared" si="5"/>
        <v>0</v>
      </c>
      <c r="F30" s="18">
        <f t="shared" si="6"/>
        <v>0</v>
      </c>
      <c r="G30" s="26" t="str">
        <f t="shared" si="7"/>
        <v>n/a</v>
      </c>
    </row>
    <row r="31" spans="2:7" x14ac:dyDescent="0.15">
      <c r="B31" s="1" t="s">
        <v>49</v>
      </c>
      <c r="D31" s="18">
        <f t="shared" si="4"/>
        <v>2516.0789399999999</v>
      </c>
      <c r="E31" s="18">
        <f t="shared" si="5"/>
        <v>1278.6796400000001</v>
      </c>
      <c r="F31" s="18">
        <f t="shared" si="6"/>
        <v>1237.3992999999998</v>
      </c>
      <c r="G31" s="26">
        <f t="shared" si="7"/>
        <v>0.96771643286664022</v>
      </c>
    </row>
    <row r="32" spans="2:7" x14ac:dyDescent="0.15">
      <c r="B32" s="1" t="s">
        <v>57</v>
      </c>
      <c r="D32" s="18">
        <f t="shared" si="4"/>
        <v>2319.50756</v>
      </c>
      <c r="E32" s="18">
        <f t="shared" si="5"/>
        <v>3.6431600000000035</v>
      </c>
      <c r="F32" s="18">
        <f t="shared" si="6"/>
        <v>2315.8643999999999</v>
      </c>
      <c r="G32" s="26">
        <f t="shared" si="7"/>
        <v>635.67463410884989</v>
      </c>
    </row>
    <row r="33" spans="2:7" x14ac:dyDescent="0.15">
      <c r="B33" s="1" t="s">
        <v>422</v>
      </c>
      <c r="D33" s="18">
        <f t="shared" si="4"/>
        <v>0</v>
      </c>
      <c r="E33" s="18">
        <f t="shared" si="5"/>
        <v>0</v>
      </c>
      <c r="F33" s="18">
        <f t="shared" si="6"/>
        <v>0</v>
      </c>
      <c r="G33" s="26" t="str">
        <f t="shared" si="7"/>
        <v>n/a</v>
      </c>
    </row>
    <row r="34" spans="2:7" x14ac:dyDescent="0.15">
      <c r="B34" s="1" t="s">
        <v>122</v>
      </c>
      <c r="D34" s="18">
        <f t="shared" si="4"/>
        <v>1008.7845499999987</v>
      </c>
      <c r="E34" s="18">
        <f t="shared" si="5"/>
        <v>2181.3936399999993</v>
      </c>
      <c r="F34" s="18">
        <f t="shared" si="6"/>
        <v>-1172.6090900000006</v>
      </c>
      <c r="G34" s="26">
        <f t="shared" si="7"/>
        <v>-0.5375504303753269</v>
      </c>
    </row>
    <row r="35" spans="2:7" ht="6" hidden="1" customHeight="1" outlineLevel="1" x14ac:dyDescent="0.15">
      <c r="D35" s="18"/>
      <c r="E35" s="18"/>
      <c r="F35" s="18"/>
      <c r="G35" s="26"/>
    </row>
    <row r="36" spans="2:7" hidden="1" outlineLevel="1" x14ac:dyDescent="0.15">
      <c r="B36" s="1" t="s">
        <v>137</v>
      </c>
      <c r="D36" s="18">
        <f>-SUMIF(tab_EtatsFinanciersN,B36, tab_BGN)</f>
        <v>274.32834999999994</v>
      </c>
      <c r="E36" s="18">
        <f>-SUMIF(tab_EtatsFinanciersN_1,B36, tab_BGN_1)</f>
        <v>172.82675</v>
      </c>
      <c r="F36" s="18">
        <f>D36-E36</f>
        <v>101.50159999999994</v>
      </c>
      <c r="G36" s="26">
        <f>IF(E36=0,"n/a",F36/ABS(E36))</f>
        <v>0.58730260217240637</v>
      </c>
    </row>
    <row r="37" spans="2:7" hidden="1" outlineLevel="1" x14ac:dyDescent="0.15">
      <c r="B37" s="1" t="s">
        <v>156</v>
      </c>
      <c r="D37" s="18">
        <f>-SUMIF(tab_EtatsFinanciersN,B37, tab_BGN)</f>
        <v>62.017179999999982</v>
      </c>
      <c r="E37" s="18">
        <f>-SUMIF(tab_EtatsFinanciersN_1,B37, tab_BGN_1)</f>
        <v>173.13497000000058</v>
      </c>
      <c r="F37" s="18">
        <f>D37-E37</f>
        <v>-111.1177900000006</v>
      </c>
      <c r="G37" s="26">
        <f>IF(E37=0,"n/a",F37/ABS(E37))</f>
        <v>-0.64179864992034952</v>
      </c>
    </row>
    <row r="38" spans="2:7" collapsed="1" x14ac:dyDescent="0.15">
      <c r="B38" s="1" t="s">
        <v>424</v>
      </c>
      <c r="D38" s="18">
        <f>SUBTOTAL(9,D36:D37)</f>
        <v>336.34552999999994</v>
      </c>
      <c r="E38" s="18">
        <f>SUBTOTAL(9,E36:E37)</f>
        <v>345.96172000000058</v>
      </c>
      <c r="F38" s="18">
        <f>D38-E38</f>
        <v>-9.6161900000006426</v>
      </c>
      <c r="G38" s="26">
        <f>IF(E38=0,"n/a",F38/ABS(E38))</f>
        <v>-2.7795531829361429E-2</v>
      </c>
    </row>
    <row r="39" spans="2:7" x14ac:dyDescent="0.15">
      <c r="B39" s="1" t="s">
        <v>426</v>
      </c>
      <c r="D39" s="18">
        <f>-SUMIF(tab_EtatsFinanciersN,B39, tab_BGN)</f>
        <v>0</v>
      </c>
      <c r="E39" s="18">
        <f>-SUMIF(tab_EtatsFinanciersN_1,B39, tab_BGN_1)</f>
        <v>0</v>
      </c>
      <c r="F39" s="18">
        <f>D39-E39</f>
        <v>0</v>
      </c>
      <c r="G39" s="26" t="str">
        <f>IF(E39=0,"n/a",F39/ABS(E39))</f>
        <v>n/a</v>
      </c>
    </row>
    <row r="40" spans="2:7" ht="6" hidden="1" customHeight="1" outlineLevel="1" x14ac:dyDescent="0.15">
      <c r="D40" s="18"/>
      <c r="E40" s="18"/>
      <c r="F40" s="18"/>
      <c r="G40" s="26"/>
    </row>
    <row r="41" spans="2:7" hidden="1" outlineLevel="1" x14ac:dyDescent="0.15">
      <c r="B41" s="1" t="s">
        <v>130</v>
      </c>
      <c r="D41" s="18">
        <f>-SUMIF(tab_EtatsFinanciersN,B41, tab_BGN)</f>
        <v>0</v>
      </c>
      <c r="E41" s="18">
        <f>-SUMIF(tab_EtatsFinanciersN_1,B41, tab_BGN_1)</f>
        <v>2.3078428057488056E-14</v>
      </c>
      <c r="F41" s="18">
        <f t="shared" ref="F41:F46" si="8">D41-E41</f>
        <v>-2.3078428057488056E-14</v>
      </c>
      <c r="G41" s="26">
        <f t="shared" ref="G41:G46" si="9">IF(E41=0,"n/a",F41/ABS(E41))</f>
        <v>-1</v>
      </c>
    </row>
    <row r="42" spans="2:7" hidden="1" outlineLevel="1" x14ac:dyDescent="0.15">
      <c r="B42" s="1" t="s">
        <v>478</v>
      </c>
      <c r="D42" s="18">
        <f>-SUMIF(tab_EtatsFinanciersN,B42, tab_BGN)</f>
        <v>0</v>
      </c>
      <c r="E42" s="18">
        <f>-SUMIF(tab_EtatsFinanciersN_1,B42, tab_BGN_1)</f>
        <v>0</v>
      </c>
      <c r="F42" s="18">
        <f t="shared" si="8"/>
        <v>0</v>
      </c>
      <c r="G42" s="26" t="str">
        <f t="shared" si="9"/>
        <v>n/a</v>
      </c>
    </row>
    <row r="43" spans="2:7" hidden="1" outlineLevel="1" x14ac:dyDescent="0.15">
      <c r="B43" s="1" t="s">
        <v>188</v>
      </c>
      <c r="D43" s="18">
        <f>-SUMIF(tab_EtatsFinanciersN,B43, tab_BGN)</f>
        <v>0</v>
      </c>
      <c r="E43" s="18">
        <f>-SUMIF(tab_EtatsFinanciersN_1,B43, tab_BGN_1)</f>
        <v>3.0000000027939677E-5</v>
      </c>
      <c r="F43" s="18">
        <f t="shared" si="8"/>
        <v>-3.0000000027939677E-5</v>
      </c>
      <c r="G43" s="26">
        <f t="shared" si="9"/>
        <v>-1</v>
      </c>
    </row>
    <row r="44" spans="2:7" hidden="1" outlineLevel="1" x14ac:dyDescent="0.15">
      <c r="B44" s="1" t="s">
        <v>193</v>
      </c>
      <c r="D44" s="18">
        <f>-SUMIF(tab_EtatsFinanciersN,B44, tab_BGN)</f>
        <v>0.47449000000000002</v>
      </c>
      <c r="E44" s="18">
        <f>-SUMIF(tab_EtatsFinanciersN_1,B44, tab_BGN_1)</f>
        <v>2.3559199999999998</v>
      </c>
      <c r="F44" s="18">
        <f t="shared" si="8"/>
        <v>-1.8814299999999997</v>
      </c>
      <c r="G44" s="26">
        <f t="shared" si="9"/>
        <v>-0.798596726544195</v>
      </c>
    </row>
    <row r="45" spans="2:7" collapsed="1" x14ac:dyDescent="0.15">
      <c r="B45" s="1" t="s">
        <v>428</v>
      </c>
      <c r="D45" s="18">
        <f>SUBTOTAL(9,D41:D44)</f>
        <v>0.47449000000000002</v>
      </c>
      <c r="E45" s="18">
        <f>SUBTOTAL(9,E41:E44)</f>
        <v>2.3559500000000506</v>
      </c>
      <c r="F45" s="18">
        <f t="shared" si="8"/>
        <v>-1.8814600000000505</v>
      </c>
      <c r="G45" s="26">
        <f t="shared" si="9"/>
        <v>-0.79859929115643802</v>
      </c>
    </row>
    <row r="46" spans="2:7" x14ac:dyDescent="0.15">
      <c r="B46" s="31" t="s">
        <v>430</v>
      </c>
      <c r="C46" s="31"/>
      <c r="D46" s="32">
        <f>SUBTOTAL(9,D29:D45)</f>
        <v>6181.1910699999971</v>
      </c>
      <c r="E46" s="32">
        <f>SUBTOTAL(9,E29:E45)</f>
        <v>3812.0341100000001</v>
      </c>
      <c r="F46" s="32">
        <f t="shared" si="8"/>
        <v>2369.1569599999971</v>
      </c>
      <c r="G46" s="33">
        <f t="shared" si="9"/>
        <v>0.62149416601101637</v>
      </c>
    </row>
    <row r="47" spans="2:7" ht="6" customHeight="1" x14ac:dyDescent="0.15">
      <c r="D47" s="18"/>
      <c r="E47" s="18"/>
      <c r="F47" s="18"/>
      <c r="G47" s="26"/>
    </row>
    <row r="48" spans="2:7" x14ac:dyDescent="0.15">
      <c r="B48" s="1" t="s">
        <v>479</v>
      </c>
      <c r="D48" s="18">
        <f>-SUMIF(tab_EtatsFinanciersN,B48, tab_BGN)</f>
        <v>0</v>
      </c>
      <c r="E48" s="18">
        <f>-SUMIF(tab_EtatsFinanciersN_1,B48, tab_BGN_1)</f>
        <v>0</v>
      </c>
      <c r="F48" s="18">
        <f>D48-E48</f>
        <v>0</v>
      </c>
      <c r="G48" s="26" t="str">
        <f>IF(E48=0,"n/a",F48/ABS(E48))</f>
        <v>n/a</v>
      </c>
    </row>
    <row r="49" spans="2:7" x14ac:dyDescent="0.15">
      <c r="B49" s="1" t="s">
        <v>480</v>
      </c>
      <c r="D49" s="18">
        <f>-SUMIF(tab_EtatsFinanciersN,B49, tab_BGN)</f>
        <v>0</v>
      </c>
      <c r="E49" s="18">
        <f>-SUMIF(tab_EtatsFinanciersN_1,B49, tab_BGN_1)</f>
        <v>0</v>
      </c>
      <c r="F49" s="18">
        <f>D49-E49</f>
        <v>0</v>
      </c>
      <c r="G49" s="26" t="str">
        <f>IF(E49=0,"n/a",F49/ABS(E49))</f>
        <v>n/a</v>
      </c>
    </row>
    <row r="50" spans="2:7" x14ac:dyDescent="0.15">
      <c r="B50" s="12" t="s">
        <v>431</v>
      </c>
      <c r="C50" s="12"/>
      <c r="D50" s="19">
        <f>SUBTOTAL(9,D48:D49)</f>
        <v>0</v>
      </c>
      <c r="E50" s="19">
        <f>SUBTOTAL(9,E48:E49)</f>
        <v>0</v>
      </c>
      <c r="F50" s="19">
        <f>D50-E50</f>
        <v>0</v>
      </c>
      <c r="G50" s="27" t="str">
        <f>IF(E50=0,"n/a",F50/ABS(E50))</f>
        <v>n/a</v>
      </c>
    </row>
    <row r="51" spans="2:7" ht="6" customHeight="1" x14ac:dyDescent="0.15">
      <c r="D51" s="18"/>
      <c r="E51" s="18"/>
      <c r="F51" s="18"/>
      <c r="G51" s="26"/>
    </row>
    <row r="52" spans="2:7" ht="14" thickBot="1" x14ac:dyDescent="0.2">
      <c r="B52" s="34" t="s">
        <v>481</v>
      </c>
      <c r="C52" s="34"/>
      <c r="D52" s="35">
        <f>SUBTOTAL(9,D10:D51)</f>
        <v>12091.681009999998</v>
      </c>
      <c r="E52" s="35">
        <f>SUBTOTAL(9,E10:E51)</f>
        <v>8458.2285900000788</v>
      </c>
      <c r="F52" s="35">
        <f>D52-E52</f>
        <v>3633.4524199999196</v>
      </c>
      <c r="G52" s="36">
        <f>IF(E52=0,"n/a",F52/ABS(E52))</f>
        <v>0.42957604909089903</v>
      </c>
    </row>
    <row r="53" spans="2:7" x14ac:dyDescent="0.15">
      <c r="D53" s="18"/>
      <c r="E53" s="18"/>
      <c r="F53" s="18"/>
      <c r="G53" s="26"/>
    </row>
    <row r="54" spans="2:7" x14ac:dyDescent="0.15">
      <c r="B54" s="1" t="s">
        <v>482</v>
      </c>
      <c r="D54" s="18">
        <f>ActifN</f>
        <v>12091.68101</v>
      </c>
      <c r="E54" s="18">
        <f>ActifN_1</f>
        <v>8458.2285899999752</v>
      </c>
      <c r="F54" s="18"/>
      <c r="G54" s="26"/>
    </row>
    <row r="55" spans="2:7" x14ac:dyDescent="0.15">
      <c r="B55" s="1" t="s">
        <v>469</v>
      </c>
      <c r="D55" s="18">
        <f>ROUND(D52,2)-ROUND(D54,2)</f>
        <v>0</v>
      </c>
      <c r="E55" s="18">
        <f>ROUND(E52,2)-ROUND(E54,2)</f>
        <v>0</v>
      </c>
      <c r="F55" s="18"/>
      <c r="G55" s="26"/>
    </row>
    <row r="56" spans="2:7" x14ac:dyDescent="0.15">
      <c r="D56" s="18"/>
      <c r="E56" s="18"/>
      <c r="F56" s="18"/>
      <c r="G56" s="26"/>
    </row>
    <row r="57" spans="2:7" x14ac:dyDescent="0.15">
      <c r="D57" s="18"/>
      <c r="E57" s="18"/>
      <c r="F57" s="18"/>
      <c r="G57" s="26"/>
    </row>
    <row r="58" spans="2:7" x14ac:dyDescent="0.15">
      <c r="D58" s="18"/>
      <c r="E58" s="18"/>
      <c r="F58" s="18"/>
      <c r="G58" s="26"/>
    </row>
    <row r="59" spans="2:7" x14ac:dyDescent="0.15">
      <c r="D59" s="18"/>
      <c r="E59" s="18"/>
      <c r="F59" s="18"/>
      <c r="G59" s="26"/>
    </row>
    <row r="60" spans="2:7" x14ac:dyDescent="0.15">
      <c r="D60" s="18"/>
      <c r="E60" s="18"/>
      <c r="F60" s="18"/>
      <c r="G60" s="26"/>
    </row>
  </sheetData>
  <conditionalFormatting sqref="D8">
    <cfRule type="expression" dxfId="56" priority="1" stopIfTrue="1">
      <formula>$D$8="Date N ?"</formula>
    </cfRule>
  </conditionalFormatting>
  <conditionalFormatting sqref="D55:E55">
    <cfRule type="cellIs" dxfId="55" priority="3" stopIfTrue="1" operator="notEqual">
      <formula>0</formula>
    </cfRule>
  </conditionalFormatting>
  <conditionalFormatting sqref="E8">
    <cfRule type="expression" dxfId="54" priority="2" stopIfTrue="1">
      <formula>$E$8="Date N-1 ?"</formula>
    </cfRule>
  </conditionalFormatting>
  <hyperlinks>
    <hyperlink ref="A1" location="Sommaire!C3" display="Retour sommaire" xr:uid="{AC01B543-8337-412A-ABEC-A4C4BB5F9813}"/>
  </hyperlinks>
  <printOptions horizontalCentered="1" verticalCentered="1"/>
  <pageMargins left="0.7" right="0.7" top="0.75" bottom="0.75" header="0.3" footer="0.3"/>
  <pageSetup paperSize="9" orientation="portrait" r:id="rId1"/>
  <headerFooter>
    <oddHeader>&amp;L&amp;10Dossier : GILAC
Date de clôture : 31/12/2024&amp;C&amp;"Times New Roman,Gras"&amp;12Passif détaillé</oddHeader>
    <oddFooter>&amp;L&amp;"Times New Roman"&amp;10Firex Audit&amp;C&amp;"Times New Roman"&amp;10&amp;D&amp;R&amp;"Times New Roman"&amp;10Document de travail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3E12-3D1F-4816-9CE0-B98A58DE505B}">
  <sheetPr>
    <pageSetUpPr fitToPage="1"/>
  </sheetPr>
  <dimension ref="A1:G100"/>
  <sheetViews>
    <sheetView showGridLines="0" defaultGridColor="0" colorId="52" workbookViewId="0"/>
  </sheetViews>
  <sheetFormatPr baseColWidth="10" defaultColWidth="12" defaultRowHeight="13" outlineLevelRow="1" x14ac:dyDescent="0.15"/>
  <cols>
    <col min="1" max="1" width="12" style="1"/>
    <col min="2" max="2" width="69" style="1" bestFit="1" customWidth="1"/>
    <col min="3" max="3" width="0" style="1" hidden="1" customWidth="1"/>
    <col min="4" max="16384" width="12" style="1"/>
  </cols>
  <sheetData>
    <row r="1" spans="1:7" ht="14" x14ac:dyDescent="0.15">
      <c r="A1" s="40" t="s">
        <v>23</v>
      </c>
    </row>
    <row r="3" spans="1:7" ht="18" x14ac:dyDescent="0.15">
      <c r="D3" s="25" t="s">
        <v>8</v>
      </c>
    </row>
    <row r="4" spans="1:7" ht="16" x14ac:dyDescent="0.15">
      <c r="D4" s="23" t="s">
        <v>1</v>
      </c>
    </row>
    <row r="8" spans="1:7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</row>
    <row r="9" spans="1:7" ht="6" customHeight="1" x14ac:dyDescent="0.15"/>
    <row r="10" spans="1:7" hidden="1" outlineLevel="1" x14ac:dyDescent="0.15">
      <c r="B10" s="1" t="s">
        <v>364</v>
      </c>
      <c r="D10" s="18">
        <f>-SUMIF(tab_EtatsFinanciersN,B10, tab_BGN)</f>
        <v>1447.3114399999999</v>
      </c>
      <c r="E10" s="18">
        <f>-SUMIF(tab_EtatsFinanciersN_1,B10, tab_BGN_1)</f>
        <v>1199.7165899999998</v>
      </c>
      <c r="F10" s="18">
        <f t="shared" ref="F10:F16" si="0">D10-E10</f>
        <v>247.59485000000018</v>
      </c>
      <c r="G10" s="26">
        <f t="shared" ref="G10:G16" si="1">IF(E10=0,"n/a",F10/ABS(E10))</f>
        <v>0.20637778293955261</v>
      </c>
    </row>
    <row r="11" spans="1:7" hidden="1" outlineLevel="1" x14ac:dyDescent="0.15">
      <c r="B11" s="1" t="s">
        <v>357</v>
      </c>
      <c r="D11" s="18">
        <f>-SUMIF(tab_EtatsFinanciersN,B11, tab_BGN)</f>
        <v>12940.438959999999</v>
      </c>
      <c r="E11" s="18">
        <f>-SUMIF(tab_EtatsFinanciersN_1,B11, tab_BGN_1)</f>
        <v>11568.799980000085</v>
      </c>
      <c r="F11" s="18">
        <f t="shared" si="0"/>
        <v>1371.6389799999142</v>
      </c>
      <c r="G11" s="26">
        <f t="shared" si="1"/>
        <v>0.11856363515413672</v>
      </c>
    </row>
    <row r="12" spans="1:7" collapsed="1" x14ac:dyDescent="0.15">
      <c r="B12" s="1" t="s">
        <v>483</v>
      </c>
      <c r="D12" s="18">
        <f>SUBTOTAL(9,D10:D11)</f>
        <v>14387.750399999999</v>
      </c>
      <c r="E12" s="18">
        <f>SUBTOTAL(9,E10:E11)</f>
        <v>12768.516570000085</v>
      </c>
      <c r="F12" s="18">
        <f t="shared" si="0"/>
        <v>1619.2338299999137</v>
      </c>
      <c r="G12" s="26">
        <f t="shared" si="1"/>
        <v>0.12681456151330373</v>
      </c>
    </row>
    <row r="13" spans="1:7" x14ac:dyDescent="0.15">
      <c r="B13" s="1" t="s">
        <v>380</v>
      </c>
      <c r="D13" s="18">
        <f>-SUMIF(tab_EtatsFinanciersN,B13, tab_BGN)</f>
        <v>155.16354000000004</v>
      </c>
      <c r="E13" s="18">
        <f>-SUMIF(tab_EtatsFinanciersN_1,B13, tab_BGN_1)</f>
        <v>-50.861710000000194</v>
      </c>
      <c r="F13" s="18">
        <f t="shared" si="0"/>
        <v>206.02525000000023</v>
      </c>
      <c r="G13" s="26">
        <f t="shared" si="1"/>
        <v>4.0506945204948757</v>
      </c>
    </row>
    <row r="14" spans="1:7" x14ac:dyDescent="0.15">
      <c r="B14" s="1" t="s">
        <v>437</v>
      </c>
      <c r="D14" s="18">
        <f>-SUMIF(tab_EtatsFinanciersN,B14, tab_BGN)</f>
        <v>0</v>
      </c>
      <c r="E14" s="18">
        <f>-SUMIF(tab_EtatsFinanciersN_1,B14, tab_BGN_1)</f>
        <v>0</v>
      </c>
      <c r="F14" s="18">
        <f t="shared" si="0"/>
        <v>0</v>
      </c>
      <c r="G14" s="26" t="str">
        <f t="shared" si="1"/>
        <v>n/a</v>
      </c>
    </row>
    <row r="15" spans="1:7" x14ac:dyDescent="0.15">
      <c r="B15" s="1" t="s">
        <v>440</v>
      </c>
      <c r="D15" s="18">
        <f>-SUMIF(tab_EtatsFinanciersN,B15, tab_BGN)</f>
        <v>0</v>
      </c>
      <c r="E15" s="18">
        <f>-SUMIF(tab_EtatsFinanciersN_1,B15, tab_BGN_1)</f>
        <v>0</v>
      </c>
      <c r="F15" s="18">
        <f t="shared" si="0"/>
        <v>0</v>
      </c>
      <c r="G15" s="26" t="str">
        <f t="shared" si="1"/>
        <v>n/a</v>
      </c>
    </row>
    <row r="16" spans="1:7" x14ac:dyDescent="0.15">
      <c r="B16" s="1" t="s">
        <v>382</v>
      </c>
      <c r="D16" s="18">
        <f>-SUMIF(tab_EtatsFinanciersN,B16, tab_BGN)</f>
        <v>9.08</v>
      </c>
      <c r="E16" s="18">
        <f>-SUMIF(tab_EtatsFinanciersN_1,B16, tab_BGN_1)</f>
        <v>0</v>
      </c>
      <c r="F16" s="18">
        <f t="shared" si="0"/>
        <v>9.08</v>
      </c>
      <c r="G16" s="26" t="str">
        <f t="shared" si="1"/>
        <v>n/a</v>
      </c>
    </row>
    <row r="17" spans="2:7" ht="6" hidden="1" customHeight="1" outlineLevel="1" x14ac:dyDescent="0.15">
      <c r="D17" s="18"/>
      <c r="E17" s="18"/>
      <c r="F17" s="18"/>
      <c r="G17" s="26"/>
    </row>
    <row r="18" spans="2:7" hidden="1" outlineLevel="1" x14ac:dyDescent="0.15">
      <c r="B18" s="1" t="s">
        <v>394</v>
      </c>
      <c r="D18" s="18">
        <f>-SUMIF(tab_EtatsFinanciersN,B18, tab_BGN)</f>
        <v>16.269600000000001</v>
      </c>
      <c r="E18" s="18">
        <f>-SUMIF(tab_EtatsFinanciersN_1,B18, tab_BGN_1)</f>
        <v>10.711819999999999</v>
      </c>
      <c r="F18" s="18">
        <f>D18-E18</f>
        <v>5.5577800000000011</v>
      </c>
      <c r="G18" s="26">
        <f>IF(E18=0,"n/a",F18/ABS(E18))</f>
        <v>0.51884553698624525</v>
      </c>
    </row>
    <row r="19" spans="2:7" hidden="1" outlineLevel="1" x14ac:dyDescent="0.15">
      <c r="B19" s="1" t="s">
        <v>397</v>
      </c>
      <c r="D19" s="18">
        <f>-SUMIF(tab_EtatsFinanciersN,B19, tab_BGN)</f>
        <v>35.03998</v>
      </c>
      <c r="E19" s="18">
        <f>-SUMIF(tab_EtatsFinanciersN_1,B19, tab_BGN_1)</f>
        <v>20.42202</v>
      </c>
      <c r="F19" s="18">
        <f>D19-E19</f>
        <v>14.61796</v>
      </c>
      <c r="G19" s="26">
        <f>IF(E19=0,"n/a",F19/ABS(E19))</f>
        <v>0.71579403016939558</v>
      </c>
    </row>
    <row r="20" spans="2:7" collapsed="1" x14ac:dyDescent="0.15">
      <c r="B20" s="1" t="s">
        <v>484</v>
      </c>
      <c r="D20" s="18">
        <f>SUBTOTAL(9,D18:D19)</f>
        <v>51.309579999999997</v>
      </c>
      <c r="E20" s="18">
        <f>SUBTOTAL(9,E18:E19)</f>
        <v>31.133839999999999</v>
      </c>
      <c r="F20" s="18">
        <f>D20-E20</f>
        <v>20.175739999999998</v>
      </c>
      <c r="G20" s="26">
        <f>IF(E20=0,"n/a",F20/ABS(E20))</f>
        <v>0.64803249454612721</v>
      </c>
    </row>
    <row r="21" spans="2:7" x14ac:dyDescent="0.15">
      <c r="B21" s="1" t="s">
        <v>384</v>
      </c>
      <c r="D21" s="18">
        <f>-SUMIF(tab_EtatsFinanciersN,B21, tab_BGN)</f>
        <v>54.54251</v>
      </c>
      <c r="E21" s="18">
        <f>-SUMIF(tab_EtatsFinanciersN_1,B21, tab_BGN_1)</f>
        <v>2.0449799999999998</v>
      </c>
      <c r="F21" s="18">
        <f>D21-E21</f>
        <v>52.497529999999998</v>
      </c>
      <c r="G21" s="26">
        <f>IF(E21=0,"n/a",F21/ABS(E21))</f>
        <v>25.671414879363123</v>
      </c>
    </row>
    <row r="22" spans="2:7" x14ac:dyDescent="0.15">
      <c r="B22" s="12" t="s">
        <v>485</v>
      </c>
      <c r="C22" s="12"/>
      <c r="D22" s="19">
        <f>SUBTOTAL(9,D10:D21)</f>
        <v>14657.846029999997</v>
      </c>
      <c r="E22" s="19">
        <f>SUBTOTAL(9,E10:E21)</f>
        <v>12750.833680000085</v>
      </c>
      <c r="F22" s="19">
        <f>D22-E22</f>
        <v>1907.0123499999117</v>
      </c>
      <c r="G22" s="27">
        <f>IF(E22=0,"n/a",F22/ABS(E22))</f>
        <v>0.14955981686053166</v>
      </c>
    </row>
    <row r="23" spans="2:7" ht="6" customHeight="1" x14ac:dyDescent="0.15">
      <c r="D23" s="18"/>
      <c r="E23" s="18"/>
      <c r="F23" s="18"/>
      <c r="G23" s="26"/>
    </row>
    <row r="24" spans="2:7" x14ac:dyDescent="0.15">
      <c r="B24" s="1" t="s">
        <v>236</v>
      </c>
      <c r="D24" s="18">
        <f t="shared" ref="D24:D29" si="2">-SUMIF(tab_EtatsFinanciersN,B24, tab_BGN)</f>
        <v>-710.7049300000001</v>
      </c>
      <c r="E24" s="18">
        <f t="shared" ref="E24:E29" si="3">-SUMIF(tab_EtatsFinanciersN_1,B24, tab_BGN_1)</f>
        <v>-570.79016000000001</v>
      </c>
      <c r="F24" s="18">
        <f t="shared" ref="F24:F29" si="4">D24-E24</f>
        <v>-139.91477000000009</v>
      </c>
      <c r="G24" s="26">
        <f t="shared" ref="G24:G29" si="5">IF(E24=0,"n/a",F24/ABS(E24))</f>
        <v>-0.24512470572372883</v>
      </c>
    </row>
    <row r="25" spans="2:7" x14ac:dyDescent="0.15">
      <c r="B25" s="1" t="s">
        <v>225</v>
      </c>
      <c r="D25" s="18">
        <f t="shared" si="2"/>
        <v>101.78612</v>
      </c>
      <c r="E25" s="18">
        <f t="shared" si="3"/>
        <v>-5.7379699999999723</v>
      </c>
      <c r="F25" s="18">
        <f t="shared" si="4"/>
        <v>107.52408999999997</v>
      </c>
      <c r="G25" s="26">
        <f t="shared" si="5"/>
        <v>18.739047084596205</v>
      </c>
    </row>
    <row r="26" spans="2:7" x14ac:dyDescent="0.15">
      <c r="B26" s="1" t="s">
        <v>212</v>
      </c>
      <c r="D26" s="18">
        <f t="shared" si="2"/>
        <v>-4929.4645500000006</v>
      </c>
      <c r="E26" s="18">
        <f t="shared" si="3"/>
        <v>-5086.2842400000009</v>
      </c>
      <c r="F26" s="18">
        <f t="shared" si="4"/>
        <v>156.81969000000026</v>
      </c>
      <c r="G26" s="26">
        <f t="shared" si="5"/>
        <v>3.0831876985309856E-2</v>
      </c>
    </row>
    <row r="27" spans="2:7" x14ac:dyDescent="0.15">
      <c r="B27" s="1" t="s">
        <v>222</v>
      </c>
      <c r="D27" s="18">
        <f t="shared" si="2"/>
        <v>104.32227000000003</v>
      </c>
      <c r="E27" s="18">
        <f t="shared" si="3"/>
        <v>-64.000529999999969</v>
      </c>
      <c r="F27" s="18">
        <f t="shared" si="4"/>
        <v>168.3228</v>
      </c>
      <c r="G27" s="26">
        <f t="shared" si="5"/>
        <v>2.6300219701305609</v>
      </c>
    </row>
    <row r="28" spans="2:7" x14ac:dyDescent="0.15">
      <c r="B28" s="1" t="s">
        <v>11</v>
      </c>
      <c r="D28" s="18">
        <f t="shared" si="2"/>
        <v>-3884.7057499999996</v>
      </c>
      <c r="E28" s="18">
        <f t="shared" si="3"/>
        <v>-3370.1992999999975</v>
      </c>
      <c r="F28" s="18">
        <f t="shared" si="4"/>
        <v>-514.50645000000213</v>
      </c>
      <c r="G28" s="26">
        <f t="shared" si="5"/>
        <v>-0.15266350865362843</v>
      </c>
    </row>
    <row r="29" spans="2:7" x14ac:dyDescent="0.15">
      <c r="B29" s="1" t="s">
        <v>300</v>
      </c>
      <c r="D29" s="18">
        <f t="shared" si="2"/>
        <v>-70.679859999999991</v>
      </c>
      <c r="E29" s="18">
        <f t="shared" si="3"/>
        <v>-59.720310000000005</v>
      </c>
      <c r="F29" s="18">
        <f t="shared" si="4"/>
        <v>-10.959549999999986</v>
      </c>
      <c r="G29" s="26">
        <f t="shared" si="5"/>
        <v>-0.18351462006811392</v>
      </c>
    </row>
    <row r="30" spans="2:7" ht="6" hidden="1" customHeight="1" outlineLevel="1" x14ac:dyDescent="0.15">
      <c r="D30" s="18"/>
      <c r="E30" s="18"/>
      <c r="F30" s="18"/>
      <c r="G30" s="26"/>
    </row>
    <row r="31" spans="2:7" hidden="1" outlineLevel="1" x14ac:dyDescent="0.15">
      <c r="B31" s="1" t="s">
        <v>310</v>
      </c>
      <c r="D31" s="18">
        <f>-SUMIF(tab_EtatsFinanciersN,B31, tab_BGN)</f>
        <v>-1429.4135799999997</v>
      </c>
      <c r="E31" s="18">
        <f>-SUMIF(tab_EtatsFinanciersN_1,B31, tab_BGN_1)</f>
        <v>-1161.0439700000002</v>
      </c>
      <c r="F31" s="18">
        <f>D31-E31</f>
        <v>-268.36960999999951</v>
      </c>
      <c r="G31" s="26">
        <f>IF(E31=0,"n/a",F31/ABS(E31))</f>
        <v>-0.23114508746813395</v>
      </c>
    </row>
    <row r="32" spans="2:7" hidden="1" outlineLevel="1" x14ac:dyDescent="0.15">
      <c r="B32" s="1" t="s">
        <v>320</v>
      </c>
      <c r="D32" s="18">
        <f>-SUMIF(tab_EtatsFinanciersN,B32, tab_BGN)</f>
        <v>-571.79092000000003</v>
      </c>
      <c r="E32" s="18">
        <f>-SUMIF(tab_EtatsFinanciersN_1,B32, tab_BGN_1)</f>
        <v>-472.93329999999997</v>
      </c>
      <c r="F32" s="18">
        <f>D32-E32</f>
        <v>-98.857620000000054</v>
      </c>
      <c r="G32" s="26">
        <f>IF(E32=0,"n/a",F32/ABS(E32))</f>
        <v>-0.20903078721671758</v>
      </c>
    </row>
    <row r="33" spans="2:7" collapsed="1" x14ac:dyDescent="0.15">
      <c r="B33" s="1" t="s">
        <v>441</v>
      </c>
      <c r="D33" s="18">
        <f>SUBTOTAL(9,D31:D32)</f>
        <v>-2001.2044999999998</v>
      </c>
      <c r="E33" s="18">
        <f>SUBTOTAL(9,E31:E32)</f>
        <v>-1633.9772700000001</v>
      </c>
      <c r="F33" s="18">
        <f>D33-E33</f>
        <v>-367.22722999999974</v>
      </c>
      <c r="G33" s="26">
        <f>IF(E33=0,"n/a",F33/ABS(E33))</f>
        <v>-0.2247443931701692</v>
      </c>
    </row>
    <row r="34" spans="2:7" ht="6" hidden="1" customHeight="1" outlineLevel="1" x14ac:dyDescent="0.15">
      <c r="D34" s="18"/>
      <c r="E34" s="18"/>
      <c r="F34" s="18"/>
      <c r="G34" s="26"/>
    </row>
    <row r="35" spans="2:7" hidden="1" outlineLevel="1" x14ac:dyDescent="0.15">
      <c r="B35" s="1" t="s">
        <v>347</v>
      </c>
      <c r="D35" s="18">
        <f>-SUMIF(tab_EtatsFinanciersN,B35, tab_BGN)</f>
        <v>-399.79007000000001</v>
      </c>
      <c r="E35" s="18">
        <f>-SUMIF(tab_EtatsFinanciersN_1,B35, tab_BGN_1)</f>
        <v>-302.87905000000001</v>
      </c>
      <c r="F35" s="18">
        <f t="shared" ref="F35:F41" si="6">D35-E35</f>
        <v>-96.911020000000008</v>
      </c>
      <c r="G35" s="26">
        <f t="shared" ref="G35:G41" si="7">IF(E35=0,"n/a",F35/ABS(E35))</f>
        <v>-0.31996607226548024</v>
      </c>
    </row>
    <row r="36" spans="2:7" hidden="1" outlineLevel="1" x14ac:dyDescent="0.15">
      <c r="B36" s="1" t="s">
        <v>445</v>
      </c>
      <c r="D36" s="18">
        <f>-SUMIF(tab_EtatsFinanciersN,B36, tab_BGN)</f>
        <v>0</v>
      </c>
      <c r="E36" s="18">
        <f>-SUMIF(tab_EtatsFinanciersN_1,B36, tab_BGN_1)</f>
        <v>0</v>
      </c>
      <c r="F36" s="18">
        <f t="shared" si="6"/>
        <v>0</v>
      </c>
      <c r="G36" s="26" t="str">
        <f t="shared" si="7"/>
        <v>n/a</v>
      </c>
    </row>
    <row r="37" spans="2:7" hidden="1" outlineLevel="1" x14ac:dyDescent="0.15">
      <c r="B37" s="1" t="s">
        <v>349</v>
      </c>
      <c r="D37" s="18">
        <f>-SUMIF(tab_EtatsFinanciersN,B37, tab_BGN)</f>
        <v>-11.763939999999995</v>
      </c>
      <c r="E37" s="18">
        <f>-SUMIF(tab_EtatsFinanciersN_1,B37, tab_BGN_1)</f>
        <v>-21.064520000000002</v>
      </c>
      <c r="F37" s="18">
        <f t="shared" si="6"/>
        <v>9.3005800000000072</v>
      </c>
      <c r="G37" s="26">
        <f t="shared" si="7"/>
        <v>0.44152821901472267</v>
      </c>
    </row>
    <row r="38" spans="2:7" hidden="1" outlineLevel="1" x14ac:dyDescent="0.15">
      <c r="B38" s="1" t="s">
        <v>443</v>
      </c>
      <c r="D38" s="18">
        <f>-SUMIF(tab_EtatsFinanciersN,B38, tab_BGN)</f>
        <v>0</v>
      </c>
      <c r="E38" s="18">
        <f>-SUMIF(tab_EtatsFinanciersN_1,B38, tab_BGN_1)</f>
        <v>0</v>
      </c>
      <c r="F38" s="18">
        <f t="shared" si="6"/>
        <v>0</v>
      </c>
      <c r="G38" s="26" t="str">
        <f t="shared" si="7"/>
        <v>n/a</v>
      </c>
    </row>
    <row r="39" spans="2:7" collapsed="1" x14ac:dyDescent="0.15">
      <c r="B39" s="1" t="s">
        <v>486</v>
      </c>
      <c r="D39" s="18">
        <f>SUBTOTAL(9,D35:D38)</f>
        <v>-411.55401000000001</v>
      </c>
      <c r="E39" s="18">
        <f>SUBTOTAL(9,E35:E38)</f>
        <v>-323.94357000000002</v>
      </c>
      <c r="F39" s="18">
        <f t="shared" si="6"/>
        <v>-87.610439999999983</v>
      </c>
      <c r="G39" s="26">
        <f t="shared" si="7"/>
        <v>-0.27044969591463097</v>
      </c>
    </row>
    <row r="40" spans="2:7" x14ac:dyDescent="0.15">
      <c r="B40" s="1" t="s">
        <v>332</v>
      </c>
      <c r="D40" s="18">
        <f>-SUMIF(tab_EtatsFinanciersN,B40, tab_BGN)</f>
        <v>-50.7119</v>
      </c>
      <c r="E40" s="18">
        <f>-SUMIF(tab_EtatsFinanciersN_1,B40, tab_BGN_1)</f>
        <v>-6.4730999999999996</v>
      </c>
      <c r="F40" s="18">
        <f t="shared" si="6"/>
        <v>-44.238799999999998</v>
      </c>
      <c r="G40" s="26">
        <f t="shared" si="7"/>
        <v>-6.8342525219755608</v>
      </c>
    </row>
    <row r="41" spans="2:7" x14ac:dyDescent="0.15">
      <c r="B41" s="12" t="s">
        <v>487</v>
      </c>
      <c r="C41" s="12"/>
      <c r="D41" s="19">
        <f>SUBTOTAL(9,D24:D40)</f>
        <v>-11852.91711</v>
      </c>
      <c r="E41" s="19">
        <f>SUBTOTAL(9,E24:E40)</f>
        <v>-11121.126449999998</v>
      </c>
      <c r="F41" s="19">
        <f t="shared" si="6"/>
        <v>-731.79066000000239</v>
      </c>
      <c r="G41" s="27">
        <f t="shared" si="7"/>
        <v>-6.5801846898342078E-2</v>
      </c>
    </row>
    <row r="42" spans="2:7" ht="6" customHeight="1" x14ac:dyDescent="0.15">
      <c r="D42" s="19"/>
      <c r="E42" s="19"/>
      <c r="F42" s="19"/>
      <c r="G42" s="27"/>
    </row>
    <row r="43" spans="2:7" x14ac:dyDescent="0.15">
      <c r="B43" s="31" t="s">
        <v>488</v>
      </c>
      <c r="C43" s="31"/>
      <c r="D43" s="32">
        <f>SUBTOTAL(9,D10:D42)</f>
        <v>2804.9289199999994</v>
      </c>
      <c r="E43" s="32">
        <f>SUBTOTAL(9,E10:E42)</f>
        <v>1629.7072300000859</v>
      </c>
      <c r="F43" s="32">
        <f>D43-E43</f>
        <v>1175.2216899999135</v>
      </c>
      <c r="G43" s="33">
        <f>IF(E43=0,"n/a",F43/ABS(E43))</f>
        <v>0.72112442552019085</v>
      </c>
    </row>
    <row r="44" spans="2:7" ht="6" customHeight="1" x14ac:dyDescent="0.15">
      <c r="D44" s="19"/>
      <c r="E44" s="19"/>
      <c r="F44" s="19"/>
      <c r="G44" s="27"/>
    </row>
    <row r="45" spans="2:7" x14ac:dyDescent="0.15">
      <c r="B45" s="12" t="s">
        <v>446</v>
      </c>
      <c r="C45" s="12"/>
      <c r="D45" s="19">
        <f>-SUMIF(tab_EtatsFinanciersN,B45, tab_BGN)</f>
        <v>0</v>
      </c>
      <c r="E45" s="19">
        <f>-SUMIF(tab_EtatsFinanciersN_1,B45, tab_BGN_1)</f>
        <v>0</v>
      </c>
      <c r="F45" s="19">
        <f>D45-E45</f>
        <v>0</v>
      </c>
      <c r="G45" s="27" t="str">
        <f>IF(E45=0,"n/a",F45/ABS(E45))</f>
        <v>n/a</v>
      </c>
    </row>
    <row r="46" spans="2:7" ht="6" customHeight="1" x14ac:dyDescent="0.15">
      <c r="D46" s="19"/>
      <c r="E46" s="19"/>
      <c r="F46" s="19"/>
      <c r="G46" s="27"/>
    </row>
    <row r="47" spans="2:7" x14ac:dyDescent="0.15">
      <c r="B47" s="1" t="s">
        <v>489</v>
      </c>
      <c r="D47" s="18">
        <f>-SUMIF(tab_EtatsFinanciersN,B47, tab_BGN)</f>
        <v>0</v>
      </c>
      <c r="E47" s="18">
        <f>-SUMIF(tab_EtatsFinanciersN_1,B47, tab_BGN_1)</f>
        <v>0</v>
      </c>
      <c r="F47" s="18">
        <f>D47-E47</f>
        <v>0</v>
      </c>
      <c r="G47" s="26" t="str">
        <f>IF(E47=0,"n/a",F47/ABS(E47))</f>
        <v>n/a</v>
      </c>
    </row>
    <row r="48" spans="2:7" x14ac:dyDescent="0.15">
      <c r="B48" s="1" t="s">
        <v>490</v>
      </c>
      <c r="D48" s="18">
        <f>-SUMIF(tab_EtatsFinanciersN,B48, tab_BGN)</f>
        <v>0</v>
      </c>
      <c r="E48" s="18">
        <f>-SUMIF(tab_EtatsFinanciersN_1,B48, tab_BGN_1)</f>
        <v>0</v>
      </c>
      <c r="F48" s="18">
        <f>D48-E48</f>
        <v>0</v>
      </c>
      <c r="G48" s="26" t="str">
        <f>IF(E48=0,"n/a",F48/ABS(E48))</f>
        <v>n/a</v>
      </c>
    </row>
    <row r="49" spans="2:7" x14ac:dyDescent="0.15">
      <c r="B49" s="1" t="s">
        <v>386</v>
      </c>
      <c r="D49" s="18">
        <f>-SUMIF(tab_EtatsFinanciersN,B49, tab_BGN)</f>
        <v>17.313639999999999</v>
      </c>
      <c r="E49" s="18">
        <f>-SUMIF(tab_EtatsFinanciersN_1,B49, tab_BGN_1)</f>
        <v>42.292970000000018</v>
      </c>
      <c r="F49" s="18">
        <f>D49-E49</f>
        <v>-24.979330000000019</v>
      </c>
      <c r="G49" s="26">
        <f>IF(E49=0,"n/a",F49/ABS(E49))</f>
        <v>-0.59062605440100346</v>
      </c>
    </row>
    <row r="50" spans="2:7" ht="6" hidden="1" customHeight="1" outlineLevel="1" x14ac:dyDescent="0.15">
      <c r="D50" s="19"/>
      <c r="E50" s="19"/>
      <c r="F50" s="19"/>
      <c r="G50" s="27"/>
    </row>
    <row r="51" spans="2:7" hidden="1" outlineLevel="1" x14ac:dyDescent="0.15">
      <c r="B51" s="1" t="s">
        <v>491</v>
      </c>
      <c r="D51" s="18">
        <f>-SUMIF(tab_EtatsFinanciersN,B51, tab_BGN)</f>
        <v>0</v>
      </c>
      <c r="E51" s="18">
        <f>-SUMIF(tab_EtatsFinanciersN_1,B51, tab_BGN_1)</f>
        <v>0</v>
      </c>
      <c r="F51" s="18">
        <f t="shared" ref="F51:F56" si="8">D51-E51</f>
        <v>0</v>
      </c>
      <c r="G51" s="26" t="str">
        <f t="shared" ref="G51:G56" si="9">IF(E51=0,"n/a",F51/ABS(E51))</f>
        <v>n/a</v>
      </c>
    </row>
    <row r="52" spans="2:7" hidden="1" outlineLevel="1" x14ac:dyDescent="0.15">
      <c r="B52" s="1" t="s">
        <v>492</v>
      </c>
      <c r="D52" s="18">
        <f>-SUMIF(tab_EtatsFinanciersN,B52, tab_BGN)</f>
        <v>0</v>
      </c>
      <c r="E52" s="18">
        <f>-SUMIF(tab_EtatsFinanciersN_1,B52, tab_BGN_1)</f>
        <v>0</v>
      </c>
      <c r="F52" s="18">
        <f t="shared" si="8"/>
        <v>0</v>
      </c>
      <c r="G52" s="26" t="str">
        <f t="shared" si="9"/>
        <v>n/a</v>
      </c>
    </row>
    <row r="53" spans="2:7" collapsed="1" x14ac:dyDescent="0.15">
      <c r="B53" s="1" t="s">
        <v>493</v>
      </c>
      <c r="D53" s="18">
        <f>SUBTOTAL(9,D51:D52)</f>
        <v>0</v>
      </c>
      <c r="E53" s="18">
        <f>SUBTOTAL(9,E51:E52)</f>
        <v>0</v>
      </c>
      <c r="F53" s="18">
        <f t="shared" si="8"/>
        <v>0</v>
      </c>
      <c r="G53" s="26" t="str">
        <f t="shared" si="9"/>
        <v>n/a</v>
      </c>
    </row>
    <row r="54" spans="2:7" x14ac:dyDescent="0.15">
      <c r="B54" s="1" t="s">
        <v>388</v>
      </c>
      <c r="D54" s="18">
        <f>-SUMIF(tab_EtatsFinanciersN,B54, tab_BGN)</f>
        <v>3.6036100000000002</v>
      </c>
      <c r="E54" s="18">
        <f>-SUMIF(tab_EtatsFinanciersN_1,B54, tab_BGN_1)</f>
        <v>1.8433299999999999</v>
      </c>
      <c r="F54" s="18">
        <f t="shared" si="8"/>
        <v>1.7602800000000003</v>
      </c>
      <c r="G54" s="26">
        <f t="shared" si="9"/>
        <v>0.95494566897951016</v>
      </c>
    </row>
    <row r="55" spans="2:7" x14ac:dyDescent="0.15">
      <c r="B55" s="1" t="s">
        <v>494</v>
      </c>
      <c r="D55" s="18">
        <f>-SUMIF(tab_EtatsFinanciersN,B55, tab_BGN)</f>
        <v>0</v>
      </c>
      <c r="E55" s="18">
        <f>-SUMIF(tab_EtatsFinanciersN_1,B55, tab_BGN_1)</f>
        <v>0</v>
      </c>
      <c r="F55" s="18">
        <f t="shared" si="8"/>
        <v>0</v>
      </c>
      <c r="G55" s="26" t="str">
        <f t="shared" si="9"/>
        <v>n/a</v>
      </c>
    </row>
    <row r="56" spans="2:7" x14ac:dyDescent="0.15">
      <c r="B56" s="12" t="s">
        <v>495</v>
      </c>
      <c r="C56" s="12"/>
      <c r="D56" s="19">
        <f>SUBTOTAL(9,D47:D55)</f>
        <v>20.917249999999999</v>
      </c>
      <c r="E56" s="19">
        <f>SUBTOTAL(9,E47:E55)</f>
        <v>44.13630000000002</v>
      </c>
      <c r="F56" s="19">
        <f t="shared" si="8"/>
        <v>-23.219050000000021</v>
      </c>
      <c r="G56" s="27">
        <f t="shared" si="9"/>
        <v>-0.52607604171622924</v>
      </c>
    </row>
    <row r="57" spans="2:7" ht="6" customHeight="1" x14ac:dyDescent="0.15">
      <c r="D57" s="18"/>
      <c r="E57" s="18"/>
      <c r="F57" s="18"/>
      <c r="G57" s="26"/>
    </row>
    <row r="58" spans="2:7" x14ac:dyDescent="0.15">
      <c r="B58" s="1" t="s">
        <v>496</v>
      </c>
      <c r="D58" s="18">
        <f>-SUMIF(tab_EtatsFinanciersN,B58, tab_BGN)</f>
        <v>0</v>
      </c>
      <c r="E58" s="18">
        <f>-SUMIF(tab_EtatsFinanciersN_1,B58, tab_BGN_1)</f>
        <v>0</v>
      </c>
      <c r="F58" s="18">
        <f>D58-E58</f>
        <v>0</v>
      </c>
      <c r="G58" s="26" t="str">
        <f>IF(E58=0,"n/a",F58/ABS(E58))</f>
        <v>n/a</v>
      </c>
    </row>
    <row r="59" spans="2:7" x14ac:dyDescent="0.15">
      <c r="B59" s="1" t="s">
        <v>335</v>
      </c>
      <c r="D59" s="18">
        <f>-SUMIF(tab_EtatsFinanciersN,B59, tab_BGN)</f>
        <v>-55.520569999999999</v>
      </c>
      <c r="E59" s="18">
        <f>-SUMIF(tab_EtatsFinanciersN_1,B59, tab_BGN_1)</f>
        <v>-27.603810000000003</v>
      </c>
      <c r="F59" s="18">
        <f>D59-E59</f>
        <v>-27.916759999999996</v>
      </c>
      <c r="G59" s="26">
        <f>IF(E59=0,"n/a",F59/ABS(E59))</f>
        <v>-1.0113372030889936</v>
      </c>
    </row>
    <row r="60" spans="2:7" x14ac:dyDescent="0.15">
      <c r="B60" s="1" t="s">
        <v>340</v>
      </c>
      <c r="D60" s="18">
        <f>-SUMIF(tab_EtatsFinanciersN,B60, tab_BGN)</f>
        <v>-8.0601800000000008</v>
      </c>
      <c r="E60" s="18">
        <f>-SUMIF(tab_EtatsFinanciersN_1,B60, tab_BGN_1)</f>
        <v>-0.16725999999999999</v>
      </c>
      <c r="F60" s="18">
        <f>D60-E60</f>
        <v>-7.892920000000001</v>
      </c>
      <c r="G60" s="26">
        <f>IF(E60=0,"n/a",F60/ABS(E60))</f>
        <v>-47.189525289967726</v>
      </c>
    </row>
    <row r="61" spans="2:7" x14ac:dyDescent="0.15">
      <c r="B61" s="1" t="s">
        <v>497</v>
      </c>
      <c r="D61" s="18">
        <f>-SUMIF(tab_EtatsFinanciersN,B61, tab_BGN)</f>
        <v>0</v>
      </c>
      <c r="E61" s="18">
        <f>-SUMIF(tab_EtatsFinanciersN_1,B61, tab_BGN_1)</f>
        <v>0</v>
      </c>
      <c r="F61" s="18">
        <f>D61-E61</f>
        <v>0</v>
      </c>
      <c r="G61" s="26" t="str">
        <f>IF(E61=0,"n/a",F61/ABS(E61))</f>
        <v>n/a</v>
      </c>
    </row>
    <row r="62" spans="2:7" x14ac:dyDescent="0.15">
      <c r="B62" s="12" t="s">
        <v>498</v>
      </c>
      <c r="C62" s="12"/>
      <c r="D62" s="19">
        <f>SUBTOTAL(9,D58:D61)</f>
        <v>-63.580750000000002</v>
      </c>
      <c r="E62" s="19">
        <f>SUBTOTAL(9,E58:E61)</f>
        <v>-27.771070000000002</v>
      </c>
      <c r="F62" s="19">
        <f>D62-E62</f>
        <v>-35.80968</v>
      </c>
      <c r="G62" s="27">
        <f>IF(E62=0,"n/a",F62/ABS(E62))</f>
        <v>-1.289459858766695</v>
      </c>
    </row>
    <row r="63" spans="2:7" ht="6" customHeight="1" x14ac:dyDescent="0.15">
      <c r="D63" s="18"/>
      <c r="E63" s="18"/>
      <c r="F63" s="18"/>
      <c r="G63" s="26"/>
    </row>
    <row r="64" spans="2:7" x14ac:dyDescent="0.15">
      <c r="B64" s="31" t="s">
        <v>447</v>
      </c>
      <c r="C64" s="31"/>
      <c r="D64" s="32">
        <f>SUBTOTAL(9,D47:D63)</f>
        <v>-42.663499999999999</v>
      </c>
      <c r="E64" s="32">
        <f>SUBTOTAL(9,E47:E63)</f>
        <v>16.365230000000018</v>
      </c>
      <c r="F64" s="32">
        <f>D64-E64</f>
        <v>-59.028730000000017</v>
      </c>
      <c r="G64" s="33">
        <f>IF(E64=0,"n/a",F64/ABS(E64))</f>
        <v>-3.6069599999511128</v>
      </c>
    </row>
    <row r="65" spans="2:7" ht="6" customHeight="1" x14ac:dyDescent="0.15">
      <c r="D65" s="18"/>
      <c r="E65" s="18"/>
      <c r="F65" s="18"/>
      <c r="G65" s="26"/>
    </row>
    <row r="66" spans="2:7" x14ac:dyDescent="0.15">
      <c r="B66" s="12" t="s">
        <v>499</v>
      </c>
      <c r="C66" s="12"/>
      <c r="D66" s="19">
        <f>SUBTOTAL(9,D10:D65)</f>
        <v>2762.2654199999993</v>
      </c>
      <c r="E66" s="19">
        <f>SUBTOTAL(9,E10:E65)</f>
        <v>1646.0724600000858</v>
      </c>
      <c r="F66" s="19">
        <f>D66-E66</f>
        <v>1116.1929599999135</v>
      </c>
      <c r="G66" s="27">
        <f>IF(E66=0,"n/a",F66/ABS(E66))</f>
        <v>0.67809466905233029</v>
      </c>
    </row>
    <row r="67" spans="2:7" ht="6" customHeight="1" x14ac:dyDescent="0.15">
      <c r="D67" s="18"/>
      <c r="E67" s="18"/>
      <c r="F67" s="18"/>
      <c r="G67" s="26"/>
    </row>
    <row r="68" spans="2:7" x14ac:dyDescent="0.15">
      <c r="B68" s="1" t="s">
        <v>390</v>
      </c>
      <c r="D68" s="18">
        <f>-SUMIF(tab_EtatsFinanciersN,B68, tab_BGN)</f>
        <v>0</v>
      </c>
      <c r="E68" s="18">
        <f>-SUMIF(tab_EtatsFinanciersN_1,B68, tab_BGN_1)</f>
        <v>1.81785</v>
      </c>
      <c r="F68" s="18">
        <f>D68-E68</f>
        <v>-1.81785</v>
      </c>
      <c r="G68" s="26">
        <f>IF(E68=0,"n/a",F68/ABS(E68))</f>
        <v>-1</v>
      </c>
    </row>
    <row r="69" spans="2:7" x14ac:dyDescent="0.15">
      <c r="B69" s="1" t="s">
        <v>392</v>
      </c>
      <c r="D69" s="18">
        <f>-SUMIF(tab_EtatsFinanciersN,B69, tab_BGN)</f>
        <v>22.2</v>
      </c>
      <c r="E69" s="18">
        <f>-SUMIF(tab_EtatsFinanciersN_1,B69, tab_BGN_1)</f>
        <v>0</v>
      </c>
      <c r="F69" s="18">
        <f>D69-E69</f>
        <v>22.2</v>
      </c>
      <c r="G69" s="26" t="str">
        <f>IF(E69=0,"n/a",F69/ABS(E69))</f>
        <v>n/a</v>
      </c>
    </row>
    <row r="70" spans="2:7" ht="6" hidden="1" customHeight="1" outlineLevel="1" x14ac:dyDescent="0.15">
      <c r="D70" s="18"/>
      <c r="E70" s="18"/>
      <c r="F70" s="18"/>
      <c r="G70" s="26"/>
    </row>
    <row r="71" spans="2:7" hidden="1" outlineLevel="1" x14ac:dyDescent="0.15">
      <c r="B71" s="1" t="s">
        <v>500</v>
      </c>
      <c r="D71" s="18">
        <f>-SUMIF(tab_EtatsFinanciersN,B71, tab_BGN)</f>
        <v>0</v>
      </c>
      <c r="E71" s="18">
        <f>-SUMIF(tab_EtatsFinanciersN_1,B71, tab_BGN_1)</f>
        <v>0</v>
      </c>
      <c r="F71" s="18">
        <f>D71-E71</f>
        <v>0</v>
      </c>
      <c r="G71" s="26" t="str">
        <f>IF(E71=0,"n/a",F71/ABS(E71))</f>
        <v>n/a</v>
      </c>
    </row>
    <row r="72" spans="2:7" hidden="1" outlineLevel="1" x14ac:dyDescent="0.15">
      <c r="B72" s="1" t="s">
        <v>501</v>
      </c>
      <c r="D72" s="18">
        <f>-SUMIF(tab_EtatsFinanciersN,B72, tab_BGN)</f>
        <v>0</v>
      </c>
      <c r="E72" s="18">
        <f>-SUMIF(tab_EtatsFinanciersN_1,B72, tab_BGN_1)</f>
        <v>0</v>
      </c>
      <c r="F72" s="18">
        <f>D72-E72</f>
        <v>0</v>
      </c>
      <c r="G72" s="26" t="str">
        <f>IF(E72=0,"n/a",F72/ABS(E72))</f>
        <v>n/a</v>
      </c>
    </row>
    <row r="73" spans="2:7" collapsed="1" x14ac:dyDescent="0.15">
      <c r="B73" s="1" t="s">
        <v>493</v>
      </c>
      <c r="D73" s="18">
        <f>SUBTOTAL(9,D71:D72)</f>
        <v>0</v>
      </c>
      <c r="E73" s="18">
        <f>SUBTOTAL(9,E71:E72)</f>
        <v>0</v>
      </c>
      <c r="F73" s="18">
        <f>D73-E73</f>
        <v>0</v>
      </c>
      <c r="G73" s="26" t="str">
        <f>IF(E73=0,"n/a",F73/ABS(E73))</f>
        <v>n/a</v>
      </c>
    </row>
    <row r="74" spans="2:7" x14ac:dyDescent="0.15">
      <c r="B74" s="12" t="s">
        <v>502</v>
      </c>
      <c r="C74" s="12"/>
      <c r="D74" s="19">
        <f>SUBTOTAL(9,D68:D73)</f>
        <v>22.2</v>
      </c>
      <c r="E74" s="19">
        <f>SUBTOTAL(9,E68:E73)</f>
        <v>1.81785</v>
      </c>
      <c r="F74" s="19">
        <f>D74-E74</f>
        <v>20.382149999999999</v>
      </c>
      <c r="G74" s="27">
        <f>IF(E74=0,"n/a",F74/ABS(E74))</f>
        <v>11.212228731743544</v>
      </c>
    </row>
    <row r="75" spans="2:7" ht="6" customHeight="1" x14ac:dyDescent="0.15">
      <c r="D75" s="18"/>
      <c r="E75" s="18"/>
      <c r="F75" s="18"/>
      <c r="G75" s="26"/>
    </row>
    <row r="76" spans="2:7" x14ac:dyDescent="0.15">
      <c r="B76" s="1" t="s">
        <v>343</v>
      </c>
      <c r="D76" s="18">
        <f>-SUMIF(tab_EtatsFinanciersN,B76, tab_BGN)</f>
        <v>0</v>
      </c>
      <c r="E76" s="18">
        <f>-SUMIF(tab_EtatsFinanciersN_1,B76, tab_BGN_1)</f>
        <v>-16.641940000000002</v>
      </c>
      <c r="F76" s="18">
        <f>D76-E76</f>
        <v>16.641940000000002</v>
      </c>
      <c r="G76" s="26">
        <f>IF(E76=0,"n/a",F76/ABS(E76))</f>
        <v>1</v>
      </c>
    </row>
    <row r="77" spans="2:7" x14ac:dyDescent="0.15">
      <c r="B77" s="1" t="s">
        <v>345</v>
      </c>
      <c r="D77" s="18">
        <f>-SUMIF(tab_EtatsFinanciersN,B77, tab_BGN)</f>
        <v>-15.591520000000001</v>
      </c>
      <c r="E77" s="18">
        <f>-SUMIF(tab_EtatsFinanciersN_1,B77, tab_BGN_1)</f>
        <v>0</v>
      </c>
      <c r="F77" s="18">
        <f>D77-E77</f>
        <v>-15.591520000000001</v>
      </c>
      <c r="G77" s="26" t="str">
        <f>IF(E77=0,"n/a",F77/ABS(E77))</f>
        <v>n/a</v>
      </c>
    </row>
    <row r="78" spans="2:7" x14ac:dyDescent="0.15">
      <c r="B78" s="1" t="s">
        <v>503</v>
      </c>
      <c r="D78" s="18">
        <f>-SUMIF(tab_EtatsFinanciersN,B78, tab_BGN)</f>
        <v>0</v>
      </c>
      <c r="E78" s="18">
        <f>-SUMIF(tab_EtatsFinanciersN_1,B78, tab_BGN_1)</f>
        <v>0</v>
      </c>
      <c r="F78" s="18">
        <f>D78-E78</f>
        <v>0</v>
      </c>
      <c r="G78" s="26" t="str">
        <f>IF(E78=0,"n/a",F78/ABS(E78))</f>
        <v>n/a</v>
      </c>
    </row>
    <row r="79" spans="2:7" x14ac:dyDescent="0.15">
      <c r="B79" s="12" t="s">
        <v>504</v>
      </c>
      <c r="C79" s="12"/>
      <c r="D79" s="19">
        <f>SUBTOTAL(9,D76:D78)</f>
        <v>-15.591520000000001</v>
      </c>
      <c r="E79" s="19">
        <f>SUBTOTAL(9,E76:E78)</f>
        <v>-16.641940000000002</v>
      </c>
      <c r="F79" s="19">
        <f>D79-E79</f>
        <v>1.0504200000000008</v>
      </c>
      <c r="G79" s="27">
        <f>IF(E79=0,"n/a",F79/ABS(E79))</f>
        <v>6.3118843115646417E-2</v>
      </c>
    </row>
    <row r="80" spans="2:7" ht="6" customHeight="1" x14ac:dyDescent="0.15">
      <c r="D80" s="18"/>
      <c r="E80" s="18"/>
      <c r="F80" s="18"/>
      <c r="G80" s="26"/>
    </row>
    <row r="81" spans="2:7" x14ac:dyDescent="0.15">
      <c r="B81" s="31" t="s">
        <v>448</v>
      </c>
      <c r="C81" s="31"/>
      <c r="D81" s="32">
        <f>SUBTOTAL(9,D68:D80)</f>
        <v>6.6084799999999984</v>
      </c>
      <c r="E81" s="32">
        <f>SUBTOTAL(9,E68:E80)</f>
        <v>-14.824090000000002</v>
      </c>
      <c r="F81" s="32">
        <f>D81-E81</f>
        <v>21.432569999999998</v>
      </c>
      <c r="G81" s="33">
        <f>IF(E81=0,"n/a",F81/ABS(E81))</f>
        <v>1.4457932999597274</v>
      </c>
    </row>
    <row r="82" spans="2:7" ht="6" customHeight="1" x14ac:dyDescent="0.15">
      <c r="D82" s="18"/>
      <c r="E82" s="18"/>
      <c r="F82" s="18"/>
      <c r="G82" s="26"/>
    </row>
    <row r="83" spans="2:7" x14ac:dyDescent="0.15">
      <c r="B83" s="1" t="s">
        <v>442</v>
      </c>
      <c r="D83" s="18">
        <f>-SUMIF(tab_EtatsFinanciersN,B83, tab_BGN)</f>
        <v>0</v>
      </c>
      <c r="E83" s="18">
        <f>-SUMIF(tab_EtatsFinanciersN_1,B83, tab_BGN_1)</f>
        <v>0</v>
      </c>
      <c r="F83" s="18">
        <f>D83-E83</f>
        <v>0</v>
      </c>
      <c r="G83" s="26" t="str">
        <f>IF(E83=0,"n/a",F83/ABS(E83))</f>
        <v>n/a</v>
      </c>
    </row>
    <row r="84" spans="2:7" x14ac:dyDescent="0.15">
      <c r="B84" s="1" t="s">
        <v>352</v>
      </c>
      <c r="D84" s="18">
        <f>-SUMIF(tab_EtatsFinanciersN,B84, tab_BGN)</f>
        <v>0</v>
      </c>
      <c r="E84" s="18">
        <f>-SUMIF(tab_EtatsFinanciersN_1,B84, tab_BGN_1)</f>
        <v>-443.64429999999999</v>
      </c>
      <c r="F84" s="18">
        <f>D84-E84</f>
        <v>443.64429999999999</v>
      </c>
      <c r="G84" s="26">
        <f>IF(E84=0,"n/a",F84/ABS(E84))</f>
        <v>1</v>
      </c>
    </row>
    <row r="85" spans="2:7" ht="6" customHeight="1" x14ac:dyDescent="0.15">
      <c r="D85" s="18"/>
      <c r="E85" s="18"/>
      <c r="F85" s="18"/>
      <c r="G85" s="26"/>
    </row>
    <row r="86" spans="2:7" ht="14" thickBot="1" x14ac:dyDescent="0.2">
      <c r="B86" s="34" t="s">
        <v>449</v>
      </c>
      <c r="C86" s="34"/>
      <c r="D86" s="35">
        <f>SUBTOTAL(9,D10:D85)</f>
        <v>2768.8738999999991</v>
      </c>
      <c r="E86" s="35">
        <f>SUBTOTAL(9,E10:E85)</f>
        <v>1187.6040700000858</v>
      </c>
      <c r="F86" s="35">
        <f>D86-E86</f>
        <v>1581.2698299999133</v>
      </c>
      <c r="G86" s="36">
        <f>IF(E86=0,"n/a",F86/ABS(E86))</f>
        <v>1.3314789583028281</v>
      </c>
    </row>
    <row r="87" spans="2:7" x14ac:dyDescent="0.15">
      <c r="D87" s="18"/>
      <c r="E87" s="18"/>
      <c r="F87" s="18"/>
      <c r="G87" s="26"/>
    </row>
    <row r="88" spans="2:7" x14ac:dyDescent="0.15">
      <c r="D88" s="18"/>
      <c r="E88" s="18"/>
      <c r="F88" s="18"/>
      <c r="G88" s="26"/>
    </row>
    <row r="89" spans="2:7" x14ac:dyDescent="0.15">
      <c r="B89" s="1" t="s">
        <v>505</v>
      </c>
      <c r="D89" s="18">
        <f>D22+D45+D56+D74</f>
        <v>14700.963279999998</v>
      </c>
      <c r="E89" s="18">
        <f>E22+E45+E56+E74</f>
        <v>12796.787830000085</v>
      </c>
      <c r="F89" s="18">
        <f>D89-E89</f>
        <v>1904.1754499999133</v>
      </c>
      <c r="G89" s="26">
        <f>IF(E89=0,"n/a",F89/ABS(E89))</f>
        <v>0.14880104877068207</v>
      </c>
    </row>
    <row r="90" spans="2:7" x14ac:dyDescent="0.15">
      <c r="B90" s="1" t="s">
        <v>506</v>
      </c>
      <c r="D90" s="18">
        <f>D41+D62+D79+SUM(D83:D84)</f>
        <v>-11932.089379999999</v>
      </c>
      <c r="E90" s="18">
        <f>E41+E62+E79+SUM(E83:E84)</f>
        <v>-11609.183759999998</v>
      </c>
      <c r="F90" s="18">
        <f>D90-E90</f>
        <v>-322.90562000000136</v>
      </c>
      <c r="G90" s="26">
        <f>IF(E90=0,"n/a",F90/ABS(E90))</f>
        <v>-2.7814670408835136E-2</v>
      </c>
    </row>
    <row r="91" spans="2:7" x14ac:dyDescent="0.15">
      <c r="D91" s="18"/>
      <c r="E91" s="18"/>
      <c r="F91" s="18"/>
      <c r="G91" s="26"/>
    </row>
    <row r="92" spans="2:7" x14ac:dyDescent="0.15">
      <c r="B92" s="1" t="s">
        <v>507</v>
      </c>
      <c r="D92" s="18">
        <f>RésultatN</f>
        <v>2764.4353599999995</v>
      </c>
      <c r="E92" s="18">
        <f>RésultatN_1</f>
        <v>1185.2936700000791</v>
      </c>
      <c r="F92" s="18"/>
      <c r="G92" s="26"/>
    </row>
    <row r="93" spans="2:7" x14ac:dyDescent="0.15">
      <c r="B93" s="1" t="s">
        <v>451</v>
      </c>
      <c r="D93" s="18">
        <f>ROUND(D86,2)-ROUND(D92,2)</f>
        <v>4.4299999999998363</v>
      </c>
      <c r="E93" s="18">
        <f>ROUND(E86,2)-ROUND(E92,2)</f>
        <v>2.3099999999999454</v>
      </c>
      <c r="F93" s="18"/>
      <c r="G93" s="26"/>
    </row>
    <row r="94" spans="2:7" x14ac:dyDescent="0.15">
      <c r="B94" s="1" t="s">
        <v>508</v>
      </c>
      <c r="D94" s="18">
        <f>ROUND((D89 + D90),2)-ROUND(D92,2)</f>
        <v>4.4299999999998363</v>
      </c>
      <c r="E94" s="18">
        <f>ROUND((E89 + E90),2)-ROUND(E92,2)</f>
        <v>2.3099999999999454</v>
      </c>
      <c r="F94" s="18"/>
      <c r="G94" s="26"/>
    </row>
    <row r="95" spans="2:7" x14ac:dyDescent="0.15">
      <c r="D95" s="18"/>
      <c r="E95" s="18"/>
      <c r="F95" s="18"/>
      <c r="G95" s="26"/>
    </row>
    <row r="96" spans="2:7" x14ac:dyDescent="0.15">
      <c r="D96" s="18"/>
      <c r="E96" s="18"/>
      <c r="F96" s="18"/>
      <c r="G96" s="26"/>
    </row>
    <row r="97" spans="4:7" x14ac:dyDescent="0.15">
      <c r="D97" s="18"/>
      <c r="E97" s="18"/>
      <c r="F97" s="18"/>
      <c r="G97" s="26"/>
    </row>
    <row r="98" spans="4:7" x14ac:dyDescent="0.15">
      <c r="D98" s="18"/>
      <c r="E98" s="18"/>
      <c r="F98" s="18"/>
      <c r="G98" s="26"/>
    </row>
    <row r="99" spans="4:7" x14ac:dyDescent="0.15">
      <c r="D99" s="18"/>
      <c r="E99" s="18"/>
      <c r="F99" s="18"/>
      <c r="G99" s="26"/>
    </row>
    <row r="100" spans="4:7" x14ac:dyDescent="0.15">
      <c r="D100" s="18"/>
      <c r="E100" s="18"/>
      <c r="F100" s="18"/>
      <c r="G100" s="26"/>
    </row>
  </sheetData>
  <conditionalFormatting sqref="D8">
    <cfRule type="expression" dxfId="53" priority="1" stopIfTrue="1">
      <formula>$D$8="Date N ?"</formula>
    </cfRule>
  </conditionalFormatting>
  <conditionalFormatting sqref="D93:E94">
    <cfRule type="cellIs" dxfId="52" priority="3" stopIfTrue="1" operator="notEqual">
      <formula>0</formula>
    </cfRule>
  </conditionalFormatting>
  <conditionalFormatting sqref="E8">
    <cfRule type="expression" dxfId="51" priority="2" stopIfTrue="1">
      <formula>$E$8="Date N-1 ?"</formula>
    </cfRule>
  </conditionalFormatting>
  <hyperlinks>
    <hyperlink ref="A1" location="Sommaire!C3" display="Retour sommaire" xr:uid="{1F40C5D9-88C0-422B-AC24-2826F9C0AE18}"/>
  </hyperlinks>
  <printOptions horizontalCentered="1" verticalCentered="1"/>
  <pageMargins left="0.7" right="0.7" top="0.75" bottom="0.75" header="0.3" footer="0.3"/>
  <pageSetup paperSize="9" scale="84" orientation="portrait" r:id="rId1"/>
  <headerFooter>
    <oddHeader>&amp;L&amp;10Dossier : GILAC
Date de clôture : 31/12/2024&amp;C&amp;"Times New Roman,Gras"&amp;12Compte de résultat détaillé</oddHeader>
    <oddFooter>&amp;L&amp;"Times New Roman"&amp;10Firex Audit&amp;C&amp;"Times New Roman"&amp;10&amp;D&amp;R&amp;"Times New Roman"&amp;10Document de travail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0807-2596-487B-83B4-477117A6EF02}">
  <sheetPr>
    <pageSetUpPr fitToPage="1"/>
  </sheetPr>
  <dimension ref="A1:G68"/>
  <sheetViews>
    <sheetView showGridLines="0" defaultGridColor="0" colorId="52" workbookViewId="0"/>
  </sheetViews>
  <sheetFormatPr baseColWidth="10" defaultColWidth="12" defaultRowHeight="13" x14ac:dyDescent="0.15"/>
  <cols>
    <col min="1" max="1" width="12" style="1"/>
    <col min="2" max="2" width="49.3984375" style="1" bestFit="1" customWidth="1"/>
    <col min="3" max="3" width="0" style="1" hidden="1" customWidth="1"/>
    <col min="4" max="16384" width="12" style="1"/>
  </cols>
  <sheetData>
    <row r="1" spans="1:7" ht="14" x14ac:dyDescent="0.15">
      <c r="A1" s="40" t="s">
        <v>23</v>
      </c>
    </row>
    <row r="3" spans="1:7" ht="18" x14ac:dyDescent="0.15">
      <c r="D3" s="25" t="s">
        <v>10</v>
      </c>
    </row>
    <row r="4" spans="1:7" ht="16" x14ac:dyDescent="0.15">
      <c r="D4" s="23" t="s">
        <v>1</v>
      </c>
    </row>
    <row r="8" spans="1:7" x14ac:dyDescent="0.15"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</row>
    <row r="9" spans="1:7" ht="6" customHeight="1" x14ac:dyDescent="0.15"/>
    <row r="10" spans="1:7" x14ac:dyDescent="0.15">
      <c r="B10" s="1" t="s">
        <v>419</v>
      </c>
      <c r="D10" s="18">
        <f t="shared" ref="D10:D17" si="0">VLOOKUP(B10,tab_Actif,3,FALSE)</f>
        <v>2944.3167399999998</v>
      </c>
      <c r="E10" s="18">
        <f t="shared" ref="E10:E17" si="1">VLOOKUP(B10,tab_Actif,4,FALSE)</f>
        <v>2569.9226900000003</v>
      </c>
      <c r="F10" s="18">
        <f t="shared" ref="F10:F24" si="2">D10-E10</f>
        <v>374.39404999999942</v>
      </c>
      <c r="G10" s="26">
        <f t="shared" ref="G10:G24" si="3">IF(E10=0,"n/a",F10/ABS(E10))</f>
        <v>0.14568300107113313</v>
      </c>
    </row>
    <row r="11" spans="1:7" x14ac:dyDescent="0.15">
      <c r="B11" s="1" t="s">
        <v>421</v>
      </c>
      <c r="D11" s="18">
        <f t="shared" si="0"/>
        <v>0</v>
      </c>
      <c r="E11" s="18">
        <f t="shared" si="1"/>
        <v>0</v>
      </c>
      <c r="F11" s="18">
        <f t="shared" si="2"/>
        <v>0</v>
      </c>
      <c r="G11" s="26" t="str">
        <f t="shared" si="3"/>
        <v>n/a</v>
      </c>
    </row>
    <row r="12" spans="1:7" x14ac:dyDescent="0.15">
      <c r="B12" s="1" t="s">
        <v>128</v>
      </c>
      <c r="D12" s="18">
        <f t="shared" si="0"/>
        <v>1829.1075200000025</v>
      </c>
      <c r="E12" s="18">
        <f t="shared" si="1"/>
        <v>1892.2450799999745</v>
      </c>
      <c r="F12" s="18">
        <f t="shared" si="2"/>
        <v>-63.137559999971927</v>
      </c>
      <c r="G12" s="26">
        <f t="shared" si="3"/>
        <v>-3.3366481259379348E-2</v>
      </c>
    </row>
    <row r="13" spans="1:7" x14ac:dyDescent="0.15">
      <c r="B13" s="1" t="s">
        <v>423</v>
      </c>
      <c r="D13" s="18">
        <f t="shared" si="0"/>
        <v>1278.5909500000002</v>
      </c>
      <c r="E13" s="18">
        <f t="shared" si="1"/>
        <v>581.25796999999989</v>
      </c>
      <c r="F13" s="18">
        <f t="shared" si="2"/>
        <v>697.33298000000036</v>
      </c>
      <c r="G13" s="26">
        <f t="shared" si="3"/>
        <v>1.1996962037354955</v>
      </c>
    </row>
    <row r="14" spans="1:7" x14ac:dyDescent="0.15">
      <c r="B14" s="1" t="s">
        <v>425</v>
      </c>
      <c r="D14" s="18">
        <f t="shared" si="0"/>
        <v>0</v>
      </c>
      <c r="E14" s="18">
        <f t="shared" si="1"/>
        <v>0</v>
      </c>
      <c r="F14" s="18">
        <f t="shared" si="2"/>
        <v>0</v>
      </c>
      <c r="G14" s="26" t="str">
        <f t="shared" si="3"/>
        <v>n/a</v>
      </c>
    </row>
    <row r="15" spans="1:7" x14ac:dyDescent="0.15">
      <c r="B15" s="1" t="s">
        <v>196</v>
      </c>
      <c r="D15" s="18">
        <f t="shared" si="0"/>
        <v>17.545690000000004</v>
      </c>
      <c r="E15" s="18">
        <f t="shared" si="1"/>
        <v>9.3279999999999994</v>
      </c>
      <c r="F15" s="18">
        <f t="shared" si="2"/>
        <v>8.2176900000000046</v>
      </c>
      <c r="G15" s="26">
        <f t="shared" si="3"/>
        <v>0.88097019725557513</v>
      </c>
    </row>
    <row r="16" spans="1:7" x14ac:dyDescent="0.15">
      <c r="B16" s="1" t="s">
        <v>464</v>
      </c>
      <c r="D16" s="18">
        <f t="shared" si="0"/>
        <v>0</v>
      </c>
      <c r="E16" s="18">
        <f t="shared" si="1"/>
        <v>0</v>
      </c>
      <c r="F16" s="18">
        <f t="shared" si="2"/>
        <v>0</v>
      </c>
      <c r="G16" s="26" t="str">
        <f t="shared" si="3"/>
        <v>n/a</v>
      </c>
    </row>
    <row r="17" spans="2:7" x14ac:dyDescent="0.15">
      <c r="B17" s="1" t="s">
        <v>466</v>
      </c>
      <c r="D17" s="18">
        <f t="shared" si="0"/>
        <v>0</v>
      </c>
      <c r="E17" s="18">
        <f t="shared" si="1"/>
        <v>0</v>
      </c>
      <c r="F17" s="18">
        <f t="shared" si="2"/>
        <v>0</v>
      </c>
      <c r="G17" s="26" t="str">
        <f t="shared" si="3"/>
        <v>n/a</v>
      </c>
    </row>
    <row r="18" spans="2:7" x14ac:dyDescent="0.15">
      <c r="B18" s="1" t="s">
        <v>422</v>
      </c>
      <c r="D18" s="18">
        <f t="shared" ref="D18:D24" si="4">-VLOOKUP(B18,tab_Passif,3,FALSE)</f>
        <v>0</v>
      </c>
      <c r="E18" s="18">
        <f t="shared" ref="E18:E24" si="5">-VLOOKUP(B18,tab_Passif,4,FALSE)</f>
        <v>0</v>
      </c>
      <c r="F18" s="18">
        <f t="shared" si="2"/>
        <v>0</v>
      </c>
      <c r="G18" s="26" t="str">
        <f t="shared" si="3"/>
        <v>n/a</v>
      </c>
    </row>
    <row r="19" spans="2:7" x14ac:dyDescent="0.15">
      <c r="B19" s="1" t="s">
        <v>122</v>
      </c>
      <c r="D19" s="18">
        <f t="shared" si="4"/>
        <v>-1008.7845499999987</v>
      </c>
      <c r="E19" s="18">
        <f t="shared" si="5"/>
        <v>-2181.3936399999993</v>
      </c>
      <c r="F19" s="18">
        <f t="shared" si="2"/>
        <v>1172.6090900000006</v>
      </c>
      <c r="G19" s="26">
        <f t="shared" si="3"/>
        <v>0.5375504303753269</v>
      </c>
    </row>
    <row r="20" spans="2:7" x14ac:dyDescent="0.15">
      <c r="B20" s="1" t="s">
        <v>424</v>
      </c>
      <c r="D20" s="18">
        <f t="shared" si="4"/>
        <v>-336.34552999999994</v>
      </c>
      <c r="E20" s="18">
        <f t="shared" si="5"/>
        <v>-345.96172000000058</v>
      </c>
      <c r="F20" s="18">
        <f t="shared" si="2"/>
        <v>9.6161900000006426</v>
      </c>
      <c r="G20" s="26">
        <f t="shared" si="3"/>
        <v>2.7795531829361429E-2</v>
      </c>
    </row>
    <row r="21" spans="2:7" x14ac:dyDescent="0.15">
      <c r="B21" s="1" t="s">
        <v>426</v>
      </c>
      <c r="D21" s="18">
        <f t="shared" si="4"/>
        <v>0</v>
      </c>
      <c r="E21" s="18">
        <f t="shared" si="5"/>
        <v>0</v>
      </c>
      <c r="F21" s="18">
        <f t="shared" si="2"/>
        <v>0</v>
      </c>
      <c r="G21" s="26" t="str">
        <f t="shared" si="3"/>
        <v>n/a</v>
      </c>
    </row>
    <row r="22" spans="2:7" x14ac:dyDescent="0.15">
      <c r="B22" s="1" t="s">
        <v>428</v>
      </c>
      <c r="D22" s="18">
        <f t="shared" si="4"/>
        <v>-0.47449000000000002</v>
      </c>
      <c r="E22" s="18">
        <f t="shared" si="5"/>
        <v>-2.3559500000000506</v>
      </c>
      <c r="F22" s="18">
        <f t="shared" si="2"/>
        <v>1.8814600000000505</v>
      </c>
      <c r="G22" s="26">
        <f t="shared" si="3"/>
        <v>0.79859929115643802</v>
      </c>
    </row>
    <row r="23" spans="2:7" x14ac:dyDescent="0.15">
      <c r="B23" s="1" t="s">
        <v>479</v>
      </c>
      <c r="D23" s="18">
        <f t="shared" si="4"/>
        <v>0</v>
      </c>
      <c r="E23" s="18">
        <f t="shared" si="5"/>
        <v>0</v>
      </c>
      <c r="F23" s="18">
        <f t="shared" si="2"/>
        <v>0</v>
      </c>
      <c r="G23" s="26" t="str">
        <f t="shared" si="3"/>
        <v>n/a</v>
      </c>
    </row>
    <row r="24" spans="2:7" x14ac:dyDescent="0.15">
      <c r="B24" s="1" t="s">
        <v>480</v>
      </c>
      <c r="D24" s="18">
        <f t="shared" si="4"/>
        <v>0</v>
      </c>
      <c r="E24" s="18">
        <f t="shared" si="5"/>
        <v>0</v>
      </c>
      <c r="F24" s="18">
        <f t="shared" si="2"/>
        <v>0</v>
      </c>
      <c r="G24" s="26" t="str">
        <f t="shared" si="3"/>
        <v>n/a</v>
      </c>
    </row>
    <row r="25" spans="2:7" ht="6" customHeight="1" x14ac:dyDescent="0.15">
      <c r="D25" s="18"/>
      <c r="E25" s="18"/>
      <c r="F25" s="18"/>
      <c r="G25" s="26"/>
    </row>
    <row r="26" spans="2:7" x14ac:dyDescent="0.15">
      <c r="B26" s="28" t="s">
        <v>509</v>
      </c>
      <c r="C26" s="28"/>
      <c r="D26" s="29">
        <f>SUM($D$10:$D$24)</f>
        <v>4723.9563300000054</v>
      </c>
      <c r="E26" s="29">
        <f>SUM($E$10:$E$24)</f>
        <v>2523.0424299999745</v>
      </c>
      <c r="F26" s="29">
        <f>D26-E26</f>
        <v>2200.9139000000309</v>
      </c>
      <c r="G26" s="30">
        <f>IF(E26=0,"n/a",F26/ABS(E26))</f>
        <v>0.87232536156756313</v>
      </c>
    </row>
    <row r="27" spans="2:7" ht="14" thickBot="1" x14ac:dyDescent="0.2">
      <c r="B27" s="37" t="s">
        <v>510</v>
      </c>
      <c r="C27" s="37"/>
      <c r="D27" s="38">
        <f>$D$26/ChiffreAffairesN*360</f>
        <v>118.19945658773744</v>
      </c>
      <c r="E27" s="38">
        <f>$E$26/ChiffreAffairesN_1*360</f>
        <v>71.135536365598725</v>
      </c>
      <c r="F27" s="38">
        <f>D27-E27</f>
        <v>47.063920222138719</v>
      </c>
      <c r="G27" s="39">
        <f>IF(E27=0,"n/a",F27/ABS(E27))</f>
        <v>0.66160912852691889</v>
      </c>
    </row>
    <row r="30" spans="2:7" x14ac:dyDescent="0.15">
      <c r="B30" s="5" t="s">
        <v>26</v>
      </c>
      <c r="C30" s="6"/>
      <c r="D30" s="13">
        <v>45657</v>
      </c>
      <c r="E30" s="13">
        <v>45291</v>
      </c>
      <c r="F30" s="6" t="s">
        <v>27</v>
      </c>
      <c r="G30" s="6" t="s">
        <v>28</v>
      </c>
    </row>
    <row r="31" spans="2:7" ht="6" customHeight="1" x14ac:dyDescent="0.15"/>
    <row r="32" spans="2:7" x14ac:dyDescent="0.15">
      <c r="B32" s="1" t="s">
        <v>407</v>
      </c>
      <c r="D32" s="18">
        <f>VLOOKUP(B32,tab_Actif,3,FALSE)</f>
        <v>0</v>
      </c>
      <c r="E32" s="18">
        <f>VLOOKUP(B32,tab_Actif,4,FALSE)</f>
        <v>0</v>
      </c>
      <c r="F32" s="18">
        <f t="shared" ref="F32:F40" si="6">D32-E32</f>
        <v>0</v>
      </c>
      <c r="G32" s="26" t="str">
        <f t="shared" ref="G32:G40" si="7">IF(E32=0,"n/a",F32/ABS(E32))</f>
        <v>n/a</v>
      </c>
    </row>
    <row r="33" spans="2:7" x14ac:dyDescent="0.15">
      <c r="B33" s="1" t="s">
        <v>409</v>
      </c>
      <c r="D33" s="18">
        <f>VLOOKUP(B33,tab_Actif,3,FALSE)</f>
        <v>191.351</v>
      </c>
      <c r="E33" s="18">
        <f>VLOOKUP(B33,tab_Actif,4,FALSE)</f>
        <v>191.351</v>
      </c>
      <c r="F33" s="18">
        <f t="shared" si="6"/>
        <v>0</v>
      </c>
      <c r="G33" s="26">
        <f t="shared" si="7"/>
        <v>0</v>
      </c>
    </row>
    <row r="34" spans="2:7" x14ac:dyDescent="0.15">
      <c r="B34" s="1" t="s">
        <v>411</v>
      </c>
      <c r="D34" s="18">
        <f>VLOOKUP(B34,tab_Actif,3,FALSE)</f>
        <v>520.01207999999986</v>
      </c>
      <c r="E34" s="18">
        <f>VLOOKUP(B34,tab_Actif,4,FALSE)</f>
        <v>688.72823999999969</v>
      </c>
      <c r="F34" s="18">
        <f t="shared" si="6"/>
        <v>-168.71615999999983</v>
      </c>
      <c r="G34" s="26">
        <f t="shared" si="7"/>
        <v>-0.24496768130198918</v>
      </c>
    </row>
    <row r="35" spans="2:7" x14ac:dyDescent="0.15">
      <c r="B35" s="1" t="s">
        <v>412</v>
      </c>
      <c r="D35" s="18">
        <f>VLOOKUP(B35,tab_Actif,3,FALSE)</f>
        <v>3932.5959999999995</v>
      </c>
      <c r="E35" s="18">
        <f>VLOOKUP(B35,tab_Actif,4,FALSE)</f>
        <v>599.2129900000001</v>
      </c>
      <c r="F35" s="18">
        <f t="shared" si="6"/>
        <v>3333.3830099999996</v>
      </c>
      <c r="G35" s="26">
        <f t="shared" si="7"/>
        <v>5.5629351593329091</v>
      </c>
    </row>
    <row r="36" spans="2:7" x14ac:dyDescent="0.15">
      <c r="B36" s="1" t="s">
        <v>416</v>
      </c>
      <c r="D36" s="18">
        <f>-VLOOKUP(B36,tab_Passif,3,FALSE)</f>
        <v>-5880.4899399999995</v>
      </c>
      <c r="E36" s="18">
        <f>-VLOOKUP(B36,tab_Passif,4,FALSE)</f>
        <v>-4616.1944800000792</v>
      </c>
      <c r="F36" s="18">
        <f t="shared" si="6"/>
        <v>-1264.2954599999202</v>
      </c>
      <c r="G36" s="26">
        <f t="shared" si="7"/>
        <v>-0.2738826246332452</v>
      </c>
    </row>
    <row r="37" spans="2:7" x14ac:dyDescent="0.15">
      <c r="B37" s="1" t="s">
        <v>417</v>
      </c>
      <c r="D37" s="18">
        <f>-VLOOKUP(B37,tab_Passif,3,FALSE)</f>
        <v>0</v>
      </c>
      <c r="E37" s="18">
        <f>-VLOOKUP(B37,tab_Passif,4,FALSE)</f>
        <v>0</v>
      </c>
      <c r="F37" s="18">
        <f t="shared" si="6"/>
        <v>0</v>
      </c>
      <c r="G37" s="26" t="str">
        <f t="shared" si="7"/>
        <v>n/a</v>
      </c>
    </row>
    <row r="38" spans="2:7" x14ac:dyDescent="0.15">
      <c r="B38" s="1" t="s">
        <v>418</v>
      </c>
      <c r="D38" s="18">
        <f>-VLOOKUP(B38,tab_Passif,3,FALSE)</f>
        <v>-30</v>
      </c>
      <c r="E38" s="18">
        <f>-VLOOKUP(B38,tab_Passif,4,FALSE)</f>
        <v>-30</v>
      </c>
      <c r="F38" s="18">
        <f t="shared" si="6"/>
        <v>0</v>
      </c>
      <c r="G38" s="26">
        <f t="shared" si="7"/>
        <v>0</v>
      </c>
    </row>
    <row r="39" spans="2:7" x14ac:dyDescent="0.15">
      <c r="B39" s="1" t="s">
        <v>476</v>
      </c>
      <c r="D39" s="18">
        <f>-VLOOKUP(B39,tab_Passif,3,FALSE)</f>
        <v>0</v>
      </c>
      <c r="E39" s="18">
        <f>-VLOOKUP(B39,tab_Passif,4,FALSE)</f>
        <v>0</v>
      </c>
      <c r="F39" s="18">
        <f t="shared" si="6"/>
        <v>0</v>
      </c>
      <c r="G39" s="26" t="str">
        <f t="shared" si="7"/>
        <v>n/a</v>
      </c>
    </row>
    <row r="40" spans="2:7" x14ac:dyDescent="0.15">
      <c r="B40" s="1" t="s">
        <v>477</v>
      </c>
      <c r="D40" s="18">
        <f>-VLOOKUP(B40,tab_Passif,3,FALSE)</f>
        <v>0</v>
      </c>
      <c r="E40" s="18">
        <f>-VLOOKUP(B40,tab_Passif,4,FALSE)</f>
        <v>0</v>
      </c>
      <c r="F40" s="18">
        <f t="shared" si="6"/>
        <v>0</v>
      </c>
      <c r="G40" s="26" t="str">
        <f t="shared" si="7"/>
        <v>n/a</v>
      </c>
    </row>
    <row r="41" spans="2:7" ht="6" customHeight="1" x14ac:dyDescent="0.15">
      <c r="D41" s="18"/>
      <c r="E41" s="18"/>
      <c r="F41" s="18"/>
      <c r="G41" s="26"/>
    </row>
    <row r="42" spans="2:7" ht="14" thickBot="1" x14ac:dyDescent="0.2">
      <c r="B42" s="34" t="s">
        <v>511</v>
      </c>
      <c r="C42" s="34"/>
      <c r="D42" s="35">
        <f>SUM($D$32:$D$40)</f>
        <v>-1266.5308599999998</v>
      </c>
      <c r="E42" s="35">
        <f>SUM($E$32:$E$40)</f>
        <v>-3166.9022500000792</v>
      </c>
      <c r="F42" s="35">
        <f>D42-E42</f>
        <v>1900.3713900000794</v>
      </c>
      <c r="G42" s="36">
        <f>IF(E42=0,"n/a",F42/ABS(E42))</f>
        <v>0.60007263880659145</v>
      </c>
    </row>
    <row r="45" spans="2:7" x14ac:dyDescent="0.15">
      <c r="B45" s="5" t="s">
        <v>26</v>
      </c>
      <c r="C45" s="6"/>
      <c r="D45" s="13">
        <v>45657</v>
      </c>
      <c r="E45" s="13">
        <v>45291</v>
      </c>
      <c r="F45" s="6" t="s">
        <v>27</v>
      </c>
      <c r="G45" s="6" t="s">
        <v>28</v>
      </c>
    </row>
    <row r="46" spans="2:7" ht="6" customHeight="1" x14ac:dyDescent="0.15"/>
    <row r="47" spans="2:7" x14ac:dyDescent="0.15">
      <c r="B47" s="1" t="s">
        <v>463</v>
      </c>
      <c r="D47" s="18">
        <f>VLOOKUP(B47,tab_Actif,3,FALSE)</f>
        <v>0</v>
      </c>
      <c r="E47" s="18">
        <f>VLOOKUP(B47,tab_Actif,4,FALSE)</f>
        <v>0</v>
      </c>
      <c r="F47" s="18">
        <f>D47-E47</f>
        <v>0</v>
      </c>
      <c r="G47" s="26" t="str">
        <f>IF(E47=0,"n/a",F47/ABS(E47))</f>
        <v>n/a</v>
      </c>
    </row>
    <row r="48" spans="2:7" x14ac:dyDescent="0.15">
      <c r="B48" s="1" t="s">
        <v>199</v>
      </c>
      <c r="D48" s="18">
        <f>VLOOKUP(B48,tab_Actif,3,FALSE)</f>
        <v>1378.1610299999995</v>
      </c>
      <c r="E48" s="18">
        <f>VLOOKUP(B48,tab_Actif,4,FALSE)</f>
        <v>1926.1826200000005</v>
      </c>
      <c r="F48" s="18">
        <f>D48-E48</f>
        <v>-548.02159000000097</v>
      </c>
      <c r="G48" s="26">
        <f>IF(E48=0,"n/a",F48/ABS(E48))</f>
        <v>-0.28451175101974541</v>
      </c>
    </row>
    <row r="49" spans="2:7" x14ac:dyDescent="0.15">
      <c r="B49" s="1" t="s">
        <v>465</v>
      </c>
      <c r="D49" s="18">
        <f>VLOOKUP(B49,tab_Actif,3,FALSE)</f>
        <v>0</v>
      </c>
      <c r="E49" s="18">
        <f>VLOOKUP(B49,tab_Actif,4,FALSE)</f>
        <v>0</v>
      </c>
      <c r="F49" s="18">
        <f>D49-E49</f>
        <v>0</v>
      </c>
      <c r="G49" s="26" t="str">
        <f>IF(E49=0,"n/a",F49/ABS(E49))</f>
        <v>n/a</v>
      </c>
    </row>
    <row r="50" spans="2:7" x14ac:dyDescent="0.15">
      <c r="B50" s="1" t="s">
        <v>49</v>
      </c>
      <c r="D50" s="18">
        <f>-VLOOKUP(B50,tab_Passif,3,FALSE)</f>
        <v>-2516.0789399999999</v>
      </c>
      <c r="E50" s="18">
        <f>-VLOOKUP(B50,tab_Passif,4,FALSE)</f>
        <v>-1278.6796400000001</v>
      </c>
      <c r="F50" s="18">
        <f>D50-E50</f>
        <v>-1237.3992999999998</v>
      </c>
      <c r="G50" s="26">
        <f>IF(E50=0,"n/a",F50/ABS(E50))</f>
        <v>-0.96771643286664022</v>
      </c>
    </row>
    <row r="51" spans="2:7" x14ac:dyDescent="0.15">
      <c r="B51" s="1" t="s">
        <v>57</v>
      </c>
      <c r="D51" s="18">
        <f>-VLOOKUP(B51,tab_Passif,3,FALSE)</f>
        <v>-2319.50756</v>
      </c>
      <c r="E51" s="18">
        <f>-VLOOKUP(B51,tab_Passif,4,FALSE)</f>
        <v>-3.6431600000000035</v>
      </c>
      <c r="F51" s="18">
        <f>D51-E51</f>
        <v>-2315.8643999999999</v>
      </c>
      <c r="G51" s="26">
        <f>IF(E51=0,"n/a",F51/ABS(E51))</f>
        <v>-635.67463410884989</v>
      </c>
    </row>
    <row r="52" spans="2:7" ht="6" customHeight="1" x14ac:dyDescent="0.15">
      <c r="D52" s="18"/>
      <c r="E52" s="18"/>
      <c r="F52" s="18"/>
      <c r="G52" s="26"/>
    </row>
    <row r="53" spans="2:7" ht="14" thickBot="1" x14ac:dyDescent="0.2">
      <c r="B53" s="34" t="s">
        <v>512</v>
      </c>
      <c r="C53" s="34"/>
      <c r="D53" s="35">
        <f>SUM($D$47:$D$51)</f>
        <v>-3457.4254700000001</v>
      </c>
      <c r="E53" s="35">
        <f>SUM($E$47:$E$51)</f>
        <v>643.85982000000047</v>
      </c>
      <c r="F53" s="35">
        <f>D53-E53</f>
        <v>-4101.2852900000007</v>
      </c>
      <c r="G53" s="36">
        <f>IF(E53=0,"n/a",F53/ABS(E53))</f>
        <v>-6.3698419478948036</v>
      </c>
    </row>
    <row r="55" spans="2:7" x14ac:dyDescent="0.15">
      <c r="B55" s="1" t="s">
        <v>513</v>
      </c>
      <c r="D55" s="18">
        <f>ROUND($D$26+$D$42+$D$53,2)</f>
        <v>0</v>
      </c>
      <c r="E55" s="18">
        <f>ROUND($E$26+$E$42+$E$53,2)</f>
        <v>0</v>
      </c>
    </row>
    <row r="58" spans="2:7" x14ac:dyDescent="0.15">
      <c r="B58" s="5" t="s">
        <v>26</v>
      </c>
      <c r="C58" s="6"/>
      <c r="D58" s="13">
        <v>45657</v>
      </c>
      <c r="E58" s="13">
        <v>45291</v>
      </c>
      <c r="F58" s="6" t="s">
        <v>27</v>
      </c>
      <c r="G58" s="6" t="s">
        <v>28</v>
      </c>
    </row>
    <row r="59" spans="2:7" ht="6" customHeight="1" x14ac:dyDescent="0.15"/>
    <row r="60" spans="2:7" x14ac:dyDescent="0.15">
      <c r="B60" s="1" t="s">
        <v>463</v>
      </c>
      <c r="D60" s="18">
        <f>VLOOKUP(B60,tab_Actif,3,FALSE)</f>
        <v>0</v>
      </c>
      <c r="E60" s="18">
        <f>VLOOKUP(B60,tab_Actif,4,FALSE)</f>
        <v>0</v>
      </c>
      <c r="F60" s="18">
        <f t="shared" ref="F60:F66" si="8">D60-E60</f>
        <v>0</v>
      </c>
      <c r="G60" s="26" t="str">
        <f t="shared" ref="G60:G66" si="9">IF(E60=0,"n/a",F60/ABS(E60))</f>
        <v>n/a</v>
      </c>
    </row>
    <row r="61" spans="2:7" x14ac:dyDescent="0.15">
      <c r="B61" s="1" t="s">
        <v>199</v>
      </c>
      <c r="D61" s="18">
        <f>VLOOKUP(B61,tab_Actif,3,FALSE)</f>
        <v>1378.1610299999995</v>
      </c>
      <c r="E61" s="18">
        <f>VLOOKUP(B61,tab_Actif,4,FALSE)</f>
        <v>1926.1826200000005</v>
      </c>
      <c r="F61" s="18">
        <f t="shared" si="8"/>
        <v>-548.02159000000097</v>
      </c>
      <c r="G61" s="26">
        <f t="shared" si="9"/>
        <v>-0.28451175101974541</v>
      </c>
    </row>
    <row r="62" spans="2:7" x14ac:dyDescent="0.15">
      <c r="B62" s="1" t="s">
        <v>465</v>
      </c>
      <c r="D62" s="18">
        <f>VLOOKUP(B62,tab_Actif,3,FALSE)</f>
        <v>0</v>
      </c>
      <c r="E62" s="18">
        <f>VLOOKUP(B62,tab_Actif,4,FALSE)</f>
        <v>0</v>
      </c>
      <c r="F62" s="18">
        <f t="shared" si="8"/>
        <v>0</v>
      </c>
      <c r="G62" s="26" t="str">
        <f t="shared" si="9"/>
        <v>n/a</v>
      </c>
    </row>
    <row r="63" spans="2:7" x14ac:dyDescent="0.15">
      <c r="B63" s="1" t="s">
        <v>476</v>
      </c>
      <c r="D63" s="18">
        <f>-VLOOKUP(B63,tab_Passif,3,FALSE)</f>
        <v>0</v>
      </c>
      <c r="E63" s="18">
        <f>-VLOOKUP(B63,tab_Passif,4,FALSE)</f>
        <v>0</v>
      </c>
      <c r="F63" s="18">
        <f t="shared" si="8"/>
        <v>0</v>
      </c>
      <c r="G63" s="26" t="str">
        <f t="shared" si="9"/>
        <v>n/a</v>
      </c>
    </row>
    <row r="64" spans="2:7" x14ac:dyDescent="0.15">
      <c r="B64" s="1" t="s">
        <v>477</v>
      </c>
      <c r="D64" s="18">
        <f>-VLOOKUP(B64,tab_Passif,3,FALSE)</f>
        <v>0</v>
      </c>
      <c r="E64" s="18">
        <f>-VLOOKUP(B64,tab_Passif,4,FALSE)</f>
        <v>0</v>
      </c>
      <c r="F64" s="18">
        <f t="shared" si="8"/>
        <v>0</v>
      </c>
      <c r="G64" s="26" t="str">
        <f t="shared" si="9"/>
        <v>n/a</v>
      </c>
    </row>
    <row r="65" spans="2:7" x14ac:dyDescent="0.15">
      <c r="B65" s="1" t="s">
        <v>49</v>
      </c>
      <c r="D65" s="18">
        <f>-VLOOKUP(B65,tab_Passif,3,FALSE)</f>
        <v>-2516.0789399999999</v>
      </c>
      <c r="E65" s="18">
        <f>-VLOOKUP(B65,tab_Passif,4,FALSE)</f>
        <v>-1278.6796400000001</v>
      </c>
      <c r="F65" s="18">
        <f t="shared" si="8"/>
        <v>-1237.3992999999998</v>
      </c>
      <c r="G65" s="26">
        <f t="shared" si="9"/>
        <v>-0.96771643286664022</v>
      </c>
    </row>
    <row r="66" spans="2:7" x14ac:dyDescent="0.15">
      <c r="B66" s="1" t="s">
        <v>57</v>
      </c>
      <c r="D66" s="18">
        <f>-VLOOKUP(B66,tab_Passif,3,FALSE)</f>
        <v>-2319.50756</v>
      </c>
      <c r="E66" s="18">
        <f>-VLOOKUP(B66,tab_Passif,4,FALSE)</f>
        <v>-3.6431600000000035</v>
      </c>
      <c r="F66" s="18">
        <f t="shared" si="8"/>
        <v>-2315.8643999999999</v>
      </c>
      <c r="G66" s="26">
        <f t="shared" si="9"/>
        <v>-635.67463410884989</v>
      </c>
    </row>
    <row r="67" spans="2:7" ht="6" customHeight="1" x14ac:dyDescent="0.15">
      <c r="D67" s="18"/>
      <c r="E67" s="18"/>
      <c r="F67" s="18"/>
      <c r="G67" s="26"/>
    </row>
    <row r="68" spans="2:7" ht="14" thickBot="1" x14ac:dyDescent="0.2">
      <c r="B68" s="34" t="s">
        <v>514</v>
      </c>
      <c r="C68" s="34"/>
      <c r="D68" s="35">
        <f>SUM($D$60:$D$66)</f>
        <v>-3457.4254700000001</v>
      </c>
      <c r="E68" s="35">
        <f>SUM($E$60:$E$66)</f>
        <v>643.85982000000047</v>
      </c>
      <c r="F68" s="35">
        <f>D68-E68</f>
        <v>-4101.2852900000007</v>
      </c>
      <c r="G68" s="36">
        <f>IF(E68=0,"n/a",F68/ABS(E68))</f>
        <v>-6.3698419478948036</v>
      </c>
    </row>
  </sheetData>
  <conditionalFormatting sqref="D8">
    <cfRule type="expression" dxfId="50" priority="7" stopIfTrue="1">
      <formula>$D$8="Date N ?"</formula>
    </cfRule>
  </conditionalFormatting>
  <conditionalFormatting sqref="D30">
    <cfRule type="expression" dxfId="49" priority="5" stopIfTrue="1">
      <formula>$D$8="Date N ?"</formula>
    </cfRule>
  </conditionalFormatting>
  <conditionalFormatting sqref="D45">
    <cfRule type="expression" dxfId="48" priority="3" stopIfTrue="1">
      <formula>$D$8="Date N ?"</formula>
    </cfRule>
  </conditionalFormatting>
  <conditionalFormatting sqref="D58">
    <cfRule type="expression" dxfId="47" priority="1" stopIfTrue="1">
      <formula>$D$8="Date N ?"</formula>
    </cfRule>
  </conditionalFormatting>
  <conditionalFormatting sqref="D55:E55">
    <cfRule type="cellIs" dxfId="46" priority="9" stopIfTrue="1" operator="notEqual">
      <formula>0</formula>
    </cfRule>
  </conditionalFormatting>
  <conditionalFormatting sqref="E8">
    <cfRule type="expression" dxfId="45" priority="8" stopIfTrue="1">
      <formula>$E$8="Date N-1 ?"</formula>
    </cfRule>
  </conditionalFormatting>
  <conditionalFormatting sqref="E30">
    <cfRule type="expression" dxfId="44" priority="6" stopIfTrue="1">
      <formula>$E$8="Date N-1 ?"</formula>
    </cfRule>
  </conditionalFormatting>
  <conditionalFormatting sqref="E45">
    <cfRule type="expression" dxfId="43" priority="4" stopIfTrue="1">
      <formula>$E$8="Date N-1 ?"</formula>
    </cfRule>
  </conditionalFormatting>
  <conditionalFormatting sqref="E58">
    <cfRule type="expression" dxfId="42" priority="2" stopIfTrue="1">
      <formula>$E$8="Date N-1 ?"</formula>
    </cfRule>
  </conditionalFormatting>
  <hyperlinks>
    <hyperlink ref="A1" location="Sommaire!C3" display="Retour sommaire" xr:uid="{3C88F14C-14C9-4DA3-858D-76D88DC40096}"/>
  </hyperlinks>
  <printOptions horizontalCentered="1" verticalCentered="1"/>
  <pageMargins left="0.7" right="0.7" top="0.75" bottom="0.75" header="0.3" footer="0.3"/>
  <pageSetup paperSize="9" orientation="portrait" r:id="rId1"/>
  <headerFooter>
    <oddHeader>&amp;L&amp;10Dossier : GILAC
Date de clôture : 31/12/2024&amp;C&amp;"Times New Roman,Gras"&amp;12Besoin en fonds de roulement,Fonds de roulement,
Trésorerie nette, Endettement net financier</oddHeader>
    <oddFooter>&amp;L&amp;"Times New Roman"&amp;10Firex Audit&amp;C&amp;"Times New Roman"&amp;10&amp;D&amp;R&amp;"Times New Roman"&amp;10Document de travail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BCBA-73A1-49E2-AA52-1610B96116D8}">
  <sheetPr codeName="Feuil15">
    <pageSetUpPr fitToPage="1"/>
  </sheetPr>
  <dimension ref="A1:H154"/>
  <sheetViews>
    <sheetView showGridLines="0" tabSelected="1" defaultGridColor="0" colorId="52" workbookViewId="0">
      <selection activeCell="C41" sqref="C41"/>
    </sheetView>
  </sheetViews>
  <sheetFormatPr baseColWidth="10" defaultColWidth="9.3984375" defaultRowHeight="13" outlineLevelRow="1" x14ac:dyDescent="0.15"/>
  <cols>
    <col min="1" max="1" width="4.796875" style="1" bestFit="1" customWidth="1"/>
    <col min="2" max="2" width="11.796875" style="1" customWidth="1"/>
    <col min="3" max="3" width="45.3984375" style="1" bestFit="1" customWidth="1"/>
    <col min="4" max="8" width="12.19921875" style="1" customWidth="1"/>
    <col min="9" max="16384" width="9.3984375" style="1"/>
  </cols>
  <sheetData>
    <row r="1" spans="1:8" ht="14" x14ac:dyDescent="0.15">
      <c r="A1" s="40" t="s">
        <v>23</v>
      </c>
      <c r="B1" s="2"/>
      <c r="C1" s="2"/>
      <c r="D1" s="2"/>
      <c r="E1" s="2"/>
      <c r="F1" s="2"/>
      <c r="G1" s="2"/>
    </row>
    <row r="2" spans="1:8" x14ac:dyDescent="0.15">
      <c r="B2" s="2"/>
      <c r="C2" s="2"/>
      <c r="D2" s="2"/>
      <c r="E2" s="2"/>
      <c r="F2" s="2"/>
      <c r="G2" s="2"/>
    </row>
    <row r="3" spans="1:8" ht="18" x14ac:dyDescent="0.15">
      <c r="B3" s="2"/>
      <c r="C3" s="2"/>
      <c r="D3" s="11" t="s">
        <v>11</v>
      </c>
      <c r="E3" s="2"/>
      <c r="F3" s="2"/>
      <c r="G3" s="2"/>
    </row>
    <row r="4" spans="1:8" ht="16" x14ac:dyDescent="0.15">
      <c r="B4" s="2"/>
      <c r="C4" s="3"/>
      <c r="D4" s="4" t="s">
        <v>1</v>
      </c>
      <c r="E4" s="2"/>
      <c r="F4" s="2"/>
      <c r="G4" s="2"/>
    </row>
    <row r="5" spans="1:8" x14ac:dyDescent="0.15">
      <c r="B5" s="2"/>
      <c r="C5" s="2"/>
      <c r="D5" s="2"/>
      <c r="E5" s="2"/>
      <c r="F5" s="2"/>
      <c r="G5" s="2"/>
    </row>
    <row r="6" spans="1:8" x14ac:dyDescent="0.15">
      <c r="B6" s="2"/>
      <c r="C6" s="2"/>
      <c r="D6"/>
      <c r="E6"/>
      <c r="F6" s="2"/>
      <c r="G6" s="2"/>
    </row>
    <row r="7" spans="1:8" x14ac:dyDescent="0.15">
      <c r="B7" s="2"/>
      <c r="C7" s="2"/>
      <c r="D7" s="2"/>
      <c r="E7" s="2"/>
      <c r="F7" s="2"/>
      <c r="G7" s="2"/>
    </row>
    <row r="8" spans="1:8" x14ac:dyDescent="0.15">
      <c r="A8" s="16" t="s">
        <v>25</v>
      </c>
      <c r="C8" s="5" t="s">
        <v>26</v>
      </c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</row>
    <row r="9" spans="1:8" ht="6" hidden="1" customHeight="1" outlineLevel="1" x14ac:dyDescent="0.15"/>
    <row r="10" spans="1:8" hidden="1" outlineLevel="1" x14ac:dyDescent="0.15">
      <c r="A10" s="17"/>
      <c r="B10" s="7">
        <v>606110</v>
      </c>
      <c r="C10" s="7" t="s">
        <v>228</v>
      </c>
      <c r="D10" s="2">
        <v>285.61255999999992</v>
      </c>
      <c r="E10" s="2">
        <v>294.93119000000002</v>
      </c>
      <c r="F10" s="2">
        <f t="shared" ref="F10:F58" si="0">D10-E10</f>
        <v>-9.3186300000000983</v>
      </c>
      <c r="G10" s="8">
        <f t="shared" ref="G10:G58" si="1">IF(E10=0,"n/a",F10/ABS(E10))</f>
        <v>-3.1595946159509607E-2</v>
      </c>
      <c r="H10" s="17" t="s">
        <v>515</v>
      </c>
    </row>
    <row r="11" spans="1:8" hidden="1" outlineLevel="1" x14ac:dyDescent="0.15">
      <c r="A11" s="17"/>
      <c r="B11" s="7">
        <v>606120</v>
      </c>
      <c r="C11" s="7" t="s">
        <v>229</v>
      </c>
      <c r="D11" s="2">
        <v>0.43120999999999998</v>
      </c>
      <c r="E11" s="2">
        <v>0</v>
      </c>
      <c r="F11" s="2">
        <f t="shared" si="0"/>
        <v>0.43120999999999998</v>
      </c>
      <c r="G11" s="8" t="str">
        <f t="shared" si="1"/>
        <v>n/a</v>
      </c>
      <c r="H11" s="17" t="s">
        <v>515</v>
      </c>
    </row>
    <row r="12" spans="1:8" hidden="1" outlineLevel="1" x14ac:dyDescent="0.15">
      <c r="A12" s="17"/>
      <c r="B12" s="7">
        <v>606130</v>
      </c>
      <c r="C12" s="7" t="s">
        <v>230</v>
      </c>
      <c r="D12" s="2">
        <v>9.6601599999999994</v>
      </c>
      <c r="E12" s="2">
        <v>10.796439999999999</v>
      </c>
      <c r="F12" s="2">
        <f t="shared" si="0"/>
        <v>-1.1362799999999993</v>
      </c>
      <c r="G12" s="8">
        <f t="shared" si="1"/>
        <v>-0.1052458032462552</v>
      </c>
      <c r="H12" s="17" t="s">
        <v>515</v>
      </c>
    </row>
    <row r="13" spans="1:8" hidden="1" outlineLevel="1" x14ac:dyDescent="0.15">
      <c r="A13" s="17"/>
      <c r="B13" s="7">
        <v>606300</v>
      </c>
      <c r="C13" s="7" t="s">
        <v>231</v>
      </c>
      <c r="D13" s="2">
        <v>13.19168</v>
      </c>
      <c r="E13" s="2">
        <v>6.5942200000000009</v>
      </c>
      <c r="F13" s="2">
        <f t="shared" si="0"/>
        <v>6.597459999999999</v>
      </c>
      <c r="G13" s="8">
        <f t="shared" si="1"/>
        <v>1.0004913393850976</v>
      </c>
      <c r="H13" s="17" t="s">
        <v>515</v>
      </c>
    </row>
    <row r="14" spans="1:8" hidden="1" outlineLevel="1" x14ac:dyDescent="0.15">
      <c r="A14" s="17"/>
      <c r="B14" s="7">
        <v>606400</v>
      </c>
      <c r="C14" s="7" t="s">
        <v>232</v>
      </c>
      <c r="D14" s="2">
        <v>43.783730000000006</v>
      </c>
      <c r="E14" s="2">
        <v>12.203189999999999</v>
      </c>
      <c r="F14" s="2">
        <f t="shared" si="0"/>
        <v>31.580540000000006</v>
      </c>
      <c r="G14" s="8">
        <f t="shared" si="1"/>
        <v>2.5878921822900414</v>
      </c>
      <c r="H14" s="17" t="s">
        <v>515</v>
      </c>
    </row>
    <row r="15" spans="1:8" hidden="1" outlineLevel="1" x14ac:dyDescent="0.15">
      <c r="A15" s="17"/>
      <c r="B15" s="7">
        <v>606420</v>
      </c>
      <c r="C15" s="7" t="s">
        <v>233</v>
      </c>
      <c r="D15" s="2">
        <v>0</v>
      </c>
      <c r="E15" s="2">
        <v>3.7799999999999999E-3</v>
      </c>
      <c r="F15" s="2">
        <f t="shared" si="0"/>
        <v>-3.7799999999999999E-3</v>
      </c>
      <c r="G15" s="8">
        <f t="shared" si="1"/>
        <v>-1</v>
      </c>
      <c r="H15" s="17" t="s">
        <v>515</v>
      </c>
    </row>
    <row r="16" spans="1:8" hidden="1" outlineLevel="1" x14ac:dyDescent="0.15">
      <c r="A16" s="17"/>
      <c r="B16" s="7">
        <v>606430</v>
      </c>
      <c r="C16" s="7" t="s">
        <v>234</v>
      </c>
      <c r="D16" s="2">
        <v>2.3925999999999998</v>
      </c>
      <c r="E16" s="2">
        <v>0</v>
      </c>
      <c r="F16" s="2">
        <f t="shared" si="0"/>
        <v>2.3925999999999998</v>
      </c>
      <c r="G16" s="8" t="str">
        <f t="shared" si="1"/>
        <v>n/a</v>
      </c>
      <c r="H16" s="17" t="s">
        <v>515</v>
      </c>
    </row>
    <row r="17" spans="1:8" collapsed="1" x14ac:dyDescent="0.15">
      <c r="A17" s="17"/>
      <c r="B17" s="7"/>
      <c r="C17" s="7" t="s">
        <v>516</v>
      </c>
      <c r="D17" s="2">
        <f>SUBTOTAL(9,$D$10:$D$16)</f>
        <v>355.07193999999998</v>
      </c>
      <c r="E17" s="2">
        <f>SUBTOTAL(9,$E$10:$E$16)</f>
        <v>324.52882000000005</v>
      </c>
      <c r="F17" s="2">
        <f>D17-E17</f>
        <v>30.543119999999931</v>
      </c>
      <c r="G17" s="8">
        <f>IF(E17=0,"n/a",F17/ABS(E17))</f>
        <v>9.4115277650841378E-2</v>
      </c>
      <c r="H17" s="17"/>
    </row>
    <row r="18" spans="1:8" ht="6" hidden="1" customHeight="1" outlineLevel="1" x14ac:dyDescent="0.15">
      <c r="A18" s="17"/>
      <c r="B18" s="7"/>
      <c r="C18" s="7"/>
      <c r="D18" s="2"/>
      <c r="E18" s="2"/>
      <c r="F18" s="2"/>
      <c r="G18" s="8"/>
      <c r="H18" s="17"/>
    </row>
    <row r="19" spans="1:8" hidden="1" outlineLevel="1" x14ac:dyDescent="0.15">
      <c r="A19" s="17"/>
      <c r="B19" s="7">
        <v>608500</v>
      </c>
      <c r="C19" s="7" t="s">
        <v>242</v>
      </c>
      <c r="D19" s="2">
        <v>8.8829999999999991</v>
      </c>
      <c r="E19" s="2">
        <v>10.635999999999999</v>
      </c>
      <c r="F19" s="2">
        <f t="shared" si="0"/>
        <v>-1.7530000000000001</v>
      </c>
      <c r="G19" s="8">
        <f t="shared" si="1"/>
        <v>-0.16481760060173001</v>
      </c>
      <c r="H19" s="17" t="s">
        <v>515</v>
      </c>
    </row>
    <row r="20" spans="1:8" collapsed="1" x14ac:dyDescent="0.15">
      <c r="A20" s="17"/>
      <c r="B20" s="7"/>
      <c r="C20" s="7" t="s">
        <v>517</v>
      </c>
      <c r="D20" s="2">
        <f>SUBTOTAL(9,$D$19)</f>
        <v>8.8829999999999991</v>
      </c>
      <c r="E20" s="2">
        <f>SUBTOTAL(9,$E$19)</f>
        <v>10.635999999999999</v>
      </c>
      <c r="F20" s="2">
        <f>D20-E20</f>
        <v>-1.7530000000000001</v>
      </c>
      <c r="G20" s="8">
        <f>IF(E20=0,"n/a",F20/ABS(E20))</f>
        <v>-0.16481760060173001</v>
      </c>
      <c r="H20" s="17"/>
    </row>
    <row r="21" spans="1:8" x14ac:dyDescent="0.15">
      <c r="A21" s="17"/>
      <c r="B21" s="7"/>
      <c r="C21" s="7"/>
      <c r="D21" s="2"/>
      <c r="E21" s="2"/>
      <c r="F21" s="2"/>
      <c r="G21" s="8"/>
      <c r="H21" s="17"/>
    </row>
    <row r="22" spans="1:8" x14ac:dyDescent="0.15">
      <c r="A22" s="17"/>
      <c r="B22" s="7">
        <v>608800</v>
      </c>
      <c r="C22" s="7" t="s">
        <v>243</v>
      </c>
      <c r="D22" s="2">
        <v>4.4385399999999997</v>
      </c>
      <c r="E22" s="2">
        <v>2.0354000000000001</v>
      </c>
      <c r="F22" s="2">
        <f t="shared" si="0"/>
        <v>2.4031399999999996</v>
      </c>
      <c r="G22" s="8">
        <f t="shared" si="1"/>
        <v>1.1806721037633878</v>
      </c>
      <c r="H22" s="17" t="s">
        <v>515</v>
      </c>
    </row>
    <row r="23" spans="1:8" x14ac:dyDescent="0.15">
      <c r="A23" s="17"/>
      <c r="B23" s="7">
        <v>608810</v>
      </c>
      <c r="C23" s="7" t="s">
        <v>244</v>
      </c>
      <c r="D23" s="2">
        <v>0</v>
      </c>
      <c r="E23" s="2">
        <v>0.27500000000000002</v>
      </c>
      <c r="F23" s="2">
        <f t="shared" si="0"/>
        <v>-0.27500000000000002</v>
      </c>
      <c r="G23" s="8">
        <f t="shared" si="1"/>
        <v>-1</v>
      </c>
      <c r="H23" s="17" t="s">
        <v>515</v>
      </c>
    </row>
    <row r="24" spans="1:8" x14ac:dyDescent="0.15">
      <c r="A24" s="17"/>
      <c r="B24" s="7">
        <v>609100</v>
      </c>
      <c r="C24" s="7" t="s">
        <v>245</v>
      </c>
      <c r="D24" s="2">
        <v>-6.6416500000000003</v>
      </c>
      <c r="E24" s="2">
        <v>-4.9129100000000001</v>
      </c>
      <c r="F24" s="2">
        <f t="shared" si="0"/>
        <v>-1.7287400000000002</v>
      </c>
      <c r="G24" s="8">
        <f t="shared" si="1"/>
        <v>-0.35187699347230056</v>
      </c>
      <c r="H24" s="17" t="s">
        <v>515</v>
      </c>
    </row>
    <row r="25" spans="1:8" x14ac:dyDescent="0.15">
      <c r="A25" s="17"/>
      <c r="B25" s="7">
        <v>609110</v>
      </c>
      <c r="C25" s="7" t="s">
        <v>246</v>
      </c>
      <c r="D25" s="2">
        <v>0</v>
      </c>
      <c r="E25" s="2">
        <v>-0.86399999999999999</v>
      </c>
      <c r="F25" s="2">
        <f t="shared" si="0"/>
        <v>0.86399999999999999</v>
      </c>
      <c r="G25" s="8">
        <f t="shared" si="1"/>
        <v>1</v>
      </c>
      <c r="H25" s="17" t="s">
        <v>515</v>
      </c>
    </row>
    <row r="26" spans="1:8" x14ac:dyDescent="0.15">
      <c r="A26" s="17"/>
      <c r="B26" s="7">
        <v>609130</v>
      </c>
      <c r="C26" s="7" t="s">
        <v>247</v>
      </c>
      <c r="D26" s="2">
        <v>-0.27600000000000002</v>
      </c>
      <c r="E26" s="2">
        <v>0</v>
      </c>
      <c r="F26" s="2">
        <f t="shared" si="0"/>
        <v>-0.27600000000000002</v>
      </c>
      <c r="G26" s="8" t="str">
        <f t="shared" si="1"/>
        <v>n/a</v>
      </c>
      <c r="H26" s="17" t="s">
        <v>515</v>
      </c>
    </row>
    <row r="27" spans="1:8" x14ac:dyDescent="0.15">
      <c r="A27" s="17"/>
      <c r="B27" s="7">
        <v>611000</v>
      </c>
      <c r="C27" s="7" t="s">
        <v>248</v>
      </c>
      <c r="D27" s="2">
        <v>14.156420000000001</v>
      </c>
      <c r="E27" s="2">
        <v>45.077709999999996</v>
      </c>
      <c r="F27" s="2">
        <f t="shared" si="0"/>
        <v>-30.921289999999996</v>
      </c>
      <c r="G27" s="8">
        <f t="shared" si="1"/>
        <v>-0.68595520934847842</v>
      </c>
      <c r="H27" s="17" t="s">
        <v>515</v>
      </c>
    </row>
    <row r="28" spans="1:8" x14ac:dyDescent="0.15">
      <c r="A28" s="17"/>
      <c r="B28" s="7">
        <v>611010</v>
      </c>
      <c r="C28" s="7" t="s">
        <v>249</v>
      </c>
      <c r="D28" s="2">
        <v>250.86985999999999</v>
      </c>
      <c r="E28" s="2">
        <v>242.87228000000002</v>
      </c>
      <c r="F28" s="2">
        <f t="shared" si="0"/>
        <v>7.9975799999999708</v>
      </c>
      <c r="G28" s="8">
        <f t="shared" si="1"/>
        <v>3.2929159309576087E-2</v>
      </c>
      <c r="H28" s="17" t="s">
        <v>515</v>
      </c>
    </row>
    <row r="29" spans="1:8" x14ac:dyDescent="0.15">
      <c r="A29" s="17"/>
      <c r="B29" s="7">
        <v>611030</v>
      </c>
      <c r="C29" s="7" t="s">
        <v>250</v>
      </c>
      <c r="D29" s="2">
        <v>79.830570000000009</v>
      </c>
      <c r="E29" s="2">
        <v>73.234929999999991</v>
      </c>
      <c r="F29" s="2">
        <f t="shared" si="0"/>
        <v>6.5956400000000173</v>
      </c>
      <c r="G29" s="8">
        <f t="shared" si="1"/>
        <v>9.0061395566296276E-2</v>
      </c>
      <c r="H29" s="17" t="s">
        <v>515</v>
      </c>
    </row>
    <row r="30" spans="1:8" x14ac:dyDescent="0.15">
      <c r="A30" s="17"/>
      <c r="B30" s="7">
        <v>613200</v>
      </c>
      <c r="C30" s="7" t="s">
        <v>251</v>
      </c>
      <c r="D30" s="2">
        <v>21.49014</v>
      </c>
      <c r="E30" s="2">
        <v>20.107880000000005</v>
      </c>
      <c r="F30" s="2">
        <f t="shared" si="0"/>
        <v>1.3822599999999952</v>
      </c>
      <c r="G30" s="8">
        <f t="shared" si="1"/>
        <v>6.874220454866424E-2</v>
      </c>
      <c r="H30" s="17" t="s">
        <v>515</v>
      </c>
    </row>
    <row r="31" spans="1:8" x14ac:dyDescent="0.15">
      <c r="A31" s="17"/>
      <c r="B31" s="7">
        <v>613201</v>
      </c>
      <c r="C31" s="7" t="s">
        <v>252</v>
      </c>
      <c r="D31" s="2">
        <v>300.45916</v>
      </c>
      <c r="E31" s="2">
        <v>252.64956000000001</v>
      </c>
      <c r="F31" s="2">
        <f t="shared" si="0"/>
        <v>47.809599999999989</v>
      </c>
      <c r="G31" s="8">
        <f t="shared" si="1"/>
        <v>0.1892328646841894</v>
      </c>
      <c r="H31" s="17" t="s">
        <v>515</v>
      </c>
    </row>
    <row r="32" spans="1:8" x14ac:dyDescent="0.15">
      <c r="A32" s="17"/>
      <c r="B32" s="7">
        <v>613500</v>
      </c>
      <c r="C32" s="7" t="s">
        <v>253</v>
      </c>
      <c r="D32" s="2">
        <v>68.52713</v>
      </c>
      <c r="E32" s="2">
        <v>69.251569999999987</v>
      </c>
      <c r="F32" s="2">
        <f t="shared" si="0"/>
        <v>-0.72443999999998709</v>
      </c>
      <c r="G32" s="8">
        <f t="shared" si="1"/>
        <v>-1.0460990270689708E-2</v>
      </c>
      <c r="H32" s="17" t="s">
        <v>515</v>
      </c>
    </row>
    <row r="33" spans="1:8" x14ac:dyDescent="0.15">
      <c r="A33" s="17"/>
      <c r="B33" s="7">
        <v>613550</v>
      </c>
      <c r="C33" s="7" t="s">
        <v>254</v>
      </c>
      <c r="D33" s="2">
        <v>0.3952</v>
      </c>
      <c r="E33" s="2">
        <v>0.64066000000000001</v>
      </c>
      <c r="F33" s="2">
        <f t="shared" si="0"/>
        <v>-0.24546000000000001</v>
      </c>
      <c r="G33" s="8">
        <f t="shared" si="1"/>
        <v>-0.38313614085474357</v>
      </c>
      <c r="H33" s="17" t="s">
        <v>515</v>
      </c>
    </row>
    <row r="34" spans="1:8" x14ac:dyDescent="0.15">
      <c r="A34" s="17"/>
      <c r="B34" s="7">
        <v>613580</v>
      </c>
      <c r="C34" s="7" t="s">
        <v>255</v>
      </c>
      <c r="D34" s="2">
        <v>24.678759999999997</v>
      </c>
      <c r="E34" s="2">
        <v>30.745990000000003</v>
      </c>
      <c r="F34" s="2">
        <f t="shared" si="0"/>
        <v>-6.0672300000000057</v>
      </c>
      <c r="G34" s="8">
        <f t="shared" si="1"/>
        <v>-0.19733402632343292</v>
      </c>
      <c r="H34" s="17" t="s">
        <v>515</v>
      </c>
    </row>
    <row r="35" spans="1:8" x14ac:dyDescent="0.15">
      <c r="A35" s="17"/>
      <c r="B35" s="7">
        <v>613585</v>
      </c>
      <c r="C35" s="7" t="s">
        <v>256</v>
      </c>
      <c r="D35" s="2">
        <v>9.3765200000000011</v>
      </c>
      <c r="E35" s="2">
        <v>11.71139</v>
      </c>
      <c r="F35" s="2">
        <f t="shared" si="0"/>
        <v>-2.3348699999999987</v>
      </c>
      <c r="G35" s="8">
        <f t="shared" si="1"/>
        <v>-0.19936745339366196</v>
      </c>
      <c r="H35" s="17" t="s">
        <v>515</v>
      </c>
    </row>
    <row r="36" spans="1:8" x14ac:dyDescent="0.15">
      <c r="A36" s="17"/>
      <c r="B36" s="7">
        <v>614000</v>
      </c>
      <c r="C36" s="7" t="s">
        <v>257</v>
      </c>
      <c r="D36" s="2">
        <v>12.70688</v>
      </c>
      <c r="E36" s="2">
        <v>7.799999999999998</v>
      </c>
      <c r="F36" s="2">
        <f t="shared" si="0"/>
        <v>4.9068800000000019</v>
      </c>
      <c r="G36" s="8">
        <f t="shared" si="1"/>
        <v>0.62908717948717985</v>
      </c>
      <c r="H36" s="17" t="s">
        <v>515</v>
      </c>
    </row>
    <row r="37" spans="1:8" x14ac:dyDescent="0.15">
      <c r="A37" s="17"/>
      <c r="B37" s="7">
        <v>614001</v>
      </c>
      <c r="C37" s="7" t="s">
        <v>258</v>
      </c>
      <c r="D37" s="2">
        <v>12.084670000000001</v>
      </c>
      <c r="E37" s="2">
        <v>0</v>
      </c>
      <c r="F37" s="2">
        <f t="shared" si="0"/>
        <v>12.084670000000001</v>
      </c>
      <c r="G37" s="8" t="str">
        <f t="shared" si="1"/>
        <v>n/a</v>
      </c>
      <c r="H37" s="17" t="s">
        <v>515</v>
      </c>
    </row>
    <row r="38" spans="1:8" x14ac:dyDescent="0.15">
      <c r="A38" s="17"/>
      <c r="B38" s="7">
        <v>615200</v>
      </c>
      <c r="C38" s="7" t="s">
        <v>259</v>
      </c>
      <c r="D38" s="2">
        <v>21.163689999999999</v>
      </c>
      <c r="E38" s="2">
        <v>36.494589999999981</v>
      </c>
      <c r="F38" s="2">
        <f t="shared" si="0"/>
        <v>-15.330899999999982</v>
      </c>
      <c r="G38" s="8">
        <f t="shared" si="1"/>
        <v>-0.42008692247261825</v>
      </c>
      <c r="H38" s="17" t="s">
        <v>515</v>
      </c>
    </row>
    <row r="39" spans="1:8" x14ac:dyDescent="0.15">
      <c r="A39" s="17"/>
      <c r="B39" s="7">
        <v>615500</v>
      </c>
      <c r="C39" s="7" t="s">
        <v>260</v>
      </c>
      <c r="D39" s="2">
        <v>1.92</v>
      </c>
      <c r="E39" s="2">
        <v>4.18</v>
      </c>
      <c r="F39" s="2">
        <f t="shared" si="0"/>
        <v>-2.2599999999999998</v>
      </c>
      <c r="G39" s="8">
        <f t="shared" si="1"/>
        <v>-0.54066985645933008</v>
      </c>
      <c r="H39" s="17" t="s">
        <v>515</v>
      </c>
    </row>
    <row r="40" spans="1:8" x14ac:dyDescent="0.15">
      <c r="A40" s="17"/>
      <c r="B40" s="7">
        <v>615520</v>
      </c>
      <c r="C40" s="7" t="s">
        <v>261</v>
      </c>
      <c r="D40" s="2">
        <v>11.005559999999997</v>
      </c>
      <c r="E40" s="2">
        <v>129.55763000000002</v>
      </c>
      <c r="F40" s="2">
        <f t="shared" si="0"/>
        <v>-118.55207000000001</v>
      </c>
      <c r="G40" s="8">
        <f t="shared" si="1"/>
        <v>-0.9150527838460768</v>
      </c>
      <c r="H40" s="17" t="s">
        <v>515</v>
      </c>
    </row>
    <row r="41" spans="1:8" x14ac:dyDescent="0.15">
      <c r="A41" s="17"/>
      <c r="B41" s="7">
        <v>615580</v>
      </c>
      <c r="C41" s="7" t="s">
        <v>262</v>
      </c>
      <c r="D41" s="2">
        <v>15.679779999999999</v>
      </c>
      <c r="E41" s="2">
        <v>20.712019999999992</v>
      </c>
      <c r="F41" s="2">
        <f t="shared" si="0"/>
        <v>-5.0322399999999927</v>
      </c>
      <c r="G41" s="8">
        <f t="shared" si="1"/>
        <v>-0.2429622991866556</v>
      </c>
      <c r="H41" s="17" t="s">
        <v>515</v>
      </c>
    </row>
    <row r="42" spans="1:8" x14ac:dyDescent="0.15">
      <c r="A42" s="17"/>
      <c r="B42" s="7">
        <v>615581</v>
      </c>
      <c r="C42" s="7" t="s">
        <v>263</v>
      </c>
      <c r="D42" s="2">
        <v>15.110940000000001</v>
      </c>
      <c r="E42" s="2">
        <v>0.02</v>
      </c>
      <c r="F42" s="2">
        <f t="shared" si="0"/>
        <v>15.090940000000002</v>
      </c>
      <c r="G42" s="8">
        <f t="shared" si="1"/>
        <v>754.54700000000003</v>
      </c>
      <c r="H42" s="17" t="s">
        <v>515</v>
      </c>
    </row>
    <row r="43" spans="1:8" x14ac:dyDescent="0.15">
      <c r="A43" s="17"/>
      <c r="B43" s="7">
        <v>615600</v>
      </c>
      <c r="C43" s="7" t="s">
        <v>264</v>
      </c>
      <c r="D43" s="2">
        <v>1.8047800000000001</v>
      </c>
      <c r="E43" s="2">
        <v>1.6026800000000001</v>
      </c>
      <c r="F43" s="2">
        <f t="shared" si="0"/>
        <v>0.20209999999999995</v>
      </c>
      <c r="G43" s="8">
        <f t="shared" si="1"/>
        <v>0.12610128035540466</v>
      </c>
      <c r="H43" s="17" t="s">
        <v>515</v>
      </c>
    </row>
    <row r="44" spans="1:8" x14ac:dyDescent="0.15">
      <c r="A44" s="17"/>
      <c r="B44" s="7">
        <v>615610</v>
      </c>
      <c r="C44" s="7" t="s">
        <v>265</v>
      </c>
      <c r="D44" s="2">
        <v>9.6611399999999996</v>
      </c>
      <c r="E44" s="2">
        <v>0</v>
      </c>
      <c r="F44" s="2">
        <f t="shared" si="0"/>
        <v>9.6611399999999996</v>
      </c>
      <c r="G44" s="8" t="str">
        <f t="shared" si="1"/>
        <v>n/a</v>
      </c>
      <c r="H44" s="17" t="s">
        <v>515</v>
      </c>
    </row>
    <row r="45" spans="1:8" x14ac:dyDescent="0.15">
      <c r="A45" s="17"/>
      <c r="B45" s="7">
        <v>616100</v>
      </c>
      <c r="C45" s="7" t="s">
        <v>266</v>
      </c>
      <c r="D45" s="2">
        <v>46.204370000000004</v>
      </c>
      <c r="E45" s="2">
        <v>36.985239999999997</v>
      </c>
      <c r="F45" s="2">
        <f t="shared" si="0"/>
        <v>9.2191300000000069</v>
      </c>
      <c r="G45" s="8">
        <f t="shared" si="1"/>
        <v>0.24926511224477677</v>
      </c>
      <c r="H45" s="17" t="s">
        <v>515</v>
      </c>
    </row>
    <row r="46" spans="1:8" x14ac:dyDescent="0.15">
      <c r="A46" s="17"/>
      <c r="B46" s="7">
        <v>616110</v>
      </c>
      <c r="C46" s="7" t="s">
        <v>267</v>
      </c>
      <c r="D46" s="2">
        <v>5.24</v>
      </c>
      <c r="E46" s="2">
        <v>0</v>
      </c>
      <c r="F46" s="2">
        <f t="shared" si="0"/>
        <v>5.24</v>
      </c>
      <c r="G46" s="8" t="str">
        <f t="shared" si="1"/>
        <v>n/a</v>
      </c>
      <c r="H46" s="17" t="s">
        <v>515</v>
      </c>
    </row>
    <row r="47" spans="1:8" x14ac:dyDescent="0.15">
      <c r="A47" s="17"/>
      <c r="B47" s="7">
        <v>616120</v>
      </c>
      <c r="C47" s="7" t="s">
        <v>268</v>
      </c>
      <c r="D47" s="2">
        <v>0.70834000000000008</v>
      </c>
      <c r="E47" s="2">
        <v>0</v>
      </c>
      <c r="F47" s="2">
        <f t="shared" si="0"/>
        <v>0.70834000000000008</v>
      </c>
      <c r="G47" s="8" t="str">
        <f t="shared" si="1"/>
        <v>n/a</v>
      </c>
      <c r="H47" s="17" t="s">
        <v>515</v>
      </c>
    </row>
    <row r="48" spans="1:8" x14ac:dyDescent="0.15">
      <c r="A48" s="17"/>
      <c r="B48" s="7">
        <v>616160</v>
      </c>
      <c r="C48" s="7" t="s">
        <v>269</v>
      </c>
      <c r="D48" s="2">
        <v>43.082999999999998</v>
      </c>
      <c r="E48" s="2">
        <v>16.756540000000001</v>
      </c>
      <c r="F48" s="2">
        <f t="shared" si="0"/>
        <v>26.326459999999997</v>
      </c>
      <c r="G48" s="8">
        <f t="shared" si="1"/>
        <v>1.5711155166878124</v>
      </c>
      <c r="H48" s="17" t="s">
        <v>515</v>
      </c>
    </row>
    <row r="49" spans="1:8" x14ac:dyDescent="0.15">
      <c r="A49" s="17"/>
      <c r="B49" s="7">
        <v>616180</v>
      </c>
      <c r="C49" s="7" t="s">
        <v>270</v>
      </c>
      <c r="D49" s="2">
        <v>0</v>
      </c>
      <c r="E49" s="2">
        <v>0.186</v>
      </c>
      <c r="F49" s="2">
        <f t="shared" si="0"/>
        <v>-0.186</v>
      </c>
      <c r="G49" s="8">
        <f t="shared" si="1"/>
        <v>-1</v>
      </c>
      <c r="H49" s="17" t="s">
        <v>515</v>
      </c>
    </row>
    <row r="50" spans="1:8" x14ac:dyDescent="0.15">
      <c r="A50" s="17"/>
      <c r="B50" s="7">
        <v>617100</v>
      </c>
      <c r="C50" s="7" t="s">
        <v>271</v>
      </c>
      <c r="D50" s="2">
        <v>17.987179999999999</v>
      </c>
      <c r="E50" s="2">
        <v>12.951700000000001</v>
      </c>
      <c r="F50" s="2">
        <f t="shared" si="0"/>
        <v>5.035479999999998</v>
      </c>
      <c r="G50" s="8">
        <f t="shared" si="1"/>
        <v>0.38878911648663866</v>
      </c>
      <c r="H50" s="17" t="s">
        <v>515</v>
      </c>
    </row>
    <row r="51" spans="1:8" x14ac:dyDescent="0.15">
      <c r="A51" s="17"/>
      <c r="B51" s="7">
        <v>617300</v>
      </c>
      <c r="C51" s="7" t="s">
        <v>272</v>
      </c>
      <c r="D51" s="2">
        <v>1.92</v>
      </c>
      <c r="E51" s="2">
        <v>9.6875600000000013</v>
      </c>
      <c r="F51" s="2">
        <f t="shared" si="0"/>
        <v>-7.7675600000000014</v>
      </c>
      <c r="G51" s="8">
        <f t="shared" si="1"/>
        <v>-0.80180767912663253</v>
      </c>
      <c r="H51" s="17" t="s">
        <v>515</v>
      </c>
    </row>
    <row r="52" spans="1:8" x14ac:dyDescent="0.15">
      <c r="A52" s="17"/>
      <c r="B52" s="7">
        <v>618100</v>
      </c>
      <c r="C52" s="7" t="s">
        <v>273</v>
      </c>
      <c r="D52" s="2">
        <v>2.0770200000000005</v>
      </c>
      <c r="E52" s="2">
        <v>1.0089599999999999</v>
      </c>
      <c r="F52" s="2">
        <f t="shared" si="0"/>
        <v>1.0680600000000007</v>
      </c>
      <c r="G52" s="8">
        <f t="shared" si="1"/>
        <v>1.0585751665080882</v>
      </c>
      <c r="H52" s="17" t="s">
        <v>515</v>
      </c>
    </row>
    <row r="53" spans="1:8" x14ac:dyDescent="0.15">
      <c r="A53" s="17"/>
      <c r="B53" s="7">
        <v>618200</v>
      </c>
      <c r="C53" s="7" t="s">
        <v>274</v>
      </c>
      <c r="D53" s="2">
        <v>15.790509999999999</v>
      </c>
      <c r="E53" s="2">
        <v>31.874869999999998</v>
      </c>
      <c r="F53" s="2">
        <f t="shared" si="0"/>
        <v>-16.084359999999997</v>
      </c>
      <c r="G53" s="8">
        <f t="shared" si="1"/>
        <v>-0.50460943056395202</v>
      </c>
      <c r="H53" s="17" t="s">
        <v>515</v>
      </c>
    </row>
    <row r="54" spans="1:8" x14ac:dyDescent="0.15">
      <c r="A54" s="17"/>
      <c r="B54" s="7">
        <v>621120</v>
      </c>
      <c r="C54" s="7" t="s">
        <v>275</v>
      </c>
      <c r="D54" s="2">
        <v>47.894800000000004</v>
      </c>
      <c r="E54" s="2">
        <v>22.234819999999999</v>
      </c>
      <c r="F54" s="2">
        <f t="shared" si="0"/>
        <v>25.659980000000004</v>
      </c>
      <c r="G54" s="8">
        <f t="shared" si="1"/>
        <v>1.1540448719620848</v>
      </c>
      <c r="H54" s="17" t="s">
        <v>515</v>
      </c>
    </row>
    <row r="55" spans="1:8" x14ac:dyDescent="0.15">
      <c r="A55" s="17"/>
      <c r="B55" s="7">
        <v>622200</v>
      </c>
      <c r="C55" s="7" t="s">
        <v>276</v>
      </c>
      <c r="D55" s="2">
        <v>11.48648</v>
      </c>
      <c r="E55" s="2">
        <v>25.834989999999998</v>
      </c>
      <c r="F55" s="2">
        <f t="shared" si="0"/>
        <v>-14.348509999999997</v>
      </c>
      <c r="G55" s="8">
        <f t="shared" si="1"/>
        <v>-0.55539057688816595</v>
      </c>
      <c r="H55" s="17" t="s">
        <v>515</v>
      </c>
    </row>
    <row r="56" spans="1:8" x14ac:dyDescent="0.15">
      <c r="A56" s="17"/>
      <c r="B56" s="7">
        <v>622500</v>
      </c>
      <c r="C56" s="7" t="s">
        <v>277</v>
      </c>
      <c r="D56" s="2">
        <v>20.230419999999999</v>
      </c>
      <c r="E56" s="2">
        <v>15.237380000000002</v>
      </c>
      <c r="F56" s="2">
        <f t="shared" si="0"/>
        <v>4.993039999999997</v>
      </c>
      <c r="G56" s="8">
        <f t="shared" si="1"/>
        <v>0.32768363065041345</v>
      </c>
      <c r="H56" s="17" t="s">
        <v>515</v>
      </c>
    </row>
    <row r="57" spans="1:8" x14ac:dyDescent="0.15">
      <c r="A57" s="17"/>
      <c r="B57" s="7">
        <v>622600</v>
      </c>
      <c r="C57" s="7" t="s">
        <v>278</v>
      </c>
      <c r="D57" s="2">
        <v>587.67208999999991</v>
      </c>
      <c r="E57" s="2">
        <v>324.88373000000001</v>
      </c>
      <c r="F57" s="2">
        <f t="shared" si="0"/>
        <v>262.7883599999999</v>
      </c>
      <c r="G57" s="8">
        <f t="shared" si="1"/>
        <v>0.80886894520695107</v>
      </c>
      <c r="H57" s="17" t="s">
        <v>515</v>
      </c>
    </row>
    <row r="58" spans="1:8" x14ac:dyDescent="0.15">
      <c r="A58" s="17"/>
      <c r="B58" s="7">
        <v>622700</v>
      </c>
      <c r="C58" s="7" t="s">
        <v>279</v>
      </c>
      <c r="D58" s="2">
        <v>0.55535999999999996</v>
      </c>
      <c r="E58" s="2">
        <v>0.40794000000000002</v>
      </c>
      <c r="F58" s="2">
        <f t="shared" si="0"/>
        <v>0.14741999999999994</v>
      </c>
      <c r="G58" s="8">
        <f t="shared" si="1"/>
        <v>0.36137667304015281</v>
      </c>
      <c r="H58" s="17" t="s">
        <v>515</v>
      </c>
    </row>
    <row r="59" spans="1:8" x14ac:dyDescent="0.15">
      <c r="A59" s="17"/>
      <c r="B59" s="7">
        <v>623100</v>
      </c>
      <c r="C59" s="7" t="s">
        <v>280</v>
      </c>
      <c r="D59" s="2">
        <v>0.214</v>
      </c>
      <c r="E59" s="2">
        <v>1.9896300000000002</v>
      </c>
      <c r="F59" s="2">
        <f t="shared" ref="F59:F122" si="2">D59-E59</f>
        <v>-1.7756300000000003</v>
      </c>
      <c r="G59" s="8">
        <f t="shared" ref="G59:G122" si="3">IF(E59=0,"n/a",F59/ABS(E59))</f>
        <v>-0.89244231339495284</v>
      </c>
      <c r="H59" s="17" t="s">
        <v>515</v>
      </c>
    </row>
    <row r="60" spans="1:8" x14ac:dyDescent="0.15">
      <c r="A60" s="17"/>
      <c r="B60" s="7">
        <v>623110</v>
      </c>
      <c r="C60" s="7" t="s">
        <v>281</v>
      </c>
      <c r="D60" s="2">
        <v>304.44644</v>
      </c>
      <c r="E60" s="2">
        <v>1.62707</v>
      </c>
      <c r="F60" s="2">
        <f t="shared" si="2"/>
        <v>302.81936999999999</v>
      </c>
      <c r="G60" s="8">
        <f t="shared" si="3"/>
        <v>186.11330182475245</v>
      </c>
      <c r="H60" s="17" t="s">
        <v>515</v>
      </c>
    </row>
    <row r="61" spans="1:8" x14ac:dyDescent="0.15">
      <c r="A61" s="17"/>
      <c r="B61" s="7">
        <v>623200</v>
      </c>
      <c r="C61" s="7" t="s">
        <v>282</v>
      </c>
      <c r="D61" s="2">
        <v>83.603580000000008</v>
      </c>
      <c r="E61" s="2">
        <v>308.2544199999997</v>
      </c>
      <c r="F61" s="2">
        <f t="shared" si="2"/>
        <v>-224.65083999999968</v>
      </c>
      <c r="G61" s="8">
        <f t="shared" si="3"/>
        <v>-0.72878384030957255</v>
      </c>
      <c r="H61" s="17" t="s">
        <v>515</v>
      </c>
    </row>
    <row r="62" spans="1:8" x14ac:dyDescent="0.15">
      <c r="A62" s="17"/>
      <c r="B62" s="7">
        <v>623400</v>
      </c>
      <c r="C62" s="7" t="s">
        <v>283</v>
      </c>
      <c r="D62" s="2">
        <v>0.72495000000000009</v>
      </c>
      <c r="E62" s="2">
        <v>0.85853000000000013</v>
      </c>
      <c r="F62" s="2">
        <f t="shared" si="2"/>
        <v>-0.13358000000000003</v>
      </c>
      <c r="G62" s="8">
        <f t="shared" si="3"/>
        <v>-0.15559153436688294</v>
      </c>
      <c r="H62" s="17" t="s">
        <v>515</v>
      </c>
    </row>
    <row r="63" spans="1:8" x14ac:dyDescent="0.15">
      <c r="A63" s="17"/>
      <c r="B63" s="7">
        <v>623500</v>
      </c>
      <c r="C63" s="7" t="s">
        <v>284</v>
      </c>
      <c r="D63" s="2">
        <v>343.29601000000002</v>
      </c>
      <c r="E63" s="2">
        <v>290.68038999999999</v>
      </c>
      <c r="F63" s="2">
        <f t="shared" si="2"/>
        <v>52.615620000000035</v>
      </c>
      <c r="G63" s="8">
        <f t="shared" si="3"/>
        <v>0.18100849527551563</v>
      </c>
      <c r="H63" s="17" t="s">
        <v>515</v>
      </c>
    </row>
    <row r="64" spans="1:8" x14ac:dyDescent="0.15">
      <c r="A64" s="17"/>
      <c r="B64" s="7">
        <v>623800</v>
      </c>
      <c r="C64" s="7" t="s">
        <v>285</v>
      </c>
      <c r="D64" s="2">
        <v>8.56</v>
      </c>
      <c r="E64" s="2">
        <v>10.6</v>
      </c>
      <c r="F64" s="2">
        <f t="shared" si="2"/>
        <v>-2.0399999999999991</v>
      </c>
      <c r="G64" s="8">
        <f t="shared" si="3"/>
        <v>-0.19245283018867917</v>
      </c>
      <c r="H64" s="17" t="s">
        <v>515</v>
      </c>
    </row>
    <row r="65" spans="1:8" x14ac:dyDescent="0.15">
      <c r="A65" s="17"/>
      <c r="B65" s="7">
        <v>624100</v>
      </c>
      <c r="C65" s="7" t="s">
        <v>286</v>
      </c>
      <c r="D65" s="2">
        <v>0.50243000000000004</v>
      </c>
      <c r="E65" s="2">
        <v>0</v>
      </c>
      <c r="F65" s="2">
        <f t="shared" si="2"/>
        <v>0.50243000000000004</v>
      </c>
      <c r="G65" s="8" t="str">
        <f t="shared" si="3"/>
        <v>n/a</v>
      </c>
      <c r="H65" s="17" t="s">
        <v>515</v>
      </c>
    </row>
    <row r="66" spans="1:8" x14ac:dyDescent="0.15">
      <c r="A66" s="17"/>
      <c r="B66" s="7">
        <v>624200</v>
      </c>
      <c r="C66" s="7" t="s">
        <v>287</v>
      </c>
      <c r="D66" s="2">
        <v>742.86795000000006</v>
      </c>
      <c r="E66" s="2">
        <v>692.82021999999972</v>
      </c>
      <c r="F66" s="2">
        <f t="shared" si="2"/>
        <v>50.047730000000342</v>
      </c>
      <c r="G66" s="8">
        <f t="shared" si="3"/>
        <v>7.2237686711857749E-2</v>
      </c>
      <c r="H66" s="17" t="s">
        <v>515</v>
      </c>
    </row>
    <row r="67" spans="1:8" x14ac:dyDescent="0.15">
      <c r="A67" s="17"/>
      <c r="B67" s="7">
        <v>624210</v>
      </c>
      <c r="C67" s="7" t="s">
        <v>288</v>
      </c>
      <c r="D67" s="2">
        <v>107.60759000000002</v>
      </c>
      <c r="E67" s="2">
        <v>49.617159999999998</v>
      </c>
      <c r="F67" s="2">
        <f t="shared" si="2"/>
        <v>57.990430000000018</v>
      </c>
      <c r="G67" s="8">
        <f t="shared" si="3"/>
        <v>1.1687575427533543</v>
      </c>
      <c r="H67" s="17" t="s">
        <v>515</v>
      </c>
    </row>
    <row r="68" spans="1:8" x14ac:dyDescent="0.15">
      <c r="A68" s="17"/>
      <c r="B68" s="7">
        <v>624230</v>
      </c>
      <c r="C68" s="7" t="s">
        <v>289</v>
      </c>
      <c r="D68" s="2">
        <v>12.738620000000001</v>
      </c>
      <c r="E68" s="2">
        <v>16.151289999999996</v>
      </c>
      <c r="F68" s="2">
        <f t="shared" si="2"/>
        <v>-3.412669999999995</v>
      </c>
      <c r="G68" s="8">
        <f t="shared" si="3"/>
        <v>-0.21129395856306188</v>
      </c>
      <c r="H68" s="17" t="s">
        <v>515</v>
      </c>
    </row>
    <row r="69" spans="1:8" x14ac:dyDescent="0.15">
      <c r="A69" s="17"/>
      <c r="B69" s="7">
        <v>624400</v>
      </c>
      <c r="C69" s="7" t="s">
        <v>290</v>
      </c>
      <c r="D69" s="2">
        <v>5.6000000000000001E-2</v>
      </c>
      <c r="E69" s="2">
        <v>7.4999999999999997E-2</v>
      </c>
      <c r="F69" s="2">
        <f t="shared" si="2"/>
        <v>-1.8999999999999996E-2</v>
      </c>
      <c r="G69" s="8">
        <f t="shared" si="3"/>
        <v>-0.2533333333333333</v>
      </c>
      <c r="H69" s="17" t="s">
        <v>515</v>
      </c>
    </row>
    <row r="70" spans="1:8" x14ac:dyDescent="0.15">
      <c r="A70" s="17"/>
      <c r="B70" s="7">
        <v>625100</v>
      </c>
      <c r="C70" s="7" t="s">
        <v>291</v>
      </c>
      <c r="D70" s="2">
        <v>130.03490000000002</v>
      </c>
      <c r="E70" s="2">
        <v>63.467120000000008</v>
      </c>
      <c r="F70" s="2">
        <f t="shared" si="2"/>
        <v>66.567780000000013</v>
      </c>
      <c r="G70" s="8">
        <f t="shared" si="3"/>
        <v>1.048854588013447</v>
      </c>
      <c r="H70" s="17" t="s">
        <v>515</v>
      </c>
    </row>
    <row r="71" spans="1:8" x14ac:dyDescent="0.15">
      <c r="A71" s="17"/>
      <c r="B71" s="7">
        <v>625700</v>
      </c>
      <c r="C71" s="7" t="s">
        <v>292</v>
      </c>
      <c r="D71" s="2">
        <v>10.45073</v>
      </c>
      <c r="E71" s="2">
        <v>2.6827299999999998</v>
      </c>
      <c r="F71" s="2">
        <f t="shared" si="2"/>
        <v>7.7680000000000007</v>
      </c>
      <c r="G71" s="8">
        <f t="shared" si="3"/>
        <v>2.895557883201068</v>
      </c>
      <c r="H71" s="17" t="s">
        <v>515</v>
      </c>
    </row>
    <row r="72" spans="1:8" x14ac:dyDescent="0.15">
      <c r="A72" s="17"/>
      <c r="B72" s="7">
        <v>626000</v>
      </c>
      <c r="C72" s="7" t="s">
        <v>293</v>
      </c>
      <c r="D72" s="2">
        <v>9.8767899999999997</v>
      </c>
      <c r="E72" s="2">
        <v>8.9702799999999954</v>
      </c>
      <c r="F72" s="2">
        <f t="shared" si="2"/>
        <v>0.90651000000000437</v>
      </c>
      <c r="G72" s="8">
        <f t="shared" si="3"/>
        <v>0.10105704615686521</v>
      </c>
      <c r="H72" s="17" t="s">
        <v>515</v>
      </c>
    </row>
    <row r="73" spans="1:8" x14ac:dyDescent="0.15">
      <c r="A73" s="17"/>
      <c r="B73" s="7">
        <v>626100</v>
      </c>
      <c r="C73" s="7" t="s">
        <v>294</v>
      </c>
      <c r="D73" s="2">
        <v>1.24383</v>
      </c>
      <c r="E73" s="2">
        <v>0.66877999999999993</v>
      </c>
      <c r="F73" s="2">
        <f t="shared" si="2"/>
        <v>0.57505000000000006</v>
      </c>
      <c r="G73" s="8">
        <f t="shared" si="3"/>
        <v>0.85984927778940778</v>
      </c>
      <c r="H73" s="17" t="s">
        <v>515</v>
      </c>
    </row>
    <row r="74" spans="1:8" x14ac:dyDescent="0.15">
      <c r="A74" s="17"/>
      <c r="B74" s="7">
        <v>626110</v>
      </c>
      <c r="C74" s="7" t="s">
        <v>295</v>
      </c>
      <c r="D74" s="2">
        <v>20.862079999999999</v>
      </c>
      <c r="E74" s="2">
        <v>19.902549999999998</v>
      </c>
      <c r="F74" s="2">
        <f t="shared" si="2"/>
        <v>0.95953000000000088</v>
      </c>
      <c r="G74" s="8">
        <f t="shared" si="3"/>
        <v>4.8211410095691305E-2</v>
      </c>
      <c r="H74" s="17" t="s">
        <v>515</v>
      </c>
    </row>
    <row r="75" spans="1:8" x14ac:dyDescent="0.15">
      <c r="A75" s="17"/>
      <c r="B75" s="7">
        <v>627540</v>
      </c>
      <c r="C75" s="7" t="s">
        <v>296</v>
      </c>
      <c r="D75" s="2">
        <v>19.877579999999998</v>
      </c>
      <c r="E75" s="2">
        <v>16.424689999999984</v>
      </c>
      <c r="F75" s="2">
        <f t="shared" si="2"/>
        <v>3.4528900000000142</v>
      </c>
      <c r="G75" s="8">
        <f t="shared" si="3"/>
        <v>0.21022558112208009</v>
      </c>
      <c r="H75" s="17" t="s">
        <v>515</v>
      </c>
    </row>
    <row r="76" spans="1:8" x14ac:dyDescent="0.15">
      <c r="A76" s="17"/>
      <c r="B76" s="7">
        <v>628100</v>
      </c>
      <c r="C76" s="7" t="s">
        <v>297</v>
      </c>
      <c r="D76" s="2">
        <v>23.36656</v>
      </c>
      <c r="E76" s="2">
        <v>22.16893</v>
      </c>
      <c r="F76" s="2">
        <f t="shared" si="2"/>
        <v>1.1976300000000002</v>
      </c>
      <c r="G76" s="8">
        <f t="shared" si="3"/>
        <v>5.4022905029696977E-2</v>
      </c>
      <c r="H76" s="17" t="s">
        <v>515</v>
      </c>
    </row>
    <row r="77" spans="1:8" x14ac:dyDescent="0.15">
      <c r="A77" s="17"/>
      <c r="B77" s="7">
        <v>628400</v>
      </c>
      <c r="C77" s="7" t="s">
        <v>298</v>
      </c>
      <c r="D77" s="2">
        <v>28.65</v>
      </c>
      <c r="E77" s="2">
        <v>83.367070000000012</v>
      </c>
      <c r="F77" s="2">
        <f t="shared" si="2"/>
        <v>-54.717070000000014</v>
      </c>
      <c r="G77" s="8">
        <f t="shared" si="3"/>
        <v>-0.65633912766755509</v>
      </c>
      <c r="H77" s="17" t="s">
        <v>515</v>
      </c>
    </row>
    <row r="78" spans="1:8" x14ac:dyDescent="0.15">
      <c r="A78" s="17"/>
      <c r="B78" s="7">
        <v>633300</v>
      </c>
      <c r="C78" s="7" t="s">
        <v>299</v>
      </c>
      <c r="D78" s="2">
        <v>18.826599999999999</v>
      </c>
      <c r="E78" s="2">
        <v>15.070480000000003</v>
      </c>
      <c r="F78" s="2">
        <f t="shared" si="2"/>
        <v>3.7561199999999957</v>
      </c>
      <c r="G78" s="8">
        <f t="shared" si="3"/>
        <v>0.24923691879754292</v>
      </c>
      <c r="H78" s="17" t="s">
        <v>518</v>
      </c>
    </row>
    <row r="79" spans="1:8" x14ac:dyDescent="0.15">
      <c r="A79" s="17"/>
      <c r="B79" s="7">
        <v>633500</v>
      </c>
      <c r="C79" s="7" t="s">
        <v>301</v>
      </c>
      <c r="D79" s="2">
        <v>9.0335900000000002</v>
      </c>
      <c r="E79" s="2">
        <v>7.4312800000000019</v>
      </c>
      <c r="F79" s="2">
        <f t="shared" si="2"/>
        <v>1.6023099999999983</v>
      </c>
      <c r="G79" s="8">
        <f t="shared" si="3"/>
        <v>0.21561695966239974</v>
      </c>
      <c r="H79" s="17" t="s">
        <v>518</v>
      </c>
    </row>
    <row r="80" spans="1:8" x14ac:dyDescent="0.15">
      <c r="A80" s="17"/>
      <c r="B80" s="7">
        <v>635120</v>
      </c>
      <c r="C80" s="7" t="s">
        <v>302</v>
      </c>
      <c r="D80" s="2">
        <v>0</v>
      </c>
      <c r="E80" s="2">
        <v>-19</v>
      </c>
      <c r="F80" s="2">
        <f t="shared" si="2"/>
        <v>19</v>
      </c>
      <c r="G80" s="8">
        <f t="shared" si="3"/>
        <v>1</v>
      </c>
      <c r="H80" s="17" t="s">
        <v>518</v>
      </c>
    </row>
    <row r="81" spans="1:8" x14ac:dyDescent="0.15">
      <c r="A81" s="17"/>
      <c r="B81" s="7">
        <v>635140</v>
      </c>
      <c r="C81" s="7" t="s">
        <v>303</v>
      </c>
      <c r="D81" s="2">
        <v>1.546</v>
      </c>
      <c r="E81" s="2">
        <v>1.643</v>
      </c>
      <c r="F81" s="2">
        <f t="shared" si="2"/>
        <v>-9.6999999999999975E-2</v>
      </c>
      <c r="G81" s="8">
        <f t="shared" si="3"/>
        <v>-5.9038344491783308E-2</v>
      </c>
      <c r="H81" s="17" t="s">
        <v>518</v>
      </c>
    </row>
    <row r="82" spans="1:8" x14ac:dyDescent="0.15">
      <c r="A82" s="17"/>
      <c r="B82" s="7">
        <v>635160</v>
      </c>
      <c r="C82" s="7" t="s">
        <v>304</v>
      </c>
      <c r="D82" s="2">
        <v>26.132999999999999</v>
      </c>
      <c r="E82" s="2">
        <v>35.841000000000001</v>
      </c>
      <c r="F82" s="2">
        <f t="shared" si="2"/>
        <v>-9.708000000000002</v>
      </c>
      <c r="G82" s="8">
        <f t="shared" si="3"/>
        <v>-0.2708629781535114</v>
      </c>
      <c r="H82" s="17" t="s">
        <v>518</v>
      </c>
    </row>
    <row r="83" spans="1:8" x14ac:dyDescent="0.15">
      <c r="A83" s="17"/>
      <c r="B83" s="7">
        <v>635170</v>
      </c>
      <c r="C83" s="7" t="s">
        <v>305</v>
      </c>
      <c r="D83" s="2">
        <v>9.5730000000000004</v>
      </c>
      <c r="E83" s="2">
        <v>14.013</v>
      </c>
      <c r="F83" s="2">
        <f t="shared" si="2"/>
        <v>-4.4399999999999995</v>
      </c>
      <c r="G83" s="8">
        <f t="shared" si="3"/>
        <v>-0.3168486405480625</v>
      </c>
      <c r="H83" s="17" t="s">
        <v>518</v>
      </c>
    </row>
    <row r="84" spans="1:8" x14ac:dyDescent="0.15">
      <c r="A84" s="17"/>
      <c r="B84" s="7">
        <v>635180</v>
      </c>
      <c r="C84" s="7" t="s">
        <v>306</v>
      </c>
      <c r="D84" s="2">
        <v>4.9017200000000001</v>
      </c>
      <c r="E84" s="2">
        <v>4.7215499999999997</v>
      </c>
      <c r="F84" s="2">
        <f t="shared" si="2"/>
        <v>0.18017000000000039</v>
      </c>
      <c r="G84" s="8">
        <f t="shared" si="3"/>
        <v>3.8159079115968358E-2</v>
      </c>
      <c r="H84" s="17" t="s">
        <v>518</v>
      </c>
    </row>
    <row r="85" spans="1:8" x14ac:dyDescent="0.15">
      <c r="A85" s="17"/>
      <c r="B85" s="7">
        <v>635310</v>
      </c>
      <c r="C85" s="7" t="s">
        <v>307</v>
      </c>
      <c r="D85" s="2">
        <v>0.26275999999999999</v>
      </c>
      <c r="E85" s="2">
        <v>0</v>
      </c>
      <c r="F85" s="2">
        <f t="shared" si="2"/>
        <v>0.26275999999999999</v>
      </c>
      <c r="G85" s="8" t="str">
        <f t="shared" si="3"/>
        <v>n/a</v>
      </c>
      <c r="H85" s="17" t="s">
        <v>518</v>
      </c>
    </row>
    <row r="86" spans="1:8" x14ac:dyDescent="0.15">
      <c r="A86" s="17"/>
      <c r="B86" s="7">
        <v>637800</v>
      </c>
      <c r="C86" s="7" t="s">
        <v>308</v>
      </c>
      <c r="D86" s="2">
        <v>0.40318999999999999</v>
      </c>
      <c r="E86" s="2">
        <v>0</v>
      </c>
      <c r="F86" s="2">
        <f t="shared" si="2"/>
        <v>0.40318999999999999</v>
      </c>
      <c r="G86" s="8" t="str">
        <f t="shared" si="3"/>
        <v>n/a</v>
      </c>
      <c r="H86" s="17" t="s">
        <v>518</v>
      </c>
    </row>
    <row r="87" spans="1:8" x14ac:dyDescent="0.15">
      <c r="A87" s="17"/>
      <c r="B87" s="7">
        <v>641000</v>
      </c>
      <c r="C87" s="7" t="s">
        <v>309</v>
      </c>
      <c r="D87" s="2">
        <v>1182.8626399999998</v>
      </c>
      <c r="E87" s="2">
        <v>969.34702000000027</v>
      </c>
      <c r="F87" s="2">
        <f t="shared" si="2"/>
        <v>213.51561999999956</v>
      </c>
      <c r="G87" s="8">
        <f t="shared" si="3"/>
        <v>0.22026747449019804</v>
      </c>
      <c r="H87" s="17" t="s">
        <v>519</v>
      </c>
    </row>
    <row r="88" spans="1:8" x14ac:dyDescent="0.15">
      <c r="A88" s="17"/>
      <c r="B88" s="7">
        <v>641150</v>
      </c>
      <c r="C88" s="7" t="s">
        <v>311</v>
      </c>
      <c r="D88" s="2">
        <v>-1.1893500000000004</v>
      </c>
      <c r="E88" s="2">
        <v>6.6919799999999992</v>
      </c>
      <c r="F88" s="2">
        <f t="shared" si="2"/>
        <v>-7.8813299999999993</v>
      </c>
      <c r="G88" s="8">
        <f t="shared" si="3"/>
        <v>-1.1777276680444353</v>
      </c>
      <c r="H88" s="17" t="s">
        <v>519</v>
      </c>
    </row>
    <row r="89" spans="1:8" x14ac:dyDescent="0.15">
      <c r="A89" s="17"/>
      <c r="B89" s="7">
        <v>641200</v>
      </c>
      <c r="C89" s="7" t="s">
        <v>312</v>
      </c>
      <c r="D89" s="2">
        <v>12.51693</v>
      </c>
      <c r="E89" s="2">
        <v>-8.2313499999999991</v>
      </c>
      <c r="F89" s="2">
        <f t="shared" si="2"/>
        <v>20.748280000000001</v>
      </c>
      <c r="G89" s="8">
        <f t="shared" si="3"/>
        <v>2.5206412070923974</v>
      </c>
      <c r="H89" s="17" t="s">
        <v>519</v>
      </c>
    </row>
    <row r="90" spans="1:8" x14ac:dyDescent="0.15">
      <c r="A90" s="17"/>
      <c r="B90" s="7">
        <v>641300</v>
      </c>
      <c r="C90" s="7" t="s">
        <v>313</v>
      </c>
      <c r="D90" s="2">
        <v>9.4439899999999994</v>
      </c>
      <c r="E90" s="2">
        <v>0</v>
      </c>
      <c r="F90" s="2">
        <f t="shared" si="2"/>
        <v>9.4439899999999994</v>
      </c>
      <c r="G90" s="8" t="str">
        <f t="shared" si="3"/>
        <v>n/a</v>
      </c>
      <c r="H90" s="17" t="s">
        <v>519</v>
      </c>
    </row>
    <row r="91" spans="1:8" x14ac:dyDescent="0.15">
      <c r="A91" s="17"/>
      <c r="B91" s="7">
        <v>641400</v>
      </c>
      <c r="C91" s="7" t="s">
        <v>314</v>
      </c>
      <c r="D91" s="2">
        <v>168.42210999999998</v>
      </c>
      <c r="E91" s="2">
        <v>153.54670999999999</v>
      </c>
      <c r="F91" s="2">
        <f t="shared" si="2"/>
        <v>14.875399999999985</v>
      </c>
      <c r="G91" s="8">
        <f t="shared" si="3"/>
        <v>9.6878663176827334E-2</v>
      </c>
      <c r="H91" s="17" t="s">
        <v>519</v>
      </c>
    </row>
    <row r="92" spans="1:8" x14ac:dyDescent="0.15">
      <c r="A92" s="17"/>
      <c r="B92" s="7">
        <v>641410</v>
      </c>
      <c r="C92" s="7" t="s">
        <v>315</v>
      </c>
      <c r="D92" s="2">
        <v>0</v>
      </c>
      <c r="E92" s="2">
        <v>3.6400000000000002E-2</v>
      </c>
      <c r="F92" s="2">
        <f t="shared" si="2"/>
        <v>-3.6400000000000002E-2</v>
      </c>
      <c r="G92" s="8">
        <f t="shared" si="3"/>
        <v>-1</v>
      </c>
      <c r="H92" s="17" t="s">
        <v>519</v>
      </c>
    </row>
    <row r="93" spans="1:8" x14ac:dyDescent="0.15">
      <c r="A93" s="17"/>
      <c r="B93" s="7">
        <v>641420</v>
      </c>
      <c r="C93" s="7" t="s">
        <v>316</v>
      </c>
      <c r="D93" s="2">
        <v>29.834</v>
      </c>
      <c r="E93" s="2">
        <v>19.231189999999998</v>
      </c>
      <c r="F93" s="2">
        <f t="shared" si="2"/>
        <v>10.602810000000002</v>
      </c>
      <c r="G93" s="8">
        <f t="shared" si="3"/>
        <v>0.55133405681083714</v>
      </c>
      <c r="H93" s="17" t="s">
        <v>519</v>
      </c>
    </row>
    <row r="94" spans="1:8" x14ac:dyDescent="0.15">
      <c r="A94" s="17"/>
      <c r="B94" s="7">
        <v>641450</v>
      </c>
      <c r="C94" s="7" t="s">
        <v>317</v>
      </c>
      <c r="D94" s="2">
        <v>23.240259999999999</v>
      </c>
      <c r="E94" s="2">
        <v>20.42202</v>
      </c>
      <c r="F94" s="2">
        <f t="shared" si="2"/>
        <v>2.8182399999999994</v>
      </c>
      <c r="G94" s="8">
        <f t="shared" si="3"/>
        <v>0.13800006071877313</v>
      </c>
      <c r="H94" s="17" t="s">
        <v>519</v>
      </c>
    </row>
    <row r="95" spans="1:8" x14ac:dyDescent="0.15">
      <c r="A95" s="17"/>
      <c r="B95" s="7">
        <v>643000</v>
      </c>
      <c r="C95" s="7" t="s">
        <v>318</v>
      </c>
      <c r="D95" s="2">
        <v>4.2830000000000004</v>
      </c>
      <c r="E95" s="2">
        <v>0</v>
      </c>
      <c r="F95" s="2">
        <f t="shared" si="2"/>
        <v>4.2830000000000004</v>
      </c>
      <c r="G95" s="8" t="str">
        <f t="shared" si="3"/>
        <v>n/a</v>
      </c>
      <c r="H95" s="17" t="s">
        <v>519</v>
      </c>
    </row>
    <row r="96" spans="1:8" x14ac:dyDescent="0.15">
      <c r="A96" s="17"/>
      <c r="B96" s="7">
        <v>645100</v>
      </c>
      <c r="C96" s="7" t="s">
        <v>319</v>
      </c>
      <c r="D96" s="2">
        <v>368.90318000000002</v>
      </c>
      <c r="E96" s="2">
        <v>305.0543899999999</v>
      </c>
      <c r="F96" s="2">
        <f t="shared" si="2"/>
        <v>63.848790000000122</v>
      </c>
      <c r="G96" s="8">
        <f t="shared" si="3"/>
        <v>0.2093029705292887</v>
      </c>
      <c r="H96" s="17" t="s">
        <v>519</v>
      </c>
    </row>
    <row r="97" spans="1:8" x14ac:dyDescent="0.15">
      <c r="A97" s="17"/>
      <c r="B97" s="7">
        <v>645200</v>
      </c>
      <c r="C97" s="7" t="s">
        <v>321</v>
      </c>
      <c r="D97" s="2">
        <v>42.641489999999997</v>
      </c>
      <c r="E97" s="2">
        <v>30.964550000000003</v>
      </c>
      <c r="F97" s="2">
        <f t="shared" si="2"/>
        <v>11.676939999999995</v>
      </c>
      <c r="G97" s="8">
        <f t="shared" si="3"/>
        <v>0.37710672365656833</v>
      </c>
      <c r="H97" s="17" t="s">
        <v>519</v>
      </c>
    </row>
    <row r="98" spans="1:8" x14ac:dyDescent="0.15">
      <c r="A98" s="17"/>
      <c r="B98" s="7">
        <v>645300</v>
      </c>
      <c r="C98" s="7" t="s">
        <v>322</v>
      </c>
      <c r="D98" s="2">
        <v>99.219380000000001</v>
      </c>
      <c r="E98" s="2">
        <v>86.420060000000007</v>
      </c>
      <c r="F98" s="2">
        <f t="shared" si="2"/>
        <v>12.799319999999994</v>
      </c>
      <c r="G98" s="8">
        <f t="shared" si="3"/>
        <v>0.14810589115536363</v>
      </c>
      <c r="H98" s="17" t="s">
        <v>519</v>
      </c>
    </row>
    <row r="99" spans="1:8" x14ac:dyDescent="0.15">
      <c r="A99" s="17"/>
      <c r="B99" s="7">
        <v>645320</v>
      </c>
      <c r="C99" s="7" t="s">
        <v>323</v>
      </c>
      <c r="D99" s="2">
        <v>18.48743</v>
      </c>
      <c r="E99" s="2">
        <v>15.188220000000005</v>
      </c>
      <c r="F99" s="2">
        <f t="shared" si="2"/>
        <v>3.2992099999999951</v>
      </c>
      <c r="G99" s="8">
        <f t="shared" si="3"/>
        <v>0.21722163624177118</v>
      </c>
      <c r="H99" s="17" t="s">
        <v>519</v>
      </c>
    </row>
    <row r="100" spans="1:8" x14ac:dyDescent="0.15">
      <c r="A100" s="17"/>
      <c r="B100" s="7">
        <v>645330</v>
      </c>
      <c r="C100" s="7" t="s">
        <v>324</v>
      </c>
      <c r="D100" s="2">
        <v>25.350009999999997</v>
      </c>
      <c r="E100" s="2">
        <v>21.982150000000008</v>
      </c>
      <c r="F100" s="2">
        <f t="shared" si="2"/>
        <v>3.3678599999999896</v>
      </c>
      <c r="G100" s="8">
        <f t="shared" si="3"/>
        <v>0.153208853547082</v>
      </c>
      <c r="H100" s="17" t="s">
        <v>519</v>
      </c>
    </row>
    <row r="101" spans="1:8" x14ac:dyDescent="0.15">
      <c r="A101" s="17"/>
      <c r="B101" s="7">
        <v>645340</v>
      </c>
      <c r="C101" s="7" t="s">
        <v>325</v>
      </c>
      <c r="D101" s="2">
        <v>0.61536999999999997</v>
      </c>
      <c r="E101" s="2">
        <v>0</v>
      </c>
      <c r="F101" s="2">
        <f t="shared" si="2"/>
        <v>0.61536999999999997</v>
      </c>
      <c r="G101" s="8" t="str">
        <f t="shared" si="3"/>
        <v>n/a</v>
      </c>
      <c r="H101" s="17" t="s">
        <v>519</v>
      </c>
    </row>
    <row r="102" spans="1:8" x14ac:dyDescent="0.15">
      <c r="A102" s="17"/>
      <c r="B102" s="7">
        <v>645800</v>
      </c>
      <c r="C102" s="7" t="s">
        <v>326</v>
      </c>
      <c r="D102" s="2">
        <v>6.4429899999999982</v>
      </c>
      <c r="E102" s="2">
        <v>-4.0997700000000057</v>
      </c>
      <c r="F102" s="2">
        <f t="shared" si="2"/>
        <v>10.542760000000005</v>
      </c>
      <c r="G102" s="8">
        <f t="shared" si="3"/>
        <v>2.571549135683219</v>
      </c>
      <c r="H102" s="17" t="s">
        <v>519</v>
      </c>
    </row>
    <row r="103" spans="1:8" x14ac:dyDescent="0.15">
      <c r="A103" s="17"/>
      <c r="B103" s="7">
        <v>647400</v>
      </c>
      <c r="C103" s="7" t="s">
        <v>327</v>
      </c>
      <c r="D103" s="2">
        <v>6.66</v>
      </c>
      <c r="E103" s="2">
        <v>0</v>
      </c>
      <c r="F103" s="2">
        <f t="shared" si="2"/>
        <v>6.66</v>
      </c>
      <c r="G103" s="8" t="str">
        <f t="shared" si="3"/>
        <v>n/a</v>
      </c>
      <c r="H103" s="17" t="s">
        <v>519</v>
      </c>
    </row>
    <row r="104" spans="1:8" x14ac:dyDescent="0.15">
      <c r="A104" s="17"/>
      <c r="B104" s="7">
        <v>647500</v>
      </c>
      <c r="C104" s="7" t="s">
        <v>328</v>
      </c>
      <c r="D104" s="2">
        <v>3.4710700000000001</v>
      </c>
      <c r="E104" s="2">
        <v>5.0725800000000003</v>
      </c>
      <c r="F104" s="2">
        <f t="shared" si="2"/>
        <v>-1.6015100000000002</v>
      </c>
      <c r="G104" s="8">
        <f t="shared" si="3"/>
        <v>-0.31571902266696633</v>
      </c>
      <c r="H104" s="17" t="s">
        <v>519</v>
      </c>
    </row>
    <row r="105" spans="1:8" x14ac:dyDescent="0.15">
      <c r="A105" s="17"/>
      <c r="B105" s="7">
        <v>647600</v>
      </c>
      <c r="C105" s="7" t="s">
        <v>329</v>
      </c>
      <c r="D105" s="2">
        <v>0</v>
      </c>
      <c r="E105" s="2">
        <v>6.012E-2</v>
      </c>
      <c r="F105" s="2">
        <f t="shared" si="2"/>
        <v>-6.012E-2</v>
      </c>
      <c r="G105" s="8">
        <f t="shared" si="3"/>
        <v>-1</v>
      </c>
      <c r="H105" s="17" t="s">
        <v>519</v>
      </c>
    </row>
    <row r="106" spans="1:8" x14ac:dyDescent="0.15">
      <c r="A106" s="17"/>
      <c r="B106" s="7">
        <v>648100</v>
      </c>
      <c r="C106" s="7" t="s">
        <v>330</v>
      </c>
      <c r="D106" s="2">
        <v>0</v>
      </c>
      <c r="E106" s="2">
        <v>12.291</v>
      </c>
      <c r="F106" s="2">
        <f t="shared" si="2"/>
        <v>-12.291</v>
      </c>
      <c r="G106" s="8">
        <f t="shared" si="3"/>
        <v>-1</v>
      </c>
      <c r="H106" s="17" t="s">
        <v>519</v>
      </c>
    </row>
    <row r="107" spans="1:8" x14ac:dyDescent="0.15">
      <c r="A107" s="17"/>
      <c r="B107" s="7">
        <v>654100</v>
      </c>
      <c r="C107" s="7" t="s">
        <v>331</v>
      </c>
      <c r="D107" s="2">
        <v>0</v>
      </c>
      <c r="E107" s="2">
        <v>6.46183</v>
      </c>
      <c r="F107" s="2">
        <f t="shared" si="2"/>
        <v>-6.46183</v>
      </c>
      <c r="G107" s="8">
        <f t="shared" si="3"/>
        <v>-1</v>
      </c>
      <c r="H107" s="17" t="s">
        <v>520</v>
      </c>
    </row>
    <row r="108" spans="1:8" x14ac:dyDescent="0.15">
      <c r="A108" s="17"/>
      <c r="B108" s="7">
        <v>658000</v>
      </c>
      <c r="C108" s="7" t="s">
        <v>333</v>
      </c>
      <c r="D108" s="2">
        <v>50.7119</v>
      </c>
      <c r="E108" s="2">
        <v>1.1269999999999563E-2</v>
      </c>
      <c r="F108" s="2">
        <f t="shared" si="2"/>
        <v>50.700630000000004</v>
      </c>
      <c r="G108" s="8">
        <f t="shared" si="3"/>
        <v>4498.7249334518165</v>
      </c>
      <c r="H108" s="17" t="s">
        <v>521</v>
      </c>
    </row>
    <row r="109" spans="1:8" x14ac:dyDescent="0.15">
      <c r="A109" s="17"/>
      <c r="B109" s="7">
        <v>661160</v>
      </c>
      <c r="C109" s="7" t="s">
        <v>334</v>
      </c>
      <c r="D109" s="2">
        <v>53.563740000000003</v>
      </c>
      <c r="E109" s="2">
        <v>19.47006</v>
      </c>
      <c r="F109" s="2">
        <f t="shared" si="2"/>
        <v>34.093680000000006</v>
      </c>
      <c r="G109" s="8">
        <f t="shared" si="3"/>
        <v>1.751082431178949</v>
      </c>
      <c r="H109" s="17" t="s">
        <v>522</v>
      </c>
    </row>
    <row r="110" spans="1:8" x14ac:dyDescent="0.15">
      <c r="A110" s="17"/>
      <c r="B110" s="7">
        <v>661600</v>
      </c>
      <c r="C110" s="7" t="s">
        <v>336</v>
      </c>
      <c r="D110" s="2">
        <v>1.9568299999999998</v>
      </c>
      <c r="E110" s="2">
        <v>7.3175600000000003</v>
      </c>
      <c r="F110" s="2">
        <f t="shared" si="2"/>
        <v>-5.3607300000000002</v>
      </c>
      <c r="G110" s="8">
        <f t="shared" si="3"/>
        <v>-0.73258435872066641</v>
      </c>
      <c r="H110" s="17" t="s">
        <v>522</v>
      </c>
    </row>
    <row r="111" spans="1:8" x14ac:dyDescent="0.15">
      <c r="A111" s="17"/>
      <c r="B111" s="7">
        <v>665000</v>
      </c>
      <c r="C111" s="7" t="s">
        <v>337</v>
      </c>
      <c r="D111" s="2">
        <v>0</v>
      </c>
      <c r="E111" s="2">
        <v>0.5593800000000001</v>
      </c>
      <c r="F111" s="2">
        <f t="shared" si="2"/>
        <v>-0.5593800000000001</v>
      </c>
      <c r="G111" s="8">
        <f t="shared" si="3"/>
        <v>-1</v>
      </c>
      <c r="H111" s="17" t="s">
        <v>522</v>
      </c>
    </row>
    <row r="112" spans="1:8" x14ac:dyDescent="0.15">
      <c r="A112" s="17"/>
      <c r="B112" s="7">
        <v>665030</v>
      </c>
      <c r="C112" s="7" t="s">
        <v>338</v>
      </c>
      <c r="D112" s="2">
        <v>0</v>
      </c>
      <c r="E112" s="2">
        <v>0.25680999999999982</v>
      </c>
      <c r="F112" s="2">
        <f t="shared" si="2"/>
        <v>-0.25680999999999982</v>
      </c>
      <c r="G112" s="8">
        <f t="shared" si="3"/>
        <v>-1</v>
      </c>
      <c r="H112" s="17" t="s">
        <v>522</v>
      </c>
    </row>
    <row r="113" spans="1:8" x14ac:dyDescent="0.15">
      <c r="A113" s="17"/>
      <c r="B113" s="7">
        <v>666000</v>
      </c>
      <c r="C113" s="7" t="s">
        <v>339</v>
      </c>
      <c r="D113" s="2">
        <v>8.0601800000000008</v>
      </c>
      <c r="E113" s="2">
        <v>0.16725999999999999</v>
      </c>
      <c r="F113" s="2">
        <f t="shared" si="2"/>
        <v>7.892920000000001</v>
      </c>
      <c r="G113" s="8">
        <f t="shared" si="3"/>
        <v>47.189525289967726</v>
      </c>
      <c r="H113" s="17" t="s">
        <v>522</v>
      </c>
    </row>
    <row r="114" spans="1:8" x14ac:dyDescent="0.15">
      <c r="A114" s="17"/>
      <c r="B114" s="7">
        <v>672000</v>
      </c>
      <c r="C114" s="7" t="s">
        <v>341</v>
      </c>
      <c r="D114" s="2">
        <v>0</v>
      </c>
      <c r="E114" s="2">
        <v>16.641940000000002</v>
      </c>
      <c r="F114" s="2">
        <f t="shared" si="2"/>
        <v>-16.641940000000002</v>
      </c>
      <c r="G114" s="8">
        <f t="shared" si="3"/>
        <v>-1</v>
      </c>
      <c r="H114" s="17" t="s">
        <v>523</v>
      </c>
    </row>
    <row r="115" spans="1:8" x14ac:dyDescent="0.15">
      <c r="A115" s="17"/>
      <c r="B115" s="7">
        <v>675200</v>
      </c>
      <c r="C115" s="7" t="s">
        <v>344</v>
      </c>
      <c r="D115" s="2">
        <v>15.591520000000001</v>
      </c>
      <c r="E115" s="2">
        <v>0</v>
      </c>
      <c r="F115" s="2">
        <f t="shared" si="2"/>
        <v>15.591520000000001</v>
      </c>
      <c r="G115" s="8" t="str">
        <f t="shared" si="3"/>
        <v>n/a</v>
      </c>
      <c r="H115" s="17" t="s">
        <v>523</v>
      </c>
    </row>
    <row r="116" spans="1:8" x14ac:dyDescent="0.15">
      <c r="A116" s="17"/>
      <c r="B116" s="7">
        <v>681120</v>
      </c>
      <c r="C116" s="7" t="s">
        <v>346</v>
      </c>
      <c r="D116" s="2">
        <v>399.79007000000001</v>
      </c>
      <c r="E116" s="2">
        <v>302.87905000000001</v>
      </c>
      <c r="F116" s="2">
        <f t="shared" si="2"/>
        <v>96.911020000000008</v>
      </c>
      <c r="G116" s="8">
        <f t="shared" si="3"/>
        <v>0.31996607226548024</v>
      </c>
      <c r="H116" s="17" t="s">
        <v>524</v>
      </c>
    </row>
    <row r="117" spans="1:8" x14ac:dyDescent="0.15">
      <c r="A117" s="17"/>
      <c r="B117" s="7">
        <v>681730</v>
      </c>
      <c r="C117" s="7" t="s">
        <v>348</v>
      </c>
      <c r="D117" s="2">
        <v>1.9364699999999939</v>
      </c>
      <c r="E117" s="2">
        <v>13.415080000000001</v>
      </c>
      <c r="F117" s="2">
        <f t="shared" si="2"/>
        <v>-11.478610000000007</v>
      </c>
      <c r="G117" s="8">
        <f t="shared" si="3"/>
        <v>-0.85564976131338799</v>
      </c>
      <c r="H117" s="17" t="s">
        <v>525</v>
      </c>
    </row>
    <row r="118" spans="1:8" x14ac:dyDescent="0.15">
      <c r="A118" s="17"/>
      <c r="B118" s="7">
        <v>681740</v>
      </c>
      <c r="C118" s="7" t="s">
        <v>350</v>
      </c>
      <c r="D118" s="2">
        <v>9.8274699999999999</v>
      </c>
      <c r="E118" s="2">
        <v>7.6494399999999994</v>
      </c>
      <c r="F118" s="2">
        <f t="shared" si="2"/>
        <v>2.1780300000000006</v>
      </c>
      <c r="G118" s="8">
        <f t="shared" si="3"/>
        <v>0.28473064694931927</v>
      </c>
      <c r="H118" s="17" t="s">
        <v>520</v>
      </c>
    </row>
    <row r="119" spans="1:8" x14ac:dyDescent="0.15">
      <c r="A119" s="17"/>
      <c r="B119" s="7">
        <v>695000</v>
      </c>
      <c r="C119" s="7" t="s">
        <v>351</v>
      </c>
      <c r="D119" s="2">
        <v>0</v>
      </c>
      <c r="E119" s="2">
        <v>-4.26</v>
      </c>
      <c r="F119" s="2">
        <f t="shared" si="2"/>
        <v>4.26</v>
      </c>
      <c r="G119" s="8">
        <f t="shared" si="3"/>
        <v>1</v>
      </c>
      <c r="H119" s="17" t="s">
        <v>518</v>
      </c>
    </row>
    <row r="120" spans="1:8" x14ac:dyDescent="0.15">
      <c r="A120" s="17"/>
      <c r="B120" s="7">
        <v>695300</v>
      </c>
      <c r="C120" s="7" t="s">
        <v>353</v>
      </c>
      <c r="D120" s="2">
        <v>0</v>
      </c>
      <c r="E120" s="2">
        <v>-16.324000000000002</v>
      </c>
      <c r="F120" s="2">
        <f t="shared" si="2"/>
        <v>16.324000000000002</v>
      </c>
      <c r="G120" s="8">
        <f t="shared" si="3"/>
        <v>1</v>
      </c>
      <c r="H120" s="17" t="s">
        <v>518</v>
      </c>
    </row>
    <row r="121" spans="1:8" x14ac:dyDescent="0.15">
      <c r="A121" s="17"/>
      <c r="B121" s="7">
        <v>698100</v>
      </c>
      <c r="C121" s="7" t="s">
        <v>354</v>
      </c>
      <c r="D121" s="2">
        <v>0</v>
      </c>
      <c r="E121" s="2">
        <v>597.47801000000004</v>
      </c>
      <c r="F121" s="2">
        <f t="shared" si="2"/>
        <v>-597.47801000000004</v>
      </c>
      <c r="G121" s="8">
        <f t="shared" si="3"/>
        <v>-1</v>
      </c>
      <c r="H121" s="17" t="s">
        <v>518</v>
      </c>
    </row>
    <row r="122" spans="1:8" x14ac:dyDescent="0.15">
      <c r="A122" s="17"/>
      <c r="B122" s="7">
        <v>698900</v>
      </c>
      <c r="C122" s="7" t="s">
        <v>355</v>
      </c>
      <c r="D122" s="2">
        <v>0</v>
      </c>
      <c r="E122" s="2">
        <v>-133.24970999999999</v>
      </c>
      <c r="F122" s="2">
        <f t="shared" si="2"/>
        <v>133.24970999999999</v>
      </c>
      <c r="G122" s="8">
        <f t="shared" si="3"/>
        <v>1</v>
      </c>
      <c r="H122" s="17" t="s">
        <v>518</v>
      </c>
    </row>
    <row r="123" spans="1:8" x14ac:dyDescent="0.15">
      <c r="A123" s="17"/>
      <c r="B123" s="7">
        <v>701000</v>
      </c>
      <c r="C123" s="7" t="s">
        <v>356</v>
      </c>
      <c r="D123" s="2">
        <v>-11069.48487</v>
      </c>
      <c r="E123" s="2">
        <v>-10045.083910000081</v>
      </c>
      <c r="F123" s="2">
        <f t="shared" ref="F123:F153" si="4">D123-E123</f>
        <v>-1024.400959999919</v>
      </c>
      <c r="G123" s="8">
        <f t="shared" ref="G123:G153" si="5">IF(E123=0,"n/a",F123/ABS(E123))</f>
        <v>-0.10198032880343662</v>
      </c>
      <c r="H123" s="17" t="s">
        <v>520</v>
      </c>
    </row>
    <row r="124" spans="1:8" x14ac:dyDescent="0.15">
      <c r="A124" s="17"/>
      <c r="B124" s="7">
        <v>701010</v>
      </c>
      <c r="C124" s="7" t="s">
        <v>359</v>
      </c>
      <c r="D124" s="2">
        <v>-1114.1406300000001</v>
      </c>
      <c r="E124" s="2">
        <v>-969.267300000001</v>
      </c>
      <c r="F124" s="2">
        <f t="shared" si="4"/>
        <v>-144.8733299999991</v>
      </c>
      <c r="G124" s="8">
        <f t="shared" si="5"/>
        <v>-0.14946684985658645</v>
      </c>
      <c r="H124" s="17" t="s">
        <v>520</v>
      </c>
    </row>
    <row r="125" spans="1:8" x14ac:dyDescent="0.15">
      <c r="A125" s="17"/>
      <c r="B125" s="7">
        <v>701020</v>
      </c>
      <c r="C125" s="7" t="s">
        <v>360</v>
      </c>
      <c r="D125" s="2">
        <v>-65.352829999999997</v>
      </c>
      <c r="E125" s="2">
        <v>-81.436170000000033</v>
      </c>
      <c r="F125" s="2">
        <f t="shared" si="4"/>
        <v>16.083340000000035</v>
      </c>
      <c r="G125" s="8">
        <f t="shared" si="5"/>
        <v>0.19749627223382471</v>
      </c>
      <c r="H125" s="17" t="s">
        <v>520</v>
      </c>
    </row>
    <row r="126" spans="1:8" x14ac:dyDescent="0.15">
      <c r="A126" s="17"/>
      <c r="B126" s="7">
        <v>701030</v>
      </c>
      <c r="C126" s="7" t="s">
        <v>361</v>
      </c>
      <c r="D126" s="2">
        <v>-153.71644000000001</v>
      </c>
      <c r="E126" s="2">
        <v>-93.88657000000002</v>
      </c>
      <c r="F126" s="2">
        <f t="shared" si="4"/>
        <v>-59.829869999999985</v>
      </c>
      <c r="G126" s="8">
        <f t="shared" si="5"/>
        <v>-0.63725695805054938</v>
      </c>
      <c r="H126" s="17" t="s">
        <v>520</v>
      </c>
    </row>
    <row r="127" spans="1:8" x14ac:dyDescent="0.15">
      <c r="A127" s="17"/>
      <c r="B127" s="7">
        <v>703000</v>
      </c>
      <c r="C127" s="7" t="s">
        <v>362</v>
      </c>
      <c r="D127" s="2">
        <v>-14.011209999999998</v>
      </c>
      <c r="E127" s="2">
        <v>-19.056010000000004</v>
      </c>
      <c r="F127" s="2">
        <f t="shared" si="4"/>
        <v>5.0448000000000057</v>
      </c>
      <c r="G127" s="8">
        <f t="shared" si="5"/>
        <v>0.26473537744785003</v>
      </c>
      <c r="H127" s="17" t="s">
        <v>520</v>
      </c>
    </row>
    <row r="128" spans="1:8" x14ac:dyDescent="0.15">
      <c r="A128" s="17"/>
      <c r="B128" s="7">
        <v>707000</v>
      </c>
      <c r="C128" s="7" t="s">
        <v>363</v>
      </c>
      <c r="D128" s="2">
        <v>-1368.2297100000001</v>
      </c>
      <c r="E128" s="2">
        <v>-1131.4502699999998</v>
      </c>
      <c r="F128" s="2">
        <f t="shared" si="4"/>
        <v>-236.77944000000025</v>
      </c>
      <c r="G128" s="8">
        <f t="shared" si="5"/>
        <v>-0.20927074417508451</v>
      </c>
      <c r="H128" s="17" t="s">
        <v>520</v>
      </c>
    </row>
    <row r="129" spans="1:8" x14ac:dyDescent="0.15">
      <c r="A129" s="17"/>
      <c r="B129" s="7">
        <v>707010</v>
      </c>
      <c r="C129" s="7" t="s">
        <v>365</v>
      </c>
      <c r="D129" s="2">
        <v>-26.541539999999998</v>
      </c>
      <c r="E129" s="2">
        <v>-24.12555</v>
      </c>
      <c r="F129" s="2">
        <f t="shared" si="4"/>
        <v>-2.4159899999999972</v>
      </c>
      <c r="G129" s="8">
        <f t="shared" si="5"/>
        <v>-0.10014238017371613</v>
      </c>
      <c r="H129" s="17" t="s">
        <v>520</v>
      </c>
    </row>
    <row r="130" spans="1:8" x14ac:dyDescent="0.15">
      <c r="A130" s="17"/>
      <c r="B130" s="7">
        <v>707020</v>
      </c>
      <c r="C130" s="7" t="s">
        <v>366</v>
      </c>
      <c r="D130" s="2">
        <v>-30.710740000000001</v>
      </c>
      <c r="E130" s="2">
        <v>-18.269699999999997</v>
      </c>
      <c r="F130" s="2">
        <f t="shared" si="4"/>
        <v>-12.441040000000005</v>
      </c>
      <c r="G130" s="8">
        <f t="shared" si="5"/>
        <v>-0.68096575203752696</v>
      </c>
      <c r="H130" s="17" t="s">
        <v>520</v>
      </c>
    </row>
    <row r="131" spans="1:8" x14ac:dyDescent="0.15">
      <c r="A131" s="17"/>
      <c r="B131" s="7">
        <v>707030</v>
      </c>
      <c r="C131" s="7" t="s">
        <v>367</v>
      </c>
      <c r="D131" s="2">
        <v>-21.829450000000001</v>
      </c>
      <c r="E131" s="2">
        <v>-25.87107</v>
      </c>
      <c r="F131" s="2">
        <f t="shared" si="4"/>
        <v>4.0416199999999982</v>
      </c>
      <c r="G131" s="8">
        <f t="shared" si="5"/>
        <v>0.15622160196698467</v>
      </c>
      <c r="H131" s="17" t="s">
        <v>520</v>
      </c>
    </row>
    <row r="132" spans="1:8" x14ac:dyDescent="0.15">
      <c r="A132" s="17"/>
      <c r="B132" s="7">
        <v>708000</v>
      </c>
      <c r="C132" s="7" t="s">
        <v>368</v>
      </c>
      <c r="D132" s="2">
        <v>1.3250699999999997</v>
      </c>
      <c r="E132" s="2">
        <v>-8.92</v>
      </c>
      <c r="F132" s="2">
        <f t="shared" si="4"/>
        <v>10.24507</v>
      </c>
      <c r="G132" s="8">
        <f t="shared" si="5"/>
        <v>1.1485504484304934</v>
      </c>
      <c r="H132" s="17" t="s">
        <v>520</v>
      </c>
    </row>
    <row r="133" spans="1:8" x14ac:dyDescent="0.15">
      <c r="A133" s="17"/>
      <c r="B133" s="7">
        <v>708010</v>
      </c>
      <c r="C133" s="7" t="s">
        <v>369</v>
      </c>
      <c r="D133" s="2">
        <v>-0.14000000000000001</v>
      </c>
      <c r="E133" s="2">
        <v>-0.18</v>
      </c>
      <c r="F133" s="2">
        <f t="shared" si="4"/>
        <v>3.999999999999998E-2</v>
      </c>
      <c r="G133" s="8">
        <f t="shared" si="5"/>
        <v>0.22222222222222213</v>
      </c>
      <c r="H133" s="17" t="s">
        <v>520</v>
      </c>
    </row>
    <row r="134" spans="1:8" x14ac:dyDescent="0.15">
      <c r="A134" s="17"/>
      <c r="B134" s="7">
        <v>708020</v>
      </c>
      <c r="C134" s="7" t="s">
        <v>370</v>
      </c>
      <c r="D134" s="2">
        <v>-0.08</v>
      </c>
      <c r="E134" s="2">
        <v>-0.12</v>
      </c>
      <c r="F134" s="2">
        <f t="shared" si="4"/>
        <v>3.9999999999999994E-2</v>
      </c>
      <c r="G134" s="8">
        <f t="shared" si="5"/>
        <v>0.33333333333333331</v>
      </c>
      <c r="H134" s="17" t="s">
        <v>520</v>
      </c>
    </row>
    <row r="135" spans="1:8" x14ac:dyDescent="0.15">
      <c r="A135" s="17"/>
      <c r="B135" s="7">
        <v>708030</v>
      </c>
      <c r="C135" s="7" t="s">
        <v>371</v>
      </c>
      <c r="D135" s="2">
        <v>-4.4999999999999998E-2</v>
      </c>
      <c r="E135" s="2">
        <v>-0.02</v>
      </c>
      <c r="F135" s="2">
        <f t="shared" si="4"/>
        <v>-2.4999999999999998E-2</v>
      </c>
      <c r="G135" s="8">
        <f t="shared" si="5"/>
        <v>-1.2499999999999998</v>
      </c>
      <c r="H135" s="17" t="s">
        <v>520</v>
      </c>
    </row>
    <row r="136" spans="1:8" x14ac:dyDescent="0.15">
      <c r="A136" s="17"/>
      <c r="B136" s="7">
        <v>708500</v>
      </c>
      <c r="C136" s="7" t="s">
        <v>372</v>
      </c>
      <c r="D136" s="2">
        <v>-87.070200000000014</v>
      </c>
      <c r="E136" s="2">
        <v>-81.716070000000997</v>
      </c>
      <c r="F136" s="2">
        <f t="shared" si="4"/>
        <v>-5.3541299999990173</v>
      </c>
      <c r="G136" s="8">
        <f t="shared" si="5"/>
        <v>-6.5521139232453937E-2</v>
      </c>
      <c r="H136" s="17" t="s">
        <v>520</v>
      </c>
    </row>
    <row r="137" spans="1:8" x14ac:dyDescent="0.15">
      <c r="A137" s="17"/>
      <c r="B137" s="7">
        <v>708510</v>
      </c>
      <c r="C137" s="7" t="s">
        <v>373</v>
      </c>
      <c r="D137" s="2">
        <v>-4.2877399999999994</v>
      </c>
      <c r="E137" s="2">
        <v>-5.5792299999999999</v>
      </c>
      <c r="F137" s="2">
        <f t="shared" si="4"/>
        <v>1.2914900000000005</v>
      </c>
      <c r="G137" s="8">
        <f t="shared" si="5"/>
        <v>0.23148176361254161</v>
      </c>
      <c r="H137" s="17" t="s">
        <v>520</v>
      </c>
    </row>
    <row r="138" spans="1:8" x14ac:dyDescent="0.15">
      <c r="A138" s="17"/>
      <c r="B138" s="7">
        <v>708520</v>
      </c>
      <c r="C138" s="7" t="s">
        <v>374</v>
      </c>
      <c r="D138" s="2">
        <v>-0.67269000000000001</v>
      </c>
      <c r="E138" s="2">
        <v>-0.13800000000000001</v>
      </c>
      <c r="F138" s="2">
        <f t="shared" si="4"/>
        <v>-0.53469</v>
      </c>
      <c r="G138" s="8">
        <f t="shared" si="5"/>
        <v>-3.8745652173913041</v>
      </c>
      <c r="H138" s="17" t="s">
        <v>520</v>
      </c>
    </row>
    <row r="139" spans="1:8" x14ac:dyDescent="0.15">
      <c r="A139" s="17"/>
      <c r="B139" s="7">
        <v>708530</v>
      </c>
      <c r="C139" s="7" t="s">
        <v>375</v>
      </c>
      <c r="D139" s="2">
        <v>-1.9989999999999997E-2</v>
      </c>
      <c r="E139" s="2">
        <v>-0.26477000000000001</v>
      </c>
      <c r="F139" s="2">
        <f t="shared" si="4"/>
        <v>0.24478</v>
      </c>
      <c r="G139" s="8">
        <f t="shared" si="5"/>
        <v>0.92450050987649657</v>
      </c>
      <c r="H139" s="17" t="s">
        <v>520</v>
      </c>
    </row>
    <row r="140" spans="1:8" x14ac:dyDescent="0.15">
      <c r="A140" s="17"/>
      <c r="B140" s="7">
        <v>708800</v>
      </c>
      <c r="C140" s="7" t="s">
        <v>376</v>
      </c>
      <c r="D140" s="2">
        <v>-5.0308000000000028</v>
      </c>
      <c r="E140" s="2">
        <v>-3.7796199999999955</v>
      </c>
      <c r="F140" s="2">
        <f t="shared" si="4"/>
        <v>-1.2511800000000073</v>
      </c>
      <c r="G140" s="8">
        <f t="shared" si="5"/>
        <v>-0.3310332784777329</v>
      </c>
      <c r="H140" s="17" t="s">
        <v>520</v>
      </c>
    </row>
    <row r="141" spans="1:8" x14ac:dyDescent="0.15">
      <c r="A141" s="17"/>
      <c r="B141" s="7">
        <v>708801</v>
      </c>
      <c r="C141" s="7" t="s">
        <v>377</v>
      </c>
      <c r="D141" s="2">
        <v>-468.71585000000005</v>
      </c>
      <c r="E141" s="2">
        <v>-384.62993</v>
      </c>
      <c r="F141" s="2">
        <f t="shared" si="4"/>
        <v>-84.085920000000044</v>
      </c>
      <c r="G141" s="8">
        <f t="shared" si="5"/>
        <v>-0.21861512441322506</v>
      </c>
      <c r="H141" s="17" t="s">
        <v>520</v>
      </c>
    </row>
    <row r="142" spans="1:8" x14ac:dyDescent="0.15">
      <c r="A142" s="17"/>
      <c r="B142" s="7">
        <v>709100</v>
      </c>
      <c r="C142" s="7" t="s">
        <v>378</v>
      </c>
      <c r="D142" s="2">
        <v>41.004220000000004</v>
      </c>
      <c r="E142" s="2">
        <v>125.27760000000004</v>
      </c>
      <c r="F142" s="2">
        <f t="shared" si="4"/>
        <v>-84.273380000000031</v>
      </c>
      <c r="G142" s="8">
        <f t="shared" si="5"/>
        <v>-0.67269312311219254</v>
      </c>
      <c r="H142" s="17" t="s">
        <v>520</v>
      </c>
    </row>
    <row r="143" spans="1:8" x14ac:dyDescent="0.15">
      <c r="A143" s="17"/>
      <c r="B143" s="7">
        <v>713550</v>
      </c>
      <c r="C143" s="7" t="s">
        <v>379</v>
      </c>
      <c r="D143" s="2">
        <v>-155.16354000000004</v>
      </c>
      <c r="E143" s="2">
        <v>50.861710000000194</v>
      </c>
      <c r="F143" s="2">
        <f t="shared" si="4"/>
        <v>-206.02525000000023</v>
      </c>
      <c r="G143" s="8">
        <f t="shared" si="5"/>
        <v>-4.0506945204948757</v>
      </c>
      <c r="H143" s="17" t="s">
        <v>525</v>
      </c>
    </row>
    <row r="144" spans="1:8" x14ac:dyDescent="0.15">
      <c r="A144" s="17"/>
      <c r="B144" s="7">
        <v>740000</v>
      </c>
      <c r="C144" s="7" t="s">
        <v>381</v>
      </c>
      <c r="D144" s="2">
        <v>-9.08</v>
      </c>
      <c r="E144" s="2">
        <v>0</v>
      </c>
      <c r="F144" s="2">
        <f t="shared" si="4"/>
        <v>-9.08</v>
      </c>
      <c r="G144" s="8" t="str">
        <f t="shared" si="5"/>
        <v>n/a</v>
      </c>
      <c r="H144" s="17" t="s">
        <v>526</v>
      </c>
    </row>
    <row r="145" spans="1:8" x14ac:dyDescent="0.15">
      <c r="A145" s="17"/>
      <c r="B145" s="7">
        <v>758000</v>
      </c>
      <c r="C145" s="7" t="s">
        <v>383</v>
      </c>
      <c r="D145" s="2">
        <v>-54.54251</v>
      </c>
      <c r="E145" s="2">
        <v>-2.0449799999999998</v>
      </c>
      <c r="F145" s="2">
        <f t="shared" si="4"/>
        <v>-52.497529999999998</v>
      </c>
      <c r="G145" s="8">
        <f t="shared" si="5"/>
        <v>-25.671414879363123</v>
      </c>
      <c r="H145" s="17" t="s">
        <v>521</v>
      </c>
    </row>
    <row r="146" spans="1:8" x14ac:dyDescent="0.15">
      <c r="A146" s="17"/>
      <c r="B146" s="7">
        <v>764000</v>
      </c>
      <c r="C146" s="7" t="s">
        <v>385</v>
      </c>
      <c r="D146" s="2">
        <v>-17.313639999999999</v>
      </c>
      <c r="E146" s="2">
        <v>-42.292970000000018</v>
      </c>
      <c r="F146" s="2">
        <f t="shared" si="4"/>
        <v>24.979330000000019</v>
      </c>
      <c r="G146" s="8">
        <f t="shared" si="5"/>
        <v>0.59062605440100346</v>
      </c>
      <c r="H146" s="17" t="s">
        <v>522</v>
      </c>
    </row>
    <row r="147" spans="1:8" x14ac:dyDescent="0.15">
      <c r="A147" s="17"/>
      <c r="B147" s="7">
        <v>766000</v>
      </c>
      <c r="C147" s="7" t="s">
        <v>387</v>
      </c>
      <c r="D147" s="2">
        <v>-3.6036100000000002</v>
      </c>
      <c r="E147" s="2">
        <v>-1.8433299999999999</v>
      </c>
      <c r="F147" s="2">
        <f t="shared" si="4"/>
        <v>-1.7602800000000003</v>
      </c>
      <c r="G147" s="8">
        <f t="shared" si="5"/>
        <v>-0.95494566897951016</v>
      </c>
      <c r="H147" s="17" t="s">
        <v>522</v>
      </c>
    </row>
    <row r="148" spans="1:8" ht="14" x14ac:dyDescent="0.15">
      <c r="A148" s="17"/>
      <c r="B148" s="9">
        <v>772000</v>
      </c>
      <c r="C148" s="10" t="s">
        <v>389</v>
      </c>
      <c r="D148" s="2">
        <v>0</v>
      </c>
      <c r="E148" s="2">
        <v>-1.81785</v>
      </c>
      <c r="F148" s="2">
        <f t="shared" si="4"/>
        <v>1.81785</v>
      </c>
      <c r="G148" s="8">
        <f t="shared" si="5"/>
        <v>1</v>
      </c>
      <c r="H148" s="17" t="s">
        <v>523</v>
      </c>
    </row>
    <row r="149" spans="1:8" x14ac:dyDescent="0.15">
      <c r="A149" s="17"/>
      <c r="B149" s="7">
        <v>775200</v>
      </c>
      <c r="C149" s="7" t="s">
        <v>391</v>
      </c>
      <c r="D149" s="2">
        <v>-22.2</v>
      </c>
      <c r="E149" s="2">
        <v>0</v>
      </c>
      <c r="F149" s="2">
        <f t="shared" si="4"/>
        <v>-22.2</v>
      </c>
      <c r="G149" s="8" t="str">
        <f t="shared" si="5"/>
        <v>n/a</v>
      </c>
      <c r="H149" s="17" t="s">
        <v>523</v>
      </c>
    </row>
    <row r="150" spans="1:8" x14ac:dyDescent="0.15">
      <c r="A150" s="17"/>
      <c r="B150" s="7">
        <v>781730</v>
      </c>
      <c r="C150" s="7" t="s">
        <v>393</v>
      </c>
      <c r="D150" s="2">
        <v>-15.058590000000001</v>
      </c>
      <c r="E150" s="2">
        <v>0</v>
      </c>
      <c r="F150" s="2">
        <f t="shared" si="4"/>
        <v>-15.058590000000001</v>
      </c>
      <c r="G150" s="8" t="str">
        <f t="shared" si="5"/>
        <v>n/a</v>
      </c>
      <c r="H150" s="17" t="s">
        <v>525</v>
      </c>
    </row>
    <row r="151" spans="1:8" x14ac:dyDescent="0.15">
      <c r="A151" s="17"/>
      <c r="B151" s="7">
        <v>781740</v>
      </c>
      <c r="C151" s="7" t="s">
        <v>395</v>
      </c>
      <c r="D151" s="2">
        <v>-1.2110099999999999</v>
      </c>
      <c r="E151" s="2">
        <v>-10.711819999999999</v>
      </c>
      <c r="F151" s="2">
        <f t="shared" si="4"/>
        <v>9.5008099999999995</v>
      </c>
      <c r="G151" s="8">
        <f t="shared" si="5"/>
        <v>0.88694638259418102</v>
      </c>
      <c r="H151" s="17" t="s">
        <v>520</v>
      </c>
    </row>
    <row r="152" spans="1:8" x14ac:dyDescent="0.15">
      <c r="A152" s="17"/>
      <c r="B152" s="7">
        <v>791000</v>
      </c>
      <c r="C152" s="7" t="s">
        <v>396</v>
      </c>
      <c r="D152" s="2">
        <v>-23.47466</v>
      </c>
      <c r="E152" s="2">
        <v>-20.42202</v>
      </c>
      <c r="F152" s="2">
        <f t="shared" si="4"/>
        <v>-3.0526400000000002</v>
      </c>
      <c r="G152" s="8">
        <f t="shared" si="5"/>
        <v>-0.14947786751751296</v>
      </c>
      <c r="H152" s="17" t="s">
        <v>521</v>
      </c>
    </row>
    <row r="153" spans="1:8" ht="6" customHeight="1" x14ac:dyDescent="0.15">
      <c r="A153" s="17"/>
      <c r="B153" s="7">
        <v>791500</v>
      </c>
      <c r="C153" s="7" t="s">
        <v>398</v>
      </c>
      <c r="D153" s="2">
        <v>-11.56532</v>
      </c>
      <c r="E153" s="2">
        <v>0</v>
      </c>
      <c r="F153" s="2">
        <f t="shared" si="4"/>
        <v>-11.56532</v>
      </c>
      <c r="G153" s="8" t="str">
        <f t="shared" si="5"/>
        <v>n/a</v>
      </c>
      <c r="H153" s="17" t="s">
        <v>521</v>
      </c>
    </row>
    <row r="154" spans="1:8" ht="14" thickBot="1" x14ac:dyDescent="0.2">
      <c r="C154" s="35" t="s">
        <v>11</v>
      </c>
      <c r="D154" s="35">
        <f>SUBTOTAL(9,$D$10:$D$153)</f>
        <v>-8205.4141000000018</v>
      </c>
      <c r="E154" s="35">
        <f>SUBTOTAL(9,$E$10:$E$153)</f>
        <v>-6917.8834800000868</v>
      </c>
      <c r="F154" s="35">
        <f>D154-E154</f>
        <v>-1287.530619999915</v>
      </c>
      <c r="G154" s="36">
        <f>IF(E154=0,"n/a",F154/ABS(E154))</f>
        <v>-0.18611626283128707</v>
      </c>
    </row>
  </sheetData>
  <conditionalFormatting sqref="D4">
    <cfRule type="expression" dxfId="41" priority="1" stopIfTrue="1">
      <formula>ISBLANK(D4)</formula>
    </cfRule>
  </conditionalFormatting>
  <conditionalFormatting sqref="D8">
    <cfRule type="expression" dxfId="40" priority="2" stopIfTrue="1">
      <formula>$D$8="Date N ?"</formula>
    </cfRule>
  </conditionalFormatting>
  <conditionalFormatting sqref="E8">
    <cfRule type="expression" dxfId="39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7D363A71-C873-4126-A187-C6A8F622A024}"/>
  </dataValidations>
  <hyperlinks>
    <hyperlink ref="A1" location="Sommaire!C3" display="Retour sommaire" xr:uid="{4B874DB7-B32E-4E70-8ED9-0DEF8F7E772A}"/>
  </hyperlinks>
  <printOptions horizontalCentered="1" verticalCentered="1"/>
  <pageMargins left="0.75" right="0.75" top="1" bottom="1" header="0.4921259845" footer="0.4921259845"/>
  <pageSetup paperSize="9" scale="86" fitToHeight="0" orientation="portrait" r:id="rId1"/>
  <headerFooter alignWithMargins="0">
    <oddHeader>&amp;L&amp;10Dossier : GILAC
Date de clôture : 31/12/2024&amp;C&amp;"Times New Roman,Gras"&amp;12Autres achats et charges externes&amp;R&amp;"Times New Roman,Gras"&amp;10A0 bis
&amp;P/&amp;N</oddHeader>
    <oddFooter>&amp;L&amp;"Times New Roman"&amp;10Firex Audit&amp;C&amp;"Times New Roman"&amp;10&amp;D&amp;R&amp;"Times New Roman"&amp;10Document de travail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9758-1A7C-43ED-BCE6-F04F617662A3}">
  <sheetPr codeName="Feuil2">
    <pageSetUpPr fitToPage="1"/>
  </sheetPr>
  <dimension ref="A1:N98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527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404100</v>
      </c>
      <c r="C11" s="7" t="s">
        <v>123</v>
      </c>
      <c r="D11" s="2">
        <v>0</v>
      </c>
      <c r="E11" s="2">
        <v>0</v>
      </c>
      <c r="F11" s="2">
        <f>D11-E11</f>
        <v>0</v>
      </c>
      <c r="G11" s="8" t="str">
        <f>IF(E11=0,"n/a",F11/ABS(E11))</f>
        <v>n/a</v>
      </c>
      <c r="H11" s="17" t="str">
        <f>J11&amp;0</f>
        <v>A0</v>
      </c>
      <c r="J11" s="15" t="s">
        <v>121</v>
      </c>
      <c r="K11" s="1" t="s">
        <v>124</v>
      </c>
      <c r="L11" s="1" t="s">
        <v>124</v>
      </c>
      <c r="M11" s="1" t="s">
        <v>61</v>
      </c>
      <c r="N11" s="1" t="s">
        <v>61</v>
      </c>
    </row>
    <row r="12" spans="1:14" x14ac:dyDescent="0.15">
      <c r="A12" s="17"/>
      <c r="B12" s="7">
        <v>486000</v>
      </c>
      <c r="C12" s="7" t="s">
        <v>195</v>
      </c>
      <c r="D12" s="2">
        <v>17.545690000000004</v>
      </c>
      <c r="E12" s="2">
        <v>9.3279999999999994</v>
      </c>
      <c r="F12" s="2">
        <f>D12-E12</f>
        <v>8.2176900000000046</v>
      </c>
      <c r="G12" s="8">
        <f>IF(E12=0,"n/a",F12/ABS(E12))</f>
        <v>0.88097019725557513</v>
      </c>
      <c r="H12" s="17" t="str">
        <f>J12&amp;0</f>
        <v>A0</v>
      </c>
      <c r="J12" s="15" t="s">
        <v>121</v>
      </c>
      <c r="K12" s="1" t="s">
        <v>196</v>
      </c>
      <c r="L12" s="1" t="s">
        <v>196</v>
      </c>
      <c r="M12" s="1" t="s">
        <v>61</v>
      </c>
      <c r="N12" s="1" t="s">
        <v>61</v>
      </c>
    </row>
    <row r="13" spans="1:14" x14ac:dyDescent="0.15">
      <c r="A13" s="17"/>
      <c r="B13" s="7"/>
      <c r="C13" s="7"/>
      <c r="D13" s="2"/>
      <c r="E13" s="2"/>
      <c r="F13" s="2"/>
      <c r="G13" s="8"/>
      <c r="H13" s="17"/>
    </row>
    <row r="14" spans="1:14" s="12" customFormat="1" ht="13.5" customHeight="1" x14ac:dyDescent="0.15">
      <c r="A14" s="17"/>
      <c r="B14" s="21" t="s">
        <v>433</v>
      </c>
      <c r="C14" s="21"/>
      <c r="D14" s="19"/>
      <c r="E14" s="19"/>
      <c r="F14" s="19"/>
      <c r="G14" s="22"/>
      <c r="H14" s="17"/>
      <c r="J14" s="16"/>
    </row>
    <row r="15" spans="1:14" x14ac:dyDescent="0.15">
      <c r="A15" s="17"/>
      <c r="B15" s="7">
        <v>401000</v>
      </c>
      <c r="C15" s="7" t="s">
        <v>120</v>
      </c>
      <c r="D15" s="2">
        <v>562.17754999999886</v>
      </c>
      <c r="E15" s="2">
        <v>1966.8799299999991</v>
      </c>
      <c r="F15" s="2">
        <f>D15-E15</f>
        <v>-1404.7023800000002</v>
      </c>
      <c r="G15" s="8">
        <f>IF(E15=0,"n/a",F15/ABS(E15))</f>
        <v>-0.71417800272129517</v>
      </c>
      <c r="H15" s="17" t="str">
        <f>J15&amp;0</f>
        <v>A0</v>
      </c>
      <c r="J15" s="15" t="s">
        <v>121</v>
      </c>
      <c r="K15" s="1" t="s">
        <v>122</v>
      </c>
      <c r="L15" s="1" t="s">
        <v>122</v>
      </c>
      <c r="M15" s="1" t="s">
        <v>37</v>
      </c>
      <c r="N15" s="1" t="s">
        <v>37</v>
      </c>
    </row>
    <row r="16" spans="1:14" x14ac:dyDescent="0.15">
      <c r="A16" s="17"/>
      <c r="B16" s="7">
        <v>408100</v>
      </c>
      <c r="C16" s="7" t="s">
        <v>125</v>
      </c>
      <c r="D16" s="2">
        <v>446.60699999999991</v>
      </c>
      <c r="E16" s="2">
        <v>214.51371</v>
      </c>
      <c r="F16" s="2">
        <f>D16-E16</f>
        <v>232.09328999999991</v>
      </c>
      <c r="G16" s="8">
        <f>IF(E16=0,"n/a",F16/ABS(E16))</f>
        <v>1.0819508459389375</v>
      </c>
      <c r="H16" s="17" t="str">
        <f>J16&amp;0</f>
        <v>A0</v>
      </c>
      <c r="J16" s="15" t="s">
        <v>121</v>
      </c>
      <c r="K16" s="1" t="s">
        <v>122</v>
      </c>
      <c r="L16" s="1" t="s">
        <v>122</v>
      </c>
      <c r="M16" s="1" t="s">
        <v>37</v>
      </c>
      <c r="N16" s="1" t="s">
        <v>37</v>
      </c>
    </row>
    <row r="17" spans="1:14" x14ac:dyDescent="0.15">
      <c r="A17" s="17"/>
      <c r="B17" s="7"/>
      <c r="C17" s="7"/>
      <c r="D17" s="2"/>
      <c r="E17" s="2"/>
      <c r="F17" s="2"/>
      <c r="G17" s="8"/>
      <c r="H17" s="17"/>
    </row>
    <row r="18" spans="1:14" s="12" customFormat="1" ht="13.5" customHeight="1" x14ac:dyDescent="0.15">
      <c r="A18" s="17"/>
      <c r="B18" s="21" t="s">
        <v>528</v>
      </c>
      <c r="C18" s="21"/>
      <c r="D18" s="19"/>
      <c r="E18" s="19"/>
      <c r="F18" s="19"/>
      <c r="G18" s="22"/>
      <c r="H18" s="17"/>
      <c r="J18" s="16"/>
    </row>
    <row r="19" spans="1:14" x14ac:dyDescent="0.15">
      <c r="A19" s="17"/>
      <c r="B19" s="7">
        <v>601100</v>
      </c>
      <c r="C19" s="7" t="s">
        <v>211</v>
      </c>
      <c r="D19" s="2">
        <v>731.69415000000004</v>
      </c>
      <c r="E19" s="2">
        <v>621.89149999999984</v>
      </c>
      <c r="F19" s="2">
        <f t="shared" ref="F19:F50" si="0">D19-E19</f>
        <v>109.8026500000002</v>
      </c>
      <c r="G19" s="8">
        <f t="shared" ref="G19:G50" si="1">IF(E19=0,"n/a",F19/ABS(E19))</f>
        <v>0.1765623907064178</v>
      </c>
      <c r="H19" s="17" t="str">
        <f t="shared" ref="H19:H50" si="2">J19&amp;0</f>
        <v>A0</v>
      </c>
      <c r="J19" s="15" t="s">
        <v>121</v>
      </c>
      <c r="K19" s="1" t="s">
        <v>212</v>
      </c>
      <c r="L19" s="1" t="s">
        <v>212</v>
      </c>
      <c r="M19" s="1" t="s">
        <v>213</v>
      </c>
      <c r="N19" s="1" t="s">
        <v>213</v>
      </c>
    </row>
    <row r="20" spans="1:14" x14ac:dyDescent="0.15">
      <c r="A20" s="17"/>
      <c r="B20" s="7">
        <v>601110</v>
      </c>
      <c r="C20" s="7" t="s">
        <v>214</v>
      </c>
      <c r="D20" s="2">
        <v>150.10864000000001</v>
      </c>
      <c r="E20" s="2">
        <v>215.99233000000001</v>
      </c>
      <c r="F20" s="2">
        <f t="shared" si="0"/>
        <v>-65.883690000000001</v>
      </c>
      <c r="G20" s="8">
        <f t="shared" si="1"/>
        <v>-0.30502791464863588</v>
      </c>
      <c r="H20" s="17" t="str">
        <f t="shared" si="2"/>
        <v>A0</v>
      </c>
      <c r="J20" s="15" t="s">
        <v>121</v>
      </c>
      <c r="K20" s="1" t="s">
        <v>212</v>
      </c>
      <c r="L20" s="1" t="s">
        <v>212</v>
      </c>
      <c r="M20" s="1" t="s">
        <v>213</v>
      </c>
      <c r="N20" s="1" t="s">
        <v>213</v>
      </c>
    </row>
    <row r="21" spans="1:14" x14ac:dyDescent="0.15">
      <c r="A21" s="17"/>
      <c r="B21" s="7">
        <v>601130</v>
      </c>
      <c r="C21" s="7" t="s">
        <v>215</v>
      </c>
      <c r="D21" s="2">
        <v>808.29171999999994</v>
      </c>
      <c r="E21" s="2">
        <v>804.64821999999992</v>
      </c>
      <c r="F21" s="2">
        <f t="shared" si="0"/>
        <v>3.6435000000000173</v>
      </c>
      <c r="G21" s="8">
        <f t="shared" si="1"/>
        <v>4.5280656931050165E-3</v>
      </c>
      <c r="H21" s="17" t="str">
        <f t="shared" si="2"/>
        <v>A0</v>
      </c>
      <c r="J21" s="15" t="s">
        <v>121</v>
      </c>
      <c r="K21" s="1" t="s">
        <v>212</v>
      </c>
      <c r="L21" s="1" t="s">
        <v>212</v>
      </c>
      <c r="M21" s="1" t="s">
        <v>213</v>
      </c>
      <c r="N21" s="1" t="s">
        <v>213</v>
      </c>
    </row>
    <row r="22" spans="1:14" x14ac:dyDescent="0.15">
      <c r="A22" s="17"/>
      <c r="B22" s="7">
        <v>601700</v>
      </c>
      <c r="C22" s="7" t="s">
        <v>216</v>
      </c>
      <c r="D22" s="2">
        <v>339.02127000000002</v>
      </c>
      <c r="E22" s="2">
        <v>339.14440000000002</v>
      </c>
      <c r="F22" s="2">
        <f t="shared" si="0"/>
        <v>-0.12313000000000329</v>
      </c>
      <c r="G22" s="8">
        <f t="shared" si="1"/>
        <v>-3.6306069037260615E-4</v>
      </c>
      <c r="H22" s="17" t="str">
        <f t="shared" si="2"/>
        <v>A0</v>
      </c>
      <c r="J22" s="15" t="s">
        <v>121</v>
      </c>
      <c r="K22" s="1" t="s">
        <v>212</v>
      </c>
      <c r="L22" s="1" t="s">
        <v>212</v>
      </c>
      <c r="M22" s="1" t="s">
        <v>213</v>
      </c>
      <c r="N22" s="1" t="s">
        <v>213</v>
      </c>
    </row>
    <row r="23" spans="1:14" x14ac:dyDescent="0.15">
      <c r="A23" s="17"/>
      <c r="B23" s="7">
        <v>601710</v>
      </c>
      <c r="C23" s="7" t="s">
        <v>217</v>
      </c>
      <c r="D23" s="2">
        <v>137.78455</v>
      </c>
      <c r="E23" s="2">
        <v>95.991950000000017</v>
      </c>
      <c r="F23" s="2">
        <f t="shared" si="0"/>
        <v>41.792599999999979</v>
      </c>
      <c r="G23" s="8">
        <f t="shared" si="1"/>
        <v>0.4353760914326667</v>
      </c>
      <c r="H23" s="17" t="str">
        <f t="shared" si="2"/>
        <v>A0</v>
      </c>
      <c r="J23" s="15" t="s">
        <v>121</v>
      </c>
      <c r="K23" s="1" t="s">
        <v>212</v>
      </c>
      <c r="L23" s="1" t="s">
        <v>212</v>
      </c>
      <c r="M23" s="1" t="s">
        <v>213</v>
      </c>
      <c r="N23" s="1" t="s">
        <v>213</v>
      </c>
    </row>
    <row r="24" spans="1:14" x14ac:dyDescent="0.15">
      <c r="A24" s="17"/>
      <c r="B24" s="7">
        <v>601730</v>
      </c>
      <c r="C24" s="7" t="s">
        <v>218</v>
      </c>
      <c r="D24" s="2">
        <v>42.384</v>
      </c>
      <c r="E24" s="2">
        <v>22.968</v>
      </c>
      <c r="F24" s="2">
        <f t="shared" si="0"/>
        <v>19.416</v>
      </c>
      <c r="G24" s="8">
        <f t="shared" si="1"/>
        <v>0.84535005224660398</v>
      </c>
      <c r="H24" s="17" t="str">
        <f t="shared" si="2"/>
        <v>A0</v>
      </c>
      <c r="J24" s="15" t="s">
        <v>121</v>
      </c>
      <c r="K24" s="1" t="s">
        <v>212</v>
      </c>
      <c r="L24" s="1" t="s">
        <v>212</v>
      </c>
      <c r="M24" s="1" t="s">
        <v>213</v>
      </c>
      <c r="N24" s="1" t="s">
        <v>213</v>
      </c>
    </row>
    <row r="25" spans="1:14" x14ac:dyDescent="0.15">
      <c r="A25" s="17"/>
      <c r="B25" s="7">
        <v>602600</v>
      </c>
      <c r="C25" s="7" t="s">
        <v>219</v>
      </c>
      <c r="D25" s="2">
        <v>248.57225999999997</v>
      </c>
      <c r="E25" s="2">
        <v>235.11167</v>
      </c>
      <c r="F25" s="2">
        <f t="shared" si="0"/>
        <v>13.460589999999968</v>
      </c>
      <c r="G25" s="8">
        <f t="shared" si="1"/>
        <v>5.7251900766984332E-2</v>
      </c>
      <c r="H25" s="17" t="str">
        <f t="shared" si="2"/>
        <v>A0</v>
      </c>
      <c r="J25" s="15" t="s">
        <v>121</v>
      </c>
      <c r="K25" s="1" t="s">
        <v>212</v>
      </c>
      <c r="L25" s="1" t="s">
        <v>212</v>
      </c>
      <c r="M25" s="1" t="s">
        <v>213</v>
      </c>
      <c r="N25" s="1" t="s">
        <v>213</v>
      </c>
    </row>
    <row r="26" spans="1:14" x14ac:dyDescent="0.15">
      <c r="A26" s="17"/>
      <c r="B26" s="7">
        <v>602610</v>
      </c>
      <c r="C26" s="7" t="s">
        <v>220</v>
      </c>
      <c r="D26" s="2">
        <v>0.154</v>
      </c>
      <c r="E26" s="2">
        <v>21.975000000000001</v>
      </c>
      <c r="F26" s="2">
        <f t="shared" si="0"/>
        <v>-21.821000000000002</v>
      </c>
      <c r="G26" s="8">
        <f t="shared" si="1"/>
        <v>-0.99299203640500566</v>
      </c>
      <c r="H26" s="17" t="str">
        <f t="shared" si="2"/>
        <v>A0</v>
      </c>
      <c r="J26" s="15" t="s">
        <v>121</v>
      </c>
      <c r="K26" s="1" t="s">
        <v>212</v>
      </c>
      <c r="L26" s="1" t="s">
        <v>212</v>
      </c>
      <c r="M26" s="1" t="s">
        <v>213</v>
      </c>
      <c r="N26" s="1" t="s">
        <v>213</v>
      </c>
    </row>
    <row r="27" spans="1:14" x14ac:dyDescent="0.15">
      <c r="A27" s="17"/>
      <c r="B27" s="7">
        <v>604100</v>
      </c>
      <c r="C27" s="7" t="s">
        <v>226</v>
      </c>
      <c r="D27" s="2">
        <v>566.07103000000006</v>
      </c>
      <c r="E27" s="2">
        <v>557.14880000000005</v>
      </c>
      <c r="F27" s="2">
        <f t="shared" si="0"/>
        <v>8.9222300000000132</v>
      </c>
      <c r="G27" s="8">
        <f t="shared" si="1"/>
        <v>1.601408815741865E-2</v>
      </c>
      <c r="H27" s="17" t="str">
        <f t="shared" si="2"/>
        <v>A0</v>
      </c>
      <c r="J27" s="15" t="s">
        <v>121</v>
      </c>
      <c r="K27" s="1" t="s">
        <v>212</v>
      </c>
      <c r="L27" s="1" t="s">
        <v>212</v>
      </c>
      <c r="M27" s="1" t="s">
        <v>213</v>
      </c>
      <c r="N27" s="1" t="s">
        <v>213</v>
      </c>
    </row>
    <row r="28" spans="1:14" x14ac:dyDescent="0.15">
      <c r="A28" s="17"/>
      <c r="B28" s="7">
        <v>604101</v>
      </c>
      <c r="C28" s="7" t="s">
        <v>227</v>
      </c>
      <c r="D28" s="2">
        <v>1837.10618</v>
      </c>
      <c r="E28" s="2">
        <v>2032.1870100000003</v>
      </c>
      <c r="F28" s="2">
        <f t="shared" si="0"/>
        <v>-195.08083000000033</v>
      </c>
      <c r="G28" s="8">
        <f t="shared" si="1"/>
        <v>-9.5995510767486053E-2</v>
      </c>
      <c r="H28" s="17" t="str">
        <f t="shared" si="2"/>
        <v>A0</v>
      </c>
      <c r="J28" s="15" t="s">
        <v>121</v>
      </c>
      <c r="K28" s="1" t="s">
        <v>212</v>
      </c>
      <c r="L28" s="1" t="s">
        <v>212</v>
      </c>
      <c r="M28" s="1" t="s">
        <v>213</v>
      </c>
      <c r="N28" s="1" t="s">
        <v>213</v>
      </c>
    </row>
    <row r="29" spans="1:14" x14ac:dyDescent="0.15">
      <c r="A29" s="17"/>
      <c r="B29" s="7">
        <v>606110</v>
      </c>
      <c r="C29" s="7" t="s">
        <v>228</v>
      </c>
      <c r="D29" s="2">
        <v>285.61255999999992</v>
      </c>
      <c r="E29" s="2">
        <v>294.93119000000002</v>
      </c>
      <c r="F29" s="2">
        <f t="shared" si="0"/>
        <v>-9.3186300000000983</v>
      </c>
      <c r="G29" s="8">
        <f t="shared" si="1"/>
        <v>-3.1595946159509607E-2</v>
      </c>
      <c r="H29" s="17" t="str">
        <f t="shared" si="2"/>
        <v>A0</v>
      </c>
      <c r="J29" s="15" t="s">
        <v>121</v>
      </c>
      <c r="K29" s="1" t="s">
        <v>11</v>
      </c>
      <c r="L29" s="1" t="s">
        <v>11</v>
      </c>
      <c r="M29" s="1" t="s">
        <v>213</v>
      </c>
      <c r="N29" s="1" t="s">
        <v>213</v>
      </c>
    </row>
    <row r="30" spans="1:14" x14ac:dyDescent="0.15">
      <c r="A30" s="17"/>
      <c r="B30" s="7">
        <v>606120</v>
      </c>
      <c r="C30" s="7" t="s">
        <v>229</v>
      </c>
      <c r="D30" s="2">
        <v>0.43120999999999998</v>
      </c>
      <c r="E30" s="2">
        <v>0</v>
      </c>
      <c r="F30" s="2">
        <f t="shared" si="0"/>
        <v>0.43120999999999998</v>
      </c>
      <c r="G30" s="8" t="str">
        <f t="shared" si="1"/>
        <v>n/a</v>
      </c>
      <c r="H30" s="17" t="str">
        <f t="shared" si="2"/>
        <v>A0</v>
      </c>
      <c r="J30" s="15" t="s">
        <v>121</v>
      </c>
      <c r="K30" s="1" t="s">
        <v>11</v>
      </c>
      <c r="L30" s="1" t="s">
        <v>11</v>
      </c>
      <c r="M30" s="1" t="s">
        <v>213</v>
      </c>
      <c r="N30" s="1" t="s">
        <v>213</v>
      </c>
    </row>
    <row r="31" spans="1:14" x14ac:dyDescent="0.15">
      <c r="A31" s="17"/>
      <c r="B31" s="7">
        <v>606130</v>
      </c>
      <c r="C31" s="7" t="s">
        <v>230</v>
      </c>
      <c r="D31" s="2">
        <v>9.6601599999999994</v>
      </c>
      <c r="E31" s="2">
        <v>10.796439999999999</v>
      </c>
      <c r="F31" s="2">
        <f t="shared" si="0"/>
        <v>-1.1362799999999993</v>
      </c>
      <c r="G31" s="8">
        <f t="shared" si="1"/>
        <v>-0.1052458032462552</v>
      </c>
      <c r="H31" s="17" t="str">
        <f t="shared" si="2"/>
        <v>A0</v>
      </c>
      <c r="J31" s="15" t="s">
        <v>121</v>
      </c>
      <c r="K31" s="1" t="s">
        <v>11</v>
      </c>
      <c r="L31" s="1" t="s">
        <v>11</v>
      </c>
      <c r="M31" s="1" t="s">
        <v>213</v>
      </c>
      <c r="N31" s="1" t="s">
        <v>213</v>
      </c>
    </row>
    <row r="32" spans="1:14" x14ac:dyDescent="0.15">
      <c r="A32" s="17"/>
      <c r="B32" s="7">
        <v>606300</v>
      </c>
      <c r="C32" s="7" t="s">
        <v>231</v>
      </c>
      <c r="D32" s="2">
        <v>13.19168</v>
      </c>
      <c r="E32" s="2">
        <v>6.5942200000000009</v>
      </c>
      <c r="F32" s="2">
        <f t="shared" si="0"/>
        <v>6.597459999999999</v>
      </c>
      <c r="G32" s="8">
        <f t="shared" si="1"/>
        <v>1.0004913393850976</v>
      </c>
      <c r="H32" s="17" t="str">
        <f t="shared" si="2"/>
        <v>A0</v>
      </c>
      <c r="J32" s="15" t="s">
        <v>121</v>
      </c>
      <c r="K32" s="1" t="s">
        <v>11</v>
      </c>
      <c r="L32" s="1" t="s">
        <v>11</v>
      </c>
      <c r="M32" s="1" t="s">
        <v>213</v>
      </c>
      <c r="N32" s="1" t="s">
        <v>213</v>
      </c>
    </row>
    <row r="33" spans="1:14" x14ac:dyDescent="0.15">
      <c r="A33" s="17"/>
      <c r="B33" s="7">
        <v>606400</v>
      </c>
      <c r="C33" s="7" t="s">
        <v>232</v>
      </c>
      <c r="D33" s="2">
        <v>43.783730000000006</v>
      </c>
      <c r="E33" s="2">
        <v>12.203189999999999</v>
      </c>
      <c r="F33" s="2">
        <f t="shared" si="0"/>
        <v>31.580540000000006</v>
      </c>
      <c r="G33" s="8">
        <f t="shared" si="1"/>
        <v>2.5878921822900414</v>
      </c>
      <c r="H33" s="17" t="str">
        <f t="shared" si="2"/>
        <v>A0</v>
      </c>
      <c r="J33" s="15" t="s">
        <v>121</v>
      </c>
      <c r="K33" s="1" t="s">
        <v>11</v>
      </c>
      <c r="L33" s="1" t="s">
        <v>11</v>
      </c>
      <c r="M33" s="1" t="s">
        <v>213</v>
      </c>
      <c r="N33" s="1" t="s">
        <v>213</v>
      </c>
    </row>
    <row r="34" spans="1:14" x14ac:dyDescent="0.15">
      <c r="A34" s="17"/>
      <c r="B34" s="7">
        <v>606420</v>
      </c>
      <c r="C34" s="7" t="s">
        <v>233</v>
      </c>
      <c r="D34" s="2">
        <v>0</v>
      </c>
      <c r="E34" s="2">
        <v>3.7799999999999999E-3</v>
      </c>
      <c r="F34" s="2">
        <f t="shared" si="0"/>
        <v>-3.7799999999999999E-3</v>
      </c>
      <c r="G34" s="8">
        <f t="shared" si="1"/>
        <v>-1</v>
      </c>
      <c r="H34" s="17" t="str">
        <f t="shared" si="2"/>
        <v>A0</v>
      </c>
      <c r="J34" s="15" t="s">
        <v>121</v>
      </c>
      <c r="K34" s="1" t="s">
        <v>11</v>
      </c>
      <c r="L34" s="1" t="s">
        <v>11</v>
      </c>
      <c r="M34" s="1" t="s">
        <v>213</v>
      </c>
      <c r="N34" s="1" t="s">
        <v>213</v>
      </c>
    </row>
    <row r="35" spans="1:14" x14ac:dyDescent="0.15">
      <c r="A35" s="17"/>
      <c r="B35" s="7">
        <v>606430</v>
      </c>
      <c r="C35" s="7" t="s">
        <v>234</v>
      </c>
      <c r="D35" s="2">
        <v>2.3925999999999998</v>
      </c>
      <c r="E35" s="2">
        <v>0</v>
      </c>
      <c r="F35" s="2">
        <f t="shared" si="0"/>
        <v>2.3925999999999998</v>
      </c>
      <c r="G35" s="8" t="str">
        <f t="shared" si="1"/>
        <v>n/a</v>
      </c>
      <c r="H35" s="17" t="str">
        <f t="shared" si="2"/>
        <v>A0</v>
      </c>
      <c r="J35" s="15" t="s">
        <v>121</v>
      </c>
      <c r="K35" s="1" t="s">
        <v>11</v>
      </c>
      <c r="L35" s="1" t="s">
        <v>11</v>
      </c>
      <c r="M35" s="1" t="s">
        <v>213</v>
      </c>
      <c r="N35" s="1" t="s">
        <v>213</v>
      </c>
    </row>
    <row r="36" spans="1:14" x14ac:dyDescent="0.15">
      <c r="A36" s="17"/>
      <c r="B36" s="7">
        <v>607000</v>
      </c>
      <c r="C36" s="7" t="s">
        <v>235</v>
      </c>
      <c r="D36" s="2">
        <v>415.51378000000005</v>
      </c>
      <c r="E36" s="2">
        <v>309.97122000000002</v>
      </c>
      <c r="F36" s="2">
        <f t="shared" si="0"/>
        <v>105.54256000000004</v>
      </c>
      <c r="G36" s="8">
        <f t="shared" si="1"/>
        <v>0.34049148175756455</v>
      </c>
      <c r="H36" s="17" t="str">
        <f t="shared" si="2"/>
        <v>A0</v>
      </c>
      <c r="J36" s="15" t="s">
        <v>121</v>
      </c>
      <c r="K36" s="1" t="s">
        <v>236</v>
      </c>
      <c r="L36" s="1" t="s">
        <v>236</v>
      </c>
      <c r="M36" s="1" t="s">
        <v>213</v>
      </c>
      <c r="N36" s="1" t="s">
        <v>213</v>
      </c>
    </row>
    <row r="37" spans="1:14" x14ac:dyDescent="0.15">
      <c r="A37" s="17"/>
      <c r="B37" s="7">
        <v>607010</v>
      </c>
      <c r="C37" s="7" t="s">
        <v>237</v>
      </c>
      <c r="D37" s="2">
        <v>295.19114999999999</v>
      </c>
      <c r="E37" s="2">
        <v>260.81894</v>
      </c>
      <c r="F37" s="2">
        <f t="shared" si="0"/>
        <v>34.372209999999995</v>
      </c>
      <c r="G37" s="8">
        <f t="shared" si="1"/>
        <v>0.13178571310810477</v>
      </c>
      <c r="H37" s="17" t="str">
        <f t="shared" si="2"/>
        <v>A0</v>
      </c>
      <c r="J37" s="15" t="s">
        <v>121</v>
      </c>
      <c r="K37" s="1" t="s">
        <v>236</v>
      </c>
      <c r="L37" s="1" t="s">
        <v>236</v>
      </c>
      <c r="M37" s="1" t="s">
        <v>213</v>
      </c>
      <c r="N37" s="1" t="s">
        <v>213</v>
      </c>
    </row>
    <row r="38" spans="1:14" x14ac:dyDescent="0.15">
      <c r="A38" s="17"/>
      <c r="B38" s="7">
        <v>608100</v>
      </c>
      <c r="C38" s="7" t="s">
        <v>238</v>
      </c>
      <c r="D38" s="2">
        <v>12.128069999999999</v>
      </c>
      <c r="E38" s="2">
        <v>9.2936300000000003</v>
      </c>
      <c r="F38" s="2">
        <f t="shared" si="0"/>
        <v>2.834439999999999</v>
      </c>
      <c r="G38" s="8">
        <f t="shared" si="1"/>
        <v>0.30498739459177943</v>
      </c>
      <c r="H38" s="17" t="str">
        <f t="shared" si="2"/>
        <v>A0</v>
      </c>
      <c r="J38" s="15" t="s">
        <v>121</v>
      </c>
      <c r="K38" s="1" t="s">
        <v>212</v>
      </c>
      <c r="L38" s="1" t="s">
        <v>212</v>
      </c>
      <c r="M38" s="1" t="s">
        <v>213</v>
      </c>
      <c r="N38" s="1" t="s">
        <v>213</v>
      </c>
    </row>
    <row r="39" spans="1:14" x14ac:dyDescent="0.15">
      <c r="A39" s="17"/>
      <c r="B39" s="7">
        <v>608110</v>
      </c>
      <c r="C39" s="7" t="s">
        <v>239</v>
      </c>
      <c r="D39" s="2">
        <v>6.6682299999999994</v>
      </c>
      <c r="E39" s="2">
        <v>10.933020000000001</v>
      </c>
      <c r="F39" s="2">
        <f t="shared" si="0"/>
        <v>-4.2647900000000014</v>
      </c>
      <c r="G39" s="8">
        <f t="shared" si="1"/>
        <v>-0.39008343531796347</v>
      </c>
      <c r="H39" s="17" t="str">
        <f t="shared" si="2"/>
        <v>A0</v>
      </c>
      <c r="J39" s="15" t="s">
        <v>121</v>
      </c>
      <c r="K39" s="1" t="s">
        <v>212</v>
      </c>
      <c r="L39" s="1" t="s">
        <v>212</v>
      </c>
      <c r="M39" s="1" t="s">
        <v>213</v>
      </c>
      <c r="N39" s="1" t="s">
        <v>213</v>
      </c>
    </row>
    <row r="40" spans="1:14" x14ac:dyDescent="0.15">
      <c r="A40" s="17"/>
      <c r="B40" s="7">
        <v>608130</v>
      </c>
      <c r="C40" s="7" t="s">
        <v>240</v>
      </c>
      <c r="D40" s="2">
        <v>0</v>
      </c>
      <c r="E40" s="2">
        <v>1.33</v>
      </c>
      <c r="F40" s="2">
        <f t="shared" si="0"/>
        <v>-1.33</v>
      </c>
      <c r="G40" s="8">
        <f t="shared" si="1"/>
        <v>-1</v>
      </c>
      <c r="H40" s="17" t="str">
        <f t="shared" si="2"/>
        <v>A0</v>
      </c>
      <c r="J40" s="15" t="s">
        <v>121</v>
      </c>
      <c r="K40" s="1" t="s">
        <v>212</v>
      </c>
      <c r="L40" s="1" t="s">
        <v>212</v>
      </c>
      <c r="M40" s="1" t="s">
        <v>213</v>
      </c>
      <c r="N40" s="1" t="s">
        <v>213</v>
      </c>
    </row>
    <row r="41" spans="1:14" x14ac:dyDescent="0.15">
      <c r="A41" s="17"/>
      <c r="B41" s="7">
        <v>608140</v>
      </c>
      <c r="C41" s="7" t="s">
        <v>241</v>
      </c>
      <c r="D41" s="2">
        <v>56.398099999999999</v>
      </c>
      <c r="E41" s="2">
        <v>123.44561999999998</v>
      </c>
      <c r="F41" s="2">
        <f t="shared" si="0"/>
        <v>-67.047519999999977</v>
      </c>
      <c r="G41" s="8">
        <f t="shared" si="1"/>
        <v>-0.54313405368290901</v>
      </c>
      <c r="H41" s="17" t="str">
        <f t="shared" si="2"/>
        <v>A0</v>
      </c>
      <c r="J41" s="15" t="s">
        <v>121</v>
      </c>
      <c r="K41" s="1" t="s">
        <v>212</v>
      </c>
      <c r="L41" s="1" t="s">
        <v>212</v>
      </c>
      <c r="M41" s="1" t="s">
        <v>213</v>
      </c>
      <c r="N41" s="1" t="s">
        <v>213</v>
      </c>
    </row>
    <row r="42" spans="1:14" x14ac:dyDescent="0.15">
      <c r="A42" s="17"/>
      <c r="B42" s="7">
        <v>608500</v>
      </c>
      <c r="C42" s="7" t="s">
        <v>242</v>
      </c>
      <c r="D42" s="2">
        <v>8.8829999999999991</v>
      </c>
      <c r="E42" s="2">
        <v>10.635999999999999</v>
      </c>
      <c r="F42" s="2">
        <f t="shared" si="0"/>
        <v>-1.7530000000000001</v>
      </c>
      <c r="G42" s="8">
        <f t="shared" si="1"/>
        <v>-0.16481760060173001</v>
      </c>
      <c r="H42" s="17" t="str">
        <f t="shared" si="2"/>
        <v>A0</v>
      </c>
      <c r="J42" s="15" t="s">
        <v>121</v>
      </c>
      <c r="K42" s="1" t="s">
        <v>11</v>
      </c>
      <c r="L42" s="1" t="s">
        <v>11</v>
      </c>
      <c r="M42" s="1" t="s">
        <v>213</v>
      </c>
      <c r="N42" s="1" t="s">
        <v>213</v>
      </c>
    </row>
    <row r="43" spans="1:14" x14ac:dyDescent="0.15">
      <c r="A43" s="17"/>
      <c r="B43" s="7">
        <v>608800</v>
      </c>
      <c r="C43" s="7" t="s">
        <v>243</v>
      </c>
      <c r="D43" s="2">
        <v>4.4385399999999997</v>
      </c>
      <c r="E43" s="2">
        <v>2.0354000000000001</v>
      </c>
      <c r="F43" s="2">
        <f t="shared" si="0"/>
        <v>2.4031399999999996</v>
      </c>
      <c r="G43" s="8">
        <f t="shared" si="1"/>
        <v>1.1806721037633878</v>
      </c>
      <c r="H43" s="17" t="str">
        <f t="shared" si="2"/>
        <v>A0</v>
      </c>
      <c r="J43" s="15" t="s">
        <v>121</v>
      </c>
      <c r="M43" s="1" t="s">
        <v>213</v>
      </c>
      <c r="N43" s="1" t="s">
        <v>213</v>
      </c>
    </row>
    <row r="44" spans="1:14" x14ac:dyDescent="0.15">
      <c r="A44" s="17"/>
      <c r="B44" s="7">
        <v>608810</v>
      </c>
      <c r="C44" s="7" t="s">
        <v>244</v>
      </c>
      <c r="D44" s="2">
        <v>0</v>
      </c>
      <c r="E44" s="2">
        <v>0.27500000000000002</v>
      </c>
      <c r="F44" s="2">
        <f t="shared" si="0"/>
        <v>-0.27500000000000002</v>
      </c>
      <c r="G44" s="8">
        <f t="shared" si="1"/>
        <v>-1</v>
      </c>
      <c r="H44" s="17" t="str">
        <f t="shared" si="2"/>
        <v>A0</v>
      </c>
      <c r="J44" s="15" t="s">
        <v>121</v>
      </c>
      <c r="M44" s="1" t="s">
        <v>213</v>
      </c>
      <c r="N44" s="1" t="s">
        <v>213</v>
      </c>
    </row>
    <row r="45" spans="1:14" x14ac:dyDescent="0.15">
      <c r="A45" s="17"/>
      <c r="B45" s="7">
        <v>609100</v>
      </c>
      <c r="C45" s="7" t="s">
        <v>245</v>
      </c>
      <c r="D45" s="2">
        <v>-6.6416500000000003</v>
      </c>
      <c r="E45" s="2">
        <v>-4.9129100000000001</v>
      </c>
      <c r="F45" s="2">
        <f t="shared" si="0"/>
        <v>-1.7287400000000002</v>
      </c>
      <c r="G45" s="8">
        <f t="shared" si="1"/>
        <v>-0.35187699347230056</v>
      </c>
      <c r="H45" s="17" t="str">
        <f t="shared" si="2"/>
        <v>A0</v>
      </c>
      <c r="J45" s="15" t="s">
        <v>121</v>
      </c>
      <c r="K45" s="1" t="s">
        <v>212</v>
      </c>
      <c r="L45" s="1" t="s">
        <v>212</v>
      </c>
      <c r="M45" s="1" t="s">
        <v>213</v>
      </c>
      <c r="N45" s="1" t="s">
        <v>213</v>
      </c>
    </row>
    <row r="46" spans="1:14" x14ac:dyDescent="0.15">
      <c r="A46" s="17"/>
      <c r="B46" s="7">
        <v>609110</v>
      </c>
      <c r="C46" s="7" t="s">
        <v>246</v>
      </c>
      <c r="D46" s="2">
        <v>0</v>
      </c>
      <c r="E46" s="2">
        <v>-0.86399999999999999</v>
      </c>
      <c r="F46" s="2">
        <f t="shared" si="0"/>
        <v>0.86399999999999999</v>
      </c>
      <c r="G46" s="8">
        <f t="shared" si="1"/>
        <v>1</v>
      </c>
      <c r="H46" s="17" t="str">
        <f t="shared" si="2"/>
        <v>A0</v>
      </c>
      <c r="J46" s="15" t="s">
        <v>121</v>
      </c>
      <c r="K46" s="1" t="s">
        <v>212</v>
      </c>
      <c r="L46" s="1" t="s">
        <v>212</v>
      </c>
      <c r="M46" s="1" t="s">
        <v>213</v>
      </c>
      <c r="N46" s="1" t="s">
        <v>213</v>
      </c>
    </row>
    <row r="47" spans="1:14" x14ac:dyDescent="0.15">
      <c r="A47" s="17"/>
      <c r="B47" s="7">
        <v>609130</v>
      </c>
      <c r="C47" s="7" t="s">
        <v>247</v>
      </c>
      <c r="D47" s="2">
        <v>-0.27600000000000002</v>
      </c>
      <c r="E47" s="2">
        <v>0</v>
      </c>
      <c r="F47" s="2">
        <f t="shared" si="0"/>
        <v>-0.27600000000000002</v>
      </c>
      <c r="G47" s="8" t="str">
        <f t="shared" si="1"/>
        <v>n/a</v>
      </c>
      <c r="H47" s="17" t="str">
        <f t="shared" si="2"/>
        <v>A0</v>
      </c>
      <c r="J47" s="15" t="s">
        <v>121</v>
      </c>
      <c r="K47" s="1" t="s">
        <v>212</v>
      </c>
      <c r="L47" s="1" t="s">
        <v>212</v>
      </c>
      <c r="M47" s="1" t="s">
        <v>213</v>
      </c>
      <c r="N47" s="1" t="s">
        <v>213</v>
      </c>
    </row>
    <row r="48" spans="1:14" x14ac:dyDescent="0.15">
      <c r="A48" s="17"/>
      <c r="B48" s="7">
        <v>611000</v>
      </c>
      <c r="C48" s="7" t="s">
        <v>248</v>
      </c>
      <c r="D48" s="2">
        <v>14.156420000000001</v>
      </c>
      <c r="E48" s="2">
        <v>45.077709999999996</v>
      </c>
      <c r="F48" s="2">
        <f t="shared" si="0"/>
        <v>-30.921289999999996</v>
      </c>
      <c r="G48" s="8">
        <f t="shared" si="1"/>
        <v>-0.68595520934847842</v>
      </c>
      <c r="H48" s="17" t="str">
        <f t="shared" si="2"/>
        <v>A0</v>
      </c>
      <c r="J48" s="15" t="s">
        <v>121</v>
      </c>
      <c r="K48" s="1" t="s">
        <v>11</v>
      </c>
      <c r="L48" s="1" t="s">
        <v>11</v>
      </c>
      <c r="M48" s="1" t="s">
        <v>213</v>
      </c>
      <c r="N48" s="1" t="s">
        <v>213</v>
      </c>
    </row>
    <row r="49" spans="1:14" x14ac:dyDescent="0.15">
      <c r="A49" s="17"/>
      <c r="B49" s="7">
        <v>611010</v>
      </c>
      <c r="C49" s="7" t="s">
        <v>249</v>
      </c>
      <c r="D49" s="2">
        <v>250.86985999999999</v>
      </c>
      <c r="E49" s="2">
        <v>242.87228000000002</v>
      </c>
      <c r="F49" s="2">
        <f t="shared" si="0"/>
        <v>7.9975799999999708</v>
      </c>
      <c r="G49" s="8">
        <f t="shared" si="1"/>
        <v>3.2929159309576087E-2</v>
      </c>
      <c r="H49" s="17" t="str">
        <f t="shared" si="2"/>
        <v>A0</v>
      </c>
      <c r="J49" s="15" t="s">
        <v>121</v>
      </c>
      <c r="K49" s="1" t="s">
        <v>11</v>
      </c>
      <c r="L49" s="1" t="s">
        <v>11</v>
      </c>
      <c r="M49" s="1" t="s">
        <v>213</v>
      </c>
      <c r="N49" s="1" t="s">
        <v>213</v>
      </c>
    </row>
    <row r="50" spans="1:14" x14ac:dyDescent="0.15">
      <c r="A50" s="17"/>
      <c r="B50" s="7">
        <v>611030</v>
      </c>
      <c r="C50" s="7" t="s">
        <v>250</v>
      </c>
      <c r="D50" s="2">
        <v>79.830570000000009</v>
      </c>
      <c r="E50" s="2">
        <v>73.234929999999991</v>
      </c>
      <c r="F50" s="2">
        <f t="shared" si="0"/>
        <v>6.5956400000000173</v>
      </c>
      <c r="G50" s="8">
        <f t="shared" si="1"/>
        <v>9.0061395566296276E-2</v>
      </c>
      <c r="H50" s="17" t="str">
        <f t="shared" si="2"/>
        <v>A0</v>
      </c>
      <c r="J50" s="15" t="s">
        <v>121</v>
      </c>
      <c r="K50" s="1" t="s">
        <v>11</v>
      </c>
      <c r="L50" s="1" t="s">
        <v>11</v>
      </c>
      <c r="M50" s="1" t="s">
        <v>213</v>
      </c>
      <c r="N50" s="1" t="s">
        <v>213</v>
      </c>
    </row>
    <row r="51" spans="1:14" x14ac:dyDescent="0.15">
      <c r="A51" s="17"/>
      <c r="B51" s="7">
        <v>613200</v>
      </c>
      <c r="C51" s="7" t="s">
        <v>251</v>
      </c>
      <c r="D51" s="2">
        <v>21.49014</v>
      </c>
      <c r="E51" s="2">
        <v>20.107880000000005</v>
      </c>
      <c r="F51" s="2">
        <f t="shared" ref="F51:F82" si="3">D51-E51</f>
        <v>1.3822599999999952</v>
      </c>
      <c r="G51" s="8">
        <f t="shared" ref="G51:G82" si="4">IF(E51=0,"n/a",F51/ABS(E51))</f>
        <v>6.874220454866424E-2</v>
      </c>
      <c r="H51" s="17" t="str">
        <f t="shared" ref="H51:H82" si="5">J51&amp;0</f>
        <v>A0</v>
      </c>
      <c r="J51" s="15" t="s">
        <v>121</v>
      </c>
      <c r="K51" s="1" t="s">
        <v>11</v>
      </c>
      <c r="L51" s="1" t="s">
        <v>11</v>
      </c>
      <c r="M51" s="1" t="s">
        <v>213</v>
      </c>
      <c r="N51" s="1" t="s">
        <v>213</v>
      </c>
    </row>
    <row r="52" spans="1:14" x14ac:dyDescent="0.15">
      <c r="A52" s="17"/>
      <c r="B52" s="7">
        <v>613201</v>
      </c>
      <c r="C52" s="7" t="s">
        <v>252</v>
      </c>
      <c r="D52" s="2">
        <v>300.45916</v>
      </c>
      <c r="E52" s="2">
        <v>252.64956000000001</v>
      </c>
      <c r="F52" s="2">
        <f t="shared" si="3"/>
        <v>47.809599999999989</v>
      </c>
      <c r="G52" s="8">
        <f t="shared" si="4"/>
        <v>0.1892328646841894</v>
      </c>
      <c r="H52" s="17" t="str">
        <f t="shared" si="5"/>
        <v>A0</v>
      </c>
      <c r="J52" s="15" t="s">
        <v>121</v>
      </c>
      <c r="K52" s="1" t="s">
        <v>11</v>
      </c>
      <c r="L52" s="1" t="s">
        <v>11</v>
      </c>
      <c r="M52" s="1" t="s">
        <v>213</v>
      </c>
      <c r="N52" s="1" t="s">
        <v>213</v>
      </c>
    </row>
    <row r="53" spans="1:14" x14ac:dyDescent="0.15">
      <c r="A53" s="17"/>
      <c r="B53" s="7">
        <v>613500</v>
      </c>
      <c r="C53" s="7" t="s">
        <v>253</v>
      </c>
      <c r="D53" s="2">
        <v>68.52713</v>
      </c>
      <c r="E53" s="2">
        <v>69.251569999999987</v>
      </c>
      <c r="F53" s="2">
        <f t="shared" si="3"/>
        <v>-0.72443999999998709</v>
      </c>
      <c r="G53" s="8">
        <f t="shared" si="4"/>
        <v>-1.0460990270689708E-2</v>
      </c>
      <c r="H53" s="17" t="str">
        <f t="shared" si="5"/>
        <v>A0</v>
      </c>
      <c r="J53" s="15" t="s">
        <v>121</v>
      </c>
      <c r="K53" s="1" t="s">
        <v>11</v>
      </c>
      <c r="L53" s="1" t="s">
        <v>11</v>
      </c>
      <c r="M53" s="1" t="s">
        <v>213</v>
      </c>
      <c r="N53" s="1" t="s">
        <v>213</v>
      </c>
    </row>
    <row r="54" spans="1:14" x14ac:dyDescent="0.15">
      <c r="A54" s="17"/>
      <c r="B54" s="7">
        <v>613550</v>
      </c>
      <c r="C54" s="7" t="s">
        <v>254</v>
      </c>
      <c r="D54" s="2">
        <v>0.3952</v>
      </c>
      <c r="E54" s="2">
        <v>0.64066000000000001</v>
      </c>
      <c r="F54" s="2">
        <f t="shared" si="3"/>
        <v>-0.24546000000000001</v>
      </c>
      <c r="G54" s="8">
        <f t="shared" si="4"/>
        <v>-0.38313614085474357</v>
      </c>
      <c r="H54" s="17" t="str">
        <f t="shared" si="5"/>
        <v>A0</v>
      </c>
      <c r="J54" s="15" t="s">
        <v>121</v>
      </c>
      <c r="K54" s="1" t="s">
        <v>11</v>
      </c>
      <c r="L54" s="1" t="s">
        <v>11</v>
      </c>
      <c r="M54" s="1" t="s">
        <v>213</v>
      </c>
      <c r="N54" s="1" t="s">
        <v>213</v>
      </c>
    </row>
    <row r="55" spans="1:14" x14ac:dyDescent="0.15">
      <c r="A55" s="17"/>
      <c r="B55" s="7">
        <v>613580</v>
      </c>
      <c r="C55" s="7" t="s">
        <v>255</v>
      </c>
      <c r="D55" s="2">
        <v>24.678759999999997</v>
      </c>
      <c r="E55" s="2">
        <v>30.745990000000003</v>
      </c>
      <c r="F55" s="2">
        <f t="shared" si="3"/>
        <v>-6.0672300000000057</v>
      </c>
      <c r="G55" s="8">
        <f t="shared" si="4"/>
        <v>-0.19733402632343292</v>
      </c>
      <c r="H55" s="17" t="str">
        <f t="shared" si="5"/>
        <v>A0</v>
      </c>
      <c r="J55" s="15" t="s">
        <v>121</v>
      </c>
      <c r="K55" s="1" t="s">
        <v>11</v>
      </c>
      <c r="L55" s="1" t="s">
        <v>11</v>
      </c>
      <c r="M55" s="1" t="s">
        <v>213</v>
      </c>
      <c r="N55" s="1" t="s">
        <v>213</v>
      </c>
    </row>
    <row r="56" spans="1:14" x14ac:dyDescent="0.15">
      <c r="A56" s="17"/>
      <c r="B56" s="7">
        <v>613585</v>
      </c>
      <c r="C56" s="7" t="s">
        <v>256</v>
      </c>
      <c r="D56" s="2">
        <v>9.3765200000000011</v>
      </c>
      <c r="E56" s="2">
        <v>11.71139</v>
      </c>
      <c r="F56" s="2">
        <f t="shared" si="3"/>
        <v>-2.3348699999999987</v>
      </c>
      <c r="G56" s="8">
        <f t="shared" si="4"/>
        <v>-0.19936745339366196</v>
      </c>
      <c r="H56" s="17" t="str">
        <f t="shared" si="5"/>
        <v>A0</v>
      </c>
      <c r="J56" s="15" t="s">
        <v>121</v>
      </c>
      <c r="K56" s="1" t="s">
        <v>11</v>
      </c>
      <c r="L56" s="1" t="s">
        <v>11</v>
      </c>
      <c r="M56" s="1" t="s">
        <v>213</v>
      </c>
      <c r="N56" s="1" t="s">
        <v>213</v>
      </c>
    </row>
    <row r="57" spans="1:14" x14ac:dyDescent="0.15">
      <c r="A57" s="17"/>
      <c r="B57" s="7">
        <v>614000</v>
      </c>
      <c r="C57" s="7" t="s">
        <v>257</v>
      </c>
      <c r="D57" s="2">
        <v>12.70688</v>
      </c>
      <c r="E57" s="2">
        <v>7.799999999999998</v>
      </c>
      <c r="F57" s="2">
        <f t="shared" si="3"/>
        <v>4.9068800000000019</v>
      </c>
      <c r="G57" s="8">
        <f t="shared" si="4"/>
        <v>0.62908717948717985</v>
      </c>
      <c r="H57" s="17" t="str">
        <f t="shared" si="5"/>
        <v>A0</v>
      </c>
      <c r="J57" s="15" t="s">
        <v>121</v>
      </c>
      <c r="K57" s="1" t="s">
        <v>11</v>
      </c>
      <c r="L57" s="1" t="s">
        <v>11</v>
      </c>
      <c r="M57" s="1" t="s">
        <v>213</v>
      </c>
      <c r="N57" s="1" t="s">
        <v>213</v>
      </c>
    </row>
    <row r="58" spans="1:14" x14ac:dyDescent="0.15">
      <c r="A58" s="17"/>
      <c r="B58" s="7">
        <v>614001</v>
      </c>
      <c r="C58" s="7" t="s">
        <v>258</v>
      </c>
      <c r="D58" s="2">
        <v>12.084670000000001</v>
      </c>
      <c r="E58" s="2">
        <v>0</v>
      </c>
      <c r="F58" s="2">
        <f t="shared" si="3"/>
        <v>12.084670000000001</v>
      </c>
      <c r="G58" s="8" t="str">
        <f t="shared" si="4"/>
        <v>n/a</v>
      </c>
      <c r="H58" s="17" t="str">
        <f t="shared" si="5"/>
        <v>A0</v>
      </c>
      <c r="J58" s="15" t="s">
        <v>121</v>
      </c>
      <c r="K58" s="1" t="s">
        <v>11</v>
      </c>
      <c r="L58" s="1" t="s">
        <v>11</v>
      </c>
      <c r="M58" s="1" t="s">
        <v>213</v>
      </c>
      <c r="N58" s="1" t="s">
        <v>213</v>
      </c>
    </row>
    <row r="59" spans="1:14" x14ac:dyDescent="0.15">
      <c r="A59" s="17"/>
      <c r="B59" s="7">
        <v>615200</v>
      </c>
      <c r="C59" s="7" t="s">
        <v>259</v>
      </c>
      <c r="D59" s="2">
        <v>21.163689999999999</v>
      </c>
      <c r="E59" s="2">
        <v>36.494589999999981</v>
      </c>
      <c r="F59" s="2">
        <f t="shared" si="3"/>
        <v>-15.330899999999982</v>
      </c>
      <c r="G59" s="8">
        <f t="shared" si="4"/>
        <v>-0.42008692247261825</v>
      </c>
      <c r="H59" s="17" t="str">
        <f t="shared" si="5"/>
        <v>A0</v>
      </c>
      <c r="J59" s="15" t="s">
        <v>121</v>
      </c>
      <c r="K59" s="1" t="s">
        <v>11</v>
      </c>
      <c r="L59" s="1" t="s">
        <v>11</v>
      </c>
      <c r="M59" s="1" t="s">
        <v>213</v>
      </c>
      <c r="N59" s="1" t="s">
        <v>213</v>
      </c>
    </row>
    <row r="60" spans="1:14" x14ac:dyDescent="0.15">
      <c r="A60" s="17"/>
      <c r="B60" s="7">
        <v>615500</v>
      </c>
      <c r="C60" s="7" t="s">
        <v>260</v>
      </c>
      <c r="D60" s="2">
        <v>1.92</v>
      </c>
      <c r="E60" s="2">
        <v>4.18</v>
      </c>
      <c r="F60" s="2">
        <f t="shared" si="3"/>
        <v>-2.2599999999999998</v>
      </c>
      <c r="G60" s="8">
        <f t="shared" si="4"/>
        <v>-0.54066985645933008</v>
      </c>
      <c r="H60" s="17" t="str">
        <f t="shared" si="5"/>
        <v>A0</v>
      </c>
      <c r="J60" s="15" t="s">
        <v>121</v>
      </c>
      <c r="K60" s="1" t="s">
        <v>11</v>
      </c>
      <c r="L60" s="1" t="s">
        <v>11</v>
      </c>
      <c r="M60" s="1" t="s">
        <v>213</v>
      </c>
      <c r="N60" s="1" t="s">
        <v>213</v>
      </c>
    </row>
    <row r="61" spans="1:14" x14ac:dyDescent="0.15">
      <c r="A61" s="17"/>
      <c r="B61" s="7">
        <v>615520</v>
      </c>
      <c r="C61" s="7" t="s">
        <v>261</v>
      </c>
      <c r="D61" s="2">
        <v>11.005559999999997</v>
      </c>
      <c r="E61" s="2">
        <v>129.55763000000002</v>
      </c>
      <c r="F61" s="2">
        <f t="shared" si="3"/>
        <v>-118.55207000000001</v>
      </c>
      <c r="G61" s="8">
        <f t="shared" si="4"/>
        <v>-0.9150527838460768</v>
      </c>
      <c r="H61" s="17" t="str">
        <f t="shared" si="5"/>
        <v>A0</v>
      </c>
      <c r="J61" s="15" t="s">
        <v>121</v>
      </c>
      <c r="K61" s="1" t="s">
        <v>11</v>
      </c>
      <c r="L61" s="1" t="s">
        <v>11</v>
      </c>
      <c r="M61" s="1" t="s">
        <v>213</v>
      </c>
      <c r="N61" s="1" t="s">
        <v>213</v>
      </c>
    </row>
    <row r="62" spans="1:14" x14ac:dyDescent="0.15">
      <c r="A62" s="17"/>
      <c r="B62" s="7">
        <v>615580</v>
      </c>
      <c r="C62" s="7" t="s">
        <v>262</v>
      </c>
      <c r="D62" s="2">
        <v>15.679779999999999</v>
      </c>
      <c r="E62" s="2">
        <v>20.712019999999992</v>
      </c>
      <c r="F62" s="2">
        <f t="shared" si="3"/>
        <v>-5.0322399999999927</v>
      </c>
      <c r="G62" s="8">
        <f t="shared" si="4"/>
        <v>-0.2429622991866556</v>
      </c>
      <c r="H62" s="17" t="str">
        <f t="shared" si="5"/>
        <v>A0</v>
      </c>
      <c r="J62" s="15" t="s">
        <v>121</v>
      </c>
      <c r="K62" s="1" t="s">
        <v>11</v>
      </c>
      <c r="L62" s="1" t="s">
        <v>11</v>
      </c>
      <c r="M62" s="1" t="s">
        <v>213</v>
      </c>
      <c r="N62" s="1" t="s">
        <v>213</v>
      </c>
    </row>
    <row r="63" spans="1:14" x14ac:dyDescent="0.15">
      <c r="A63" s="17"/>
      <c r="B63" s="7">
        <v>615581</v>
      </c>
      <c r="C63" s="7" t="s">
        <v>263</v>
      </c>
      <c r="D63" s="2">
        <v>15.110940000000001</v>
      </c>
      <c r="E63" s="2">
        <v>0.02</v>
      </c>
      <c r="F63" s="2">
        <f t="shared" si="3"/>
        <v>15.090940000000002</v>
      </c>
      <c r="G63" s="8">
        <f t="shared" si="4"/>
        <v>754.54700000000003</v>
      </c>
      <c r="H63" s="17" t="str">
        <f t="shared" si="5"/>
        <v>A0</v>
      </c>
      <c r="J63" s="15" t="s">
        <v>121</v>
      </c>
      <c r="K63" s="1" t="s">
        <v>11</v>
      </c>
      <c r="L63" s="1" t="s">
        <v>11</v>
      </c>
      <c r="M63" s="1" t="s">
        <v>213</v>
      </c>
      <c r="N63" s="1" t="s">
        <v>213</v>
      </c>
    </row>
    <row r="64" spans="1:14" x14ac:dyDescent="0.15">
      <c r="A64" s="17"/>
      <c r="B64" s="7">
        <v>615600</v>
      </c>
      <c r="C64" s="7" t="s">
        <v>264</v>
      </c>
      <c r="D64" s="2">
        <v>1.8047800000000001</v>
      </c>
      <c r="E64" s="2">
        <v>1.6026800000000001</v>
      </c>
      <c r="F64" s="2">
        <f t="shared" si="3"/>
        <v>0.20209999999999995</v>
      </c>
      <c r="G64" s="8">
        <f t="shared" si="4"/>
        <v>0.12610128035540466</v>
      </c>
      <c r="H64" s="17" t="str">
        <f t="shared" si="5"/>
        <v>A0</v>
      </c>
      <c r="J64" s="15" t="s">
        <v>121</v>
      </c>
      <c r="K64" s="1" t="s">
        <v>11</v>
      </c>
      <c r="L64" s="1" t="s">
        <v>11</v>
      </c>
      <c r="M64" s="1" t="s">
        <v>213</v>
      </c>
      <c r="N64" s="1" t="s">
        <v>213</v>
      </c>
    </row>
    <row r="65" spans="1:14" x14ac:dyDescent="0.15">
      <c r="A65" s="17"/>
      <c r="B65" s="7">
        <v>615610</v>
      </c>
      <c r="C65" s="7" t="s">
        <v>265</v>
      </c>
      <c r="D65" s="2">
        <v>9.6611399999999996</v>
      </c>
      <c r="E65" s="2">
        <v>0</v>
      </c>
      <c r="F65" s="2">
        <f t="shared" si="3"/>
        <v>9.6611399999999996</v>
      </c>
      <c r="G65" s="8" t="str">
        <f t="shared" si="4"/>
        <v>n/a</v>
      </c>
      <c r="H65" s="17" t="str">
        <f t="shared" si="5"/>
        <v>A0</v>
      </c>
      <c r="J65" s="15" t="s">
        <v>121</v>
      </c>
      <c r="K65" s="1" t="s">
        <v>11</v>
      </c>
      <c r="L65" s="1" t="s">
        <v>11</v>
      </c>
      <c r="M65" s="1" t="s">
        <v>213</v>
      </c>
      <c r="N65" s="1" t="s">
        <v>213</v>
      </c>
    </row>
    <row r="66" spans="1:14" x14ac:dyDescent="0.15">
      <c r="A66" s="17"/>
      <c r="B66" s="7">
        <v>616100</v>
      </c>
      <c r="C66" s="7" t="s">
        <v>266</v>
      </c>
      <c r="D66" s="2">
        <v>46.204370000000004</v>
      </c>
      <c r="E66" s="2">
        <v>36.985239999999997</v>
      </c>
      <c r="F66" s="2">
        <f t="shared" si="3"/>
        <v>9.2191300000000069</v>
      </c>
      <c r="G66" s="8">
        <f t="shared" si="4"/>
        <v>0.24926511224477677</v>
      </c>
      <c r="H66" s="17" t="str">
        <f t="shared" si="5"/>
        <v>A0</v>
      </c>
      <c r="J66" s="15" t="s">
        <v>121</v>
      </c>
      <c r="K66" s="1" t="s">
        <v>11</v>
      </c>
      <c r="L66" s="1" t="s">
        <v>11</v>
      </c>
      <c r="M66" s="1" t="s">
        <v>213</v>
      </c>
      <c r="N66" s="1" t="s">
        <v>213</v>
      </c>
    </row>
    <row r="67" spans="1:14" x14ac:dyDescent="0.15">
      <c r="A67" s="17"/>
      <c r="B67" s="7">
        <v>616110</v>
      </c>
      <c r="C67" s="7" t="s">
        <v>267</v>
      </c>
      <c r="D67" s="2">
        <v>5.24</v>
      </c>
      <c r="E67" s="2">
        <v>0</v>
      </c>
      <c r="F67" s="2">
        <f t="shared" si="3"/>
        <v>5.24</v>
      </c>
      <c r="G67" s="8" t="str">
        <f t="shared" si="4"/>
        <v>n/a</v>
      </c>
      <c r="H67" s="17" t="str">
        <f t="shared" si="5"/>
        <v>A0</v>
      </c>
      <c r="J67" s="15" t="s">
        <v>121</v>
      </c>
      <c r="K67" s="1" t="s">
        <v>11</v>
      </c>
      <c r="L67" s="1" t="s">
        <v>11</v>
      </c>
      <c r="M67" s="1" t="s">
        <v>213</v>
      </c>
      <c r="N67" s="1" t="s">
        <v>213</v>
      </c>
    </row>
    <row r="68" spans="1:14" x14ac:dyDescent="0.15">
      <c r="A68" s="17"/>
      <c r="B68" s="7">
        <v>616120</v>
      </c>
      <c r="C68" s="7" t="s">
        <v>268</v>
      </c>
      <c r="D68" s="2">
        <v>0.70834000000000008</v>
      </c>
      <c r="E68" s="2">
        <v>0</v>
      </c>
      <c r="F68" s="2">
        <f t="shared" si="3"/>
        <v>0.70834000000000008</v>
      </c>
      <c r="G68" s="8" t="str">
        <f t="shared" si="4"/>
        <v>n/a</v>
      </c>
      <c r="H68" s="17" t="str">
        <f t="shared" si="5"/>
        <v>A0</v>
      </c>
      <c r="J68" s="15" t="s">
        <v>121</v>
      </c>
      <c r="K68" s="1" t="s">
        <v>11</v>
      </c>
      <c r="L68" s="1" t="s">
        <v>11</v>
      </c>
      <c r="M68" s="1" t="s">
        <v>213</v>
      </c>
      <c r="N68" s="1" t="s">
        <v>213</v>
      </c>
    </row>
    <row r="69" spans="1:14" x14ac:dyDescent="0.15">
      <c r="A69" s="17"/>
      <c r="B69" s="7">
        <v>616160</v>
      </c>
      <c r="C69" s="7" t="s">
        <v>269</v>
      </c>
      <c r="D69" s="2">
        <v>43.082999999999998</v>
      </c>
      <c r="E69" s="2">
        <v>16.756540000000001</v>
      </c>
      <c r="F69" s="2">
        <f t="shared" si="3"/>
        <v>26.326459999999997</v>
      </c>
      <c r="G69" s="8">
        <f t="shared" si="4"/>
        <v>1.5711155166878124</v>
      </c>
      <c r="H69" s="17" t="str">
        <f t="shared" si="5"/>
        <v>A0</v>
      </c>
      <c r="J69" s="15" t="s">
        <v>121</v>
      </c>
      <c r="K69" s="1" t="s">
        <v>11</v>
      </c>
      <c r="L69" s="1" t="s">
        <v>11</v>
      </c>
      <c r="M69" s="1" t="s">
        <v>213</v>
      </c>
      <c r="N69" s="1" t="s">
        <v>213</v>
      </c>
    </row>
    <row r="70" spans="1:14" x14ac:dyDescent="0.15">
      <c r="A70" s="17"/>
      <c r="B70" s="7">
        <v>616180</v>
      </c>
      <c r="C70" s="7" t="s">
        <v>270</v>
      </c>
      <c r="D70" s="2">
        <v>0</v>
      </c>
      <c r="E70" s="2">
        <v>0.186</v>
      </c>
      <c r="F70" s="2">
        <f t="shared" si="3"/>
        <v>-0.186</v>
      </c>
      <c r="G70" s="8">
        <f t="shared" si="4"/>
        <v>-1</v>
      </c>
      <c r="H70" s="17" t="str">
        <f t="shared" si="5"/>
        <v>A0</v>
      </c>
      <c r="J70" s="15" t="s">
        <v>121</v>
      </c>
      <c r="K70" s="1" t="s">
        <v>11</v>
      </c>
      <c r="L70" s="1" t="s">
        <v>11</v>
      </c>
      <c r="M70" s="1" t="s">
        <v>213</v>
      </c>
      <c r="N70" s="1" t="s">
        <v>213</v>
      </c>
    </row>
    <row r="71" spans="1:14" x14ac:dyDescent="0.15">
      <c r="A71" s="17"/>
      <c r="B71" s="7">
        <v>617100</v>
      </c>
      <c r="C71" s="7" t="s">
        <v>271</v>
      </c>
      <c r="D71" s="2">
        <v>17.987179999999999</v>
      </c>
      <c r="E71" s="2">
        <v>12.951700000000001</v>
      </c>
      <c r="F71" s="2">
        <f t="shared" si="3"/>
        <v>5.035479999999998</v>
      </c>
      <c r="G71" s="8">
        <f t="shared" si="4"/>
        <v>0.38878911648663866</v>
      </c>
      <c r="H71" s="17" t="str">
        <f t="shared" si="5"/>
        <v>A0</v>
      </c>
      <c r="J71" s="15" t="s">
        <v>121</v>
      </c>
      <c r="K71" s="1" t="s">
        <v>11</v>
      </c>
      <c r="L71" s="1" t="s">
        <v>11</v>
      </c>
      <c r="M71" s="1" t="s">
        <v>213</v>
      </c>
      <c r="N71" s="1" t="s">
        <v>213</v>
      </c>
    </row>
    <row r="72" spans="1:14" x14ac:dyDescent="0.15">
      <c r="A72" s="17"/>
      <c r="B72" s="7">
        <v>617300</v>
      </c>
      <c r="C72" s="7" t="s">
        <v>272</v>
      </c>
      <c r="D72" s="2">
        <v>1.92</v>
      </c>
      <c r="E72" s="2">
        <v>9.6875600000000013</v>
      </c>
      <c r="F72" s="2">
        <f t="shared" si="3"/>
        <v>-7.7675600000000014</v>
      </c>
      <c r="G72" s="8">
        <f t="shared" si="4"/>
        <v>-0.80180767912663253</v>
      </c>
      <c r="H72" s="17" t="str">
        <f t="shared" si="5"/>
        <v>A0</v>
      </c>
      <c r="J72" s="15" t="s">
        <v>121</v>
      </c>
      <c r="K72" s="1" t="s">
        <v>11</v>
      </c>
      <c r="L72" s="1" t="s">
        <v>11</v>
      </c>
      <c r="M72" s="1" t="s">
        <v>213</v>
      </c>
      <c r="N72" s="1" t="s">
        <v>213</v>
      </c>
    </row>
    <row r="73" spans="1:14" x14ac:dyDescent="0.15">
      <c r="A73" s="17"/>
      <c r="B73" s="7">
        <v>618100</v>
      </c>
      <c r="C73" s="7" t="s">
        <v>273</v>
      </c>
      <c r="D73" s="2">
        <v>2.0770200000000005</v>
      </c>
      <c r="E73" s="2">
        <v>1.0089599999999999</v>
      </c>
      <c r="F73" s="2">
        <f t="shared" si="3"/>
        <v>1.0680600000000007</v>
      </c>
      <c r="G73" s="8">
        <f t="shared" si="4"/>
        <v>1.0585751665080882</v>
      </c>
      <c r="H73" s="17" t="str">
        <f t="shared" si="5"/>
        <v>A0</v>
      </c>
      <c r="J73" s="15" t="s">
        <v>121</v>
      </c>
      <c r="K73" s="1" t="s">
        <v>11</v>
      </c>
      <c r="L73" s="1" t="s">
        <v>11</v>
      </c>
      <c r="M73" s="1" t="s">
        <v>213</v>
      </c>
      <c r="N73" s="1" t="s">
        <v>213</v>
      </c>
    </row>
    <row r="74" spans="1:14" x14ac:dyDescent="0.15">
      <c r="A74" s="17"/>
      <c r="B74" s="7">
        <v>618200</v>
      </c>
      <c r="C74" s="7" t="s">
        <v>274</v>
      </c>
      <c r="D74" s="2">
        <v>15.790509999999999</v>
      </c>
      <c r="E74" s="2">
        <v>31.874869999999998</v>
      </c>
      <c r="F74" s="2">
        <f t="shared" si="3"/>
        <v>-16.084359999999997</v>
      </c>
      <c r="G74" s="8">
        <f t="shared" si="4"/>
        <v>-0.50460943056395202</v>
      </c>
      <c r="H74" s="17" t="str">
        <f t="shared" si="5"/>
        <v>A0</v>
      </c>
      <c r="J74" s="15" t="s">
        <v>121</v>
      </c>
      <c r="K74" s="1" t="s">
        <v>11</v>
      </c>
      <c r="L74" s="1" t="s">
        <v>11</v>
      </c>
      <c r="M74" s="1" t="s">
        <v>213</v>
      </c>
      <c r="N74" s="1" t="s">
        <v>213</v>
      </c>
    </row>
    <row r="75" spans="1:14" x14ac:dyDescent="0.15">
      <c r="A75" s="17"/>
      <c r="B75" s="7">
        <v>621120</v>
      </c>
      <c r="C75" s="7" t="s">
        <v>275</v>
      </c>
      <c r="D75" s="2">
        <v>47.894800000000004</v>
      </c>
      <c r="E75" s="2">
        <v>22.234819999999999</v>
      </c>
      <c r="F75" s="2">
        <f t="shared" si="3"/>
        <v>25.659980000000004</v>
      </c>
      <c r="G75" s="8">
        <f t="shared" si="4"/>
        <v>1.1540448719620848</v>
      </c>
      <c r="H75" s="17" t="str">
        <f t="shared" si="5"/>
        <v>A0</v>
      </c>
      <c r="J75" s="15" t="s">
        <v>121</v>
      </c>
      <c r="K75" s="1" t="s">
        <v>11</v>
      </c>
      <c r="L75" s="1" t="s">
        <v>11</v>
      </c>
      <c r="M75" s="1" t="s">
        <v>213</v>
      </c>
      <c r="N75" s="1" t="s">
        <v>213</v>
      </c>
    </row>
    <row r="76" spans="1:14" x14ac:dyDescent="0.15">
      <c r="A76" s="17"/>
      <c r="B76" s="7">
        <v>622200</v>
      </c>
      <c r="C76" s="7" t="s">
        <v>276</v>
      </c>
      <c r="D76" s="2">
        <v>11.48648</v>
      </c>
      <c r="E76" s="2">
        <v>25.834989999999998</v>
      </c>
      <c r="F76" s="2">
        <f t="shared" si="3"/>
        <v>-14.348509999999997</v>
      </c>
      <c r="G76" s="8">
        <f t="shared" si="4"/>
        <v>-0.55539057688816595</v>
      </c>
      <c r="H76" s="17" t="str">
        <f t="shared" si="5"/>
        <v>A0</v>
      </c>
      <c r="J76" s="15" t="s">
        <v>121</v>
      </c>
      <c r="K76" s="1" t="s">
        <v>11</v>
      </c>
      <c r="L76" s="1" t="s">
        <v>11</v>
      </c>
      <c r="M76" s="1" t="s">
        <v>213</v>
      </c>
      <c r="N76" s="1" t="s">
        <v>213</v>
      </c>
    </row>
    <row r="77" spans="1:14" x14ac:dyDescent="0.15">
      <c r="A77" s="17"/>
      <c r="B77" s="7">
        <v>622500</v>
      </c>
      <c r="C77" s="7" t="s">
        <v>277</v>
      </c>
      <c r="D77" s="2">
        <v>20.230419999999999</v>
      </c>
      <c r="E77" s="2">
        <v>15.237380000000002</v>
      </c>
      <c r="F77" s="2">
        <f t="shared" si="3"/>
        <v>4.993039999999997</v>
      </c>
      <c r="G77" s="8">
        <f t="shared" si="4"/>
        <v>0.32768363065041345</v>
      </c>
      <c r="H77" s="17" t="str">
        <f t="shared" si="5"/>
        <v>A0</v>
      </c>
      <c r="J77" s="15" t="s">
        <v>121</v>
      </c>
      <c r="K77" s="1" t="s">
        <v>11</v>
      </c>
      <c r="L77" s="1" t="s">
        <v>11</v>
      </c>
      <c r="M77" s="1" t="s">
        <v>213</v>
      </c>
      <c r="N77" s="1" t="s">
        <v>213</v>
      </c>
    </row>
    <row r="78" spans="1:14" x14ac:dyDescent="0.15">
      <c r="A78" s="17"/>
      <c r="B78" s="7">
        <v>622600</v>
      </c>
      <c r="C78" s="7" t="s">
        <v>278</v>
      </c>
      <c r="D78" s="2">
        <v>587.67208999999991</v>
      </c>
      <c r="E78" s="2">
        <v>324.88373000000001</v>
      </c>
      <c r="F78" s="2">
        <f t="shared" si="3"/>
        <v>262.7883599999999</v>
      </c>
      <c r="G78" s="8">
        <f t="shared" si="4"/>
        <v>0.80886894520695107</v>
      </c>
      <c r="H78" s="17" t="str">
        <f t="shared" si="5"/>
        <v>A0</v>
      </c>
      <c r="J78" s="15" t="s">
        <v>121</v>
      </c>
      <c r="K78" s="1" t="s">
        <v>11</v>
      </c>
      <c r="L78" s="1" t="s">
        <v>11</v>
      </c>
      <c r="M78" s="1" t="s">
        <v>213</v>
      </c>
      <c r="N78" s="1" t="s">
        <v>213</v>
      </c>
    </row>
    <row r="79" spans="1:14" x14ac:dyDescent="0.15">
      <c r="A79" s="17"/>
      <c r="B79" s="7">
        <v>622700</v>
      </c>
      <c r="C79" s="7" t="s">
        <v>279</v>
      </c>
      <c r="D79" s="2">
        <v>0.55535999999999996</v>
      </c>
      <c r="E79" s="2">
        <v>0.40794000000000002</v>
      </c>
      <c r="F79" s="2">
        <f t="shared" si="3"/>
        <v>0.14741999999999994</v>
      </c>
      <c r="G79" s="8">
        <f t="shared" si="4"/>
        <v>0.36137667304015281</v>
      </c>
      <c r="H79" s="17" t="str">
        <f t="shared" si="5"/>
        <v>A0</v>
      </c>
      <c r="J79" s="15" t="s">
        <v>121</v>
      </c>
      <c r="K79" s="1" t="s">
        <v>11</v>
      </c>
      <c r="L79" s="1" t="s">
        <v>11</v>
      </c>
      <c r="M79" s="1" t="s">
        <v>213</v>
      </c>
      <c r="N79" s="1" t="s">
        <v>213</v>
      </c>
    </row>
    <row r="80" spans="1:14" x14ac:dyDescent="0.15">
      <c r="A80" s="17"/>
      <c r="B80" s="7">
        <v>623100</v>
      </c>
      <c r="C80" s="7" t="s">
        <v>280</v>
      </c>
      <c r="D80" s="2">
        <v>0.214</v>
      </c>
      <c r="E80" s="2">
        <v>1.9896300000000002</v>
      </c>
      <c r="F80" s="2">
        <f t="shared" si="3"/>
        <v>-1.7756300000000003</v>
      </c>
      <c r="G80" s="8">
        <f t="shared" si="4"/>
        <v>-0.89244231339495284</v>
      </c>
      <c r="H80" s="17" t="str">
        <f t="shared" si="5"/>
        <v>A0</v>
      </c>
      <c r="J80" s="15" t="s">
        <v>121</v>
      </c>
      <c r="K80" s="1" t="s">
        <v>11</v>
      </c>
      <c r="L80" s="1" t="s">
        <v>11</v>
      </c>
      <c r="M80" s="1" t="s">
        <v>213</v>
      </c>
      <c r="N80" s="1" t="s">
        <v>213</v>
      </c>
    </row>
    <row r="81" spans="1:14" x14ac:dyDescent="0.15">
      <c r="A81" s="17"/>
      <c r="B81" s="7">
        <v>623110</v>
      </c>
      <c r="C81" s="7" t="s">
        <v>281</v>
      </c>
      <c r="D81" s="2">
        <v>304.44644</v>
      </c>
      <c r="E81" s="2">
        <v>1.62707</v>
      </c>
      <c r="F81" s="2">
        <f t="shared" si="3"/>
        <v>302.81936999999999</v>
      </c>
      <c r="G81" s="8">
        <f t="shared" si="4"/>
        <v>186.11330182475245</v>
      </c>
      <c r="H81" s="17" t="str">
        <f t="shared" si="5"/>
        <v>A0</v>
      </c>
      <c r="J81" s="15" t="s">
        <v>121</v>
      </c>
      <c r="K81" s="1" t="s">
        <v>11</v>
      </c>
      <c r="L81" s="1" t="s">
        <v>11</v>
      </c>
      <c r="M81" s="1" t="s">
        <v>213</v>
      </c>
      <c r="N81" s="1" t="s">
        <v>213</v>
      </c>
    </row>
    <row r="82" spans="1:14" x14ac:dyDescent="0.15">
      <c r="A82" s="17"/>
      <c r="B82" s="7">
        <v>623200</v>
      </c>
      <c r="C82" s="7" t="s">
        <v>282</v>
      </c>
      <c r="D82" s="2">
        <v>83.603580000000008</v>
      </c>
      <c r="E82" s="2">
        <v>308.2544199999997</v>
      </c>
      <c r="F82" s="2">
        <f t="shared" si="3"/>
        <v>-224.65083999999968</v>
      </c>
      <c r="G82" s="8">
        <f t="shared" si="4"/>
        <v>-0.72878384030957255</v>
      </c>
      <c r="H82" s="17" t="str">
        <f t="shared" si="5"/>
        <v>A0</v>
      </c>
      <c r="J82" s="15" t="s">
        <v>121</v>
      </c>
      <c r="K82" s="1" t="s">
        <v>11</v>
      </c>
      <c r="L82" s="1" t="s">
        <v>11</v>
      </c>
      <c r="M82" s="1" t="s">
        <v>213</v>
      </c>
      <c r="N82" s="1" t="s">
        <v>213</v>
      </c>
    </row>
    <row r="83" spans="1:14" x14ac:dyDescent="0.15">
      <c r="A83" s="17"/>
      <c r="B83" s="7">
        <v>623400</v>
      </c>
      <c r="C83" s="7" t="s">
        <v>283</v>
      </c>
      <c r="D83" s="2">
        <v>0.72495000000000009</v>
      </c>
      <c r="E83" s="2">
        <v>0.85853000000000013</v>
      </c>
      <c r="F83" s="2">
        <f t="shared" ref="F83:F98" si="6">D83-E83</f>
        <v>-0.13358000000000003</v>
      </c>
      <c r="G83" s="8">
        <f t="shared" ref="G83:G98" si="7">IF(E83=0,"n/a",F83/ABS(E83))</f>
        <v>-0.15559153436688294</v>
      </c>
      <c r="H83" s="17" t="str">
        <f t="shared" ref="H83:H98" si="8">J83&amp;0</f>
        <v>A0</v>
      </c>
      <c r="J83" s="15" t="s">
        <v>121</v>
      </c>
      <c r="K83" s="1" t="s">
        <v>11</v>
      </c>
      <c r="L83" s="1" t="s">
        <v>11</v>
      </c>
      <c r="M83" s="1" t="s">
        <v>213</v>
      </c>
      <c r="N83" s="1" t="s">
        <v>213</v>
      </c>
    </row>
    <row r="84" spans="1:14" x14ac:dyDescent="0.15">
      <c r="A84" s="17"/>
      <c r="B84" s="7">
        <v>623500</v>
      </c>
      <c r="C84" s="7" t="s">
        <v>284</v>
      </c>
      <c r="D84" s="2">
        <v>343.29601000000002</v>
      </c>
      <c r="E84" s="2">
        <v>290.68038999999999</v>
      </c>
      <c r="F84" s="2">
        <f t="shared" si="6"/>
        <v>52.615620000000035</v>
      </c>
      <c r="G84" s="8">
        <f t="shared" si="7"/>
        <v>0.18100849527551563</v>
      </c>
      <c r="H84" s="17" t="str">
        <f t="shared" si="8"/>
        <v>A0</v>
      </c>
      <c r="J84" s="15" t="s">
        <v>121</v>
      </c>
      <c r="K84" s="1" t="s">
        <v>11</v>
      </c>
      <c r="L84" s="1" t="s">
        <v>11</v>
      </c>
      <c r="M84" s="1" t="s">
        <v>213</v>
      </c>
      <c r="N84" s="1" t="s">
        <v>213</v>
      </c>
    </row>
    <row r="85" spans="1:14" x14ac:dyDescent="0.15">
      <c r="A85" s="17"/>
      <c r="B85" s="7">
        <v>623800</v>
      </c>
      <c r="C85" s="7" t="s">
        <v>285</v>
      </c>
      <c r="D85" s="2">
        <v>8.56</v>
      </c>
      <c r="E85" s="2">
        <v>10.6</v>
      </c>
      <c r="F85" s="2">
        <f t="shared" si="6"/>
        <v>-2.0399999999999991</v>
      </c>
      <c r="G85" s="8">
        <f t="shared" si="7"/>
        <v>-0.19245283018867917</v>
      </c>
      <c r="H85" s="17" t="str">
        <f t="shared" si="8"/>
        <v>A0</v>
      </c>
      <c r="J85" s="15" t="s">
        <v>121</v>
      </c>
      <c r="K85" s="1" t="s">
        <v>11</v>
      </c>
      <c r="L85" s="1" t="s">
        <v>11</v>
      </c>
      <c r="M85" s="1" t="s">
        <v>213</v>
      </c>
      <c r="N85" s="1" t="s">
        <v>213</v>
      </c>
    </row>
    <row r="86" spans="1:14" x14ac:dyDescent="0.15">
      <c r="A86" s="17"/>
      <c r="B86" s="7">
        <v>624100</v>
      </c>
      <c r="C86" s="7" t="s">
        <v>286</v>
      </c>
      <c r="D86" s="2">
        <v>0.50243000000000004</v>
      </c>
      <c r="E86" s="2">
        <v>0</v>
      </c>
      <c r="F86" s="2">
        <f t="shared" si="6"/>
        <v>0.50243000000000004</v>
      </c>
      <c r="G86" s="8" t="str">
        <f t="shared" si="7"/>
        <v>n/a</v>
      </c>
      <c r="H86" s="17" t="str">
        <f t="shared" si="8"/>
        <v>A0</v>
      </c>
      <c r="J86" s="15" t="s">
        <v>121</v>
      </c>
      <c r="K86" s="1" t="s">
        <v>11</v>
      </c>
      <c r="L86" s="1" t="s">
        <v>11</v>
      </c>
      <c r="M86" s="1" t="s">
        <v>213</v>
      </c>
      <c r="N86" s="1" t="s">
        <v>213</v>
      </c>
    </row>
    <row r="87" spans="1:14" x14ac:dyDescent="0.15">
      <c r="A87" s="17"/>
      <c r="B87" s="7">
        <v>624200</v>
      </c>
      <c r="C87" s="7" t="s">
        <v>287</v>
      </c>
      <c r="D87" s="2">
        <v>742.86795000000006</v>
      </c>
      <c r="E87" s="2">
        <v>692.82021999999972</v>
      </c>
      <c r="F87" s="2">
        <f t="shared" si="6"/>
        <v>50.047730000000342</v>
      </c>
      <c r="G87" s="8">
        <f t="shared" si="7"/>
        <v>7.2237686711857749E-2</v>
      </c>
      <c r="H87" s="17" t="str">
        <f t="shared" si="8"/>
        <v>A0</v>
      </c>
      <c r="J87" s="15" t="s">
        <v>121</v>
      </c>
      <c r="K87" s="1" t="s">
        <v>11</v>
      </c>
      <c r="L87" s="1" t="s">
        <v>11</v>
      </c>
      <c r="M87" s="1" t="s">
        <v>213</v>
      </c>
      <c r="N87" s="1" t="s">
        <v>213</v>
      </c>
    </row>
    <row r="88" spans="1:14" x14ac:dyDescent="0.15">
      <c r="A88" s="17"/>
      <c r="B88" s="7">
        <v>624210</v>
      </c>
      <c r="C88" s="7" t="s">
        <v>288</v>
      </c>
      <c r="D88" s="2">
        <v>107.60759000000002</v>
      </c>
      <c r="E88" s="2">
        <v>49.617159999999998</v>
      </c>
      <c r="F88" s="2">
        <f t="shared" si="6"/>
        <v>57.990430000000018</v>
      </c>
      <c r="G88" s="8">
        <f t="shared" si="7"/>
        <v>1.1687575427533543</v>
      </c>
      <c r="H88" s="17" t="str">
        <f t="shared" si="8"/>
        <v>A0</v>
      </c>
      <c r="J88" s="15" t="s">
        <v>121</v>
      </c>
      <c r="K88" s="1" t="s">
        <v>11</v>
      </c>
      <c r="L88" s="1" t="s">
        <v>11</v>
      </c>
      <c r="M88" s="1" t="s">
        <v>213</v>
      </c>
      <c r="N88" s="1" t="s">
        <v>213</v>
      </c>
    </row>
    <row r="89" spans="1:14" x14ac:dyDescent="0.15">
      <c r="A89" s="17"/>
      <c r="B89" s="7">
        <v>624230</v>
      </c>
      <c r="C89" s="7" t="s">
        <v>289</v>
      </c>
      <c r="D89" s="2">
        <v>12.738620000000001</v>
      </c>
      <c r="E89" s="2">
        <v>16.151289999999996</v>
      </c>
      <c r="F89" s="2">
        <f t="shared" si="6"/>
        <v>-3.412669999999995</v>
      </c>
      <c r="G89" s="8">
        <f t="shared" si="7"/>
        <v>-0.21129395856306188</v>
      </c>
      <c r="H89" s="17" t="str">
        <f t="shared" si="8"/>
        <v>A0</v>
      </c>
      <c r="J89" s="15" t="s">
        <v>121</v>
      </c>
      <c r="K89" s="1" t="s">
        <v>11</v>
      </c>
      <c r="L89" s="1" t="s">
        <v>11</v>
      </c>
      <c r="M89" s="1" t="s">
        <v>213</v>
      </c>
      <c r="N89" s="1" t="s">
        <v>213</v>
      </c>
    </row>
    <row r="90" spans="1:14" x14ac:dyDescent="0.15">
      <c r="A90" s="17"/>
      <c r="B90" s="7">
        <v>624400</v>
      </c>
      <c r="C90" s="7" t="s">
        <v>290</v>
      </c>
      <c r="D90" s="2">
        <v>5.6000000000000001E-2</v>
      </c>
      <c r="E90" s="2">
        <v>7.4999999999999997E-2</v>
      </c>
      <c r="F90" s="2">
        <f t="shared" si="6"/>
        <v>-1.8999999999999996E-2</v>
      </c>
      <c r="G90" s="8">
        <f t="shared" si="7"/>
        <v>-0.2533333333333333</v>
      </c>
      <c r="H90" s="17" t="str">
        <f t="shared" si="8"/>
        <v>A0</v>
      </c>
      <c r="J90" s="15" t="s">
        <v>121</v>
      </c>
      <c r="K90" s="1" t="s">
        <v>11</v>
      </c>
      <c r="L90" s="1" t="s">
        <v>11</v>
      </c>
      <c r="M90" s="1" t="s">
        <v>213</v>
      </c>
      <c r="N90" s="1" t="s">
        <v>213</v>
      </c>
    </row>
    <row r="91" spans="1:14" x14ac:dyDescent="0.15">
      <c r="A91" s="17"/>
      <c r="B91" s="7">
        <v>625100</v>
      </c>
      <c r="C91" s="7" t="s">
        <v>291</v>
      </c>
      <c r="D91" s="2">
        <v>130.03490000000002</v>
      </c>
      <c r="E91" s="2">
        <v>63.467120000000008</v>
      </c>
      <c r="F91" s="2">
        <f t="shared" si="6"/>
        <v>66.567780000000013</v>
      </c>
      <c r="G91" s="8">
        <f t="shared" si="7"/>
        <v>1.048854588013447</v>
      </c>
      <c r="H91" s="17" t="str">
        <f t="shared" si="8"/>
        <v>A0</v>
      </c>
      <c r="J91" s="15" t="s">
        <v>121</v>
      </c>
      <c r="K91" s="1" t="s">
        <v>11</v>
      </c>
      <c r="L91" s="1" t="s">
        <v>11</v>
      </c>
      <c r="M91" s="1" t="s">
        <v>213</v>
      </c>
      <c r="N91" s="1" t="s">
        <v>213</v>
      </c>
    </row>
    <row r="92" spans="1:14" x14ac:dyDescent="0.15">
      <c r="A92" s="17"/>
      <c r="B92" s="7">
        <v>625700</v>
      </c>
      <c r="C92" s="7" t="s">
        <v>292</v>
      </c>
      <c r="D92" s="2">
        <v>10.45073</v>
      </c>
      <c r="E92" s="2">
        <v>2.6827299999999998</v>
      </c>
      <c r="F92" s="2">
        <f t="shared" si="6"/>
        <v>7.7680000000000007</v>
      </c>
      <c r="G92" s="8">
        <f t="shared" si="7"/>
        <v>2.895557883201068</v>
      </c>
      <c r="H92" s="17" t="str">
        <f t="shared" si="8"/>
        <v>A0</v>
      </c>
      <c r="J92" s="15" t="s">
        <v>121</v>
      </c>
      <c r="K92" s="1" t="s">
        <v>11</v>
      </c>
      <c r="L92" s="1" t="s">
        <v>11</v>
      </c>
      <c r="M92" s="1" t="s">
        <v>213</v>
      </c>
      <c r="N92" s="1" t="s">
        <v>213</v>
      </c>
    </row>
    <row r="93" spans="1:14" x14ac:dyDescent="0.15">
      <c r="A93" s="17"/>
      <c r="B93" s="7">
        <v>626000</v>
      </c>
      <c r="C93" s="7" t="s">
        <v>293</v>
      </c>
      <c r="D93" s="2">
        <v>9.8767899999999997</v>
      </c>
      <c r="E93" s="2">
        <v>8.9702799999999954</v>
      </c>
      <c r="F93" s="2">
        <f t="shared" si="6"/>
        <v>0.90651000000000437</v>
      </c>
      <c r="G93" s="8">
        <f t="shared" si="7"/>
        <v>0.10105704615686521</v>
      </c>
      <c r="H93" s="17" t="str">
        <f t="shared" si="8"/>
        <v>A0</v>
      </c>
      <c r="J93" s="15" t="s">
        <v>121</v>
      </c>
      <c r="K93" s="1" t="s">
        <v>11</v>
      </c>
      <c r="L93" s="1" t="s">
        <v>11</v>
      </c>
      <c r="M93" s="1" t="s">
        <v>213</v>
      </c>
      <c r="N93" s="1" t="s">
        <v>213</v>
      </c>
    </row>
    <row r="94" spans="1:14" x14ac:dyDescent="0.15">
      <c r="A94" s="17"/>
      <c r="B94" s="7">
        <v>626100</v>
      </c>
      <c r="C94" s="7" t="s">
        <v>294</v>
      </c>
      <c r="D94" s="2">
        <v>1.24383</v>
      </c>
      <c r="E94" s="2">
        <v>0.66877999999999993</v>
      </c>
      <c r="F94" s="2">
        <f t="shared" si="6"/>
        <v>0.57505000000000006</v>
      </c>
      <c r="G94" s="8">
        <f t="shared" si="7"/>
        <v>0.85984927778940778</v>
      </c>
      <c r="H94" s="17" t="str">
        <f t="shared" si="8"/>
        <v>A0</v>
      </c>
      <c r="J94" s="15" t="s">
        <v>121</v>
      </c>
      <c r="K94" s="1" t="s">
        <v>11</v>
      </c>
      <c r="L94" s="1" t="s">
        <v>11</v>
      </c>
      <c r="M94" s="1" t="s">
        <v>213</v>
      </c>
      <c r="N94" s="1" t="s">
        <v>213</v>
      </c>
    </row>
    <row r="95" spans="1:14" x14ac:dyDescent="0.15">
      <c r="A95" s="17"/>
      <c r="B95" s="7">
        <v>626110</v>
      </c>
      <c r="C95" s="7" t="s">
        <v>295</v>
      </c>
      <c r="D95" s="2">
        <v>20.862079999999999</v>
      </c>
      <c r="E95" s="2">
        <v>19.902549999999998</v>
      </c>
      <c r="F95" s="2">
        <f t="shared" si="6"/>
        <v>0.95953000000000088</v>
      </c>
      <c r="G95" s="8">
        <f t="shared" si="7"/>
        <v>4.8211410095691305E-2</v>
      </c>
      <c r="H95" s="17" t="str">
        <f t="shared" si="8"/>
        <v>A0</v>
      </c>
      <c r="J95" s="15" t="s">
        <v>121</v>
      </c>
      <c r="K95" s="1" t="s">
        <v>11</v>
      </c>
      <c r="L95" s="1" t="s">
        <v>11</v>
      </c>
      <c r="M95" s="1" t="s">
        <v>213</v>
      </c>
      <c r="N95" s="1" t="s">
        <v>213</v>
      </c>
    </row>
    <row r="96" spans="1:14" x14ac:dyDescent="0.15">
      <c r="A96" s="17"/>
      <c r="B96" s="7">
        <v>627540</v>
      </c>
      <c r="C96" s="7" t="s">
        <v>296</v>
      </c>
      <c r="D96" s="2">
        <v>19.877579999999998</v>
      </c>
      <c r="E96" s="2">
        <v>16.424689999999984</v>
      </c>
      <c r="F96" s="2">
        <f t="shared" si="6"/>
        <v>3.4528900000000142</v>
      </c>
      <c r="G96" s="8">
        <f t="shared" si="7"/>
        <v>0.21022558112208009</v>
      </c>
      <c r="H96" s="17" t="str">
        <f t="shared" si="8"/>
        <v>A0</v>
      </c>
      <c r="J96" s="15" t="s">
        <v>121</v>
      </c>
      <c r="K96" s="1" t="s">
        <v>11</v>
      </c>
      <c r="L96" s="1" t="s">
        <v>11</v>
      </c>
      <c r="M96" s="1" t="s">
        <v>213</v>
      </c>
      <c r="N96" s="1" t="s">
        <v>213</v>
      </c>
    </row>
    <row r="97" spans="1:14" x14ac:dyDescent="0.15">
      <c r="A97" s="17"/>
      <c r="B97" s="7">
        <v>628100</v>
      </c>
      <c r="C97" s="7" t="s">
        <v>297</v>
      </c>
      <c r="D97" s="2">
        <v>23.36656</v>
      </c>
      <c r="E97" s="2">
        <v>22.16893</v>
      </c>
      <c r="F97" s="2">
        <f t="shared" si="6"/>
        <v>1.1976300000000002</v>
      </c>
      <c r="G97" s="8">
        <f t="shared" si="7"/>
        <v>5.4022905029696977E-2</v>
      </c>
      <c r="H97" s="17" t="str">
        <f t="shared" si="8"/>
        <v>A0</v>
      </c>
      <c r="J97" s="15" t="s">
        <v>121</v>
      </c>
      <c r="K97" s="1" t="s">
        <v>11</v>
      </c>
      <c r="L97" s="1" t="s">
        <v>11</v>
      </c>
      <c r="M97" s="1" t="s">
        <v>213</v>
      </c>
      <c r="N97" s="1" t="s">
        <v>213</v>
      </c>
    </row>
    <row r="98" spans="1:14" x14ac:dyDescent="0.15">
      <c r="A98" s="17"/>
      <c r="B98" s="7">
        <v>628400</v>
      </c>
      <c r="C98" s="7" t="s">
        <v>298</v>
      </c>
      <c r="D98" s="2">
        <v>28.65</v>
      </c>
      <c r="E98" s="2">
        <v>83.367070000000012</v>
      </c>
      <c r="F98" s="2">
        <f t="shared" si="6"/>
        <v>-54.717070000000014</v>
      </c>
      <c r="G98" s="8">
        <f t="shared" si="7"/>
        <v>-0.65633912766755509</v>
      </c>
      <c r="H98" s="17" t="str">
        <f t="shared" si="8"/>
        <v>A0</v>
      </c>
      <c r="J98" s="15" t="s">
        <v>121</v>
      </c>
      <c r="K98" s="1" t="s">
        <v>11</v>
      </c>
      <c r="L98" s="1" t="s">
        <v>11</v>
      </c>
      <c r="M98" s="1" t="s">
        <v>213</v>
      </c>
      <c r="N98" s="1" t="s">
        <v>213</v>
      </c>
    </row>
  </sheetData>
  <conditionalFormatting sqref="D4">
    <cfRule type="expression" dxfId="38" priority="1" stopIfTrue="1">
      <formula>ISBLANK(D4)</formula>
    </cfRule>
  </conditionalFormatting>
  <conditionalFormatting sqref="D8">
    <cfRule type="expression" dxfId="37" priority="2" stopIfTrue="1">
      <formula>$D$8="Date N ?"</formula>
    </cfRule>
  </conditionalFormatting>
  <conditionalFormatting sqref="E8">
    <cfRule type="expression" dxfId="36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BCCE0657-7AD6-4570-86AF-F922C2A9C167}"/>
  </dataValidations>
  <hyperlinks>
    <hyperlink ref="A1" location="Sommaire!C3" display="Retour sommaire" xr:uid="{0BF971C8-0B5B-4E95-8871-A0E85E44EFDB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A&amp;R&amp;"Times New Roman,Gras"&amp;10A0
&amp;P/&amp;N</oddHeader>
    <oddFooter>&amp;L&amp;"Times New Roman"&amp;10Firex Audit&amp;C&amp;"Times New Roman"&amp;10&amp;D&amp;R&amp;"Times New Roman"&amp;10Document de travail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896B-E9FF-4ED9-9482-2D5E2C4F5394}">
  <sheetPr codeName="Feuil3">
    <pageSetUpPr fitToPage="1"/>
  </sheetPr>
  <dimension ref="A1:N18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529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433</v>
      </c>
      <c r="J10" s="16"/>
    </row>
    <row r="11" spans="1:14" x14ac:dyDescent="0.15">
      <c r="A11" s="17"/>
      <c r="B11" s="7">
        <v>101000</v>
      </c>
      <c r="C11" s="7" t="s">
        <v>34</v>
      </c>
      <c r="D11" s="2">
        <v>-0.1399</v>
      </c>
      <c r="E11" s="2">
        <v>0</v>
      </c>
      <c r="F11" s="2">
        <f>D11-E11</f>
        <v>-0.1399</v>
      </c>
      <c r="G11" s="8" t="str">
        <f>IF(E11=0,"n/a",F11/ABS(E11))</f>
        <v>n/a</v>
      </c>
      <c r="H11" s="17" t="str">
        <f>J11&amp;0</f>
        <v>C Propres0</v>
      </c>
      <c r="J11" s="15" t="s">
        <v>35</v>
      </c>
      <c r="K11" s="1" t="s">
        <v>36</v>
      </c>
      <c r="L11" s="1" t="s">
        <v>36</v>
      </c>
      <c r="M11" s="1" t="s">
        <v>37</v>
      </c>
      <c r="N11" s="1" t="s">
        <v>37</v>
      </c>
    </row>
    <row r="12" spans="1:14" x14ac:dyDescent="0.15">
      <c r="A12" s="17"/>
      <c r="B12" s="7">
        <v>101300</v>
      </c>
      <c r="C12" s="7" t="s">
        <v>38</v>
      </c>
      <c r="D12" s="2">
        <v>1150.001</v>
      </c>
      <c r="E12" s="2">
        <v>1150.001</v>
      </c>
      <c r="F12" s="2">
        <f>D12-E12</f>
        <v>0</v>
      </c>
      <c r="G12" s="8">
        <f>IF(E12=0,"n/a",F12/ABS(E12))</f>
        <v>0</v>
      </c>
      <c r="H12" s="17" t="str">
        <f>J12&amp;0</f>
        <v>C Propres0</v>
      </c>
      <c r="J12" s="15" t="s">
        <v>35</v>
      </c>
      <c r="K12" s="1" t="s">
        <v>36</v>
      </c>
      <c r="L12" s="1" t="s">
        <v>36</v>
      </c>
      <c r="M12" s="1" t="s">
        <v>37</v>
      </c>
      <c r="N12" s="1" t="s">
        <v>37</v>
      </c>
    </row>
    <row r="13" spans="1:14" x14ac:dyDescent="0.15">
      <c r="A13" s="17"/>
      <c r="B13" s="7">
        <v>106100</v>
      </c>
      <c r="C13" s="7" t="s">
        <v>39</v>
      </c>
      <c r="D13" s="2">
        <v>115.0001</v>
      </c>
      <c r="E13" s="2">
        <v>115.0001</v>
      </c>
      <c r="F13" s="2">
        <f>D13-E13</f>
        <v>0</v>
      </c>
      <c r="G13" s="8">
        <f>IF(E13=0,"n/a",F13/ABS(E13))</f>
        <v>0</v>
      </c>
      <c r="H13" s="17" t="str">
        <f>J13&amp;0</f>
        <v>C Propres0</v>
      </c>
      <c r="J13" s="15" t="s">
        <v>35</v>
      </c>
      <c r="K13" s="1" t="s">
        <v>40</v>
      </c>
      <c r="L13" s="1" t="s">
        <v>40</v>
      </c>
      <c r="M13" s="1" t="s">
        <v>37</v>
      </c>
      <c r="N13" s="1" t="s">
        <v>37</v>
      </c>
    </row>
    <row r="14" spans="1:14" x14ac:dyDescent="0.15">
      <c r="A14" s="17"/>
      <c r="B14" s="7">
        <v>106800</v>
      </c>
      <c r="C14" s="7" t="s">
        <v>41</v>
      </c>
      <c r="D14" s="2">
        <v>1851.1933799999999</v>
      </c>
      <c r="E14" s="2">
        <v>2165.8997100000001</v>
      </c>
      <c r="F14" s="2">
        <f>D14-E14</f>
        <v>-314.70633000000021</v>
      </c>
      <c r="G14" s="8">
        <f>IF(E14=0,"n/a",F14/ABS(E14))</f>
        <v>-0.1453005088587413</v>
      </c>
      <c r="H14" s="17" t="str">
        <f>J14&amp;0</f>
        <v>C Propres0</v>
      </c>
      <c r="J14" s="15" t="s">
        <v>35</v>
      </c>
      <c r="K14" s="1" t="s">
        <v>40</v>
      </c>
      <c r="L14" s="1" t="s">
        <v>40</v>
      </c>
      <c r="M14" s="1" t="s">
        <v>37</v>
      </c>
      <c r="N14" s="1" t="s">
        <v>37</v>
      </c>
    </row>
    <row r="15" spans="1:14" x14ac:dyDescent="0.15">
      <c r="A15" s="17"/>
      <c r="B15" s="7">
        <v>120000</v>
      </c>
      <c r="C15" s="7" t="s">
        <v>42</v>
      </c>
      <c r="D15" s="2">
        <v>0</v>
      </c>
      <c r="E15" s="2">
        <v>0</v>
      </c>
      <c r="F15" s="2">
        <f>D15-E15</f>
        <v>0</v>
      </c>
      <c r="G15" s="8" t="str">
        <f>IF(E15=0,"n/a",F15/ABS(E15))</f>
        <v>n/a</v>
      </c>
      <c r="H15" s="17" t="str">
        <f>J15&amp;0</f>
        <v>C Propres0</v>
      </c>
      <c r="J15" s="15" t="s">
        <v>35</v>
      </c>
      <c r="K15" s="1" t="s">
        <v>43</v>
      </c>
      <c r="L15" s="1" t="s">
        <v>43</v>
      </c>
      <c r="M15" s="1" t="s">
        <v>37</v>
      </c>
      <c r="N15" s="1" t="s">
        <v>37</v>
      </c>
    </row>
    <row r="16" spans="1:14" x14ac:dyDescent="0.15">
      <c r="A16" s="17"/>
      <c r="B16" s="7"/>
      <c r="C16" s="7"/>
      <c r="D16" s="2"/>
      <c r="E16" s="2"/>
      <c r="F16" s="2"/>
      <c r="G16" s="8"/>
      <c r="H16" s="17"/>
    </row>
    <row r="17" spans="1:14" s="12" customFormat="1" ht="13.5" customHeight="1" x14ac:dyDescent="0.15">
      <c r="A17" s="17"/>
      <c r="B17" s="21" t="s">
        <v>530</v>
      </c>
      <c r="C17" s="21"/>
      <c r="D17" s="19"/>
      <c r="E17" s="19"/>
      <c r="F17" s="19"/>
      <c r="G17" s="22"/>
      <c r="H17" s="17"/>
      <c r="J17" s="16"/>
    </row>
    <row r="18" spans="1:14" x14ac:dyDescent="0.15">
      <c r="A18" s="17"/>
      <c r="B18" s="7">
        <v>740000</v>
      </c>
      <c r="C18" s="7" t="s">
        <v>381</v>
      </c>
      <c r="D18" s="2">
        <v>9.08</v>
      </c>
      <c r="E18" s="2">
        <v>0</v>
      </c>
      <c r="F18" s="2">
        <f>D18-E18</f>
        <v>9.08</v>
      </c>
      <c r="G18" s="8" t="str">
        <f>IF(E18=0,"n/a",F18/ABS(E18))</f>
        <v>n/a</v>
      </c>
      <c r="H18" s="17" t="str">
        <f>J18&amp;0</f>
        <v>C Propres0</v>
      </c>
      <c r="J18" s="15" t="s">
        <v>35</v>
      </c>
      <c r="K18" s="1" t="s">
        <v>382</v>
      </c>
      <c r="L18" s="1" t="s">
        <v>382</v>
      </c>
      <c r="M18" s="1" t="s">
        <v>358</v>
      </c>
      <c r="N18" s="1" t="s">
        <v>358</v>
      </c>
    </row>
  </sheetData>
  <conditionalFormatting sqref="D4">
    <cfRule type="expression" dxfId="35" priority="1" stopIfTrue="1">
      <formula>ISBLANK(D4)</formula>
    </cfRule>
  </conditionalFormatting>
  <conditionalFormatting sqref="D8">
    <cfRule type="expression" dxfId="34" priority="2" stopIfTrue="1">
      <formula>$D$8="Date N ?"</formula>
    </cfRule>
  </conditionalFormatting>
  <conditionalFormatting sqref="E8">
    <cfRule type="expression" dxfId="33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8B8D6138-5367-411B-9A10-C9E09DDFA75D}"/>
  </dataValidations>
  <hyperlinks>
    <hyperlink ref="A1" location="Sommaire!C3" display="Retour sommaire" xr:uid="{4D038240-95DA-48E7-A872-A2A1AC776380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C Propres&amp;R&amp;"Times New Roman,Gras"&amp;10C Propres0
&amp;P/&amp;N</oddHeader>
    <oddFooter>&amp;L&amp;"Times New Roman"&amp;10Firex Audit&amp;C&amp;"Times New Roman"&amp;10&amp;D&amp;R&amp;"Times New Roman"&amp;10Document de travail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B1D-F328-4D59-9696-4172251CB3EF}">
  <sheetPr codeName="Feuil4">
    <pageSetUpPr fitToPage="1"/>
  </sheetPr>
  <dimension ref="A1:N11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531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433</v>
      </c>
      <c r="J10" s="16"/>
    </row>
    <row r="11" spans="1:14" x14ac:dyDescent="0.15">
      <c r="A11" s="17"/>
      <c r="B11" s="7">
        <v>151100</v>
      </c>
      <c r="C11" s="7" t="s">
        <v>44</v>
      </c>
      <c r="D11" s="2">
        <v>30</v>
      </c>
      <c r="E11" s="2">
        <v>30</v>
      </c>
      <c r="F11" s="2">
        <f>D11-E11</f>
        <v>0</v>
      </c>
      <c r="G11" s="8">
        <f>IF(E11=0,"n/a",F11/ABS(E11))</f>
        <v>0</v>
      </c>
      <c r="H11" s="17" t="str">
        <f>J11&amp;0</f>
        <v>C PRC0</v>
      </c>
      <c r="J11" s="15" t="s">
        <v>45</v>
      </c>
      <c r="K11" s="1" t="s">
        <v>46</v>
      </c>
      <c r="L11" s="1" t="s">
        <v>46</v>
      </c>
      <c r="M11" s="1" t="s">
        <v>37</v>
      </c>
      <c r="N11" s="1" t="s">
        <v>37</v>
      </c>
    </row>
  </sheetData>
  <conditionalFormatting sqref="D4">
    <cfRule type="expression" dxfId="32" priority="1" stopIfTrue="1">
      <formula>ISBLANK(D4)</formula>
    </cfRule>
  </conditionalFormatting>
  <conditionalFormatting sqref="D8">
    <cfRule type="expression" dxfId="31" priority="2" stopIfTrue="1">
      <formula>$D$8="Date N ?"</formula>
    </cfRule>
  </conditionalFormatting>
  <conditionalFormatting sqref="E8">
    <cfRule type="expression" dxfId="30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7414A64D-DB99-48A0-90F7-7315C3AF6F18}"/>
  </dataValidations>
  <hyperlinks>
    <hyperlink ref="A1" location="Sommaire!C3" display="Retour sommaire" xr:uid="{F7C16266-A88C-4521-806F-76A96FB58DF3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C PRC&amp;R&amp;"Times New Roman,Gras"&amp;10C PRC0
&amp;P/&amp;N</oddHeader>
    <oddFooter>&amp;L&amp;"Times New Roman"&amp;10Firex Audit&amp;C&amp;"Times New Roman"&amp;10&amp;D&amp;R&amp;"Times New Roman"&amp;10Document de travail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CA5A-B275-4D5C-840C-7FBBF246F0D9}">
  <sheetPr codeName="Feuil5">
    <pageSetUpPr fitToPage="1"/>
  </sheetPr>
  <dimension ref="A1:N47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532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442300</v>
      </c>
      <c r="C11" s="7" t="s">
        <v>157</v>
      </c>
      <c r="D11" s="2">
        <v>0</v>
      </c>
      <c r="E11" s="2">
        <v>3</v>
      </c>
      <c r="F11" s="2">
        <f t="shared" ref="F11:F26" si="0">D11-E11</f>
        <v>-3</v>
      </c>
      <c r="G11" s="8">
        <f t="shared" ref="G11:G26" si="1">IF(E11=0,"n/a",F11/ABS(E11))</f>
        <v>-1</v>
      </c>
      <c r="H11" s="17" t="str">
        <f t="shared" ref="H11:H26" si="2">J11&amp;0</f>
        <v>E0</v>
      </c>
      <c r="J11" s="15" t="s">
        <v>155</v>
      </c>
      <c r="K11" s="1" t="s">
        <v>158</v>
      </c>
      <c r="L11" s="1" t="s">
        <v>158</v>
      </c>
      <c r="M11" s="1" t="s">
        <v>61</v>
      </c>
      <c r="N11" s="1" t="s">
        <v>61</v>
      </c>
    </row>
    <row r="12" spans="1:14" x14ac:dyDescent="0.15">
      <c r="A12" s="17"/>
      <c r="B12" s="7">
        <v>444000</v>
      </c>
      <c r="C12" s="7" t="s">
        <v>159</v>
      </c>
      <c r="D12" s="2">
        <v>597.47900000000004</v>
      </c>
      <c r="E12" s="2">
        <v>-79.523010000000014</v>
      </c>
      <c r="F12" s="2">
        <f t="shared" si="0"/>
        <v>677.00201000000004</v>
      </c>
      <c r="G12" s="8">
        <f t="shared" si="1"/>
        <v>8.5132845197886748</v>
      </c>
      <c r="H12" s="17" t="str">
        <f t="shared" si="2"/>
        <v>E0</v>
      </c>
      <c r="J12" s="15" t="s">
        <v>155</v>
      </c>
      <c r="K12" s="1" t="s">
        <v>158</v>
      </c>
      <c r="L12" s="1" t="s">
        <v>156</v>
      </c>
      <c r="M12" s="1" t="s">
        <v>61</v>
      </c>
      <c r="N12" s="1" t="s">
        <v>37</v>
      </c>
    </row>
    <row r="13" spans="1:14" x14ac:dyDescent="0.15">
      <c r="A13" s="17"/>
      <c r="B13" s="7">
        <v>445665</v>
      </c>
      <c r="C13" s="7" t="s">
        <v>162</v>
      </c>
      <c r="D13" s="2">
        <v>0</v>
      </c>
      <c r="E13" s="2">
        <v>0</v>
      </c>
      <c r="F13" s="2">
        <f t="shared" si="0"/>
        <v>0</v>
      </c>
      <c r="G13" s="8" t="str">
        <f t="shared" si="1"/>
        <v>n/a</v>
      </c>
      <c r="H13" s="17" t="str">
        <f t="shared" si="2"/>
        <v>E0</v>
      </c>
      <c r="J13" s="15" t="s">
        <v>155</v>
      </c>
      <c r="K13" s="1" t="s">
        <v>158</v>
      </c>
      <c r="L13" s="1" t="s">
        <v>158</v>
      </c>
      <c r="M13" s="1" t="s">
        <v>61</v>
      </c>
      <c r="N13" s="1" t="s">
        <v>61</v>
      </c>
    </row>
    <row r="14" spans="1:14" x14ac:dyDescent="0.15">
      <c r="A14" s="17"/>
      <c r="B14" s="7">
        <v>445667</v>
      </c>
      <c r="C14" s="7" t="s">
        <v>163</v>
      </c>
      <c r="D14" s="2">
        <v>0</v>
      </c>
      <c r="E14" s="2">
        <v>-58.4328</v>
      </c>
      <c r="F14" s="2">
        <f t="shared" si="0"/>
        <v>58.4328</v>
      </c>
      <c r="G14" s="8">
        <f t="shared" si="1"/>
        <v>1</v>
      </c>
      <c r="H14" s="17" t="str">
        <f t="shared" si="2"/>
        <v>E0</v>
      </c>
      <c r="J14" s="15" t="s">
        <v>155</v>
      </c>
      <c r="K14" s="1" t="s">
        <v>158</v>
      </c>
      <c r="L14" s="1" t="s">
        <v>156</v>
      </c>
      <c r="M14" s="1" t="s">
        <v>61</v>
      </c>
      <c r="N14" s="1" t="s">
        <v>37</v>
      </c>
    </row>
    <row r="15" spans="1:14" x14ac:dyDescent="0.15">
      <c r="A15" s="17"/>
      <c r="B15" s="7">
        <v>445668</v>
      </c>
      <c r="C15" s="7" t="s">
        <v>164</v>
      </c>
      <c r="D15" s="2">
        <v>1.7959999999962749E-2</v>
      </c>
      <c r="E15" s="2">
        <v>18.164269999999945</v>
      </c>
      <c r="F15" s="2">
        <f t="shared" si="0"/>
        <v>-18.146309999999982</v>
      </c>
      <c r="G15" s="8">
        <f t="shared" si="1"/>
        <v>-0.99901124570379307</v>
      </c>
      <c r="H15" s="17" t="str">
        <f t="shared" si="2"/>
        <v>E0</v>
      </c>
      <c r="J15" s="15" t="s">
        <v>155</v>
      </c>
      <c r="K15" s="1" t="s">
        <v>158</v>
      </c>
      <c r="L15" s="1" t="s">
        <v>158</v>
      </c>
      <c r="M15" s="1" t="s">
        <v>61</v>
      </c>
      <c r="N15" s="1" t="s">
        <v>61</v>
      </c>
    </row>
    <row r="16" spans="1:14" x14ac:dyDescent="0.15">
      <c r="A16" s="17"/>
      <c r="B16" s="7">
        <v>445670</v>
      </c>
      <c r="C16" s="7" t="s">
        <v>165</v>
      </c>
      <c r="D16" s="2">
        <v>0</v>
      </c>
      <c r="E16" s="2">
        <v>0</v>
      </c>
      <c r="F16" s="2">
        <f t="shared" si="0"/>
        <v>0</v>
      </c>
      <c r="G16" s="8" t="str">
        <f t="shared" si="1"/>
        <v>n/a</v>
      </c>
      <c r="H16" s="17" t="str">
        <f t="shared" si="2"/>
        <v>E0</v>
      </c>
      <c r="J16" s="15" t="s">
        <v>155</v>
      </c>
      <c r="K16" s="1" t="s">
        <v>158</v>
      </c>
      <c r="L16" s="1" t="s">
        <v>158</v>
      </c>
      <c r="M16" s="1" t="s">
        <v>61</v>
      </c>
      <c r="N16" s="1" t="s">
        <v>61</v>
      </c>
    </row>
    <row r="17" spans="1:14" x14ac:dyDescent="0.15">
      <c r="A17" s="17"/>
      <c r="B17" s="7">
        <v>445671</v>
      </c>
      <c r="C17" s="7" t="s">
        <v>166</v>
      </c>
      <c r="D17" s="2">
        <v>29.411059999999999</v>
      </c>
      <c r="E17" s="2">
        <v>30.188250000000018</v>
      </c>
      <c r="F17" s="2">
        <f t="shared" si="0"/>
        <v>-0.7771900000000187</v>
      </c>
      <c r="G17" s="8">
        <f t="shared" si="1"/>
        <v>-2.5744784808659601E-2</v>
      </c>
      <c r="H17" s="17" t="str">
        <f t="shared" si="2"/>
        <v>E0</v>
      </c>
      <c r="J17" s="15" t="s">
        <v>155</v>
      </c>
      <c r="K17" s="1" t="s">
        <v>158</v>
      </c>
      <c r="L17" s="1" t="s">
        <v>158</v>
      </c>
      <c r="M17" s="1" t="s">
        <v>61</v>
      </c>
      <c r="N17" s="1" t="s">
        <v>61</v>
      </c>
    </row>
    <row r="18" spans="1:14" x14ac:dyDescent="0.15">
      <c r="A18" s="17"/>
      <c r="B18" s="7">
        <v>445710</v>
      </c>
      <c r="C18" s="7" t="s">
        <v>167</v>
      </c>
      <c r="D18" s="2">
        <v>0</v>
      </c>
      <c r="E18" s="2">
        <v>0</v>
      </c>
      <c r="F18" s="2">
        <f t="shared" si="0"/>
        <v>0</v>
      </c>
      <c r="G18" s="8" t="str">
        <f t="shared" si="1"/>
        <v>n/a</v>
      </c>
      <c r="H18" s="17" t="str">
        <f t="shared" si="2"/>
        <v>E0</v>
      </c>
      <c r="J18" s="15" t="s">
        <v>155</v>
      </c>
      <c r="K18" s="1" t="s">
        <v>158</v>
      </c>
      <c r="L18" s="1" t="s">
        <v>158</v>
      </c>
      <c r="M18" s="1" t="s">
        <v>61</v>
      </c>
      <c r="N18" s="1" t="s">
        <v>61</v>
      </c>
    </row>
    <row r="19" spans="1:14" x14ac:dyDescent="0.15">
      <c r="A19" s="17"/>
      <c r="B19" s="7">
        <v>445712</v>
      </c>
      <c r="C19" s="7" t="s">
        <v>168</v>
      </c>
      <c r="D19" s="2">
        <v>0</v>
      </c>
      <c r="E19" s="2">
        <v>0</v>
      </c>
      <c r="F19" s="2">
        <f t="shared" si="0"/>
        <v>0</v>
      </c>
      <c r="G19" s="8" t="str">
        <f t="shared" si="1"/>
        <v>n/a</v>
      </c>
      <c r="H19" s="17" t="str">
        <f t="shared" si="2"/>
        <v>E0</v>
      </c>
      <c r="J19" s="15" t="s">
        <v>155</v>
      </c>
      <c r="K19" s="1" t="s">
        <v>158</v>
      </c>
      <c r="L19" s="1" t="s">
        <v>158</v>
      </c>
      <c r="M19" s="1" t="s">
        <v>61</v>
      </c>
      <c r="N19" s="1" t="s">
        <v>61</v>
      </c>
    </row>
    <row r="20" spans="1:14" x14ac:dyDescent="0.15">
      <c r="A20" s="17"/>
      <c r="B20" s="7">
        <v>445713</v>
      </c>
      <c r="C20" s="7" t="s">
        <v>169</v>
      </c>
      <c r="D20" s="2">
        <v>0</v>
      </c>
      <c r="E20" s="2">
        <v>58.4328</v>
      </c>
      <c r="F20" s="2">
        <f t="shared" si="0"/>
        <v>-58.4328</v>
      </c>
      <c r="G20" s="8">
        <f t="shared" si="1"/>
        <v>-1</v>
      </c>
      <c r="H20" s="17" t="str">
        <f t="shared" si="2"/>
        <v>E0</v>
      </c>
      <c r="J20" s="15" t="s">
        <v>155</v>
      </c>
      <c r="K20" s="1" t="s">
        <v>158</v>
      </c>
      <c r="L20" s="1" t="s">
        <v>158</v>
      </c>
      <c r="M20" s="1" t="s">
        <v>61</v>
      </c>
      <c r="N20" s="1" t="s">
        <v>61</v>
      </c>
    </row>
    <row r="21" spans="1:14" x14ac:dyDescent="0.15">
      <c r="A21" s="17"/>
      <c r="B21" s="7">
        <v>445715</v>
      </c>
      <c r="C21" s="7" t="s">
        <v>170</v>
      </c>
      <c r="D21" s="2">
        <v>0</v>
      </c>
      <c r="E21" s="2">
        <v>-5.5693760714348176E-13</v>
      </c>
      <c r="F21" s="2">
        <f t="shared" si="0"/>
        <v>5.5693760714348176E-13</v>
      </c>
      <c r="G21" s="8">
        <f t="shared" si="1"/>
        <v>1</v>
      </c>
      <c r="H21" s="17" t="str">
        <f t="shared" si="2"/>
        <v>E0</v>
      </c>
      <c r="J21" s="15" t="s">
        <v>155</v>
      </c>
      <c r="K21" s="1" t="s">
        <v>158</v>
      </c>
      <c r="L21" s="1" t="s">
        <v>156</v>
      </c>
      <c r="M21" s="1" t="s">
        <v>61</v>
      </c>
      <c r="N21" s="1" t="s">
        <v>37</v>
      </c>
    </row>
    <row r="22" spans="1:14" x14ac:dyDescent="0.15">
      <c r="A22" s="17"/>
      <c r="B22" s="7">
        <v>445800</v>
      </c>
      <c r="C22" s="7" t="s">
        <v>171</v>
      </c>
      <c r="D22" s="2">
        <v>0</v>
      </c>
      <c r="E22" s="2">
        <v>1.7993299999999999</v>
      </c>
      <c r="F22" s="2">
        <f t="shared" si="0"/>
        <v>-1.7993299999999999</v>
      </c>
      <c r="G22" s="8">
        <f t="shared" si="1"/>
        <v>-1</v>
      </c>
      <c r="H22" s="17" t="str">
        <f t="shared" si="2"/>
        <v>E0</v>
      </c>
      <c r="J22" s="15" t="s">
        <v>155</v>
      </c>
      <c r="K22" s="1" t="s">
        <v>158</v>
      </c>
      <c r="L22" s="1" t="s">
        <v>158</v>
      </c>
      <c r="M22" s="1" t="s">
        <v>61</v>
      </c>
      <c r="N22" s="1" t="s">
        <v>61</v>
      </c>
    </row>
    <row r="23" spans="1:14" x14ac:dyDescent="0.15">
      <c r="A23" s="17"/>
      <c r="B23" s="7">
        <v>445860</v>
      </c>
      <c r="C23" s="7" t="s">
        <v>172</v>
      </c>
      <c r="D23" s="2">
        <v>0</v>
      </c>
      <c r="E23" s="2">
        <v>0</v>
      </c>
      <c r="F23" s="2">
        <f t="shared" si="0"/>
        <v>0</v>
      </c>
      <c r="G23" s="8" t="str">
        <f t="shared" si="1"/>
        <v>n/a</v>
      </c>
      <c r="H23" s="17" t="str">
        <f t="shared" si="2"/>
        <v>E0</v>
      </c>
      <c r="J23" s="15" t="s">
        <v>155</v>
      </c>
      <c r="K23" s="1" t="s">
        <v>158</v>
      </c>
      <c r="L23" s="1" t="s">
        <v>158</v>
      </c>
      <c r="M23" s="1" t="s">
        <v>61</v>
      </c>
      <c r="N23" s="1" t="s">
        <v>61</v>
      </c>
    </row>
    <row r="24" spans="1:14" x14ac:dyDescent="0.15">
      <c r="A24" s="17"/>
      <c r="B24" s="7">
        <v>445870</v>
      </c>
      <c r="C24" s="7" t="s">
        <v>173</v>
      </c>
      <c r="D24" s="2">
        <v>0</v>
      </c>
      <c r="E24" s="2">
        <v>0</v>
      </c>
      <c r="F24" s="2">
        <f t="shared" si="0"/>
        <v>0</v>
      </c>
      <c r="G24" s="8" t="str">
        <f t="shared" si="1"/>
        <v>n/a</v>
      </c>
      <c r="H24" s="17" t="str">
        <f t="shared" si="2"/>
        <v>E0</v>
      </c>
      <c r="J24" s="15" t="s">
        <v>155</v>
      </c>
      <c r="K24" s="1" t="s">
        <v>158</v>
      </c>
      <c r="L24" s="1" t="s">
        <v>158</v>
      </c>
      <c r="M24" s="1" t="s">
        <v>61</v>
      </c>
      <c r="N24" s="1" t="s">
        <v>61</v>
      </c>
    </row>
    <row r="25" spans="1:14" x14ac:dyDescent="0.15">
      <c r="A25" s="17"/>
      <c r="B25" s="7">
        <v>448602</v>
      </c>
      <c r="C25" s="7" t="s">
        <v>175</v>
      </c>
      <c r="D25" s="2">
        <v>0</v>
      </c>
      <c r="E25" s="2">
        <v>-17.012359999999997</v>
      </c>
      <c r="F25" s="2">
        <f t="shared" si="0"/>
        <v>17.012359999999997</v>
      </c>
      <c r="G25" s="8">
        <f t="shared" si="1"/>
        <v>1</v>
      </c>
      <c r="H25" s="17" t="str">
        <f t="shared" si="2"/>
        <v>E0</v>
      </c>
      <c r="J25" s="15" t="s">
        <v>155</v>
      </c>
      <c r="K25" s="1" t="s">
        <v>158</v>
      </c>
      <c r="L25" s="1" t="s">
        <v>156</v>
      </c>
      <c r="M25" s="1" t="s">
        <v>61</v>
      </c>
      <c r="N25" s="1" t="s">
        <v>37</v>
      </c>
    </row>
    <row r="26" spans="1:14" x14ac:dyDescent="0.15">
      <c r="A26" s="17"/>
      <c r="B26" s="7">
        <v>448603</v>
      </c>
      <c r="C26" s="7" t="s">
        <v>176</v>
      </c>
      <c r="D26" s="2">
        <v>0</v>
      </c>
      <c r="E26" s="2">
        <v>-2.3247199999999988</v>
      </c>
      <c r="F26" s="2">
        <f t="shared" si="0"/>
        <v>2.3247199999999988</v>
      </c>
      <c r="G26" s="8">
        <f t="shared" si="1"/>
        <v>1</v>
      </c>
      <c r="H26" s="17" t="str">
        <f t="shared" si="2"/>
        <v>E0</v>
      </c>
      <c r="J26" s="15" t="s">
        <v>155</v>
      </c>
      <c r="K26" s="1" t="s">
        <v>158</v>
      </c>
      <c r="L26" s="1" t="s">
        <v>156</v>
      </c>
      <c r="M26" s="1" t="s">
        <v>61</v>
      </c>
      <c r="N26" s="1" t="s">
        <v>37</v>
      </c>
    </row>
    <row r="27" spans="1:14" x14ac:dyDescent="0.15">
      <c r="A27" s="17"/>
      <c r="B27" s="7"/>
      <c r="C27" s="7"/>
      <c r="D27" s="2"/>
      <c r="E27" s="2"/>
      <c r="F27" s="2"/>
      <c r="G27" s="8"/>
      <c r="H27" s="17"/>
    </row>
    <row r="28" spans="1:14" s="12" customFormat="1" ht="13.5" customHeight="1" x14ac:dyDescent="0.15">
      <c r="A28" s="17"/>
      <c r="B28" s="21" t="s">
        <v>433</v>
      </c>
      <c r="C28" s="21"/>
      <c r="D28" s="19"/>
      <c r="E28" s="19"/>
      <c r="F28" s="19"/>
      <c r="G28" s="22"/>
      <c r="H28" s="17"/>
      <c r="J28" s="16"/>
    </row>
    <row r="29" spans="1:14" x14ac:dyDescent="0.15">
      <c r="A29" s="17"/>
      <c r="B29" s="7">
        <v>442100</v>
      </c>
      <c r="C29" s="7" t="s">
        <v>154</v>
      </c>
      <c r="D29" s="2">
        <v>9.6115099999999796</v>
      </c>
      <c r="E29" s="2">
        <v>6.3927900000000006</v>
      </c>
      <c r="F29" s="2">
        <f>D29-E29</f>
        <v>3.2187199999999789</v>
      </c>
      <c r="G29" s="8">
        <f>IF(E29=0,"n/a",F29/ABS(E29))</f>
        <v>0.50349221544896339</v>
      </c>
      <c r="H29" s="17" t="str">
        <f>J29&amp;0</f>
        <v>E0</v>
      </c>
      <c r="J29" s="15" t="s">
        <v>155</v>
      </c>
      <c r="K29" s="1" t="s">
        <v>156</v>
      </c>
      <c r="L29" s="1" t="s">
        <v>156</v>
      </c>
      <c r="M29" s="1" t="s">
        <v>37</v>
      </c>
      <c r="N29" s="1" t="s">
        <v>37</v>
      </c>
    </row>
    <row r="30" spans="1:14" x14ac:dyDescent="0.15">
      <c r="A30" s="17"/>
      <c r="B30" s="7">
        <v>445500</v>
      </c>
      <c r="C30" s="7" t="s">
        <v>160</v>
      </c>
      <c r="D30" s="2">
        <v>50.853000000000002</v>
      </c>
      <c r="E30" s="2">
        <v>5.15</v>
      </c>
      <c r="F30" s="2">
        <f>D30-E30</f>
        <v>45.703000000000003</v>
      </c>
      <c r="G30" s="8">
        <f>IF(E30=0,"n/a",F30/ABS(E30))</f>
        <v>8.8743689320388341</v>
      </c>
      <c r="H30" s="17" t="str">
        <f>J30&amp;0</f>
        <v>E0</v>
      </c>
      <c r="J30" s="15" t="s">
        <v>155</v>
      </c>
      <c r="K30" s="1" t="s">
        <v>156</v>
      </c>
      <c r="L30" s="1" t="s">
        <v>156</v>
      </c>
      <c r="M30" s="1" t="s">
        <v>37</v>
      </c>
      <c r="N30" s="1" t="s">
        <v>37</v>
      </c>
    </row>
    <row r="31" spans="1:14" x14ac:dyDescent="0.15">
      <c r="A31" s="17"/>
      <c r="B31" s="7">
        <v>445620</v>
      </c>
      <c r="C31" s="7" t="s">
        <v>161</v>
      </c>
      <c r="D31" s="2">
        <v>6.6699999999982537E-3</v>
      </c>
      <c r="E31" s="2">
        <v>0.83631999999999973</v>
      </c>
      <c r="F31" s="2">
        <f>D31-E31</f>
        <v>-0.82965000000000144</v>
      </c>
      <c r="G31" s="8">
        <f>IF(E31=0,"n/a",F31/ABS(E31))</f>
        <v>-0.99202458389133552</v>
      </c>
      <c r="H31" s="17" t="str">
        <f>J31&amp;0</f>
        <v>E0</v>
      </c>
      <c r="J31" s="15" t="s">
        <v>155</v>
      </c>
      <c r="K31" s="1" t="s">
        <v>156</v>
      </c>
      <c r="L31" s="1" t="s">
        <v>156</v>
      </c>
      <c r="M31" s="1" t="s">
        <v>37</v>
      </c>
      <c r="N31" s="1" t="s">
        <v>37</v>
      </c>
    </row>
    <row r="32" spans="1:14" x14ac:dyDescent="0.15">
      <c r="A32" s="17"/>
      <c r="B32" s="7">
        <v>448600</v>
      </c>
      <c r="C32" s="7" t="s">
        <v>174</v>
      </c>
      <c r="D32" s="2">
        <v>1.5459999999999996</v>
      </c>
      <c r="E32" s="2">
        <v>3.4629700000000012</v>
      </c>
      <c r="F32" s="2">
        <f>D32-E32</f>
        <v>-1.9169700000000016</v>
      </c>
      <c r="G32" s="8">
        <f>IF(E32=0,"n/a",F32/ABS(E32))</f>
        <v>-0.55356240452559535</v>
      </c>
      <c r="H32" s="17" t="str">
        <f>J32&amp;0</f>
        <v>E0</v>
      </c>
      <c r="J32" s="15" t="s">
        <v>155</v>
      </c>
      <c r="K32" s="1" t="s">
        <v>156</v>
      </c>
      <c r="L32" s="1" t="s">
        <v>156</v>
      </c>
      <c r="M32" s="1" t="s">
        <v>37</v>
      </c>
      <c r="N32" s="1" t="s">
        <v>37</v>
      </c>
    </row>
    <row r="33" spans="1:14" x14ac:dyDescent="0.15">
      <c r="A33" s="17"/>
      <c r="B33" s="7"/>
      <c r="C33" s="7"/>
      <c r="D33" s="2"/>
      <c r="E33" s="2"/>
      <c r="F33" s="2"/>
      <c r="G33" s="8"/>
      <c r="H33" s="17"/>
    </row>
    <row r="34" spans="1:14" s="12" customFormat="1" ht="13.5" customHeight="1" x14ac:dyDescent="0.15">
      <c r="A34" s="17"/>
      <c r="B34" s="21" t="s">
        <v>528</v>
      </c>
      <c r="C34" s="21"/>
      <c r="D34" s="19"/>
      <c r="E34" s="19"/>
      <c r="F34" s="19"/>
      <c r="G34" s="22"/>
      <c r="H34" s="17"/>
      <c r="J34" s="16"/>
    </row>
    <row r="35" spans="1:14" x14ac:dyDescent="0.15">
      <c r="A35" s="17"/>
      <c r="B35" s="7">
        <v>633300</v>
      </c>
      <c r="C35" s="7" t="s">
        <v>299</v>
      </c>
      <c r="D35" s="2">
        <v>18.826599999999999</v>
      </c>
      <c r="E35" s="2">
        <v>15.070480000000003</v>
      </c>
      <c r="F35" s="2">
        <f t="shared" ref="F35:F47" si="3">D35-E35</f>
        <v>3.7561199999999957</v>
      </c>
      <c r="G35" s="8">
        <f t="shared" ref="G35:G47" si="4">IF(E35=0,"n/a",F35/ABS(E35))</f>
        <v>0.24923691879754292</v>
      </c>
      <c r="H35" s="17" t="str">
        <f t="shared" ref="H35:H47" si="5">J35&amp;0</f>
        <v>E0</v>
      </c>
      <c r="J35" s="15" t="s">
        <v>155</v>
      </c>
      <c r="K35" s="1" t="s">
        <v>300</v>
      </c>
      <c r="L35" s="1" t="s">
        <v>300</v>
      </c>
      <c r="M35" s="1" t="s">
        <v>213</v>
      </c>
      <c r="N35" s="1" t="s">
        <v>213</v>
      </c>
    </row>
    <row r="36" spans="1:14" x14ac:dyDescent="0.15">
      <c r="A36" s="17"/>
      <c r="B36" s="7">
        <v>633500</v>
      </c>
      <c r="C36" s="7" t="s">
        <v>301</v>
      </c>
      <c r="D36" s="2">
        <v>9.0335900000000002</v>
      </c>
      <c r="E36" s="2">
        <v>7.4312800000000019</v>
      </c>
      <c r="F36" s="2">
        <f t="shared" si="3"/>
        <v>1.6023099999999983</v>
      </c>
      <c r="G36" s="8">
        <f t="shared" si="4"/>
        <v>0.21561695966239974</v>
      </c>
      <c r="H36" s="17" t="str">
        <f t="shared" si="5"/>
        <v>E0</v>
      </c>
      <c r="J36" s="15" t="s">
        <v>155</v>
      </c>
      <c r="K36" s="1" t="s">
        <v>300</v>
      </c>
      <c r="L36" s="1" t="s">
        <v>300</v>
      </c>
      <c r="M36" s="1" t="s">
        <v>213</v>
      </c>
      <c r="N36" s="1" t="s">
        <v>213</v>
      </c>
    </row>
    <row r="37" spans="1:14" x14ac:dyDescent="0.15">
      <c r="A37" s="17"/>
      <c r="B37" s="7">
        <v>635120</v>
      </c>
      <c r="C37" s="7" t="s">
        <v>302</v>
      </c>
      <c r="D37" s="2">
        <v>0</v>
      </c>
      <c r="E37" s="2">
        <v>-19</v>
      </c>
      <c r="F37" s="2">
        <f t="shared" si="3"/>
        <v>19</v>
      </c>
      <c r="G37" s="8">
        <f t="shared" si="4"/>
        <v>1</v>
      </c>
      <c r="H37" s="17" t="str">
        <f t="shared" si="5"/>
        <v>E0</v>
      </c>
      <c r="J37" s="15" t="s">
        <v>155</v>
      </c>
      <c r="K37" s="1" t="s">
        <v>300</v>
      </c>
      <c r="L37" s="1" t="s">
        <v>300</v>
      </c>
      <c r="M37" s="1" t="s">
        <v>213</v>
      </c>
      <c r="N37" s="1" t="s">
        <v>213</v>
      </c>
    </row>
    <row r="38" spans="1:14" x14ac:dyDescent="0.15">
      <c r="A38" s="17"/>
      <c r="B38" s="7">
        <v>635140</v>
      </c>
      <c r="C38" s="7" t="s">
        <v>303</v>
      </c>
      <c r="D38" s="2">
        <v>1.546</v>
      </c>
      <c r="E38" s="2">
        <v>1.643</v>
      </c>
      <c r="F38" s="2">
        <f t="shared" si="3"/>
        <v>-9.6999999999999975E-2</v>
      </c>
      <c r="G38" s="8">
        <f t="shared" si="4"/>
        <v>-5.9038344491783308E-2</v>
      </c>
      <c r="H38" s="17" t="str">
        <f t="shared" si="5"/>
        <v>E0</v>
      </c>
      <c r="J38" s="15" t="s">
        <v>155</v>
      </c>
      <c r="K38" s="1" t="s">
        <v>300</v>
      </c>
      <c r="L38" s="1" t="s">
        <v>300</v>
      </c>
      <c r="M38" s="1" t="s">
        <v>213</v>
      </c>
      <c r="N38" s="1" t="s">
        <v>213</v>
      </c>
    </row>
    <row r="39" spans="1:14" x14ac:dyDescent="0.15">
      <c r="A39" s="17"/>
      <c r="B39" s="7">
        <v>635160</v>
      </c>
      <c r="C39" s="7" t="s">
        <v>304</v>
      </c>
      <c r="D39" s="2">
        <v>26.132999999999999</v>
      </c>
      <c r="E39" s="2">
        <v>35.841000000000001</v>
      </c>
      <c r="F39" s="2">
        <f t="shared" si="3"/>
        <v>-9.708000000000002</v>
      </c>
      <c r="G39" s="8">
        <f t="shared" si="4"/>
        <v>-0.2708629781535114</v>
      </c>
      <c r="H39" s="17" t="str">
        <f t="shared" si="5"/>
        <v>E0</v>
      </c>
      <c r="J39" s="15" t="s">
        <v>155</v>
      </c>
      <c r="K39" s="1" t="s">
        <v>300</v>
      </c>
      <c r="L39" s="1" t="s">
        <v>300</v>
      </c>
      <c r="M39" s="1" t="s">
        <v>213</v>
      </c>
      <c r="N39" s="1" t="s">
        <v>213</v>
      </c>
    </row>
    <row r="40" spans="1:14" x14ac:dyDescent="0.15">
      <c r="A40" s="17"/>
      <c r="B40" s="7">
        <v>635170</v>
      </c>
      <c r="C40" s="7" t="s">
        <v>305</v>
      </c>
      <c r="D40" s="2">
        <v>9.5730000000000004</v>
      </c>
      <c r="E40" s="2">
        <v>14.013</v>
      </c>
      <c r="F40" s="2">
        <f t="shared" si="3"/>
        <v>-4.4399999999999995</v>
      </c>
      <c r="G40" s="8">
        <f t="shared" si="4"/>
        <v>-0.3168486405480625</v>
      </c>
      <c r="H40" s="17" t="str">
        <f t="shared" si="5"/>
        <v>E0</v>
      </c>
      <c r="J40" s="15" t="s">
        <v>155</v>
      </c>
      <c r="K40" s="1" t="s">
        <v>300</v>
      </c>
      <c r="L40" s="1" t="s">
        <v>300</v>
      </c>
      <c r="M40" s="1" t="s">
        <v>213</v>
      </c>
      <c r="N40" s="1" t="s">
        <v>213</v>
      </c>
    </row>
    <row r="41" spans="1:14" x14ac:dyDescent="0.15">
      <c r="A41" s="17"/>
      <c r="B41" s="7">
        <v>635180</v>
      </c>
      <c r="C41" s="7" t="s">
        <v>306</v>
      </c>
      <c r="D41" s="2">
        <v>4.9017200000000001</v>
      </c>
      <c r="E41" s="2">
        <v>4.7215499999999997</v>
      </c>
      <c r="F41" s="2">
        <f t="shared" si="3"/>
        <v>0.18017000000000039</v>
      </c>
      <c r="G41" s="8">
        <f t="shared" si="4"/>
        <v>3.8159079115968358E-2</v>
      </c>
      <c r="H41" s="17" t="str">
        <f t="shared" si="5"/>
        <v>E0</v>
      </c>
      <c r="J41" s="15" t="s">
        <v>155</v>
      </c>
      <c r="K41" s="1" t="s">
        <v>300</v>
      </c>
      <c r="L41" s="1" t="s">
        <v>300</v>
      </c>
      <c r="M41" s="1" t="s">
        <v>213</v>
      </c>
      <c r="N41" s="1" t="s">
        <v>213</v>
      </c>
    </row>
    <row r="42" spans="1:14" x14ac:dyDescent="0.15">
      <c r="A42" s="17"/>
      <c r="B42" s="7">
        <v>635310</v>
      </c>
      <c r="C42" s="7" t="s">
        <v>307</v>
      </c>
      <c r="D42" s="2">
        <v>0.26275999999999999</v>
      </c>
      <c r="E42" s="2">
        <v>0</v>
      </c>
      <c r="F42" s="2">
        <f t="shared" si="3"/>
        <v>0.26275999999999999</v>
      </c>
      <c r="G42" s="8" t="str">
        <f t="shared" si="4"/>
        <v>n/a</v>
      </c>
      <c r="H42" s="17" t="str">
        <f t="shared" si="5"/>
        <v>E0</v>
      </c>
      <c r="J42" s="15" t="s">
        <v>155</v>
      </c>
      <c r="K42" s="1" t="s">
        <v>300</v>
      </c>
      <c r="L42" s="1" t="s">
        <v>300</v>
      </c>
      <c r="M42" s="1" t="s">
        <v>213</v>
      </c>
      <c r="N42" s="1" t="s">
        <v>213</v>
      </c>
    </row>
    <row r="43" spans="1:14" x14ac:dyDescent="0.15">
      <c r="A43" s="17"/>
      <c r="B43" s="7">
        <v>637800</v>
      </c>
      <c r="C43" s="7" t="s">
        <v>308</v>
      </c>
      <c r="D43" s="2">
        <v>0.40318999999999999</v>
      </c>
      <c r="E43" s="2">
        <v>0</v>
      </c>
      <c r="F43" s="2">
        <f t="shared" si="3"/>
        <v>0.40318999999999999</v>
      </c>
      <c r="G43" s="8" t="str">
        <f t="shared" si="4"/>
        <v>n/a</v>
      </c>
      <c r="H43" s="17" t="str">
        <f t="shared" si="5"/>
        <v>E0</v>
      </c>
      <c r="J43" s="15" t="s">
        <v>155</v>
      </c>
      <c r="K43" s="1" t="s">
        <v>300</v>
      </c>
      <c r="L43" s="1" t="s">
        <v>300</v>
      </c>
      <c r="M43" s="1" t="s">
        <v>213</v>
      </c>
      <c r="N43" s="1" t="s">
        <v>213</v>
      </c>
    </row>
    <row r="44" spans="1:14" x14ac:dyDescent="0.15">
      <c r="A44" s="17"/>
      <c r="B44" s="7">
        <v>695000</v>
      </c>
      <c r="C44" s="7" t="s">
        <v>351</v>
      </c>
      <c r="D44" s="2">
        <v>0</v>
      </c>
      <c r="E44" s="2">
        <v>-4.26</v>
      </c>
      <c r="F44" s="2">
        <f t="shared" si="3"/>
        <v>4.26</v>
      </c>
      <c r="G44" s="8">
        <f t="shared" si="4"/>
        <v>1</v>
      </c>
      <c r="H44" s="17" t="str">
        <f t="shared" si="5"/>
        <v>E0</v>
      </c>
      <c r="J44" s="15" t="s">
        <v>155</v>
      </c>
      <c r="K44" s="1" t="s">
        <v>352</v>
      </c>
      <c r="L44" s="1" t="s">
        <v>352</v>
      </c>
      <c r="M44" s="1" t="s">
        <v>213</v>
      </c>
      <c r="N44" s="1" t="s">
        <v>213</v>
      </c>
    </row>
    <row r="45" spans="1:14" x14ac:dyDescent="0.15">
      <c r="A45" s="17"/>
      <c r="B45" s="7">
        <v>695300</v>
      </c>
      <c r="C45" s="7" t="s">
        <v>353</v>
      </c>
      <c r="D45" s="2">
        <v>0</v>
      </c>
      <c r="E45" s="2">
        <v>-16.324000000000002</v>
      </c>
      <c r="F45" s="2">
        <f t="shared" si="3"/>
        <v>16.324000000000002</v>
      </c>
      <c r="G45" s="8">
        <f t="shared" si="4"/>
        <v>1</v>
      </c>
      <c r="H45" s="17" t="str">
        <f t="shared" si="5"/>
        <v>E0</v>
      </c>
      <c r="J45" s="15" t="s">
        <v>155</v>
      </c>
      <c r="K45" s="1" t="s">
        <v>352</v>
      </c>
      <c r="L45" s="1" t="s">
        <v>352</v>
      </c>
      <c r="M45" s="1" t="s">
        <v>213</v>
      </c>
      <c r="N45" s="1" t="s">
        <v>213</v>
      </c>
    </row>
    <row r="46" spans="1:14" x14ac:dyDescent="0.15">
      <c r="A46" s="17"/>
      <c r="B46" s="7">
        <v>698100</v>
      </c>
      <c r="C46" s="7" t="s">
        <v>354</v>
      </c>
      <c r="D46" s="2">
        <v>0</v>
      </c>
      <c r="E46" s="2">
        <v>597.47801000000004</v>
      </c>
      <c r="F46" s="2">
        <f t="shared" si="3"/>
        <v>-597.47801000000004</v>
      </c>
      <c r="G46" s="8">
        <f t="shared" si="4"/>
        <v>-1</v>
      </c>
      <c r="H46" s="17" t="str">
        <f t="shared" si="5"/>
        <v>E0</v>
      </c>
      <c r="J46" s="15" t="s">
        <v>155</v>
      </c>
      <c r="K46" s="1" t="s">
        <v>352</v>
      </c>
      <c r="L46" s="1" t="s">
        <v>352</v>
      </c>
      <c r="M46" s="1" t="s">
        <v>213</v>
      </c>
      <c r="N46" s="1" t="s">
        <v>213</v>
      </c>
    </row>
    <row r="47" spans="1:14" x14ac:dyDescent="0.15">
      <c r="A47" s="17"/>
      <c r="B47" s="7">
        <v>698900</v>
      </c>
      <c r="C47" s="7" t="s">
        <v>355</v>
      </c>
      <c r="D47" s="2">
        <v>0</v>
      </c>
      <c r="E47" s="2">
        <v>-133.24970999999999</v>
      </c>
      <c r="F47" s="2">
        <f t="shared" si="3"/>
        <v>133.24970999999999</v>
      </c>
      <c r="G47" s="8">
        <f t="shared" si="4"/>
        <v>1</v>
      </c>
      <c r="H47" s="17" t="str">
        <f t="shared" si="5"/>
        <v>E0</v>
      </c>
      <c r="J47" s="15" t="s">
        <v>155</v>
      </c>
      <c r="K47" s="1" t="s">
        <v>352</v>
      </c>
      <c r="L47" s="1" t="s">
        <v>352</v>
      </c>
      <c r="M47" s="1" t="s">
        <v>213</v>
      </c>
      <c r="N47" s="1" t="s">
        <v>213</v>
      </c>
    </row>
  </sheetData>
  <conditionalFormatting sqref="D4">
    <cfRule type="expression" dxfId="29" priority="1" stopIfTrue="1">
      <formula>ISBLANK(D4)</formula>
    </cfRule>
  </conditionalFormatting>
  <conditionalFormatting sqref="D8">
    <cfRule type="expression" dxfId="28" priority="2" stopIfTrue="1">
      <formula>$D$8="Date N ?"</formula>
    </cfRule>
  </conditionalFormatting>
  <conditionalFormatting sqref="E8">
    <cfRule type="expression" dxfId="27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2961ECCA-BDE7-4C10-B503-E19C2BFAE215}"/>
  </dataValidations>
  <hyperlinks>
    <hyperlink ref="A1" location="Sommaire!C3" display="Retour sommaire" xr:uid="{45DF1521-BDD2-44DF-B1BF-D4AFE3FF9D6E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E&amp;R&amp;"Times New Roman,Gras"&amp;10E0
&amp;P/&amp;N</oddHeader>
    <oddFooter>&amp;L&amp;"Times New Roman"&amp;10Firex Audit&amp;C&amp;"Times New Roman"&amp;10&amp;D&amp;R&amp;"Times New Roman"&amp;10Document de travail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FEE-6ACA-4952-8610-F755A51D5BD7}">
  <sheetPr codeName="Feuil6">
    <pageSetUpPr fitToPage="1"/>
  </sheetPr>
  <dimension ref="A1:N53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533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451050</v>
      </c>
      <c r="C11" s="7" t="s">
        <v>181</v>
      </c>
      <c r="D11" s="2">
        <v>310.80602000000005</v>
      </c>
      <c r="E11" s="2">
        <v>0</v>
      </c>
      <c r="F11" s="2">
        <f t="shared" ref="F11:F25" si="0">D11-E11</f>
        <v>310.80602000000005</v>
      </c>
      <c r="G11" s="8" t="str">
        <f t="shared" ref="G11:G25" si="1">IF(E11=0,"n/a",F11/ABS(E11))</f>
        <v>n/a</v>
      </c>
      <c r="H11" s="17" t="str">
        <f t="shared" ref="H11:H25" si="2">J11&amp;0</f>
        <v>F0</v>
      </c>
      <c r="J11" s="15" t="s">
        <v>48</v>
      </c>
      <c r="K11" s="1" t="s">
        <v>178</v>
      </c>
      <c r="L11" s="1" t="s">
        <v>178</v>
      </c>
      <c r="M11" s="1" t="s">
        <v>61</v>
      </c>
      <c r="N11" s="1" t="s">
        <v>61</v>
      </c>
    </row>
    <row r="12" spans="1:14" x14ac:dyDescent="0.15">
      <c r="A12" s="17"/>
      <c r="B12" s="7">
        <v>455010</v>
      </c>
      <c r="C12" s="7" t="s">
        <v>183</v>
      </c>
      <c r="D12" s="2">
        <v>320.28655000000003</v>
      </c>
      <c r="E12" s="2">
        <v>331.04050999999993</v>
      </c>
      <c r="F12" s="2">
        <f t="shared" si="0"/>
        <v>-10.753959999999893</v>
      </c>
      <c r="G12" s="8">
        <f t="shared" si="1"/>
        <v>-3.248532936346641E-2</v>
      </c>
      <c r="H12" s="17" t="str">
        <f t="shared" si="2"/>
        <v>F0</v>
      </c>
      <c r="J12" s="15" t="s">
        <v>48</v>
      </c>
      <c r="K12" s="1" t="s">
        <v>178</v>
      </c>
      <c r="L12" s="1" t="s">
        <v>178</v>
      </c>
      <c r="M12" s="1" t="s">
        <v>61</v>
      </c>
      <c r="N12" s="1" t="s">
        <v>61</v>
      </c>
    </row>
    <row r="13" spans="1:14" x14ac:dyDescent="0.15">
      <c r="A13" s="17"/>
      <c r="B13" s="7">
        <v>455100</v>
      </c>
      <c r="C13" s="7" t="s">
        <v>185</v>
      </c>
      <c r="D13" s="2">
        <v>0</v>
      </c>
      <c r="E13" s="2">
        <v>-3.6431600000000035</v>
      </c>
      <c r="F13" s="2">
        <f t="shared" si="0"/>
        <v>3.6431600000000035</v>
      </c>
      <c r="G13" s="8">
        <f t="shared" si="1"/>
        <v>1</v>
      </c>
      <c r="H13" s="17" t="str">
        <f t="shared" si="2"/>
        <v>F0</v>
      </c>
      <c r="J13" s="15" t="s">
        <v>48</v>
      </c>
      <c r="K13" s="1" t="s">
        <v>178</v>
      </c>
      <c r="L13" s="1" t="s">
        <v>57</v>
      </c>
      <c r="M13" s="1" t="s">
        <v>61</v>
      </c>
      <c r="N13" s="1" t="s">
        <v>37</v>
      </c>
    </row>
    <row r="14" spans="1:14" x14ac:dyDescent="0.15">
      <c r="A14" s="17"/>
      <c r="B14" s="7">
        <v>457000</v>
      </c>
      <c r="C14" s="7" t="s">
        <v>187</v>
      </c>
      <c r="D14" s="2">
        <v>0</v>
      </c>
      <c r="E14" s="2">
        <v>-3.0000000027939677E-5</v>
      </c>
      <c r="F14" s="2">
        <f t="shared" si="0"/>
        <v>3.0000000027939677E-5</v>
      </c>
      <c r="G14" s="8">
        <f t="shared" si="1"/>
        <v>1</v>
      </c>
      <c r="H14" s="17" t="str">
        <f t="shared" si="2"/>
        <v>F0</v>
      </c>
      <c r="J14" s="15" t="s">
        <v>48</v>
      </c>
      <c r="K14" s="1" t="s">
        <v>188</v>
      </c>
      <c r="L14" s="1" t="s">
        <v>188</v>
      </c>
      <c r="M14" s="1" t="s">
        <v>61</v>
      </c>
      <c r="N14" s="1" t="s">
        <v>37</v>
      </c>
    </row>
    <row r="15" spans="1:14" x14ac:dyDescent="0.15">
      <c r="A15" s="17"/>
      <c r="B15" s="7">
        <v>511200</v>
      </c>
      <c r="C15" s="7" t="s">
        <v>198</v>
      </c>
      <c r="D15" s="2">
        <v>0</v>
      </c>
      <c r="E15" s="2">
        <v>0</v>
      </c>
      <c r="F15" s="2">
        <f t="shared" si="0"/>
        <v>0</v>
      </c>
      <c r="G15" s="8" t="str">
        <f t="shared" si="1"/>
        <v>n/a</v>
      </c>
      <c r="H15" s="17" t="str">
        <f t="shared" si="2"/>
        <v>F0</v>
      </c>
      <c r="J15" s="15" t="s">
        <v>48</v>
      </c>
      <c r="K15" s="1" t="s">
        <v>199</v>
      </c>
      <c r="L15" s="1" t="s">
        <v>199</v>
      </c>
      <c r="M15" s="1" t="s">
        <v>61</v>
      </c>
      <c r="N15" s="1" t="s">
        <v>61</v>
      </c>
    </row>
    <row r="16" spans="1:14" x14ac:dyDescent="0.15">
      <c r="A16" s="17"/>
      <c r="B16" s="7">
        <v>512110</v>
      </c>
      <c r="C16" s="7" t="s">
        <v>201</v>
      </c>
      <c r="D16" s="2">
        <v>172.20306000000053</v>
      </c>
      <c r="E16" s="2">
        <v>143.87236000000027</v>
      </c>
      <c r="F16" s="2">
        <f t="shared" si="0"/>
        <v>28.330700000000263</v>
      </c>
      <c r="G16" s="8">
        <f t="shared" si="1"/>
        <v>0.19691551594760948</v>
      </c>
      <c r="H16" s="17" t="str">
        <f t="shared" si="2"/>
        <v>F0</v>
      </c>
      <c r="J16" s="15" t="s">
        <v>48</v>
      </c>
      <c r="K16" s="1" t="s">
        <v>199</v>
      </c>
      <c r="L16" s="1" t="s">
        <v>199</v>
      </c>
      <c r="M16" s="1" t="s">
        <v>61</v>
      </c>
      <c r="N16" s="1" t="s">
        <v>61</v>
      </c>
    </row>
    <row r="17" spans="1:14" x14ac:dyDescent="0.15">
      <c r="A17" s="17"/>
      <c r="B17" s="7">
        <v>512112</v>
      </c>
      <c r="C17" s="7" t="s">
        <v>202</v>
      </c>
      <c r="D17" s="2">
        <v>0.17473999999999068</v>
      </c>
      <c r="E17" s="2">
        <v>16.453880000000002</v>
      </c>
      <c r="F17" s="2">
        <f t="shared" si="0"/>
        <v>-16.279140000000012</v>
      </c>
      <c r="G17" s="8">
        <f t="shared" si="1"/>
        <v>-0.98938001249553365</v>
      </c>
      <c r="H17" s="17" t="str">
        <f t="shared" si="2"/>
        <v>F0</v>
      </c>
      <c r="J17" s="15" t="s">
        <v>48</v>
      </c>
      <c r="K17" s="1" t="s">
        <v>199</v>
      </c>
      <c r="L17" s="1" t="s">
        <v>199</v>
      </c>
      <c r="M17" s="1" t="s">
        <v>61</v>
      </c>
      <c r="N17" s="1" t="s">
        <v>61</v>
      </c>
    </row>
    <row r="18" spans="1:14" x14ac:dyDescent="0.15">
      <c r="A18" s="17"/>
      <c r="B18" s="7">
        <v>512120</v>
      </c>
      <c r="C18" s="7" t="s">
        <v>203</v>
      </c>
      <c r="D18" s="2">
        <v>196.46471999999881</v>
      </c>
      <c r="E18" s="2">
        <v>241.61439000000004</v>
      </c>
      <c r="F18" s="2">
        <f t="shared" si="0"/>
        <v>-45.149670000001237</v>
      </c>
      <c r="G18" s="8">
        <f t="shared" si="1"/>
        <v>-0.18686664316641582</v>
      </c>
      <c r="H18" s="17" t="str">
        <f t="shared" si="2"/>
        <v>F0</v>
      </c>
      <c r="J18" s="15" t="s">
        <v>48</v>
      </c>
      <c r="K18" s="1" t="s">
        <v>199</v>
      </c>
      <c r="L18" s="1" t="s">
        <v>199</v>
      </c>
      <c r="M18" s="1" t="s">
        <v>61</v>
      </c>
      <c r="N18" s="1" t="s">
        <v>61</v>
      </c>
    </row>
    <row r="19" spans="1:14" x14ac:dyDescent="0.15">
      <c r="A19" s="17"/>
      <c r="B19" s="7">
        <v>512122</v>
      </c>
      <c r="C19" s="7" t="s">
        <v>204</v>
      </c>
      <c r="D19" s="2">
        <v>3.4310000000055879E-2</v>
      </c>
      <c r="E19" s="2">
        <v>8.0080300000000282</v>
      </c>
      <c r="F19" s="2">
        <f t="shared" si="0"/>
        <v>-7.9737199999999726</v>
      </c>
      <c r="G19" s="8">
        <f t="shared" si="1"/>
        <v>-0.99571555051616245</v>
      </c>
      <c r="H19" s="17" t="str">
        <f t="shared" si="2"/>
        <v>F0</v>
      </c>
      <c r="J19" s="15" t="s">
        <v>48</v>
      </c>
      <c r="K19" s="1" t="s">
        <v>199</v>
      </c>
      <c r="L19" s="1" t="s">
        <v>199</v>
      </c>
      <c r="M19" s="1" t="s">
        <v>61</v>
      </c>
      <c r="N19" s="1" t="s">
        <v>61</v>
      </c>
    </row>
    <row r="20" spans="1:14" x14ac:dyDescent="0.15">
      <c r="A20" s="17"/>
      <c r="B20" s="7">
        <v>512124</v>
      </c>
      <c r="C20" s="7" t="s">
        <v>205</v>
      </c>
      <c r="D20" s="2">
        <v>600</v>
      </c>
      <c r="E20" s="2">
        <v>1500</v>
      </c>
      <c r="F20" s="2">
        <f t="shared" si="0"/>
        <v>-900</v>
      </c>
      <c r="G20" s="8">
        <f t="shared" si="1"/>
        <v>-0.6</v>
      </c>
      <c r="H20" s="17" t="str">
        <f t="shared" si="2"/>
        <v>F0</v>
      </c>
      <c r="J20" s="15" t="s">
        <v>48</v>
      </c>
      <c r="K20" s="1" t="s">
        <v>199</v>
      </c>
      <c r="L20" s="1" t="s">
        <v>199</v>
      </c>
      <c r="M20" s="1" t="s">
        <v>61</v>
      </c>
      <c r="N20" s="1" t="s">
        <v>61</v>
      </c>
    </row>
    <row r="21" spans="1:14" x14ac:dyDescent="0.15">
      <c r="A21" s="17"/>
      <c r="B21" s="7">
        <v>512125</v>
      </c>
      <c r="C21" s="7" t="s">
        <v>206</v>
      </c>
      <c r="D21" s="2">
        <v>400</v>
      </c>
      <c r="E21" s="2">
        <v>0</v>
      </c>
      <c r="F21" s="2">
        <f t="shared" si="0"/>
        <v>400</v>
      </c>
      <c r="G21" s="8" t="str">
        <f t="shared" si="1"/>
        <v>n/a</v>
      </c>
      <c r="H21" s="17" t="str">
        <f t="shared" si="2"/>
        <v>F0</v>
      </c>
      <c r="J21" s="15" t="s">
        <v>48</v>
      </c>
      <c r="K21" s="1" t="s">
        <v>199</v>
      </c>
      <c r="L21" s="1" t="s">
        <v>199</v>
      </c>
      <c r="M21" s="1" t="s">
        <v>61</v>
      </c>
      <c r="N21" s="1" t="s">
        <v>61</v>
      </c>
    </row>
    <row r="22" spans="1:14" x14ac:dyDescent="0.15">
      <c r="A22" s="17"/>
      <c r="B22" s="7">
        <v>512130</v>
      </c>
      <c r="C22" s="7" t="s">
        <v>207</v>
      </c>
      <c r="D22" s="2">
        <v>0</v>
      </c>
      <c r="E22" s="2">
        <v>5.1829600000000005</v>
      </c>
      <c r="F22" s="2">
        <f t="shared" si="0"/>
        <v>-5.1829600000000005</v>
      </c>
      <c r="G22" s="8">
        <f t="shared" si="1"/>
        <v>-1</v>
      </c>
      <c r="H22" s="17" t="str">
        <f t="shared" si="2"/>
        <v>F0</v>
      </c>
      <c r="J22" s="15" t="s">
        <v>48</v>
      </c>
      <c r="K22" s="1" t="s">
        <v>199</v>
      </c>
      <c r="L22" s="1" t="s">
        <v>199</v>
      </c>
      <c r="M22" s="1" t="s">
        <v>61</v>
      </c>
      <c r="N22" s="1" t="s">
        <v>61</v>
      </c>
    </row>
    <row r="23" spans="1:14" x14ac:dyDescent="0.15">
      <c r="A23" s="17"/>
      <c r="B23" s="7">
        <v>512151</v>
      </c>
      <c r="C23" s="7" t="s">
        <v>208</v>
      </c>
      <c r="D23" s="2">
        <v>2.2029999999999998</v>
      </c>
      <c r="E23" s="2">
        <v>0</v>
      </c>
      <c r="F23" s="2">
        <f t="shared" si="0"/>
        <v>2.2029999999999998</v>
      </c>
      <c r="G23" s="8" t="str">
        <f t="shared" si="1"/>
        <v>n/a</v>
      </c>
      <c r="H23" s="17" t="str">
        <f t="shared" si="2"/>
        <v>F0</v>
      </c>
      <c r="J23" s="15" t="s">
        <v>48</v>
      </c>
      <c r="K23" s="1" t="s">
        <v>199</v>
      </c>
      <c r="L23" s="1" t="s">
        <v>199</v>
      </c>
      <c r="M23" s="1" t="s">
        <v>61</v>
      </c>
      <c r="N23" s="1" t="s">
        <v>61</v>
      </c>
    </row>
    <row r="24" spans="1:14" x14ac:dyDescent="0.15">
      <c r="A24" s="17"/>
      <c r="B24" s="7">
        <v>531000</v>
      </c>
      <c r="C24" s="7" t="s">
        <v>209</v>
      </c>
      <c r="D24" s="2">
        <v>7.0811999999999999</v>
      </c>
      <c r="E24" s="2">
        <v>7.0811999999999999</v>
      </c>
      <c r="F24" s="2">
        <f t="shared" si="0"/>
        <v>0</v>
      </c>
      <c r="G24" s="8">
        <f t="shared" si="1"/>
        <v>0</v>
      </c>
      <c r="H24" s="17" t="str">
        <f t="shared" si="2"/>
        <v>F0</v>
      </c>
      <c r="J24" s="15" t="s">
        <v>48</v>
      </c>
      <c r="K24" s="1" t="s">
        <v>199</v>
      </c>
      <c r="L24" s="1" t="s">
        <v>199</v>
      </c>
      <c r="M24" s="1" t="s">
        <v>61</v>
      </c>
      <c r="N24" s="1" t="s">
        <v>61</v>
      </c>
    </row>
    <row r="25" spans="1:14" x14ac:dyDescent="0.15">
      <c r="A25" s="17"/>
      <c r="B25" s="7">
        <v>580000</v>
      </c>
      <c r="C25" s="7" t="s">
        <v>210</v>
      </c>
      <c r="D25" s="2">
        <v>0</v>
      </c>
      <c r="E25" s="2">
        <v>0</v>
      </c>
      <c r="F25" s="2">
        <f t="shared" si="0"/>
        <v>0</v>
      </c>
      <c r="G25" s="8" t="str">
        <f t="shared" si="1"/>
        <v>n/a</v>
      </c>
      <c r="H25" s="17" t="str">
        <f t="shared" si="2"/>
        <v>F0</v>
      </c>
      <c r="J25" s="15" t="s">
        <v>48</v>
      </c>
      <c r="K25" s="1" t="s">
        <v>199</v>
      </c>
      <c r="L25" s="1" t="s">
        <v>199</v>
      </c>
      <c r="M25" s="1" t="s">
        <v>61</v>
      </c>
      <c r="N25" s="1" t="s">
        <v>61</v>
      </c>
    </row>
    <row r="26" spans="1:14" x14ac:dyDescent="0.15">
      <c r="A26" s="17"/>
      <c r="B26" s="7"/>
      <c r="C26" s="7"/>
      <c r="D26" s="2"/>
      <c r="E26" s="2"/>
      <c r="F26" s="2"/>
      <c r="G26" s="8"/>
      <c r="H26" s="17"/>
    </row>
    <row r="27" spans="1:14" s="12" customFormat="1" ht="13.5" customHeight="1" x14ac:dyDescent="0.15">
      <c r="A27" s="17"/>
      <c r="B27" s="21" t="s">
        <v>433</v>
      </c>
      <c r="C27" s="21"/>
      <c r="D27" s="19"/>
      <c r="E27" s="19"/>
      <c r="F27" s="19"/>
      <c r="G27" s="22"/>
      <c r="H27" s="17"/>
      <c r="J27" s="16"/>
    </row>
    <row r="28" spans="1:14" x14ac:dyDescent="0.15">
      <c r="A28" s="17"/>
      <c r="B28" s="7">
        <v>164120</v>
      </c>
      <c r="C28" s="7" t="s">
        <v>47</v>
      </c>
      <c r="D28" s="2">
        <v>0</v>
      </c>
      <c r="E28" s="2">
        <v>45.165240000000026</v>
      </c>
      <c r="F28" s="2">
        <f t="shared" ref="F28:F42" si="3">D28-E28</f>
        <v>-45.165240000000026</v>
      </c>
      <c r="G28" s="8">
        <f t="shared" ref="G28:G42" si="4">IF(E28=0,"n/a",F28/ABS(E28))</f>
        <v>-1</v>
      </c>
      <c r="H28" s="17" t="str">
        <f t="shared" ref="H28:H42" si="5">J28&amp;0</f>
        <v>F0</v>
      </c>
      <c r="J28" s="15" t="s">
        <v>48</v>
      </c>
      <c r="K28" s="1" t="s">
        <v>49</v>
      </c>
      <c r="L28" s="1" t="s">
        <v>49</v>
      </c>
      <c r="M28" s="1" t="s">
        <v>37</v>
      </c>
      <c r="N28" s="1" t="s">
        <v>37</v>
      </c>
    </row>
    <row r="29" spans="1:14" x14ac:dyDescent="0.15">
      <c r="A29" s="17"/>
      <c r="B29" s="7">
        <v>164130</v>
      </c>
      <c r="C29" s="7" t="s">
        <v>50</v>
      </c>
      <c r="D29" s="2">
        <v>69.014910000000029</v>
      </c>
      <c r="E29" s="2">
        <v>344.31688000000003</v>
      </c>
      <c r="F29" s="2">
        <f t="shared" si="3"/>
        <v>-275.30196999999998</v>
      </c>
      <c r="G29" s="8">
        <f t="shared" si="4"/>
        <v>-0.79955989959016815</v>
      </c>
      <c r="H29" s="17" t="str">
        <f t="shared" si="5"/>
        <v>F0</v>
      </c>
      <c r="J29" s="15" t="s">
        <v>48</v>
      </c>
      <c r="K29" s="1" t="s">
        <v>49</v>
      </c>
      <c r="L29" s="1" t="s">
        <v>49</v>
      </c>
      <c r="M29" s="1" t="s">
        <v>37</v>
      </c>
      <c r="N29" s="1" t="s">
        <v>37</v>
      </c>
    </row>
    <row r="30" spans="1:14" x14ac:dyDescent="0.15">
      <c r="A30" s="17"/>
      <c r="B30" s="7">
        <v>164150</v>
      </c>
      <c r="C30" s="7" t="s">
        <v>51</v>
      </c>
      <c r="D30" s="2">
        <v>1386.5231299999998</v>
      </c>
      <c r="E30" s="2">
        <v>0</v>
      </c>
      <c r="F30" s="2">
        <f t="shared" si="3"/>
        <v>1386.5231299999998</v>
      </c>
      <c r="G30" s="8" t="str">
        <f t="shared" si="4"/>
        <v>n/a</v>
      </c>
      <c r="H30" s="17" t="str">
        <f t="shared" si="5"/>
        <v>F0</v>
      </c>
      <c r="J30" s="15" t="s">
        <v>48</v>
      </c>
      <c r="K30" s="1" t="s">
        <v>49</v>
      </c>
      <c r="L30" s="1" t="s">
        <v>49</v>
      </c>
      <c r="M30" s="1" t="s">
        <v>37</v>
      </c>
      <c r="N30" s="1" t="s">
        <v>37</v>
      </c>
    </row>
    <row r="31" spans="1:14" x14ac:dyDescent="0.15">
      <c r="A31" s="17"/>
      <c r="B31" s="7">
        <v>164160</v>
      </c>
      <c r="C31" s="7" t="s">
        <v>52</v>
      </c>
      <c r="D31" s="2">
        <v>797.47236999999996</v>
      </c>
      <c r="E31" s="2">
        <v>0</v>
      </c>
      <c r="F31" s="2">
        <f t="shared" si="3"/>
        <v>797.47236999999996</v>
      </c>
      <c r="G31" s="8" t="str">
        <f t="shared" si="4"/>
        <v>n/a</v>
      </c>
      <c r="H31" s="17" t="str">
        <f t="shared" si="5"/>
        <v>F0</v>
      </c>
      <c r="J31" s="15" t="s">
        <v>48</v>
      </c>
      <c r="K31" s="1" t="s">
        <v>49</v>
      </c>
      <c r="L31" s="1" t="s">
        <v>49</v>
      </c>
      <c r="M31" s="1" t="s">
        <v>37</v>
      </c>
      <c r="N31" s="1" t="s">
        <v>37</v>
      </c>
    </row>
    <row r="32" spans="1:14" x14ac:dyDescent="0.15">
      <c r="A32" s="17"/>
      <c r="B32" s="7">
        <v>164240</v>
      </c>
      <c r="C32" s="7" t="s">
        <v>53</v>
      </c>
      <c r="D32" s="2">
        <v>0</v>
      </c>
      <c r="E32" s="2">
        <v>105.35031999999998</v>
      </c>
      <c r="F32" s="2">
        <f t="shared" si="3"/>
        <v>-105.35031999999998</v>
      </c>
      <c r="G32" s="8">
        <f t="shared" si="4"/>
        <v>-1</v>
      </c>
      <c r="H32" s="17" t="str">
        <f t="shared" si="5"/>
        <v>F0</v>
      </c>
      <c r="J32" s="15" t="s">
        <v>48</v>
      </c>
      <c r="K32" s="1" t="s">
        <v>49</v>
      </c>
      <c r="L32" s="1" t="s">
        <v>49</v>
      </c>
      <c r="M32" s="1" t="s">
        <v>37</v>
      </c>
      <c r="N32" s="1" t="s">
        <v>37</v>
      </c>
    </row>
    <row r="33" spans="1:14" x14ac:dyDescent="0.15">
      <c r="A33" s="17"/>
      <c r="B33" s="7">
        <v>164241</v>
      </c>
      <c r="C33" s="7" t="s">
        <v>54</v>
      </c>
      <c r="D33" s="2">
        <v>68.990890000000007</v>
      </c>
      <c r="E33" s="2">
        <v>344.26539000000002</v>
      </c>
      <c r="F33" s="2">
        <f t="shared" si="3"/>
        <v>-275.27449999999999</v>
      </c>
      <c r="G33" s="8">
        <f t="shared" si="4"/>
        <v>-0.79959969255114483</v>
      </c>
      <c r="H33" s="17" t="str">
        <f t="shared" si="5"/>
        <v>F0</v>
      </c>
      <c r="J33" s="15" t="s">
        <v>48</v>
      </c>
      <c r="K33" s="1" t="s">
        <v>49</v>
      </c>
      <c r="L33" s="1" t="s">
        <v>49</v>
      </c>
      <c r="M33" s="1" t="s">
        <v>37</v>
      </c>
      <c r="N33" s="1" t="s">
        <v>37</v>
      </c>
    </row>
    <row r="34" spans="1:14" x14ac:dyDescent="0.15">
      <c r="A34" s="17"/>
      <c r="B34" s="7">
        <v>164250</v>
      </c>
      <c r="C34" s="7" t="s">
        <v>55</v>
      </c>
      <c r="D34" s="2">
        <v>192.01849000000001</v>
      </c>
      <c r="E34" s="2">
        <v>439.58181000000002</v>
      </c>
      <c r="F34" s="2">
        <f t="shared" si="3"/>
        <v>-247.56332</v>
      </c>
      <c r="G34" s="8">
        <f t="shared" si="4"/>
        <v>-0.56317917249578642</v>
      </c>
      <c r="H34" s="17" t="str">
        <f t="shared" si="5"/>
        <v>F0</v>
      </c>
      <c r="J34" s="15" t="s">
        <v>48</v>
      </c>
      <c r="K34" s="1" t="s">
        <v>49</v>
      </c>
      <c r="L34" s="1" t="s">
        <v>49</v>
      </c>
      <c r="M34" s="1" t="s">
        <v>37</v>
      </c>
      <c r="N34" s="1" t="s">
        <v>37</v>
      </c>
    </row>
    <row r="35" spans="1:14" x14ac:dyDescent="0.15">
      <c r="A35" s="17"/>
      <c r="B35" s="7">
        <v>168100</v>
      </c>
      <c r="C35" s="7" t="s">
        <v>56</v>
      </c>
      <c r="D35" s="2">
        <v>101.20003</v>
      </c>
      <c r="E35" s="2">
        <v>0</v>
      </c>
      <c r="F35" s="2">
        <f t="shared" si="3"/>
        <v>101.20003</v>
      </c>
      <c r="G35" s="8" t="str">
        <f t="shared" si="4"/>
        <v>n/a</v>
      </c>
      <c r="H35" s="17" t="str">
        <f t="shared" si="5"/>
        <v>F0</v>
      </c>
      <c r="J35" s="15" t="s">
        <v>48</v>
      </c>
      <c r="K35" s="1" t="s">
        <v>57</v>
      </c>
      <c r="L35" s="1" t="s">
        <v>57</v>
      </c>
      <c r="M35" s="1" t="s">
        <v>37</v>
      </c>
      <c r="N35" s="1" t="s">
        <v>37</v>
      </c>
    </row>
    <row r="36" spans="1:14" x14ac:dyDescent="0.15">
      <c r="A36" s="17"/>
      <c r="B36" s="7">
        <v>451020</v>
      </c>
      <c r="C36" s="7" t="s">
        <v>177</v>
      </c>
      <c r="D36" s="2">
        <v>1716.5258400000002</v>
      </c>
      <c r="E36" s="2">
        <v>-133.24970999999999</v>
      </c>
      <c r="F36" s="2">
        <f t="shared" si="3"/>
        <v>1849.7755500000003</v>
      </c>
      <c r="G36" s="8">
        <f t="shared" si="4"/>
        <v>13.882023082826976</v>
      </c>
      <c r="H36" s="17" t="str">
        <f t="shared" si="5"/>
        <v>F0</v>
      </c>
      <c r="J36" s="15" t="s">
        <v>48</v>
      </c>
      <c r="K36" s="1" t="s">
        <v>57</v>
      </c>
      <c r="L36" s="1" t="s">
        <v>178</v>
      </c>
      <c r="M36" s="1" t="s">
        <v>37</v>
      </c>
      <c r="N36" s="1" t="s">
        <v>61</v>
      </c>
    </row>
    <row r="37" spans="1:14" x14ac:dyDescent="0.15">
      <c r="A37" s="17"/>
      <c r="B37" s="7">
        <v>451030</v>
      </c>
      <c r="C37" s="7" t="s">
        <v>179</v>
      </c>
      <c r="D37" s="2">
        <v>132.58920000000001</v>
      </c>
      <c r="E37" s="2">
        <v>0</v>
      </c>
      <c r="F37" s="2">
        <f t="shared" si="3"/>
        <v>132.58920000000001</v>
      </c>
      <c r="G37" s="8" t="str">
        <f t="shared" si="4"/>
        <v>n/a</v>
      </c>
      <c r="H37" s="17" t="str">
        <f t="shared" si="5"/>
        <v>F0</v>
      </c>
      <c r="J37" s="15" t="s">
        <v>48</v>
      </c>
      <c r="K37" s="1" t="s">
        <v>57</v>
      </c>
      <c r="L37" s="1" t="s">
        <v>178</v>
      </c>
      <c r="M37" s="1" t="s">
        <v>37</v>
      </c>
      <c r="N37" s="1" t="s">
        <v>61</v>
      </c>
    </row>
    <row r="38" spans="1:14" x14ac:dyDescent="0.15">
      <c r="A38" s="17"/>
      <c r="B38" s="7">
        <v>451040</v>
      </c>
      <c r="C38" s="7" t="s">
        <v>180</v>
      </c>
      <c r="D38" s="2">
        <v>138.56152999999998</v>
      </c>
      <c r="E38" s="2">
        <v>0</v>
      </c>
      <c r="F38" s="2">
        <f t="shared" si="3"/>
        <v>138.56152999999998</v>
      </c>
      <c r="G38" s="8" t="str">
        <f t="shared" si="4"/>
        <v>n/a</v>
      </c>
      <c r="H38" s="17" t="str">
        <f t="shared" si="5"/>
        <v>F0</v>
      </c>
      <c r="J38" s="15" t="s">
        <v>48</v>
      </c>
      <c r="K38" s="1" t="s">
        <v>57</v>
      </c>
      <c r="L38" s="1" t="s">
        <v>178</v>
      </c>
      <c r="M38" s="1" t="s">
        <v>37</v>
      </c>
      <c r="N38" s="1" t="s">
        <v>61</v>
      </c>
    </row>
    <row r="39" spans="1:14" x14ac:dyDescent="0.15">
      <c r="A39" s="17"/>
      <c r="B39" s="7">
        <v>451500</v>
      </c>
      <c r="C39" s="7" t="s">
        <v>182</v>
      </c>
      <c r="D39" s="2">
        <v>93.320799999999991</v>
      </c>
      <c r="E39" s="2">
        <v>0</v>
      </c>
      <c r="F39" s="2">
        <f t="shared" si="3"/>
        <v>93.320799999999991</v>
      </c>
      <c r="G39" s="8" t="str">
        <f t="shared" si="4"/>
        <v>n/a</v>
      </c>
      <c r="H39" s="17" t="str">
        <f t="shared" si="5"/>
        <v>F0</v>
      </c>
      <c r="J39" s="15" t="s">
        <v>48</v>
      </c>
      <c r="K39" s="1" t="s">
        <v>57</v>
      </c>
      <c r="L39" s="1" t="s">
        <v>178</v>
      </c>
      <c r="M39" s="1" t="s">
        <v>37</v>
      </c>
      <c r="N39" s="1" t="s">
        <v>61</v>
      </c>
    </row>
    <row r="40" spans="1:14" x14ac:dyDescent="0.15">
      <c r="A40" s="17"/>
      <c r="B40" s="7">
        <v>455020</v>
      </c>
      <c r="C40" s="7" t="s">
        <v>184</v>
      </c>
      <c r="D40" s="2">
        <v>3.64316</v>
      </c>
      <c r="E40" s="2">
        <v>0</v>
      </c>
      <c r="F40" s="2">
        <f t="shared" si="3"/>
        <v>3.64316</v>
      </c>
      <c r="G40" s="8" t="str">
        <f t="shared" si="4"/>
        <v>n/a</v>
      </c>
      <c r="H40" s="17" t="str">
        <f t="shared" si="5"/>
        <v>F0</v>
      </c>
      <c r="J40" s="15" t="s">
        <v>48</v>
      </c>
      <c r="K40" s="1" t="s">
        <v>57</v>
      </c>
      <c r="L40" s="1" t="s">
        <v>178</v>
      </c>
      <c r="M40" s="1" t="s">
        <v>37</v>
      </c>
      <c r="N40" s="1" t="s">
        <v>61</v>
      </c>
    </row>
    <row r="41" spans="1:14" x14ac:dyDescent="0.15">
      <c r="A41" s="17"/>
      <c r="B41" s="7">
        <v>455200</v>
      </c>
      <c r="C41" s="7" t="s">
        <v>186</v>
      </c>
      <c r="D41" s="2">
        <v>133.667</v>
      </c>
      <c r="E41" s="2">
        <v>0</v>
      </c>
      <c r="F41" s="2">
        <f t="shared" si="3"/>
        <v>133.667</v>
      </c>
      <c r="G41" s="8" t="str">
        <f t="shared" si="4"/>
        <v>n/a</v>
      </c>
      <c r="H41" s="17" t="str">
        <f t="shared" si="5"/>
        <v>F0</v>
      </c>
      <c r="J41" s="15" t="s">
        <v>48</v>
      </c>
      <c r="K41" s="1" t="s">
        <v>57</v>
      </c>
      <c r="L41" s="1" t="s">
        <v>178</v>
      </c>
      <c r="M41" s="1" t="s">
        <v>37</v>
      </c>
      <c r="N41" s="1" t="s">
        <v>61</v>
      </c>
    </row>
    <row r="42" spans="1:14" x14ac:dyDescent="0.15">
      <c r="A42" s="17"/>
      <c r="B42" s="7">
        <v>511400</v>
      </c>
      <c r="C42" s="7" t="s">
        <v>200</v>
      </c>
      <c r="D42" s="2">
        <v>2.059149999999907</v>
      </c>
      <c r="E42" s="2">
        <v>-3.9698000000000495</v>
      </c>
      <c r="F42" s="2">
        <f t="shared" si="3"/>
        <v>6.0289499999999565</v>
      </c>
      <c r="G42" s="8">
        <f t="shared" si="4"/>
        <v>1.5187037130333723</v>
      </c>
      <c r="H42" s="17" t="str">
        <f t="shared" si="5"/>
        <v>F0</v>
      </c>
      <c r="J42" s="15" t="s">
        <v>48</v>
      </c>
      <c r="K42" s="1" t="s">
        <v>49</v>
      </c>
      <c r="L42" s="1" t="s">
        <v>199</v>
      </c>
      <c r="M42" s="1" t="s">
        <v>37</v>
      </c>
      <c r="N42" s="1" t="s">
        <v>61</v>
      </c>
    </row>
    <row r="43" spans="1:14" x14ac:dyDescent="0.15">
      <c r="A43" s="17"/>
      <c r="B43" s="7"/>
      <c r="C43" s="7"/>
      <c r="D43" s="2"/>
      <c r="E43" s="2"/>
      <c r="F43" s="2"/>
      <c r="G43" s="8"/>
      <c r="H43" s="17"/>
    </row>
    <row r="44" spans="1:14" s="12" customFormat="1" ht="13.5" customHeight="1" x14ac:dyDescent="0.15">
      <c r="A44" s="17"/>
      <c r="B44" s="21" t="s">
        <v>528</v>
      </c>
      <c r="C44" s="21"/>
      <c r="D44" s="19"/>
      <c r="E44" s="19"/>
      <c r="F44" s="19"/>
      <c r="G44" s="22"/>
      <c r="H44" s="17"/>
      <c r="J44" s="16"/>
    </row>
    <row r="45" spans="1:14" x14ac:dyDescent="0.15">
      <c r="A45" s="17"/>
      <c r="B45" s="7">
        <v>661160</v>
      </c>
      <c r="C45" s="7" t="s">
        <v>334</v>
      </c>
      <c r="D45" s="2">
        <v>53.563740000000003</v>
      </c>
      <c r="E45" s="2">
        <v>19.47006</v>
      </c>
      <c r="F45" s="2">
        <f>D45-E45</f>
        <v>34.093680000000006</v>
      </c>
      <c r="G45" s="8">
        <f>IF(E45=0,"n/a",F45/ABS(E45))</f>
        <v>1.751082431178949</v>
      </c>
      <c r="H45" s="17" t="str">
        <f>J45&amp;0</f>
        <v>F0</v>
      </c>
      <c r="J45" s="15" t="s">
        <v>48</v>
      </c>
      <c r="K45" s="1" t="s">
        <v>335</v>
      </c>
      <c r="L45" s="1" t="s">
        <v>335</v>
      </c>
      <c r="M45" s="1" t="s">
        <v>213</v>
      </c>
      <c r="N45" s="1" t="s">
        <v>213</v>
      </c>
    </row>
    <row r="46" spans="1:14" x14ac:dyDescent="0.15">
      <c r="A46" s="17"/>
      <c r="B46" s="7">
        <v>661600</v>
      </c>
      <c r="C46" s="7" t="s">
        <v>336</v>
      </c>
      <c r="D46" s="2">
        <v>1.9568299999999998</v>
      </c>
      <c r="E46" s="2">
        <v>7.3175600000000003</v>
      </c>
      <c r="F46" s="2">
        <f>D46-E46</f>
        <v>-5.3607300000000002</v>
      </c>
      <c r="G46" s="8">
        <f>IF(E46=0,"n/a",F46/ABS(E46))</f>
        <v>-0.73258435872066641</v>
      </c>
      <c r="H46" s="17" t="str">
        <f>J46&amp;0</f>
        <v>F0</v>
      </c>
      <c r="J46" s="15" t="s">
        <v>48</v>
      </c>
      <c r="K46" s="1" t="s">
        <v>335</v>
      </c>
      <c r="L46" s="1" t="s">
        <v>335</v>
      </c>
      <c r="M46" s="1" t="s">
        <v>213</v>
      </c>
      <c r="N46" s="1" t="s">
        <v>213</v>
      </c>
    </row>
    <row r="47" spans="1:14" x14ac:dyDescent="0.15">
      <c r="A47" s="17"/>
      <c r="B47" s="7">
        <v>665000</v>
      </c>
      <c r="C47" s="7" t="s">
        <v>337</v>
      </c>
      <c r="D47" s="2">
        <v>0</v>
      </c>
      <c r="E47" s="2">
        <v>0.5593800000000001</v>
      </c>
      <c r="F47" s="2">
        <f>D47-E47</f>
        <v>-0.5593800000000001</v>
      </c>
      <c r="G47" s="8">
        <f>IF(E47=0,"n/a",F47/ABS(E47))</f>
        <v>-1</v>
      </c>
      <c r="H47" s="17" t="str">
        <f>J47&amp;0</f>
        <v>F0</v>
      </c>
      <c r="J47" s="15" t="s">
        <v>48</v>
      </c>
      <c r="K47" s="1" t="s">
        <v>335</v>
      </c>
      <c r="L47" s="1" t="s">
        <v>335</v>
      </c>
      <c r="M47" s="1" t="s">
        <v>213</v>
      </c>
      <c r="N47" s="1" t="s">
        <v>213</v>
      </c>
    </row>
    <row r="48" spans="1:14" x14ac:dyDescent="0.15">
      <c r="A48" s="17"/>
      <c r="B48" s="7">
        <v>665030</v>
      </c>
      <c r="C48" s="7" t="s">
        <v>338</v>
      </c>
      <c r="D48" s="2">
        <v>0</v>
      </c>
      <c r="E48" s="2">
        <v>0.25680999999999982</v>
      </c>
      <c r="F48" s="2">
        <f>D48-E48</f>
        <v>-0.25680999999999982</v>
      </c>
      <c r="G48" s="8">
        <f>IF(E48=0,"n/a",F48/ABS(E48))</f>
        <v>-1</v>
      </c>
      <c r="H48" s="17" t="str">
        <f>J48&amp;0</f>
        <v>F0</v>
      </c>
      <c r="J48" s="15" t="s">
        <v>48</v>
      </c>
      <c r="K48" s="1" t="s">
        <v>335</v>
      </c>
      <c r="L48" s="1" t="s">
        <v>335</v>
      </c>
      <c r="M48" s="1" t="s">
        <v>213</v>
      </c>
      <c r="N48" s="1" t="s">
        <v>213</v>
      </c>
    </row>
    <row r="49" spans="1:14" x14ac:dyDescent="0.15">
      <c r="A49" s="17"/>
      <c r="B49" s="7">
        <v>666000</v>
      </c>
      <c r="C49" s="7" t="s">
        <v>339</v>
      </c>
      <c r="D49" s="2">
        <v>8.0601800000000008</v>
      </c>
      <c r="E49" s="2">
        <v>0.16725999999999999</v>
      </c>
      <c r="F49" s="2">
        <f>D49-E49</f>
        <v>7.892920000000001</v>
      </c>
      <c r="G49" s="8">
        <f>IF(E49=0,"n/a",F49/ABS(E49))</f>
        <v>47.189525289967726</v>
      </c>
      <c r="H49" s="17" t="str">
        <f>J49&amp;0</f>
        <v>F0</v>
      </c>
      <c r="J49" s="15" t="s">
        <v>48</v>
      </c>
      <c r="K49" s="1" t="s">
        <v>340</v>
      </c>
      <c r="L49" s="1" t="s">
        <v>340</v>
      </c>
      <c r="M49" s="1" t="s">
        <v>213</v>
      </c>
      <c r="N49" s="1" t="s">
        <v>213</v>
      </c>
    </row>
    <row r="50" spans="1:14" x14ac:dyDescent="0.15">
      <c r="A50" s="17"/>
      <c r="B50" s="7"/>
      <c r="C50" s="7"/>
      <c r="D50" s="2"/>
      <c r="E50" s="2"/>
      <c r="F50" s="2"/>
      <c r="G50" s="8"/>
      <c r="H50" s="17"/>
    </row>
    <row r="51" spans="1:14" s="12" customFormat="1" ht="13.5" customHeight="1" x14ac:dyDescent="0.15">
      <c r="A51" s="17"/>
      <c r="B51" s="21" t="s">
        <v>530</v>
      </c>
      <c r="C51" s="21"/>
      <c r="D51" s="19"/>
      <c r="E51" s="19"/>
      <c r="F51" s="19"/>
      <c r="G51" s="22"/>
      <c r="H51" s="17"/>
      <c r="J51" s="16"/>
    </row>
    <row r="52" spans="1:14" x14ac:dyDescent="0.15">
      <c r="A52" s="17"/>
      <c r="B52" s="7">
        <v>764000</v>
      </c>
      <c r="C52" s="7" t="s">
        <v>385</v>
      </c>
      <c r="D52" s="2">
        <v>17.313639999999999</v>
      </c>
      <c r="E52" s="2">
        <v>42.292970000000018</v>
      </c>
      <c r="F52" s="2">
        <f>D52-E52</f>
        <v>-24.979330000000019</v>
      </c>
      <c r="G52" s="8">
        <f>IF(E52=0,"n/a",F52/ABS(E52))</f>
        <v>-0.59062605440100346</v>
      </c>
      <c r="H52" s="17" t="str">
        <f>J52&amp;0</f>
        <v>F0</v>
      </c>
      <c r="J52" s="15" t="s">
        <v>48</v>
      </c>
      <c r="K52" s="1" t="s">
        <v>386</v>
      </c>
      <c r="L52" s="1" t="s">
        <v>386</v>
      </c>
      <c r="M52" s="1" t="s">
        <v>358</v>
      </c>
      <c r="N52" s="1" t="s">
        <v>358</v>
      </c>
    </row>
    <row r="53" spans="1:14" x14ac:dyDescent="0.15">
      <c r="A53" s="17"/>
      <c r="B53" s="7">
        <v>766000</v>
      </c>
      <c r="C53" s="7" t="s">
        <v>387</v>
      </c>
      <c r="D53" s="2">
        <v>3.6036100000000002</v>
      </c>
      <c r="E53" s="2">
        <v>1.8433299999999999</v>
      </c>
      <c r="F53" s="2">
        <f>D53-E53</f>
        <v>1.7602800000000003</v>
      </c>
      <c r="G53" s="8">
        <f>IF(E53=0,"n/a",F53/ABS(E53))</f>
        <v>0.95494566897951016</v>
      </c>
      <c r="H53" s="17" t="str">
        <f>J53&amp;0</f>
        <v>F0</v>
      </c>
      <c r="J53" s="15" t="s">
        <v>48</v>
      </c>
      <c r="K53" s="1" t="s">
        <v>388</v>
      </c>
      <c r="L53" s="1" t="s">
        <v>388</v>
      </c>
      <c r="M53" s="1" t="s">
        <v>358</v>
      </c>
      <c r="N53" s="1" t="s">
        <v>358</v>
      </c>
    </row>
  </sheetData>
  <conditionalFormatting sqref="D4">
    <cfRule type="expression" dxfId="26" priority="1" stopIfTrue="1">
      <formula>ISBLANK(D4)</formula>
    </cfRule>
  </conditionalFormatting>
  <conditionalFormatting sqref="D8">
    <cfRule type="expression" dxfId="25" priority="2" stopIfTrue="1">
      <formula>$D$8="Date N ?"</formula>
    </cfRule>
  </conditionalFormatting>
  <conditionalFormatting sqref="E8">
    <cfRule type="expression" dxfId="24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E03B12D9-A335-48EC-B0A8-8D4123949D06}"/>
  </dataValidations>
  <hyperlinks>
    <hyperlink ref="A1" location="Sommaire!C3" display="Retour sommaire" xr:uid="{EADBED78-21F6-4B64-980A-51600500CEE5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F&amp;R&amp;"Times New Roman,Gras"&amp;10F0
&amp;P/&amp;N</oddHeader>
    <oddFooter>&amp;L&amp;"Times New Roman"&amp;10Firex Audit&amp;C&amp;"Times New Roman"&amp;10&amp;D&amp;R&amp;"Times New Roman"&amp;10Document de travail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312D-740B-4E19-A289-BFC6EBD6358C}">
  <sheetPr codeName="Feuil7">
    <pageSetUpPr fitToPage="1"/>
  </sheetPr>
  <dimension ref="A1:N12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534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207000</v>
      </c>
      <c r="C11" s="7" t="s">
        <v>62</v>
      </c>
      <c r="D11" s="2">
        <v>186.351</v>
      </c>
      <c r="E11" s="2">
        <v>186.351</v>
      </c>
      <c r="F11" s="2">
        <f>D11-E11</f>
        <v>0</v>
      </c>
      <c r="G11" s="8">
        <f>IF(E11=0,"n/a",F11/ABS(E11))</f>
        <v>0</v>
      </c>
      <c r="H11" s="17" t="str">
        <f>J11&amp;0</f>
        <v>I Incorp0</v>
      </c>
      <c r="J11" s="15" t="s">
        <v>63</v>
      </c>
      <c r="K11" s="1" t="s">
        <v>64</v>
      </c>
      <c r="L11" s="1" t="s">
        <v>64</v>
      </c>
      <c r="M11" s="1" t="s">
        <v>61</v>
      </c>
      <c r="N11" s="1" t="s">
        <v>61</v>
      </c>
    </row>
    <row r="12" spans="1:14" x14ac:dyDescent="0.15">
      <c r="A12" s="17"/>
      <c r="B12" s="7">
        <v>280800</v>
      </c>
      <c r="C12" s="7" t="s">
        <v>93</v>
      </c>
      <c r="D12" s="2">
        <v>-29.206799999999998</v>
      </c>
      <c r="E12" s="2">
        <v>-29.206799999999998</v>
      </c>
      <c r="F12" s="2">
        <f>D12-E12</f>
        <v>0</v>
      </c>
      <c r="G12" s="8">
        <f>IF(E12=0,"n/a",F12/ABS(E12))</f>
        <v>0</v>
      </c>
      <c r="H12" s="17" t="str">
        <f>J12&amp;0</f>
        <v>I Incorp0</v>
      </c>
      <c r="J12" s="15" t="s">
        <v>63</v>
      </c>
      <c r="K12" s="1" t="s">
        <v>66</v>
      </c>
      <c r="L12" s="1" t="s">
        <v>66</v>
      </c>
      <c r="M12" s="1" t="s">
        <v>61</v>
      </c>
      <c r="N12" s="1" t="s">
        <v>61</v>
      </c>
    </row>
  </sheetData>
  <conditionalFormatting sqref="D4">
    <cfRule type="expression" dxfId="23" priority="1" stopIfTrue="1">
      <formula>ISBLANK(D4)</formula>
    </cfRule>
  </conditionalFormatting>
  <conditionalFormatting sqref="D8">
    <cfRule type="expression" dxfId="22" priority="2" stopIfTrue="1">
      <formula>$D$8="Date N ?"</formula>
    </cfRule>
  </conditionalFormatting>
  <conditionalFormatting sqref="E8">
    <cfRule type="expression" dxfId="21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FEF41265-9131-4A7F-9DFB-04E6C48D4BC1}"/>
  </dataValidations>
  <hyperlinks>
    <hyperlink ref="A1" location="Sommaire!C3" display="Retour sommaire" xr:uid="{1FBBA523-9D71-402B-978C-F9A514A1A754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I Incorp&amp;R&amp;"Times New Roman,Gras"&amp;10I Incorp0
&amp;P/&amp;N</oddHeader>
    <oddFooter>&amp;L&amp;"Times New Roman"&amp;10Firex Audit&amp;C&amp;"Times New Roman"&amp;10&amp;D&amp;R&amp;"Times New Roman"&amp;10Document de travail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55FD-6F61-49A7-B84E-61726928403D}">
  <sheetPr codeName="Feuil8">
    <pageSetUpPr fitToPage="1"/>
  </sheetPr>
  <dimension ref="A1:N36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535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205000</v>
      </c>
      <c r="C11" s="7" t="s">
        <v>58</v>
      </c>
      <c r="D11" s="2">
        <v>5</v>
      </c>
      <c r="E11" s="2">
        <v>5</v>
      </c>
      <c r="F11" s="2">
        <f t="shared" ref="F11:F33" si="0">D11-E11</f>
        <v>0</v>
      </c>
      <c r="G11" s="8">
        <f t="shared" ref="G11:G33" si="1">IF(E11=0,"n/a",F11/ABS(E11))</f>
        <v>0</v>
      </c>
      <c r="H11" s="17" t="str">
        <f t="shared" ref="H11:H33" si="2">J11&amp;0</f>
        <v>I Corp0</v>
      </c>
      <c r="J11" s="15" t="s">
        <v>59</v>
      </c>
      <c r="K11" s="1" t="s">
        <v>60</v>
      </c>
      <c r="L11" s="1" t="s">
        <v>60</v>
      </c>
      <c r="M11" s="1" t="s">
        <v>61</v>
      </c>
      <c r="N11" s="1" t="s">
        <v>61</v>
      </c>
    </row>
    <row r="12" spans="1:14" x14ac:dyDescent="0.15">
      <c r="A12" s="17"/>
      <c r="B12" s="7">
        <v>208000</v>
      </c>
      <c r="C12" s="7" t="s">
        <v>65</v>
      </c>
      <c r="D12" s="2">
        <v>29.206799999999998</v>
      </c>
      <c r="E12" s="2">
        <v>29.206799999999998</v>
      </c>
      <c r="F12" s="2">
        <f t="shared" si="0"/>
        <v>0</v>
      </c>
      <c r="G12" s="8">
        <f t="shared" si="1"/>
        <v>0</v>
      </c>
      <c r="H12" s="17" t="str">
        <f t="shared" si="2"/>
        <v>I Corp0</v>
      </c>
      <c r="J12" s="15" t="s">
        <v>59</v>
      </c>
      <c r="K12" s="1" t="s">
        <v>66</v>
      </c>
      <c r="L12" s="1" t="s">
        <v>66</v>
      </c>
      <c r="M12" s="1" t="s">
        <v>61</v>
      </c>
      <c r="N12" s="1" t="s">
        <v>61</v>
      </c>
    </row>
    <row r="13" spans="1:14" x14ac:dyDescent="0.15">
      <c r="A13" s="17"/>
      <c r="B13" s="7">
        <v>213500</v>
      </c>
      <c r="C13" s="7" t="s">
        <v>67</v>
      </c>
      <c r="D13" s="2">
        <v>21</v>
      </c>
      <c r="E13" s="2">
        <v>21</v>
      </c>
      <c r="F13" s="2">
        <f t="shared" si="0"/>
        <v>0</v>
      </c>
      <c r="G13" s="8">
        <f t="shared" si="1"/>
        <v>0</v>
      </c>
      <c r="H13" s="17" t="str">
        <f t="shared" si="2"/>
        <v>I Corp0</v>
      </c>
      <c r="J13" s="15" t="s">
        <v>59</v>
      </c>
      <c r="K13" s="1" t="s">
        <v>68</v>
      </c>
      <c r="L13" s="1" t="s">
        <v>68</v>
      </c>
      <c r="M13" s="1" t="s">
        <v>61</v>
      </c>
      <c r="N13" s="1" t="s">
        <v>61</v>
      </c>
    </row>
    <row r="14" spans="1:14" x14ac:dyDescent="0.15">
      <c r="A14" s="17"/>
      <c r="B14" s="7">
        <v>214500</v>
      </c>
      <c r="C14" s="7" t="s">
        <v>69</v>
      </c>
      <c r="D14" s="2">
        <v>22.983360000000001</v>
      </c>
      <c r="E14" s="2">
        <v>22.983360000000001</v>
      </c>
      <c r="F14" s="2">
        <f t="shared" si="0"/>
        <v>0</v>
      </c>
      <c r="G14" s="8">
        <f t="shared" si="1"/>
        <v>0</v>
      </c>
      <c r="H14" s="17" t="str">
        <f t="shared" si="2"/>
        <v>I Corp0</v>
      </c>
      <c r="J14" s="15" t="s">
        <v>59</v>
      </c>
      <c r="K14" s="1" t="s">
        <v>68</v>
      </c>
      <c r="L14" s="1" t="s">
        <v>68</v>
      </c>
      <c r="M14" s="1" t="s">
        <v>61</v>
      </c>
      <c r="N14" s="1" t="s">
        <v>61</v>
      </c>
    </row>
    <row r="15" spans="1:14" x14ac:dyDescent="0.15">
      <c r="A15" s="17"/>
      <c r="B15" s="7">
        <v>215400</v>
      </c>
      <c r="C15" s="7" t="s">
        <v>70</v>
      </c>
      <c r="D15" s="2">
        <v>283.81440000000003</v>
      </c>
      <c r="E15" s="2">
        <v>255.9144</v>
      </c>
      <c r="F15" s="2">
        <f t="shared" si="0"/>
        <v>27.900000000000034</v>
      </c>
      <c r="G15" s="8">
        <f t="shared" si="1"/>
        <v>0.10902082883964338</v>
      </c>
      <c r="H15" s="17" t="str">
        <f t="shared" si="2"/>
        <v>I Corp0</v>
      </c>
      <c r="J15" s="15" t="s">
        <v>59</v>
      </c>
      <c r="K15" s="1" t="s">
        <v>71</v>
      </c>
      <c r="L15" s="1" t="s">
        <v>71</v>
      </c>
      <c r="M15" s="1" t="s">
        <v>61</v>
      </c>
      <c r="N15" s="1" t="s">
        <v>61</v>
      </c>
    </row>
    <row r="16" spans="1:14" x14ac:dyDescent="0.15">
      <c r="A16" s="17"/>
      <c r="B16" s="7">
        <v>215500</v>
      </c>
      <c r="C16" s="7" t="s">
        <v>72</v>
      </c>
      <c r="D16" s="2">
        <v>1455.241</v>
      </c>
      <c r="E16" s="2">
        <v>1378.941</v>
      </c>
      <c r="F16" s="2">
        <f t="shared" si="0"/>
        <v>76.299999999999955</v>
      </c>
      <c r="G16" s="8">
        <f t="shared" si="1"/>
        <v>5.5332316611080498E-2</v>
      </c>
      <c r="H16" s="17" t="str">
        <f t="shared" si="2"/>
        <v>I Corp0</v>
      </c>
      <c r="J16" s="15" t="s">
        <v>59</v>
      </c>
      <c r="K16" s="1" t="s">
        <v>71</v>
      </c>
      <c r="L16" s="1" t="s">
        <v>71</v>
      </c>
      <c r="M16" s="1" t="s">
        <v>61</v>
      </c>
      <c r="N16" s="1" t="s">
        <v>61</v>
      </c>
    </row>
    <row r="17" spans="1:14" x14ac:dyDescent="0.15">
      <c r="A17" s="17"/>
      <c r="B17" s="7">
        <v>215700</v>
      </c>
      <c r="C17" s="7" t="s">
        <v>73</v>
      </c>
      <c r="D17" s="2">
        <v>20.177</v>
      </c>
      <c r="E17" s="2">
        <v>20.177</v>
      </c>
      <c r="F17" s="2">
        <f t="shared" si="0"/>
        <v>0</v>
      </c>
      <c r="G17" s="8">
        <f t="shared" si="1"/>
        <v>0</v>
      </c>
      <c r="H17" s="17" t="str">
        <f t="shared" si="2"/>
        <v>I Corp0</v>
      </c>
      <c r="J17" s="15" t="s">
        <v>59</v>
      </c>
      <c r="K17" s="1" t="s">
        <v>71</v>
      </c>
      <c r="L17" s="1" t="s">
        <v>71</v>
      </c>
      <c r="M17" s="1" t="s">
        <v>61</v>
      </c>
      <c r="N17" s="1" t="s">
        <v>61</v>
      </c>
    </row>
    <row r="18" spans="1:14" x14ac:dyDescent="0.15">
      <c r="A18" s="17"/>
      <c r="B18" s="7">
        <v>218100</v>
      </c>
      <c r="C18" s="7" t="s">
        <v>74</v>
      </c>
      <c r="D18" s="2">
        <v>14.266439999999999</v>
      </c>
      <c r="E18" s="2">
        <v>9.8597999999999999</v>
      </c>
      <c r="F18" s="2">
        <f t="shared" si="0"/>
        <v>4.4066399999999994</v>
      </c>
      <c r="G18" s="8">
        <f t="shared" si="1"/>
        <v>0.44692995801131863</v>
      </c>
      <c r="H18" s="17" t="str">
        <f t="shared" si="2"/>
        <v>I Corp0</v>
      </c>
      <c r="J18" s="15" t="s">
        <v>59</v>
      </c>
      <c r="K18" s="1" t="s">
        <v>75</v>
      </c>
      <c r="L18" s="1" t="s">
        <v>75</v>
      </c>
      <c r="M18" s="1" t="s">
        <v>61</v>
      </c>
      <c r="N18" s="1" t="s">
        <v>61</v>
      </c>
    </row>
    <row r="19" spans="1:14" x14ac:dyDescent="0.15">
      <c r="A19" s="17"/>
      <c r="B19" s="7">
        <v>218200</v>
      </c>
      <c r="C19" s="7" t="s">
        <v>76</v>
      </c>
      <c r="D19" s="2">
        <v>270.53293000000008</v>
      </c>
      <c r="E19" s="2">
        <v>164.03835999999998</v>
      </c>
      <c r="F19" s="2">
        <f t="shared" si="0"/>
        <v>106.4945700000001</v>
      </c>
      <c r="G19" s="8">
        <f t="shared" si="1"/>
        <v>0.64920528344711637</v>
      </c>
      <c r="H19" s="17" t="str">
        <f t="shared" si="2"/>
        <v>I Corp0</v>
      </c>
      <c r="J19" s="15" t="s">
        <v>59</v>
      </c>
      <c r="K19" s="1" t="s">
        <v>75</v>
      </c>
      <c r="L19" s="1" t="s">
        <v>75</v>
      </c>
      <c r="M19" s="1" t="s">
        <v>61</v>
      </c>
      <c r="N19" s="1" t="s">
        <v>61</v>
      </c>
    </row>
    <row r="20" spans="1:14" x14ac:dyDescent="0.15">
      <c r="A20" s="17"/>
      <c r="B20" s="7">
        <v>218300</v>
      </c>
      <c r="C20" s="7" t="s">
        <v>77</v>
      </c>
      <c r="D20" s="2">
        <v>15.348090000000001</v>
      </c>
      <c r="E20" s="2">
        <v>15.348090000000001</v>
      </c>
      <c r="F20" s="2">
        <f t="shared" si="0"/>
        <v>0</v>
      </c>
      <c r="G20" s="8">
        <f t="shared" si="1"/>
        <v>0</v>
      </c>
      <c r="H20" s="17" t="str">
        <f t="shared" si="2"/>
        <v>I Corp0</v>
      </c>
      <c r="J20" s="15" t="s">
        <v>59</v>
      </c>
      <c r="K20" s="1" t="s">
        <v>75</v>
      </c>
      <c r="L20" s="1" t="s">
        <v>75</v>
      </c>
      <c r="M20" s="1" t="s">
        <v>61</v>
      </c>
      <c r="N20" s="1" t="s">
        <v>61</v>
      </c>
    </row>
    <row r="21" spans="1:14" x14ac:dyDescent="0.15">
      <c r="A21" s="17"/>
      <c r="B21" s="7">
        <v>218320</v>
      </c>
      <c r="C21" s="7" t="s">
        <v>78</v>
      </c>
      <c r="D21" s="2">
        <v>95.164029999999997</v>
      </c>
      <c r="E21" s="2">
        <v>95.164029999999983</v>
      </c>
      <c r="F21" s="2">
        <f t="shared" si="0"/>
        <v>0</v>
      </c>
      <c r="G21" s="8">
        <f t="shared" si="1"/>
        <v>0</v>
      </c>
      <c r="H21" s="17" t="str">
        <f t="shared" si="2"/>
        <v>I Corp0</v>
      </c>
      <c r="J21" s="15" t="s">
        <v>59</v>
      </c>
      <c r="K21" s="1" t="s">
        <v>75</v>
      </c>
      <c r="L21" s="1" t="s">
        <v>75</v>
      </c>
      <c r="M21" s="1" t="s">
        <v>61</v>
      </c>
      <c r="N21" s="1" t="s">
        <v>61</v>
      </c>
    </row>
    <row r="22" spans="1:14" x14ac:dyDescent="0.15">
      <c r="A22" s="17"/>
      <c r="B22" s="7">
        <v>218400</v>
      </c>
      <c r="C22" s="7" t="s">
        <v>79</v>
      </c>
      <c r="D22" s="2">
        <v>18.892910000000001</v>
      </c>
      <c r="E22" s="2">
        <v>7.9241200000000003</v>
      </c>
      <c r="F22" s="2">
        <f t="shared" si="0"/>
        <v>10.96879</v>
      </c>
      <c r="G22" s="8">
        <f t="shared" si="1"/>
        <v>1.3842281540410797</v>
      </c>
      <c r="H22" s="17" t="str">
        <f t="shared" si="2"/>
        <v>I Corp0</v>
      </c>
      <c r="J22" s="15" t="s">
        <v>59</v>
      </c>
      <c r="K22" s="1" t="s">
        <v>75</v>
      </c>
      <c r="L22" s="1" t="s">
        <v>75</v>
      </c>
      <c r="M22" s="1" t="s">
        <v>61</v>
      </c>
      <c r="N22" s="1" t="s">
        <v>61</v>
      </c>
    </row>
    <row r="23" spans="1:14" x14ac:dyDescent="0.15">
      <c r="A23" s="17"/>
      <c r="B23" s="7">
        <v>238500</v>
      </c>
      <c r="C23" s="7" t="s">
        <v>80</v>
      </c>
      <c r="D23" s="2">
        <v>0</v>
      </c>
      <c r="E23" s="2">
        <v>17.37</v>
      </c>
      <c r="F23" s="2">
        <f t="shared" si="0"/>
        <v>-17.37</v>
      </c>
      <c r="G23" s="8">
        <f t="shared" si="1"/>
        <v>-1</v>
      </c>
      <c r="H23" s="17" t="str">
        <f t="shared" si="2"/>
        <v>I Corp0</v>
      </c>
      <c r="J23" s="15" t="s">
        <v>59</v>
      </c>
      <c r="K23" s="1" t="s">
        <v>81</v>
      </c>
      <c r="L23" s="1" t="s">
        <v>81</v>
      </c>
      <c r="M23" s="1" t="s">
        <v>61</v>
      </c>
      <c r="N23" s="1" t="s">
        <v>61</v>
      </c>
    </row>
    <row r="24" spans="1:14" x14ac:dyDescent="0.15">
      <c r="A24" s="17"/>
      <c r="B24" s="7">
        <v>281350</v>
      </c>
      <c r="C24" s="7" t="s">
        <v>94</v>
      </c>
      <c r="D24" s="2">
        <v>-21</v>
      </c>
      <c r="E24" s="2">
        <v>-21</v>
      </c>
      <c r="F24" s="2">
        <f t="shared" si="0"/>
        <v>0</v>
      </c>
      <c r="G24" s="8">
        <f t="shared" si="1"/>
        <v>0</v>
      </c>
      <c r="H24" s="17" t="str">
        <f t="shared" si="2"/>
        <v>I Corp0</v>
      </c>
      <c r="J24" s="15" t="s">
        <v>59</v>
      </c>
      <c r="K24" s="1" t="s">
        <v>68</v>
      </c>
      <c r="L24" s="1" t="s">
        <v>68</v>
      </c>
      <c r="M24" s="1" t="s">
        <v>61</v>
      </c>
      <c r="N24" s="1" t="s">
        <v>61</v>
      </c>
    </row>
    <row r="25" spans="1:14" x14ac:dyDescent="0.15">
      <c r="A25" s="17"/>
      <c r="B25" s="7">
        <v>281450</v>
      </c>
      <c r="C25" s="7" t="s">
        <v>95</v>
      </c>
      <c r="D25" s="2">
        <v>-22.906479999999998</v>
      </c>
      <c r="E25" s="2">
        <v>-21.27169</v>
      </c>
      <c r="F25" s="2">
        <f t="shared" si="0"/>
        <v>-1.6347899999999989</v>
      </c>
      <c r="G25" s="8">
        <f t="shared" si="1"/>
        <v>-7.6852849961615594E-2</v>
      </c>
      <c r="H25" s="17" t="str">
        <f t="shared" si="2"/>
        <v>I Corp0</v>
      </c>
      <c r="J25" s="15" t="s">
        <v>59</v>
      </c>
      <c r="K25" s="1" t="s">
        <v>68</v>
      </c>
      <c r="L25" s="1" t="s">
        <v>68</v>
      </c>
      <c r="M25" s="1" t="s">
        <v>61</v>
      </c>
      <c r="N25" s="1" t="s">
        <v>61</v>
      </c>
    </row>
    <row r="26" spans="1:14" x14ac:dyDescent="0.15">
      <c r="A26" s="17"/>
      <c r="B26" s="7">
        <v>281540</v>
      </c>
      <c r="C26" s="7" t="s">
        <v>96</v>
      </c>
      <c r="D26" s="2">
        <v>-143.83132000000001</v>
      </c>
      <c r="E26" s="2">
        <v>-60.784730000000003</v>
      </c>
      <c r="F26" s="2">
        <f t="shared" si="0"/>
        <v>-83.046590000000009</v>
      </c>
      <c r="G26" s="8">
        <f t="shared" si="1"/>
        <v>-1.3662409950657015</v>
      </c>
      <c r="H26" s="17" t="str">
        <f t="shared" si="2"/>
        <v>I Corp0</v>
      </c>
      <c r="J26" s="15" t="s">
        <v>59</v>
      </c>
      <c r="K26" s="1" t="s">
        <v>71</v>
      </c>
      <c r="L26" s="1" t="s">
        <v>71</v>
      </c>
      <c r="M26" s="1" t="s">
        <v>61</v>
      </c>
      <c r="N26" s="1" t="s">
        <v>61</v>
      </c>
    </row>
    <row r="27" spans="1:14" x14ac:dyDescent="0.15">
      <c r="A27" s="17"/>
      <c r="B27" s="7">
        <v>281550</v>
      </c>
      <c r="C27" s="7" t="s">
        <v>97</v>
      </c>
      <c r="D27" s="2">
        <v>-1282.46171</v>
      </c>
      <c r="E27" s="2">
        <v>-1023.3542100000001</v>
      </c>
      <c r="F27" s="2">
        <f t="shared" si="0"/>
        <v>-259.10749999999996</v>
      </c>
      <c r="G27" s="8">
        <f t="shared" si="1"/>
        <v>-0.25319434607104407</v>
      </c>
      <c r="H27" s="17" t="str">
        <f t="shared" si="2"/>
        <v>I Corp0</v>
      </c>
      <c r="J27" s="15" t="s">
        <v>59</v>
      </c>
      <c r="K27" s="1" t="s">
        <v>71</v>
      </c>
      <c r="L27" s="1" t="s">
        <v>71</v>
      </c>
      <c r="M27" s="1" t="s">
        <v>61</v>
      </c>
      <c r="N27" s="1" t="s">
        <v>61</v>
      </c>
    </row>
    <row r="28" spans="1:14" x14ac:dyDescent="0.15">
      <c r="A28" s="17"/>
      <c r="B28" s="7">
        <v>281570</v>
      </c>
      <c r="C28" s="7" t="s">
        <v>98</v>
      </c>
      <c r="D28" s="2">
        <v>-20.177</v>
      </c>
      <c r="E28" s="2">
        <v>-20.177</v>
      </c>
      <c r="F28" s="2">
        <f t="shared" si="0"/>
        <v>0</v>
      </c>
      <c r="G28" s="8">
        <f t="shared" si="1"/>
        <v>0</v>
      </c>
      <c r="H28" s="17" t="str">
        <f t="shared" si="2"/>
        <v>I Corp0</v>
      </c>
      <c r="J28" s="15" t="s">
        <v>59</v>
      </c>
      <c r="K28" s="1" t="s">
        <v>71</v>
      </c>
      <c r="L28" s="1" t="s">
        <v>71</v>
      </c>
      <c r="M28" s="1" t="s">
        <v>61</v>
      </c>
      <c r="N28" s="1" t="s">
        <v>61</v>
      </c>
    </row>
    <row r="29" spans="1:14" x14ac:dyDescent="0.15">
      <c r="A29" s="17"/>
      <c r="B29" s="7">
        <v>281810</v>
      </c>
      <c r="C29" s="7" t="s">
        <v>99</v>
      </c>
      <c r="D29" s="2">
        <v>-8.8409399999999998</v>
      </c>
      <c r="E29" s="2">
        <v>-7.0522699999999992</v>
      </c>
      <c r="F29" s="2">
        <f t="shared" si="0"/>
        <v>-1.7886700000000006</v>
      </c>
      <c r="G29" s="8">
        <f t="shared" si="1"/>
        <v>-0.25363039134916854</v>
      </c>
      <c r="H29" s="17" t="str">
        <f t="shared" si="2"/>
        <v>I Corp0</v>
      </c>
      <c r="J29" s="15" t="s">
        <v>59</v>
      </c>
      <c r="K29" s="1" t="s">
        <v>75</v>
      </c>
      <c r="L29" s="1" t="s">
        <v>75</v>
      </c>
      <c r="M29" s="1" t="s">
        <v>61</v>
      </c>
      <c r="N29" s="1" t="s">
        <v>61</v>
      </c>
    </row>
    <row r="30" spans="1:14" x14ac:dyDescent="0.15">
      <c r="A30" s="17"/>
      <c r="B30" s="7">
        <v>281820</v>
      </c>
      <c r="C30" s="7" t="s">
        <v>100</v>
      </c>
      <c r="D30" s="2">
        <v>-114.1754</v>
      </c>
      <c r="E30" s="2">
        <v>-107.83111</v>
      </c>
      <c r="F30" s="2">
        <f t="shared" si="0"/>
        <v>-6.3442900000000009</v>
      </c>
      <c r="G30" s="8">
        <f t="shared" si="1"/>
        <v>-5.8835432557450267E-2</v>
      </c>
      <c r="H30" s="17" t="str">
        <f t="shared" si="2"/>
        <v>I Corp0</v>
      </c>
      <c r="J30" s="15" t="s">
        <v>59</v>
      </c>
      <c r="K30" s="1" t="s">
        <v>75</v>
      </c>
      <c r="L30" s="1" t="s">
        <v>75</v>
      </c>
      <c r="M30" s="1" t="s">
        <v>61</v>
      </c>
      <c r="N30" s="1" t="s">
        <v>61</v>
      </c>
    </row>
    <row r="31" spans="1:14" x14ac:dyDescent="0.15">
      <c r="A31" s="17"/>
      <c r="B31" s="7">
        <v>281830</v>
      </c>
      <c r="C31" s="7" t="s">
        <v>101</v>
      </c>
      <c r="D31" s="2">
        <v>-15.348090000000001</v>
      </c>
      <c r="E31" s="2">
        <v>-15.348090000000001</v>
      </c>
      <c r="F31" s="2">
        <f t="shared" si="0"/>
        <v>0</v>
      </c>
      <c r="G31" s="8">
        <f t="shared" si="1"/>
        <v>0</v>
      </c>
      <c r="H31" s="17" t="str">
        <f t="shared" si="2"/>
        <v>I Corp0</v>
      </c>
      <c r="J31" s="15" t="s">
        <v>59</v>
      </c>
      <c r="K31" s="1" t="s">
        <v>75</v>
      </c>
      <c r="L31" s="1" t="s">
        <v>75</v>
      </c>
      <c r="M31" s="1" t="s">
        <v>61</v>
      </c>
      <c r="N31" s="1" t="s">
        <v>61</v>
      </c>
    </row>
    <row r="32" spans="1:14" x14ac:dyDescent="0.15">
      <c r="A32" s="17"/>
      <c r="B32" s="7">
        <v>281832</v>
      </c>
      <c r="C32" s="7" t="s">
        <v>102</v>
      </c>
      <c r="D32" s="2">
        <v>-59.420789999999997</v>
      </c>
      <c r="E32" s="2">
        <v>-35.248699999999999</v>
      </c>
      <c r="F32" s="2">
        <f t="shared" si="0"/>
        <v>-24.172089999999997</v>
      </c>
      <c r="G32" s="8">
        <f t="shared" si="1"/>
        <v>-0.68575834002388736</v>
      </c>
      <c r="H32" s="17" t="str">
        <f t="shared" si="2"/>
        <v>I Corp0</v>
      </c>
      <c r="J32" s="15" t="s">
        <v>59</v>
      </c>
      <c r="K32" s="1" t="s">
        <v>75</v>
      </c>
      <c r="L32" s="1" t="s">
        <v>75</v>
      </c>
      <c r="M32" s="1" t="s">
        <v>61</v>
      </c>
      <c r="N32" s="1" t="s">
        <v>61</v>
      </c>
    </row>
    <row r="33" spans="1:14" x14ac:dyDescent="0.15">
      <c r="A33" s="17"/>
      <c r="B33" s="7">
        <v>281840</v>
      </c>
      <c r="C33" s="7" t="s">
        <v>103</v>
      </c>
      <c r="D33" s="2">
        <v>-9.2463499999999996</v>
      </c>
      <c r="E33" s="2">
        <v>-7.9241200000000003</v>
      </c>
      <c r="F33" s="2">
        <f t="shared" si="0"/>
        <v>-1.3222299999999994</v>
      </c>
      <c r="G33" s="8">
        <f t="shared" si="1"/>
        <v>-0.16686143066990394</v>
      </c>
      <c r="H33" s="17" t="str">
        <f t="shared" si="2"/>
        <v>I Corp0</v>
      </c>
      <c r="J33" s="15" t="s">
        <v>59</v>
      </c>
      <c r="K33" s="1" t="s">
        <v>75</v>
      </c>
      <c r="L33" s="1" t="s">
        <v>75</v>
      </c>
      <c r="M33" s="1" t="s">
        <v>61</v>
      </c>
      <c r="N33" s="1" t="s">
        <v>61</v>
      </c>
    </row>
    <row r="34" spans="1:14" x14ac:dyDescent="0.15">
      <c r="A34" s="17"/>
      <c r="B34" s="7"/>
      <c r="C34" s="7"/>
      <c r="D34" s="2"/>
      <c r="E34" s="2"/>
      <c r="F34" s="2"/>
      <c r="G34" s="8"/>
      <c r="H34" s="17"/>
    </row>
    <row r="35" spans="1:14" s="12" customFormat="1" ht="13.5" customHeight="1" x14ac:dyDescent="0.15">
      <c r="A35" s="17"/>
      <c r="B35" s="21" t="s">
        <v>528</v>
      </c>
      <c r="C35" s="21"/>
      <c r="D35" s="19"/>
      <c r="E35" s="19"/>
      <c r="F35" s="19"/>
      <c r="G35" s="22"/>
      <c r="H35" s="17"/>
      <c r="J35" s="16"/>
    </row>
    <row r="36" spans="1:14" x14ac:dyDescent="0.15">
      <c r="A36" s="17"/>
      <c r="B36" s="7">
        <v>681120</v>
      </c>
      <c r="C36" s="7" t="s">
        <v>346</v>
      </c>
      <c r="D36" s="2">
        <v>399.79007000000001</v>
      </c>
      <c r="E36" s="2">
        <v>302.87905000000001</v>
      </c>
      <c r="F36" s="2">
        <f>D36-E36</f>
        <v>96.911020000000008</v>
      </c>
      <c r="G36" s="8">
        <f>IF(E36=0,"n/a",F36/ABS(E36))</f>
        <v>0.31996607226548024</v>
      </c>
      <c r="H36" s="17" t="str">
        <f>J36&amp;0</f>
        <v>I Corp0</v>
      </c>
      <c r="J36" s="15" t="s">
        <v>59</v>
      </c>
      <c r="K36" s="1" t="s">
        <v>347</v>
      </c>
      <c r="L36" s="1" t="s">
        <v>347</v>
      </c>
      <c r="M36" s="1" t="s">
        <v>213</v>
      </c>
      <c r="N36" s="1" t="s">
        <v>213</v>
      </c>
    </row>
  </sheetData>
  <conditionalFormatting sqref="D4">
    <cfRule type="expression" dxfId="20" priority="1" stopIfTrue="1">
      <formula>ISBLANK(D4)</formula>
    </cfRule>
  </conditionalFormatting>
  <conditionalFormatting sqref="D8">
    <cfRule type="expression" dxfId="19" priority="2" stopIfTrue="1">
      <formula>$D$8="Date N ?"</formula>
    </cfRule>
  </conditionalFormatting>
  <conditionalFormatting sqref="E8">
    <cfRule type="expression" dxfId="18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B5EE7636-D725-4CB7-8698-39316EA31E02}"/>
  </dataValidations>
  <hyperlinks>
    <hyperlink ref="A1" location="Sommaire!C3" display="Retour sommaire" xr:uid="{A60176CA-9C47-4A2E-91CB-B19744E80092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I Corp&amp;R&amp;"Times New Roman,Gras"&amp;10I Corp0
&amp;P/&amp;N</oddHeader>
    <oddFooter>&amp;L&amp;"Times New Roman"&amp;10Firex Audit&amp;C&amp;"Times New Roman"&amp;10&amp;D&amp;R&amp;"Times New Roman"&amp;10Document de travail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2386-64F0-4AA8-8DD1-26F7CD8116B5}">
  <sheetPr codeName="Feuil9">
    <pageSetUpPr fitToPage="1"/>
  </sheetPr>
  <dimension ref="A1:N16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536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261000</v>
      </c>
      <c r="C11" s="7" t="s">
        <v>82</v>
      </c>
      <c r="D11" s="2">
        <v>3283.9037599999997</v>
      </c>
      <c r="E11" s="2">
        <v>380.03975000000003</v>
      </c>
      <c r="F11" s="2">
        <f t="shared" ref="F11:F16" si="0">D11-E11</f>
        <v>2903.8640099999998</v>
      </c>
      <c r="G11" s="8">
        <f t="shared" ref="G11:G16" si="1">IF(E11=0,"n/a",F11/ABS(E11))</f>
        <v>7.6409481113488775</v>
      </c>
      <c r="H11" s="17" t="str">
        <f t="shared" ref="H11:H16" si="2">J11&amp;0</f>
        <v>I Fi0</v>
      </c>
      <c r="J11" s="15" t="s">
        <v>83</v>
      </c>
      <c r="K11" s="1" t="s">
        <v>84</v>
      </c>
      <c r="L11" s="1" t="s">
        <v>84</v>
      </c>
      <c r="M11" s="1" t="s">
        <v>61</v>
      </c>
      <c r="N11" s="1" t="s">
        <v>61</v>
      </c>
    </row>
    <row r="12" spans="1:14" x14ac:dyDescent="0.15">
      <c r="A12" s="17"/>
      <c r="B12" s="7">
        <v>274301</v>
      </c>
      <c r="C12" s="7" t="s">
        <v>85</v>
      </c>
      <c r="D12" s="2">
        <v>0</v>
      </c>
      <c r="E12" s="2">
        <v>0</v>
      </c>
      <c r="F12" s="2">
        <f t="shared" si="0"/>
        <v>0</v>
      </c>
      <c r="G12" s="8" t="str">
        <f t="shared" si="1"/>
        <v>n/a</v>
      </c>
      <c r="H12" s="17" t="str">
        <f t="shared" si="2"/>
        <v>I Fi0</v>
      </c>
      <c r="J12" s="15" t="s">
        <v>83</v>
      </c>
      <c r="K12" s="1" t="s">
        <v>86</v>
      </c>
      <c r="L12" s="1" t="s">
        <v>86</v>
      </c>
      <c r="M12" s="1" t="s">
        <v>61</v>
      </c>
      <c r="N12" s="1" t="s">
        <v>61</v>
      </c>
    </row>
    <row r="13" spans="1:14" x14ac:dyDescent="0.15">
      <c r="A13" s="17"/>
      <c r="B13" s="7">
        <v>274303</v>
      </c>
      <c r="C13" s="7" t="s">
        <v>87</v>
      </c>
      <c r="D13" s="2">
        <v>72.593999999999994</v>
      </c>
      <c r="E13" s="2">
        <v>78.396000000000001</v>
      </c>
      <c r="F13" s="2">
        <f t="shared" si="0"/>
        <v>-5.8020000000000067</v>
      </c>
      <c r="G13" s="8">
        <f t="shared" si="1"/>
        <v>-7.4008878003979886E-2</v>
      </c>
      <c r="H13" s="17" t="str">
        <f t="shared" si="2"/>
        <v>I Fi0</v>
      </c>
      <c r="J13" s="15" t="s">
        <v>83</v>
      </c>
      <c r="K13" s="1" t="s">
        <v>86</v>
      </c>
      <c r="L13" s="1" t="s">
        <v>86</v>
      </c>
      <c r="M13" s="1" t="s">
        <v>61</v>
      </c>
      <c r="N13" s="1" t="s">
        <v>61</v>
      </c>
    </row>
    <row r="14" spans="1:14" x14ac:dyDescent="0.15">
      <c r="A14" s="17"/>
      <c r="B14" s="7">
        <v>274800</v>
      </c>
      <c r="C14" s="7" t="s">
        <v>88</v>
      </c>
      <c r="D14" s="2">
        <v>104.09321000000001</v>
      </c>
      <c r="E14" s="2">
        <v>104.09321000000001</v>
      </c>
      <c r="F14" s="2">
        <f t="shared" si="0"/>
        <v>0</v>
      </c>
      <c r="G14" s="8">
        <f t="shared" si="1"/>
        <v>0</v>
      </c>
      <c r="H14" s="17" t="str">
        <f t="shared" si="2"/>
        <v>I Fi0</v>
      </c>
      <c r="J14" s="15" t="s">
        <v>83</v>
      </c>
      <c r="K14" s="1" t="s">
        <v>86</v>
      </c>
      <c r="L14" s="1" t="s">
        <v>86</v>
      </c>
      <c r="M14" s="1" t="s">
        <v>61</v>
      </c>
      <c r="N14" s="1" t="s">
        <v>61</v>
      </c>
    </row>
    <row r="15" spans="1:14" x14ac:dyDescent="0.15">
      <c r="A15" s="17"/>
      <c r="B15" s="7">
        <v>275000</v>
      </c>
      <c r="C15" s="7" t="s">
        <v>89</v>
      </c>
      <c r="D15" s="2">
        <v>36.68403</v>
      </c>
      <c r="E15" s="2">
        <v>36.68403</v>
      </c>
      <c r="F15" s="2">
        <f t="shared" si="0"/>
        <v>0</v>
      </c>
      <c r="G15" s="8">
        <f t="shared" si="1"/>
        <v>0</v>
      </c>
      <c r="H15" s="17" t="str">
        <f t="shared" si="2"/>
        <v>I Fi0</v>
      </c>
      <c r="J15" s="15" t="s">
        <v>83</v>
      </c>
      <c r="K15" s="1" t="s">
        <v>90</v>
      </c>
      <c r="L15" s="1" t="s">
        <v>90</v>
      </c>
      <c r="M15" s="1" t="s">
        <v>61</v>
      </c>
      <c r="N15" s="1" t="s">
        <v>61</v>
      </c>
    </row>
    <row r="16" spans="1:14" x14ac:dyDescent="0.15">
      <c r="A16" s="17"/>
      <c r="B16" s="7">
        <v>277100</v>
      </c>
      <c r="C16" s="7" t="s">
        <v>91</v>
      </c>
      <c r="D16" s="2">
        <v>435.32100000000003</v>
      </c>
      <c r="E16" s="2">
        <v>0</v>
      </c>
      <c r="F16" s="2">
        <f t="shared" si="0"/>
        <v>435.32100000000003</v>
      </c>
      <c r="G16" s="8" t="str">
        <f t="shared" si="1"/>
        <v>n/a</v>
      </c>
      <c r="H16" s="17" t="str">
        <f t="shared" si="2"/>
        <v>I Fi0</v>
      </c>
      <c r="J16" s="15" t="s">
        <v>83</v>
      </c>
      <c r="K16" s="1" t="s">
        <v>92</v>
      </c>
      <c r="L16" s="1" t="s">
        <v>92</v>
      </c>
      <c r="M16" s="1" t="s">
        <v>61</v>
      </c>
      <c r="N16" s="1" t="s">
        <v>61</v>
      </c>
    </row>
  </sheetData>
  <conditionalFormatting sqref="D4">
    <cfRule type="expression" dxfId="17" priority="1" stopIfTrue="1">
      <formula>ISBLANK(D4)</formula>
    </cfRule>
  </conditionalFormatting>
  <conditionalFormatting sqref="D8">
    <cfRule type="expression" dxfId="16" priority="2" stopIfTrue="1">
      <formula>$D$8="Date N ?"</formula>
    </cfRule>
  </conditionalFormatting>
  <conditionalFormatting sqref="E8">
    <cfRule type="expression" dxfId="15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8F6C0CB9-2680-45F0-87BE-19A37D5B4D53}"/>
  </dataValidations>
  <hyperlinks>
    <hyperlink ref="A1" location="Sommaire!C3" display="Retour sommaire" xr:uid="{7CE6C7E9-37A1-41D5-A51F-F92A881724DE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I Fi&amp;R&amp;"Times New Roman,Gras"&amp;10I Fi0
&amp;P/&amp;N</oddHeader>
    <oddFooter>&amp;L&amp;"Times New Roman"&amp;10Firex Audit&amp;C&amp;"Times New Roman"&amp;10&amp;D&amp;R&amp;"Times New Roman"&amp;10Document de travail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99E4-FC14-45E1-9763-B6D8A8544AE4}">
  <sheetPr codeName="Feuil10">
    <pageSetUpPr fitToPage="1"/>
  </sheetPr>
  <dimension ref="A1:N50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537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425000</v>
      </c>
      <c r="C11" s="7" t="s">
        <v>140</v>
      </c>
      <c r="D11" s="2">
        <v>0</v>
      </c>
      <c r="E11" s="2">
        <v>-3</v>
      </c>
      <c r="F11" s="2">
        <f>D11-E11</f>
        <v>3</v>
      </c>
      <c r="G11" s="8">
        <f>IF(E11=0,"n/a",F11/ABS(E11))</f>
        <v>1</v>
      </c>
      <c r="H11" s="17" t="str">
        <f>J11&amp;0</f>
        <v>P0</v>
      </c>
      <c r="J11" s="15" t="s">
        <v>136</v>
      </c>
      <c r="K11" s="1" t="s">
        <v>138</v>
      </c>
      <c r="L11" s="1" t="s">
        <v>137</v>
      </c>
      <c r="M11" s="1" t="s">
        <v>61</v>
      </c>
      <c r="N11" s="1" t="s">
        <v>37</v>
      </c>
    </row>
    <row r="12" spans="1:14" x14ac:dyDescent="0.15">
      <c r="A12" s="17"/>
      <c r="B12" s="7">
        <v>428600</v>
      </c>
      <c r="C12" s="7" t="s">
        <v>143</v>
      </c>
      <c r="D12" s="2">
        <v>1.643</v>
      </c>
      <c r="E12" s="2">
        <v>-4.008</v>
      </c>
      <c r="F12" s="2">
        <f>D12-E12</f>
        <v>5.6509999999999998</v>
      </c>
      <c r="G12" s="8">
        <f>IF(E12=0,"n/a",F12/ABS(E12))</f>
        <v>1.4099301397205588</v>
      </c>
      <c r="H12" s="17" t="str">
        <f>J12&amp;0</f>
        <v>P0</v>
      </c>
      <c r="J12" s="15" t="s">
        <v>136</v>
      </c>
      <c r="K12" s="1" t="s">
        <v>138</v>
      </c>
      <c r="L12" s="1" t="s">
        <v>137</v>
      </c>
      <c r="M12" s="1" t="s">
        <v>61</v>
      </c>
      <c r="N12" s="1" t="s">
        <v>37</v>
      </c>
    </row>
    <row r="13" spans="1:14" x14ac:dyDescent="0.15">
      <c r="A13" s="17"/>
      <c r="B13" s="7">
        <v>438700</v>
      </c>
      <c r="C13" s="7" t="s">
        <v>153</v>
      </c>
      <c r="D13" s="2">
        <v>17.231150000000003</v>
      </c>
      <c r="E13" s="2">
        <v>4.2520999999999995</v>
      </c>
      <c r="F13" s="2">
        <f>D13-E13</f>
        <v>12.979050000000004</v>
      </c>
      <c r="G13" s="8">
        <f>IF(E13=0,"n/a",F13/ABS(E13))</f>
        <v>3.0523858799181594</v>
      </c>
      <c r="H13" s="17" t="str">
        <f>J13&amp;0</f>
        <v>P0</v>
      </c>
      <c r="J13" s="15" t="s">
        <v>136</v>
      </c>
      <c r="K13" s="1" t="s">
        <v>138</v>
      </c>
      <c r="L13" s="1" t="s">
        <v>138</v>
      </c>
      <c r="M13" s="1" t="s">
        <v>61</v>
      </c>
      <c r="N13" s="1" t="s">
        <v>61</v>
      </c>
    </row>
    <row r="14" spans="1:14" x14ac:dyDescent="0.15">
      <c r="A14" s="17"/>
      <c r="B14" s="7"/>
      <c r="C14" s="7"/>
      <c r="D14" s="2"/>
      <c r="E14" s="2"/>
      <c r="F14" s="2"/>
      <c r="G14" s="8"/>
      <c r="H14" s="17"/>
    </row>
    <row r="15" spans="1:14" s="12" customFormat="1" ht="13.5" customHeight="1" x14ac:dyDescent="0.15">
      <c r="A15" s="17"/>
      <c r="B15" s="21" t="s">
        <v>433</v>
      </c>
      <c r="C15" s="21"/>
      <c r="D15" s="19"/>
      <c r="E15" s="19"/>
      <c r="F15" s="19"/>
      <c r="G15" s="22"/>
      <c r="H15" s="17"/>
      <c r="J15" s="16"/>
    </row>
    <row r="16" spans="1:14" x14ac:dyDescent="0.15">
      <c r="A16" s="17"/>
      <c r="B16" s="7">
        <v>421000</v>
      </c>
      <c r="C16" s="7" t="s">
        <v>135</v>
      </c>
      <c r="D16" s="2">
        <v>1.7528499999999767</v>
      </c>
      <c r="E16" s="2">
        <v>0</v>
      </c>
      <c r="F16" s="2">
        <f t="shared" ref="F16:F28" si="0">D16-E16</f>
        <v>1.7528499999999767</v>
      </c>
      <c r="G16" s="8" t="str">
        <f t="shared" ref="G16:G28" si="1">IF(E16=0,"n/a",F16/ABS(E16))</f>
        <v>n/a</v>
      </c>
      <c r="H16" s="17" t="str">
        <f t="shared" ref="H16:H28" si="2">J16&amp;0</f>
        <v>P0</v>
      </c>
      <c r="J16" s="15" t="s">
        <v>136</v>
      </c>
      <c r="K16" s="1" t="s">
        <v>137</v>
      </c>
      <c r="L16" s="1" t="s">
        <v>138</v>
      </c>
      <c r="M16" s="1" t="s">
        <v>37</v>
      </c>
      <c r="N16" s="1" t="s">
        <v>61</v>
      </c>
    </row>
    <row r="17" spans="1:14" x14ac:dyDescent="0.15">
      <c r="A17" s="17"/>
      <c r="B17" s="7">
        <v>423100</v>
      </c>
      <c r="C17" s="7" t="s">
        <v>139</v>
      </c>
      <c r="D17" s="2">
        <v>7.6665600000000271</v>
      </c>
      <c r="E17" s="2">
        <v>-1.1299999999999988</v>
      </c>
      <c r="F17" s="2">
        <f t="shared" si="0"/>
        <v>8.7965600000000261</v>
      </c>
      <c r="G17" s="8">
        <f t="shared" si="1"/>
        <v>7.7845663716814473</v>
      </c>
      <c r="H17" s="17" t="str">
        <f t="shared" si="2"/>
        <v>P0</v>
      </c>
      <c r="J17" s="15" t="s">
        <v>136</v>
      </c>
      <c r="K17" s="1" t="s">
        <v>137</v>
      </c>
      <c r="L17" s="1" t="s">
        <v>138</v>
      </c>
      <c r="M17" s="1" t="s">
        <v>37</v>
      </c>
      <c r="N17" s="1" t="s">
        <v>61</v>
      </c>
    </row>
    <row r="18" spans="1:14" x14ac:dyDescent="0.15">
      <c r="A18" s="17"/>
      <c r="B18" s="7">
        <v>428200</v>
      </c>
      <c r="C18" s="7" t="s">
        <v>141</v>
      </c>
      <c r="D18" s="2">
        <v>88.017080000000021</v>
      </c>
      <c r="E18" s="2">
        <v>76.689499999999995</v>
      </c>
      <c r="F18" s="2">
        <f t="shared" si="0"/>
        <v>11.327580000000026</v>
      </c>
      <c r="G18" s="8">
        <f t="shared" si="1"/>
        <v>0.14770705246480975</v>
      </c>
      <c r="H18" s="17" t="str">
        <f t="shared" si="2"/>
        <v>P0</v>
      </c>
      <c r="J18" s="15" t="s">
        <v>136</v>
      </c>
      <c r="K18" s="1" t="s">
        <v>137</v>
      </c>
      <c r="L18" s="1" t="s">
        <v>137</v>
      </c>
      <c r="M18" s="1" t="s">
        <v>37</v>
      </c>
      <c r="N18" s="1" t="s">
        <v>37</v>
      </c>
    </row>
    <row r="19" spans="1:14" x14ac:dyDescent="0.15">
      <c r="A19" s="17"/>
      <c r="B19" s="7">
        <v>428210</v>
      </c>
      <c r="C19" s="7" t="s">
        <v>142</v>
      </c>
      <c r="D19" s="2">
        <v>3.5</v>
      </c>
      <c r="E19" s="2">
        <v>0</v>
      </c>
      <c r="F19" s="2">
        <f t="shared" si="0"/>
        <v>3.5</v>
      </c>
      <c r="G19" s="8" t="str">
        <f t="shared" si="1"/>
        <v>n/a</v>
      </c>
      <c r="H19" s="17" t="str">
        <f t="shared" si="2"/>
        <v>P0</v>
      </c>
      <c r="J19" s="15" t="s">
        <v>136</v>
      </c>
      <c r="K19" s="1" t="s">
        <v>137</v>
      </c>
      <c r="L19" s="1" t="s">
        <v>138</v>
      </c>
      <c r="M19" s="1" t="s">
        <v>37</v>
      </c>
      <c r="N19" s="1" t="s">
        <v>61</v>
      </c>
    </row>
    <row r="20" spans="1:14" x14ac:dyDescent="0.15">
      <c r="A20" s="17"/>
      <c r="B20" s="7">
        <v>431000</v>
      </c>
      <c r="C20" s="7" t="s">
        <v>144</v>
      </c>
      <c r="D20" s="2">
        <v>67.699579999999955</v>
      </c>
      <c r="E20" s="2">
        <v>14.999240000000002</v>
      </c>
      <c r="F20" s="2">
        <f t="shared" si="0"/>
        <v>52.700339999999954</v>
      </c>
      <c r="G20" s="8">
        <f t="shared" si="1"/>
        <v>3.5135340190569622</v>
      </c>
      <c r="H20" s="17" t="str">
        <f t="shared" si="2"/>
        <v>P0</v>
      </c>
      <c r="J20" s="15" t="s">
        <v>136</v>
      </c>
      <c r="K20" s="1" t="s">
        <v>137</v>
      </c>
      <c r="L20" s="1" t="s">
        <v>137</v>
      </c>
      <c r="M20" s="1" t="s">
        <v>37</v>
      </c>
      <c r="N20" s="1" t="s">
        <v>37</v>
      </c>
    </row>
    <row r="21" spans="1:14" x14ac:dyDescent="0.15">
      <c r="A21" s="17"/>
      <c r="B21" s="7">
        <v>437000</v>
      </c>
      <c r="C21" s="7" t="s">
        <v>145</v>
      </c>
      <c r="D21" s="2">
        <v>19.427200000000013</v>
      </c>
      <c r="E21" s="2">
        <v>12.948040000000001</v>
      </c>
      <c r="F21" s="2">
        <f t="shared" si="0"/>
        <v>6.4791600000000127</v>
      </c>
      <c r="G21" s="8">
        <f t="shared" si="1"/>
        <v>0.50039697127905169</v>
      </c>
      <c r="H21" s="17" t="str">
        <f t="shared" si="2"/>
        <v>P0</v>
      </c>
      <c r="J21" s="15" t="s">
        <v>136</v>
      </c>
      <c r="K21" s="1" t="s">
        <v>137</v>
      </c>
      <c r="L21" s="1" t="s">
        <v>137</v>
      </c>
      <c r="M21" s="1" t="s">
        <v>37</v>
      </c>
      <c r="N21" s="1" t="s">
        <v>37</v>
      </c>
    </row>
    <row r="22" spans="1:14" x14ac:dyDescent="0.15">
      <c r="A22" s="17"/>
      <c r="B22" s="7">
        <v>437110</v>
      </c>
      <c r="C22" s="7" t="s">
        <v>146</v>
      </c>
      <c r="D22" s="2">
        <v>9.4995700000000003</v>
      </c>
      <c r="E22" s="2">
        <v>4.9590399999999999</v>
      </c>
      <c r="F22" s="2">
        <f t="shared" si="0"/>
        <v>4.5405300000000004</v>
      </c>
      <c r="G22" s="8">
        <f t="shared" si="1"/>
        <v>0.91560664967413052</v>
      </c>
      <c r="H22" s="17" t="str">
        <f t="shared" si="2"/>
        <v>P0</v>
      </c>
      <c r="J22" s="15" t="s">
        <v>136</v>
      </c>
      <c r="K22" s="1" t="s">
        <v>137</v>
      </c>
      <c r="L22" s="1" t="s">
        <v>137</v>
      </c>
      <c r="M22" s="1" t="s">
        <v>37</v>
      </c>
      <c r="N22" s="1" t="s">
        <v>37</v>
      </c>
    </row>
    <row r="23" spans="1:14" x14ac:dyDescent="0.15">
      <c r="A23" s="17"/>
      <c r="B23" s="7">
        <v>437130</v>
      </c>
      <c r="C23" s="7" t="s">
        <v>147</v>
      </c>
      <c r="D23" s="2">
        <v>11.105889999999999</v>
      </c>
      <c r="E23" s="2">
        <v>8.8812099999999994</v>
      </c>
      <c r="F23" s="2">
        <f t="shared" si="0"/>
        <v>2.2246799999999993</v>
      </c>
      <c r="G23" s="8">
        <f t="shared" si="1"/>
        <v>0.2504928945492787</v>
      </c>
      <c r="H23" s="17" t="str">
        <f t="shared" si="2"/>
        <v>P0</v>
      </c>
      <c r="J23" s="15" t="s">
        <v>136</v>
      </c>
      <c r="K23" s="1" t="s">
        <v>137</v>
      </c>
      <c r="L23" s="1" t="s">
        <v>137</v>
      </c>
      <c r="M23" s="1" t="s">
        <v>37</v>
      </c>
      <c r="N23" s="1" t="s">
        <v>37</v>
      </c>
    </row>
    <row r="24" spans="1:14" x14ac:dyDescent="0.15">
      <c r="A24" s="17"/>
      <c r="B24" s="7">
        <v>437140</v>
      </c>
      <c r="C24" s="7" t="s">
        <v>148</v>
      </c>
      <c r="D24" s="2">
        <v>7.5428999999999995</v>
      </c>
      <c r="E24" s="2">
        <v>6.2072300000000009</v>
      </c>
      <c r="F24" s="2">
        <f t="shared" si="0"/>
        <v>1.3356699999999986</v>
      </c>
      <c r="G24" s="8">
        <f t="shared" si="1"/>
        <v>0.21517971784515771</v>
      </c>
      <c r="H24" s="17" t="str">
        <f t="shared" si="2"/>
        <v>P0</v>
      </c>
      <c r="J24" s="15" t="s">
        <v>136</v>
      </c>
      <c r="K24" s="1" t="s">
        <v>137</v>
      </c>
      <c r="L24" s="1" t="s">
        <v>137</v>
      </c>
      <c r="M24" s="1" t="s">
        <v>37</v>
      </c>
      <c r="N24" s="1" t="s">
        <v>37</v>
      </c>
    </row>
    <row r="25" spans="1:14" x14ac:dyDescent="0.15">
      <c r="A25" s="17"/>
      <c r="B25" s="7">
        <v>437150</v>
      </c>
      <c r="C25" s="7" t="s">
        <v>149</v>
      </c>
      <c r="D25" s="2">
        <v>12.907540000000001</v>
      </c>
      <c r="E25" s="2">
        <v>6.220990000000004</v>
      </c>
      <c r="F25" s="2">
        <f t="shared" si="0"/>
        <v>6.6865499999999969</v>
      </c>
      <c r="G25" s="8">
        <f t="shared" si="1"/>
        <v>1.0748369632486137</v>
      </c>
      <c r="H25" s="17" t="str">
        <f t="shared" si="2"/>
        <v>P0</v>
      </c>
      <c r="J25" s="15" t="s">
        <v>136</v>
      </c>
      <c r="K25" s="1" t="s">
        <v>137</v>
      </c>
      <c r="L25" s="1" t="s">
        <v>137</v>
      </c>
      <c r="M25" s="1" t="s">
        <v>37</v>
      </c>
      <c r="N25" s="1" t="s">
        <v>37</v>
      </c>
    </row>
    <row r="26" spans="1:14" x14ac:dyDescent="0.15">
      <c r="A26" s="17"/>
      <c r="B26" s="7">
        <v>437160</v>
      </c>
      <c r="C26" s="7" t="s">
        <v>150</v>
      </c>
      <c r="D26" s="2">
        <v>3.8526899999999999</v>
      </c>
      <c r="E26" s="2">
        <v>0</v>
      </c>
      <c r="F26" s="2">
        <f t="shared" si="0"/>
        <v>3.8526899999999999</v>
      </c>
      <c r="G26" s="8" t="str">
        <f t="shared" si="1"/>
        <v>n/a</v>
      </c>
      <c r="H26" s="17" t="str">
        <f t="shared" si="2"/>
        <v>P0</v>
      </c>
      <c r="J26" s="15" t="s">
        <v>136</v>
      </c>
      <c r="K26" s="1" t="s">
        <v>137</v>
      </c>
      <c r="L26" s="1" t="s">
        <v>138</v>
      </c>
      <c r="M26" s="1" t="s">
        <v>37</v>
      </c>
      <c r="N26" s="1" t="s">
        <v>61</v>
      </c>
    </row>
    <row r="27" spans="1:14" x14ac:dyDescent="0.15">
      <c r="A27" s="17"/>
      <c r="B27" s="7">
        <v>438200</v>
      </c>
      <c r="C27" s="7" t="s">
        <v>151</v>
      </c>
      <c r="D27" s="2">
        <v>39.956489999999988</v>
      </c>
      <c r="E27" s="2">
        <v>34.913499999999999</v>
      </c>
      <c r="F27" s="2">
        <f t="shared" si="0"/>
        <v>5.042989999999989</v>
      </c>
      <c r="G27" s="8">
        <f t="shared" si="1"/>
        <v>0.14444240766465663</v>
      </c>
      <c r="H27" s="17" t="str">
        <f t="shared" si="2"/>
        <v>P0</v>
      </c>
      <c r="J27" s="15" t="s">
        <v>136</v>
      </c>
      <c r="K27" s="1" t="s">
        <v>137</v>
      </c>
      <c r="L27" s="1" t="s">
        <v>137</v>
      </c>
      <c r="M27" s="1" t="s">
        <v>37</v>
      </c>
      <c r="N27" s="1" t="s">
        <v>37</v>
      </c>
    </row>
    <row r="28" spans="1:14" x14ac:dyDescent="0.15">
      <c r="A28" s="17"/>
      <c r="B28" s="7">
        <v>438610</v>
      </c>
      <c r="C28" s="7" t="s">
        <v>152</v>
      </c>
      <c r="D28" s="2">
        <v>1.4</v>
      </c>
      <c r="E28" s="2">
        <v>0</v>
      </c>
      <c r="F28" s="2">
        <f t="shared" si="0"/>
        <v>1.4</v>
      </c>
      <c r="G28" s="8" t="str">
        <f t="shared" si="1"/>
        <v>n/a</v>
      </c>
      <c r="H28" s="17" t="str">
        <f t="shared" si="2"/>
        <v>P0</v>
      </c>
      <c r="J28" s="15" t="s">
        <v>136</v>
      </c>
      <c r="K28" s="1" t="s">
        <v>137</v>
      </c>
      <c r="L28" s="1" t="s">
        <v>138</v>
      </c>
      <c r="M28" s="1" t="s">
        <v>37</v>
      </c>
      <c r="N28" s="1" t="s">
        <v>61</v>
      </c>
    </row>
    <row r="29" spans="1:14" x14ac:dyDescent="0.15">
      <c r="A29" s="17"/>
      <c r="B29" s="7"/>
      <c r="C29" s="7"/>
      <c r="D29" s="2"/>
      <c r="E29" s="2"/>
      <c r="F29" s="2"/>
      <c r="G29" s="8"/>
      <c r="H29" s="17"/>
    </row>
    <row r="30" spans="1:14" s="12" customFormat="1" ht="13.5" customHeight="1" x14ac:dyDescent="0.15">
      <c r="A30" s="17"/>
      <c r="B30" s="21" t="s">
        <v>528</v>
      </c>
      <c r="C30" s="21"/>
      <c r="D30" s="19"/>
      <c r="E30" s="19"/>
      <c r="F30" s="19"/>
      <c r="G30" s="22"/>
      <c r="H30" s="17"/>
      <c r="J30" s="16"/>
    </row>
    <row r="31" spans="1:14" x14ac:dyDescent="0.15">
      <c r="A31" s="17"/>
      <c r="B31" s="7">
        <v>641000</v>
      </c>
      <c r="C31" s="7" t="s">
        <v>309</v>
      </c>
      <c r="D31" s="2">
        <v>1182.8626399999998</v>
      </c>
      <c r="E31" s="2">
        <v>969.34702000000027</v>
      </c>
      <c r="F31" s="2">
        <f t="shared" ref="F31:F50" si="3">D31-E31</f>
        <v>213.51561999999956</v>
      </c>
      <c r="G31" s="8">
        <f t="shared" ref="G31:G50" si="4">IF(E31=0,"n/a",F31/ABS(E31))</f>
        <v>0.22026747449019804</v>
      </c>
      <c r="H31" s="17" t="str">
        <f t="shared" ref="H31:H50" si="5">J31&amp;0</f>
        <v>P0</v>
      </c>
      <c r="J31" s="15" t="s">
        <v>136</v>
      </c>
      <c r="K31" s="1" t="s">
        <v>310</v>
      </c>
      <c r="L31" s="1" t="s">
        <v>310</v>
      </c>
      <c r="M31" s="1" t="s">
        <v>213</v>
      </c>
      <c r="N31" s="1" t="s">
        <v>213</v>
      </c>
    </row>
    <row r="32" spans="1:14" x14ac:dyDescent="0.15">
      <c r="A32" s="17"/>
      <c r="B32" s="7">
        <v>641150</v>
      </c>
      <c r="C32" s="7" t="s">
        <v>311</v>
      </c>
      <c r="D32" s="2">
        <v>-1.1893500000000004</v>
      </c>
      <c r="E32" s="2">
        <v>6.6919799999999992</v>
      </c>
      <c r="F32" s="2">
        <f t="shared" si="3"/>
        <v>-7.8813299999999993</v>
      </c>
      <c r="G32" s="8">
        <f t="shared" si="4"/>
        <v>-1.1777276680444353</v>
      </c>
      <c r="H32" s="17" t="str">
        <f t="shared" si="5"/>
        <v>P0</v>
      </c>
      <c r="J32" s="15" t="s">
        <v>136</v>
      </c>
      <c r="K32" s="1" t="s">
        <v>310</v>
      </c>
      <c r="L32" s="1" t="s">
        <v>310</v>
      </c>
      <c r="M32" s="1" t="s">
        <v>213</v>
      </c>
      <c r="N32" s="1" t="s">
        <v>213</v>
      </c>
    </row>
    <row r="33" spans="1:14" x14ac:dyDescent="0.15">
      <c r="A33" s="17"/>
      <c r="B33" s="7">
        <v>641200</v>
      </c>
      <c r="C33" s="7" t="s">
        <v>312</v>
      </c>
      <c r="D33" s="2">
        <v>12.51693</v>
      </c>
      <c r="E33" s="2">
        <v>-8.2313499999999991</v>
      </c>
      <c r="F33" s="2">
        <f t="shared" si="3"/>
        <v>20.748280000000001</v>
      </c>
      <c r="G33" s="8">
        <f t="shared" si="4"/>
        <v>2.5206412070923974</v>
      </c>
      <c r="H33" s="17" t="str">
        <f t="shared" si="5"/>
        <v>P0</v>
      </c>
      <c r="J33" s="15" t="s">
        <v>136</v>
      </c>
      <c r="K33" s="1" t="s">
        <v>310</v>
      </c>
      <c r="L33" s="1" t="s">
        <v>310</v>
      </c>
      <c r="M33" s="1" t="s">
        <v>213</v>
      </c>
      <c r="N33" s="1" t="s">
        <v>213</v>
      </c>
    </row>
    <row r="34" spans="1:14" x14ac:dyDescent="0.15">
      <c r="A34" s="17"/>
      <c r="B34" s="7">
        <v>641300</v>
      </c>
      <c r="C34" s="7" t="s">
        <v>313</v>
      </c>
      <c r="D34" s="2">
        <v>9.4439899999999994</v>
      </c>
      <c r="E34" s="2">
        <v>0</v>
      </c>
      <c r="F34" s="2">
        <f t="shared" si="3"/>
        <v>9.4439899999999994</v>
      </c>
      <c r="G34" s="8" t="str">
        <f t="shared" si="4"/>
        <v>n/a</v>
      </c>
      <c r="H34" s="17" t="str">
        <f t="shared" si="5"/>
        <v>P0</v>
      </c>
      <c r="J34" s="15" t="s">
        <v>136</v>
      </c>
      <c r="K34" s="1" t="s">
        <v>310</v>
      </c>
      <c r="L34" s="1" t="s">
        <v>310</v>
      </c>
      <c r="M34" s="1" t="s">
        <v>213</v>
      </c>
      <c r="N34" s="1" t="s">
        <v>213</v>
      </c>
    </row>
    <row r="35" spans="1:14" x14ac:dyDescent="0.15">
      <c r="A35" s="17"/>
      <c r="B35" s="7">
        <v>641400</v>
      </c>
      <c r="C35" s="7" t="s">
        <v>314</v>
      </c>
      <c r="D35" s="2">
        <v>168.42210999999998</v>
      </c>
      <c r="E35" s="2">
        <v>153.54670999999999</v>
      </c>
      <c r="F35" s="2">
        <f t="shared" si="3"/>
        <v>14.875399999999985</v>
      </c>
      <c r="G35" s="8">
        <f t="shared" si="4"/>
        <v>9.6878663176827334E-2</v>
      </c>
      <c r="H35" s="17" t="str">
        <f t="shared" si="5"/>
        <v>P0</v>
      </c>
      <c r="J35" s="15" t="s">
        <v>136</v>
      </c>
      <c r="K35" s="1" t="s">
        <v>310</v>
      </c>
      <c r="L35" s="1" t="s">
        <v>310</v>
      </c>
      <c r="M35" s="1" t="s">
        <v>213</v>
      </c>
      <c r="N35" s="1" t="s">
        <v>213</v>
      </c>
    </row>
    <row r="36" spans="1:14" x14ac:dyDescent="0.15">
      <c r="A36" s="17"/>
      <c r="B36" s="7">
        <v>641410</v>
      </c>
      <c r="C36" s="7" t="s">
        <v>315</v>
      </c>
      <c r="D36" s="2">
        <v>0</v>
      </c>
      <c r="E36" s="2">
        <v>3.6400000000000002E-2</v>
      </c>
      <c r="F36" s="2">
        <f t="shared" si="3"/>
        <v>-3.6400000000000002E-2</v>
      </c>
      <c r="G36" s="8">
        <f t="shared" si="4"/>
        <v>-1</v>
      </c>
      <c r="H36" s="17" t="str">
        <f t="shared" si="5"/>
        <v>P0</v>
      </c>
      <c r="J36" s="15" t="s">
        <v>136</v>
      </c>
      <c r="K36" s="1" t="s">
        <v>310</v>
      </c>
      <c r="L36" s="1" t="s">
        <v>310</v>
      </c>
      <c r="M36" s="1" t="s">
        <v>213</v>
      </c>
      <c r="N36" s="1" t="s">
        <v>213</v>
      </c>
    </row>
    <row r="37" spans="1:14" x14ac:dyDescent="0.15">
      <c r="A37" s="17"/>
      <c r="B37" s="7">
        <v>641420</v>
      </c>
      <c r="C37" s="7" t="s">
        <v>316</v>
      </c>
      <c r="D37" s="2">
        <v>29.834</v>
      </c>
      <c r="E37" s="2">
        <v>19.231189999999998</v>
      </c>
      <c r="F37" s="2">
        <f t="shared" si="3"/>
        <v>10.602810000000002</v>
      </c>
      <c r="G37" s="8">
        <f t="shared" si="4"/>
        <v>0.55133405681083714</v>
      </c>
      <c r="H37" s="17" t="str">
        <f t="shared" si="5"/>
        <v>P0</v>
      </c>
      <c r="J37" s="15" t="s">
        <v>136</v>
      </c>
      <c r="K37" s="1" t="s">
        <v>310</v>
      </c>
      <c r="L37" s="1" t="s">
        <v>310</v>
      </c>
      <c r="M37" s="1" t="s">
        <v>213</v>
      </c>
      <c r="N37" s="1" t="s">
        <v>213</v>
      </c>
    </row>
    <row r="38" spans="1:14" x14ac:dyDescent="0.15">
      <c r="A38" s="17"/>
      <c r="B38" s="7">
        <v>641450</v>
      </c>
      <c r="C38" s="7" t="s">
        <v>317</v>
      </c>
      <c r="D38" s="2">
        <v>23.240259999999999</v>
      </c>
      <c r="E38" s="2">
        <v>20.42202</v>
      </c>
      <c r="F38" s="2">
        <f t="shared" si="3"/>
        <v>2.8182399999999994</v>
      </c>
      <c r="G38" s="8">
        <f t="shared" si="4"/>
        <v>0.13800006071877313</v>
      </c>
      <c r="H38" s="17" t="str">
        <f t="shared" si="5"/>
        <v>P0</v>
      </c>
      <c r="J38" s="15" t="s">
        <v>136</v>
      </c>
      <c r="K38" s="1" t="s">
        <v>310</v>
      </c>
      <c r="L38" s="1" t="s">
        <v>310</v>
      </c>
      <c r="M38" s="1" t="s">
        <v>213</v>
      </c>
      <c r="N38" s="1" t="s">
        <v>213</v>
      </c>
    </row>
    <row r="39" spans="1:14" x14ac:dyDescent="0.15">
      <c r="A39" s="17"/>
      <c r="B39" s="7">
        <v>643000</v>
      </c>
      <c r="C39" s="7" t="s">
        <v>318</v>
      </c>
      <c r="D39" s="2">
        <v>4.2830000000000004</v>
      </c>
      <c r="E39" s="2">
        <v>0</v>
      </c>
      <c r="F39" s="2">
        <f t="shared" si="3"/>
        <v>4.2830000000000004</v>
      </c>
      <c r="G39" s="8" t="str">
        <f t="shared" si="4"/>
        <v>n/a</v>
      </c>
      <c r="H39" s="17" t="str">
        <f t="shared" si="5"/>
        <v>P0</v>
      </c>
      <c r="J39" s="15" t="s">
        <v>136</v>
      </c>
      <c r="K39" s="1" t="s">
        <v>310</v>
      </c>
      <c r="L39" s="1" t="s">
        <v>310</v>
      </c>
      <c r="M39" s="1" t="s">
        <v>213</v>
      </c>
      <c r="N39" s="1" t="s">
        <v>213</v>
      </c>
    </row>
    <row r="40" spans="1:14" x14ac:dyDescent="0.15">
      <c r="A40" s="17"/>
      <c r="B40" s="7">
        <v>645100</v>
      </c>
      <c r="C40" s="7" t="s">
        <v>319</v>
      </c>
      <c r="D40" s="2">
        <v>368.90318000000002</v>
      </c>
      <c r="E40" s="2">
        <v>305.0543899999999</v>
      </c>
      <c r="F40" s="2">
        <f t="shared" si="3"/>
        <v>63.848790000000122</v>
      </c>
      <c r="G40" s="8">
        <f t="shared" si="4"/>
        <v>0.2093029705292887</v>
      </c>
      <c r="H40" s="17" t="str">
        <f t="shared" si="5"/>
        <v>P0</v>
      </c>
      <c r="J40" s="15" t="s">
        <v>136</v>
      </c>
      <c r="K40" s="1" t="s">
        <v>320</v>
      </c>
      <c r="L40" s="1" t="s">
        <v>320</v>
      </c>
      <c r="M40" s="1" t="s">
        <v>213</v>
      </c>
      <c r="N40" s="1" t="s">
        <v>213</v>
      </c>
    </row>
    <row r="41" spans="1:14" x14ac:dyDescent="0.15">
      <c r="A41" s="17"/>
      <c r="B41" s="7">
        <v>645200</v>
      </c>
      <c r="C41" s="7" t="s">
        <v>321</v>
      </c>
      <c r="D41" s="2">
        <v>42.641489999999997</v>
      </c>
      <c r="E41" s="2">
        <v>30.964550000000003</v>
      </c>
      <c r="F41" s="2">
        <f t="shared" si="3"/>
        <v>11.676939999999995</v>
      </c>
      <c r="G41" s="8">
        <f t="shared" si="4"/>
        <v>0.37710672365656833</v>
      </c>
      <c r="H41" s="17" t="str">
        <f t="shared" si="5"/>
        <v>P0</v>
      </c>
      <c r="J41" s="15" t="s">
        <v>136</v>
      </c>
      <c r="K41" s="1" t="s">
        <v>320</v>
      </c>
      <c r="L41" s="1" t="s">
        <v>320</v>
      </c>
      <c r="M41" s="1" t="s">
        <v>213</v>
      </c>
      <c r="N41" s="1" t="s">
        <v>213</v>
      </c>
    </row>
    <row r="42" spans="1:14" x14ac:dyDescent="0.15">
      <c r="A42" s="17"/>
      <c r="B42" s="7">
        <v>645300</v>
      </c>
      <c r="C42" s="7" t="s">
        <v>322</v>
      </c>
      <c r="D42" s="2">
        <v>99.219380000000001</v>
      </c>
      <c r="E42" s="2">
        <v>86.420060000000007</v>
      </c>
      <c r="F42" s="2">
        <f t="shared" si="3"/>
        <v>12.799319999999994</v>
      </c>
      <c r="G42" s="8">
        <f t="shared" si="4"/>
        <v>0.14810589115536363</v>
      </c>
      <c r="H42" s="17" t="str">
        <f t="shared" si="5"/>
        <v>P0</v>
      </c>
      <c r="J42" s="15" t="s">
        <v>136</v>
      </c>
      <c r="K42" s="1" t="s">
        <v>320</v>
      </c>
      <c r="L42" s="1" t="s">
        <v>320</v>
      </c>
      <c r="M42" s="1" t="s">
        <v>213</v>
      </c>
      <c r="N42" s="1" t="s">
        <v>213</v>
      </c>
    </row>
    <row r="43" spans="1:14" x14ac:dyDescent="0.15">
      <c r="A43" s="17"/>
      <c r="B43" s="7">
        <v>645320</v>
      </c>
      <c r="C43" s="7" t="s">
        <v>323</v>
      </c>
      <c r="D43" s="2">
        <v>18.48743</v>
      </c>
      <c r="E43" s="2">
        <v>15.188220000000005</v>
      </c>
      <c r="F43" s="2">
        <f t="shared" si="3"/>
        <v>3.2992099999999951</v>
      </c>
      <c r="G43" s="8">
        <f t="shared" si="4"/>
        <v>0.21722163624177118</v>
      </c>
      <c r="H43" s="17" t="str">
        <f t="shared" si="5"/>
        <v>P0</v>
      </c>
      <c r="J43" s="15" t="s">
        <v>136</v>
      </c>
      <c r="K43" s="1" t="s">
        <v>320</v>
      </c>
      <c r="L43" s="1" t="s">
        <v>320</v>
      </c>
      <c r="M43" s="1" t="s">
        <v>213</v>
      </c>
      <c r="N43" s="1" t="s">
        <v>213</v>
      </c>
    </row>
    <row r="44" spans="1:14" x14ac:dyDescent="0.15">
      <c r="A44" s="17"/>
      <c r="B44" s="7">
        <v>645330</v>
      </c>
      <c r="C44" s="7" t="s">
        <v>324</v>
      </c>
      <c r="D44" s="2">
        <v>25.350009999999997</v>
      </c>
      <c r="E44" s="2">
        <v>21.982150000000008</v>
      </c>
      <c r="F44" s="2">
        <f t="shared" si="3"/>
        <v>3.3678599999999896</v>
      </c>
      <c r="G44" s="8">
        <f t="shared" si="4"/>
        <v>0.153208853547082</v>
      </c>
      <c r="H44" s="17" t="str">
        <f t="shared" si="5"/>
        <v>P0</v>
      </c>
      <c r="J44" s="15" t="s">
        <v>136</v>
      </c>
      <c r="K44" s="1" t="s">
        <v>320</v>
      </c>
      <c r="L44" s="1" t="s">
        <v>320</v>
      </c>
      <c r="M44" s="1" t="s">
        <v>213</v>
      </c>
      <c r="N44" s="1" t="s">
        <v>213</v>
      </c>
    </row>
    <row r="45" spans="1:14" x14ac:dyDescent="0.15">
      <c r="A45" s="17"/>
      <c r="B45" s="7">
        <v>645340</v>
      </c>
      <c r="C45" s="7" t="s">
        <v>325</v>
      </c>
      <c r="D45" s="2">
        <v>0.61536999999999997</v>
      </c>
      <c r="E45" s="2">
        <v>0</v>
      </c>
      <c r="F45" s="2">
        <f t="shared" si="3"/>
        <v>0.61536999999999997</v>
      </c>
      <c r="G45" s="8" t="str">
        <f t="shared" si="4"/>
        <v>n/a</v>
      </c>
      <c r="H45" s="17" t="str">
        <f t="shared" si="5"/>
        <v>P0</v>
      </c>
      <c r="J45" s="15" t="s">
        <v>136</v>
      </c>
      <c r="K45" s="1" t="s">
        <v>320</v>
      </c>
      <c r="L45" s="1" t="s">
        <v>320</v>
      </c>
      <c r="M45" s="1" t="s">
        <v>213</v>
      </c>
      <c r="N45" s="1" t="s">
        <v>213</v>
      </c>
    </row>
    <row r="46" spans="1:14" x14ac:dyDescent="0.15">
      <c r="A46" s="17"/>
      <c r="B46" s="7">
        <v>645800</v>
      </c>
      <c r="C46" s="7" t="s">
        <v>326</v>
      </c>
      <c r="D46" s="2">
        <v>6.4429899999999982</v>
      </c>
      <c r="E46" s="2">
        <v>-4.0997700000000057</v>
      </c>
      <c r="F46" s="2">
        <f t="shared" si="3"/>
        <v>10.542760000000005</v>
      </c>
      <c r="G46" s="8">
        <f t="shared" si="4"/>
        <v>2.571549135683219</v>
      </c>
      <c r="H46" s="17" t="str">
        <f t="shared" si="5"/>
        <v>P0</v>
      </c>
      <c r="J46" s="15" t="s">
        <v>136</v>
      </c>
      <c r="K46" s="1" t="s">
        <v>320</v>
      </c>
      <c r="L46" s="1" t="s">
        <v>320</v>
      </c>
      <c r="M46" s="1" t="s">
        <v>213</v>
      </c>
      <c r="N46" s="1" t="s">
        <v>213</v>
      </c>
    </row>
    <row r="47" spans="1:14" x14ac:dyDescent="0.15">
      <c r="A47" s="17"/>
      <c r="B47" s="7">
        <v>647400</v>
      </c>
      <c r="C47" s="7" t="s">
        <v>327</v>
      </c>
      <c r="D47" s="2">
        <v>6.66</v>
      </c>
      <c r="E47" s="2">
        <v>0</v>
      </c>
      <c r="F47" s="2">
        <f t="shared" si="3"/>
        <v>6.66</v>
      </c>
      <c r="G47" s="8" t="str">
        <f t="shared" si="4"/>
        <v>n/a</v>
      </c>
      <c r="H47" s="17" t="str">
        <f t="shared" si="5"/>
        <v>P0</v>
      </c>
      <c r="J47" s="15" t="s">
        <v>136</v>
      </c>
      <c r="K47" s="1" t="s">
        <v>320</v>
      </c>
      <c r="L47" s="1" t="s">
        <v>320</v>
      </c>
      <c r="M47" s="1" t="s">
        <v>213</v>
      </c>
      <c r="N47" s="1" t="s">
        <v>213</v>
      </c>
    </row>
    <row r="48" spans="1:14" x14ac:dyDescent="0.15">
      <c r="A48" s="17"/>
      <c r="B48" s="7">
        <v>647500</v>
      </c>
      <c r="C48" s="7" t="s">
        <v>328</v>
      </c>
      <c r="D48" s="2">
        <v>3.4710700000000001</v>
      </c>
      <c r="E48" s="2">
        <v>5.0725800000000003</v>
      </c>
      <c r="F48" s="2">
        <f t="shared" si="3"/>
        <v>-1.6015100000000002</v>
      </c>
      <c r="G48" s="8">
        <f t="shared" si="4"/>
        <v>-0.31571902266696633</v>
      </c>
      <c r="H48" s="17" t="str">
        <f t="shared" si="5"/>
        <v>P0</v>
      </c>
      <c r="J48" s="15" t="s">
        <v>136</v>
      </c>
      <c r="K48" s="1" t="s">
        <v>320</v>
      </c>
      <c r="L48" s="1" t="s">
        <v>320</v>
      </c>
      <c r="M48" s="1" t="s">
        <v>213</v>
      </c>
      <c r="N48" s="1" t="s">
        <v>213</v>
      </c>
    </row>
    <row r="49" spans="1:14" x14ac:dyDescent="0.15">
      <c r="A49" s="17"/>
      <c r="B49" s="7">
        <v>647600</v>
      </c>
      <c r="C49" s="7" t="s">
        <v>329</v>
      </c>
      <c r="D49" s="2">
        <v>0</v>
      </c>
      <c r="E49" s="2">
        <v>6.012E-2</v>
      </c>
      <c r="F49" s="2">
        <f t="shared" si="3"/>
        <v>-6.012E-2</v>
      </c>
      <c r="G49" s="8">
        <f t="shared" si="4"/>
        <v>-1</v>
      </c>
      <c r="H49" s="17" t="str">
        <f t="shared" si="5"/>
        <v>P0</v>
      </c>
      <c r="J49" s="15" t="s">
        <v>136</v>
      </c>
      <c r="K49" s="1" t="s">
        <v>320</v>
      </c>
      <c r="L49" s="1" t="s">
        <v>320</v>
      </c>
      <c r="M49" s="1" t="s">
        <v>213</v>
      </c>
      <c r="N49" s="1" t="s">
        <v>213</v>
      </c>
    </row>
    <row r="50" spans="1:14" x14ac:dyDescent="0.15">
      <c r="A50" s="17"/>
      <c r="B50" s="7">
        <v>648100</v>
      </c>
      <c r="C50" s="7" t="s">
        <v>330</v>
      </c>
      <c r="D50" s="2">
        <v>0</v>
      </c>
      <c r="E50" s="2">
        <v>12.291</v>
      </c>
      <c r="F50" s="2">
        <f t="shared" si="3"/>
        <v>-12.291</v>
      </c>
      <c r="G50" s="8">
        <f t="shared" si="4"/>
        <v>-1</v>
      </c>
      <c r="H50" s="17" t="str">
        <f t="shared" si="5"/>
        <v>P0</v>
      </c>
      <c r="J50" s="15" t="s">
        <v>136</v>
      </c>
      <c r="K50" s="1" t="s">
        <v>320</v>
      </c>
      <c r="L50" s="1" t="s">
        <v>320</v>
      </c>
      <c r="M50" s="1" t="s">
        <v>213</v>
      </c>
      <c r="N50" s="1" t="s">
        <v>213</v>
      </c>
    </row>
  </sheetData>
  <conditionalFormatting sqref="D4">
    <cfRule type="expression" dxfId="14" priority="1" stopIfTrue="1">
      <formula>ISBLANK(D4)</formula>
    </cfRule>
  </conditionalFormatting>
  <conditionalFormatting sqref="D8">
    <cfRule type="expression" dxfId="13" priority="2" stopIfTrue="1">
      <formula>$D$8="Date N ?"</formula>
    </cfRule>
  </conditionalFormatting>
  <conditionalFormatting sqref="E8">
    <cfRule type="expression" dxfId="12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9EA93F4C-A562-4A2E-A1E6-AA6F19D327B1}"/>
  </dataValidations>
  <hyperlinks>
    <hyperlink ref="A1" location="Sommaire!C3" display="Retour sommaire" xr:uid="{C076D642-63DC-4291-BE26-E8CC1E9458E4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P&amp;R&amp;"Times New Roman,Gras"&amp;10P0
&amp;P/&amp;N</oddHeader>
    <oddFooter>&amp;L&amp;"Times New Roman"&amp;10Firex Audit&amp;C&amp;"Times New Roman"&amp;10&amp;D&amp;R&amp;"Times New Roman"&amp;10Document de travail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3E83-B588-45AB-AE76-FC56A9AFE795}">
  <sheetPr codeName="Feuil11">
    <pageSetUpPr fitToPage="1"/>
  </sheetPr>
  <dimension ref="A1:N32"/>
  <sheetViews>
    <sheetView showGridLines="0" defaultGridColor="0" colorId="52" workbookViewId="0">
      <selection activeCell="D12" sqref="D12"/>
    </sheetView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538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311000</v>
      </c>
      <c r="C11" s="7" t="s">
        <v>104</v>
      </c>
      <c r="D11" s="2">
        <v>613.49307999999996</v>
      </c>
      <c r="E11" s="2">
        <v>523.94411000000002</v>
      </c>
      <c r="F11" s="2">
        <f t="shared" ref="F11:F22" si="0">D11-E11</f>
        <v>89.54896999999994</v>
      </c>
      <c r="G11" s="8">
        <f t="shared" ref="G11:G22" si="1">IF(E11=0,"n/a",F11/ABS(E11))</f>
        <v>0.17091321057125719</v>
      </c>
      <c r="H11" s="17" t="str">
        <f t="shared" ref="H11:H22" si="2">J11&amp;0</f>
        <v>S0</v>
      </c>
      <c r="J11" s="15" t="s">
        <v>105</v>
      </c>
      <c r="K11" s="1" t="s">
        <v>106</v>
      </c>
      <c r="L11" s="1" t="s">
        <v>106</v>
      </c>
      <c r="M11" s="1" t="s">
        <v>61</v>
      </c>
      <c r="N11" s="1" t="s">
        <v>61</v>
      </c>
    </row>
    <row r="12" spans="1:14" x14ac:dyDescent="0.15">
      <c r="A12" s="17"/>
      <c r="B12" s="7">
        <v>317000</v>
      </c>
      <c r="C12" s="7" t="s">
        <v>107</v>
      </c>
      <c r="D12" s="2">
        <v>334.01630999999992</v>
      </c>
      <c r="E12" s="2">
        <v>332.89464000000004</v>
      </c>
      <c r="F12" s="2">
        <f t="shared" si="0"/>
        <v>1.1216699999998809</v>
      </c>
      <c r="G12" s="8">
        <f t="shared" si="1"/>
        <v>3.3694444584625358E-3</v>
      </c>
      <c r="H12" s="17" t="str">
        <f t="shared" si="2"/>
        <v>S0</v>
      </c>
      <c r="J12" s="15" t="s">
        <v>105</v>
      </c>
      <c r="K12" s="1" t="s">
        <v>106</v>
      </c>
      <c r="L12" s="1" t="s">
        <v>106</v>
      </c>
      <c r="M12" s="1" t="s">
        <v>61</v>
      </c>
      <c r="N12" s="1" t="s">
        <v>61</v>
      </c>
    </row>
    <row r="13" spans="1:14" x14ac:dyDescent="0.15">
      <c r="A13" s="17"/>
      <c r="B13" s="7">
        <v>326100</v>
      </c>
      <c r="C13" s="7" t="s">
        <v>108</v>
      </c>
      <c r="D13" s="2">
        <v>122.79563</v>
      </c>
      <c r="E13" s="2">
        <v>109.14400000000001</v>
      </c>
      <c r="F13" s="2">
        <f t="shared" si="0"/>
        <v>13.651629999999997</v>
      </c>
      <c r="G13" s="8">
        <f t="shared" si="1"/>
        <v>0.12507906985267167</v>
      </c>
      <c r="H13" s="17" t="str">
        <f t="shared" si="2"/>
        <v>S0</v>
      </c>
      <c r="J13" s="15" t="s">
        <v>105</v>
      </c>
      <c r="K13" s="1" t="s">
        <v>106</v>
      </c>
      <c r="L13" s="1" t="s">
        <v>106</v>
      </c>
      <c r="M13" s="1" t="s">
        <v>61</v>
      </c>
      <c r="N13" s="1" t="s">
        <v>61</v>
      </c>
    </row>
    <row r="14" spans="1:14" x14ac:dyDescent="0.15">
      <c r="A14" s="17"/>
      <c r="B14" s="7">
        <v>351000</v>
      </c>
      <c r="C14" s="7" t="s">
        <v>109</v>
      </c>
      <c r="D14" s="2">
        <v>166.39942999999997</v>
      </c>
      <c r="E14" s="2">
        <v>160.27941000000001</v>
      </c>
      <c r="F14" s="2">
        <f t="shared" si="0"/>
        <v>6.1200199999999541</v>
      </c>
      <c r="G14" s="8">
        <f t="shared" si="1"/>
        <v>3.8183444773099387E-2</v>
      </c>
      <c r="H14" s="17" t="str">
        <f t="shared" si="2"/>
        <v>S0</v>
      </c>
      <c r="J14" s="15" t="s">
        <v>105</v>
      </c>
      <c r="K14" s="1" t="s">
        <v>110</v>
      </c>
      <c r="L14" s="1" t="s">
        <v>110</v>
      </c>
      <c r="M14" s="1" t="s">
        <v>61</v>
      </c>
      <c r="N14" s="1" t="s">
        <v>61</v>
      </c>
    </row>
    <row r="15" spans="1:14" x14ac:dyDescent="0.15">
      <c r="A15" s="17"/>
      <c r="B15" s="7">
        <v>355000</v>
      </c>
      <c r="C15" s="7" t="s">
        <v>111</v>
      </c>
      <c r="D15" s="2">
        <v>1328.57052</v>
      </c>
      <c r="E15" s="2">
        <v>1179.527</v>
      </c>
      <c r="F15" s="2">
        <f t="shared" si="0"/>
        <v>149.04351999999994</v>
      </c>
      <c r="G15" s="8">
        <f t="shared" si="1"/>
        <v>0.12635871836761681</v>
      </c>
      <c r="H15" s="17" t="str">
        <f t="shared" si="2"/>
        <v>S0</v>
      </c>
      <c r="J15" s="15" t="s">
        <v>105</v>
      </c>
      <c r="K15" s="1" t="s">
        <v>110</v>
      </c>
      <c r="L15" s="1" t="s">
        <v>110</v>
      </c>
      <c r="M15" s="1" t="s">
        <v>61</v>
      </c>
      <c r="N15" s="1" t="s">
        <v>61</v>
      </c>
    </row>
    <row r="16" spans="1:14" x14ac:dyDescent="0.15">
      <c r="A16" s="17"/>
      <c r="B16" s="7">
        <v>371000</v>
      </c>
      <c r="C16" s="7" t="s">
        <v>112</v>
      </c>
      <c r="D16" s="2">
        <v>409.37045000000001</v>
      </c>
      <c r="E16" s="2">
        <v>307.58433000000002</v>
      </c>
      <c r="F16" s="2">
        <f t="shared" si="0"/>
        <v>101.78611999999998</v>
      </c>
      <c r="G16" s="8">
        <f t="shared" si="1"/>
        <v>0.33092101928599543</v>
      </c>
      <c r="H16" s="17" t="str">
        <f t="shared" si="2"/>
        <v>S0</v>
      </c>
      <c r="J16" s="15" t="s">
        <v>105</v>
      </c>
      <c r="K16" s="1" t="s">
        <v>113</v>
      </c>
      <c r="L16" s="1" t="s">
        <v>113</v>
      </c>
      <c r="M16" s="1" t="s">
        <v>61</v>
      </c>
      <c r="N16" s="1" t="s">
        <v>61</v>
      </c>
    </row>
    <row r="17" spans="1:14" x14ac:dyDescent="0.15">
      <c r="A17" s="17"/>
      <c r="B17" s="7">
        <v>391100</v>
      </c>
      <c r="C17" s="7" t="s">
        <v>114</v>
      </c>
      <c r="D17" s="2">
        <v>-4.4868099999999993</v>
      </c>
      <c r="E17" s="2">
        <v>-4.4752399999999994</v>
      </c>
      <c r="F17" s="2">
        <f t="shared" si="0"/>
        <v>-1.1569999999999858E-2</v>
      </c>
      <c r="G17" s="8">
        <f t="shared" si="1"/>
        <v>-2.5853362054325266E-3</v>
      </c>
      <c r="H17" s="17" t="str">
        <f t="shared" si="2"/>
        <v>S0</v>
      </c>
      <c r="J17" s="15" t="s">
        <v>105</v>
      </c>
      <c r="K17" s="1" t="s">
        <v>106</v>
      </c>
      <c r="L17" s="1" t="s">
        <v>106</v>
      </c>
      <c r="M17" s="1" t="s">
        <v>61</v>
      </c>
      <c r="N17" s="1" t="s">
        <v>61</v>
      </c>
    </row>
    <row r="18" spans="1:14" x14ac:dyDescent="0.15">
      <c r="A18" s="17"/>
      <c r="B18" s="7">
        <v>391700</v>
      </c>
      <c r="C18" s="7" t="s">
        <v>115</v>
      </c>
      <c r="D18" s="2">
        <v>-11.401419999999998</v>
      </c>
      <c r="E18" s="2">
        <v>-25.5655</v>
      </c>
      <c r="F18" s="2">
        <f t="shared" si="0"/>
        <v>14.164080000000002</v>
      </c>
      <c r="G18" s="8">
        <f t="shared" si="1"/>
        <v>0.55403101836459301</v>
      </c>
      <c r="H18" s="17" t="str">
        <f t="shared" si="2"/>
        <v>S0</v>
      </c>
      <c r="J18" s="15" t="s">
        <v>105</v>
      </c>
      <c r="K18" s="1" t="s">
        <v>106</v>
      </c>
      <c r="L18" s="1" t="s">
        <v>106</v>
      </c>
      <c r="M18" s="1" t="s">
        <v>61</v>
      </c>
      <c r="N18" s="1" t="s">
        <v>61</v>
      </c>
    </row>
    <row r="19" spans="1:14" x14ac:dyDescent="0.15">
      <c r="A19" s="17"/>
      <c r="B19" s="7">
        <v>392610</v>
      </c>
      <c r="C19" s="7" t="s">
        <v>116</v>
      </c>
      <c r="D19" s="2">
        <v>-0.18080000000000002</v>
      </c>
      <c r="E19" s="2">
        <v>-0.30863999999999997</v>
      </c>
      <c r="F19" s="2">
        <f t="shared" si="0"/>
        <v>0.12783999999999995</v>
      </c>
      <c r="G19" s="8">
        <f t="shared" si="1"/>
        <v>0.4142042509072057</v>
      </c>
      <c r="H19" s="17" t="str">
        <f t="shared" si="2"/>
        <v>S0</v>
      </c>
      <c r="J19" s="15" t="s">
        <v>105</v>
      </c>
      <c r="K19" s="1" t="s">
        <v>106</v>
      </c>
      <c r="L19" s="1" t="s">
        <v>106</v>
      </c>
      <c r="M19" s="1" t="s">
        <v>61</v>
      </c>
      <c r="N19" s="1" t="s">
        <v>61</v>
      </c>
    </row>
    <row r="20" spans="1:14" x14ac:dyDescent="0.15">
      <c r="A20" s="17"/>
      <c r="B20" s="7">
        <v>395100</v>
      </c>
      <c r="C20" s="7" t="s">
        <v>117</v>
      </c>
      <c r="D20" s="2">
        <v>-1.2035599999999997</v>
      </c>
      <c r="E20" s="2">
        <v>-1.6993</v>
      </c>
      <c r="F20" s="2">
        <f t="shared" si="0"/>
        <v>0.49574000000000029</v>
      </c>
      <c r="G20" s="8">
        <f t="shared" si="1"/>
        <v>0.29173188960160085</v>
      </c>
      <c r="H20" s="17" t="str">
        <f t="shared" si="2"/>
        <v>S0</v>
      </c>
      <c r="J20" s="15" t="s">
        <v>105</v>
      </c>
      <c r="K20" s="1" t="s">
        <v>110</v>
      </c>
      <c r="L20" s="1" t="s">
        <v>110</v>
      </c>
      <c r="M20" s="1" t="s">
        <v>61</v>
      </c>
      <c r="N20" s="1" t="s">
        <v>61</v>
      </c>
    </row>
    <row r="21" spans="1:14" x14ac:dyDescent="0.15">
      <c r="A21" s="17"/>
      <c r="B21" s="7">
        <v>395500</v>
      </c>
      <c r="C21" s="7" t="s">
        <v>118</v>
      </c>
      <c r="D21" s="2">
        <v>-8.6615800000000007</v>
      </c>
      <c r="E21" s="2">
        <v>-8.9325100000000006</v>
      </c>
      <c r="F21" s="2">
        <f t="shared" si="0"/>
        <v>0.27092999999999989</v>
      </c>
      <c r="G21" s="8">
        <f t="shared" si="1"/>
        <v>3.0330780486111951E-2</v>
      </c>
      <c r="H21" s="17" t="str">
        <f t="shared" si="2"/>
        <v>S0</v>
      </c>
      <c r="J21" s="15" t="s">
        <v>105</v>
      </c>
      <c r="K21" s="1" t="s">
        <v>110</v>
      </c>
      <c r="L21" s="1" t="s">
        <v>110</v>
      </c>
      <c r="M21" s="1" t="s">
        <v>61</v>
      </c>
      <c r="N21" s="1" t="s">
        <v>61</v>
      </c>
    </row>
    <row r="22" spans="1:14" x14ac:dyDescent="0.15">
      <c r="A22" s="17"/>
      <c r="B22" s="7">
        <v>397100</v>
      </c>
      <c r="C22" s="7" t="s">
        <v>119</v>
      </c>
      <c r="D22" s="2">
        <v>-4.3945100000000004</v>
      </c>
      <c r="E22" s="2">
        <v>-2.4696100000000003</v>
      </c>
      <c r="F22" s="2">
        <f t="shared" si="0"/>
        <v>-1.9249000000000001</v>
      </c>
      <c r="G22" s="8">
        <f t="shared" si="1"/>
        <v>-0.7794348095448268</v>
      </c>
      <c r="H22" s="17" t="str">
        <f t="shared" si="2"/>
        <v>S0</v>
      </c>
      <c r="J22" s="15" t="s">
        <v>105</v>
      </c>
      <c r="K22" s="1" t="s">
        <v>113</v>
      </c>
      <c r="L22" s="1" t="s">
        <v>113</v>
      </c>
      <c r="M22" s="1" t="s">
        <v>61</v>
      </c>
      <c r="N22" s="1" t="s">
        <v>61</v>
      </c>
    </row>
    <row r="23" spans="1:14" x14ac:dyDescent="0.15">
      <c r="A23" s="17"/>
      <c r="B23" s="7"/>
      <c r="C23" s="7"/>
      <c r="D23" s="2"/>
      <c r="E23" s="2"/>
      <c r="F23" s="2"/>
      <c r="G23" s="8"/>
      <c r="H23" s="17"/>
    </row>
    <row r="24" spans="1:14" s="12" customFormat="1" ht="13.5" customHeight="1" x14ac:dyDescent="0.15">
      <c r="A24" s="17"/>
      <c r="B24" s="21" t="s">
        <v>528</v>
      </c>
      <c r="C24" s="21"/>
      <c r="D24" s="19"/>
      <c r="E24" s="19"/>
      <c r="F24" s="19"/>
      <c r="G24" s="22"/>
      <c r="H24" s="17"/>
      <c r="J24" s="16"/>
    </row>
    <row r="25" spans="1:14" x14ac:dyDescent="0.15">
      <c r="A25" s="17"/>
      <c r="B25" s="7">
        <v>603100</v>
      </c>
      <c r="C25" s="7" t="s">
        <v>221</v>
      </c>
      <c r="D25" s="2">
        <v>-90.67064000000002</v>
      </c>
      <c r="E25" s="2">
        <v>64.435719999999975</v>
      </c>
      <c r="F25" s="2">
        <f>D25-E25</f>
        <v>-155.10636</v>
      </c>
      <c r="G25" s="8">
        <f>IF(E25=0,"n/a",F25/ABS(E25))</f>
        <v>-2.4071487057178853</v>
      </c>
      <c r="H25" s="17" t="str">
        <f>J25&amp;0</f>
        <v>S0</v>
      </c>
      <c r="J25" s="15" t="s">
        <v>105</v>
      </c>
      <c r="K25" s="1" t="s">
        <v>222</v>
      </c>
      <c r="L25" s="1" t="s">
        <v>222</v>
      </c>
      <c r="M25" s="1" t="s">
        <v>213</v>
      </c>
      <c r="N25" s="1" t="s">
        <v>213</v>
      </c>
    </row>
    <row r="26" spans="1:14" x14ac:dyDescent="0.15">
      <c r="A26" s="17"/>
      <c r="B26" s="7">
        <v>603200</v>
      </c>
      <c r="C26" s="7" t="s">
        <v>223</v>
      </c>
      <c r="D26" s="2">
        <v>-13.651630000000004</v>
      </c>
      <c r="E26" s="2">
        <v>-0.43519000000000235</v>
      </c>
      <c r="F26" s="2">
        <f>D26-E26</f>
        <v>-13.216440000000002</v>
      </c>
      <c r="G26" s="8">
        <f>IF(E26=0,"n/a",F26/ABS(E26))</f>
        <v>-30.369355913508883</v>
      </c>
      <c r="H26" s="17" t="str">
        <f>J26&amp;0</f>
        <v>S0</v>
      </c>
      <c r="J26" s="15" t="s">
        <v>105</v>
      </c>
      <c r="K26" s="1" t="s">
        <v>222</v>
      </c>
      <c r="L26" s="1" t="s">
        <v>222</v>
      </c>
      <c r="M26" s="1" t="s">
        <v>213</v>
      </c>
      <c r="N26" s="1" t="s">
        <v>213</v>
      </c>
    </row>
    <row r="27" spans="1:14" x14ac:dyDescent="0.15">
      <c r="A27" s="17"/>
      <c r="B27" s="7">
        <v>603700</v>
      </c>
      <c r="C27" s="7" t="s">
        <v>224</v>
      </c>
      <c r="D27" s="2">
        <v>-101.78612</v>
      </c>
      <c r="E27" s="2">
        <v>5.7379699999999723</v>
      </c>
      <c r="F27" s="2">
        <f>D27-E27</f>
        <v>-107.52408999999997</v>
      </c>
      <c r="G27" s="8">
        <f>IF(E27=0,"n/a",F27/ABS(E27))</f>
        <v>-18.739047084596205</v>
      </c>
      <c r="H27" s="17" t="str">
        <f>J27&amp;0</f>
        <v>S0</v>
      </c>
      <c r="J27" s="15" t="s">
        <v>105</v>
      </c>
      <c r="K27" s="1" t="s">
        <v>225</v>
      </c>
      <c r="L27" s="1" t="s">
        <v>225</v>
      </c>
      <c r="M27" s="1" t="s">
        <v>213</v>
      </c>
      <c r="N27" s="1" t="s">
        <v>213</v>
      </c>
    </row>
    <row r="28" spans="1:14" x14ac:dyDescent="0.15">
      <c r="A28" s="17"/>
      <c r="B28" s="7">
        <v>681730</v>
      </c>
      <c r="C28" s="7" t="s">
        <v>348</v>
      </c>
      <c r="D28" s="2">
        <v>1.9364699999999939</v>
      </c>
      <c r="E28" s="2">
        <v>13.415080000000001</v>
      </c>
      <c r="F28" s="2">
        <f>D28-E28</f>
        <v>-11.478610000000007</v>
      </c>
      <c r="G28" s="8">
        <f>IF(E28=0,"n/a",F28/ABS(E28))</f>
        <v>-0.85564976131338799</v>
      </c>
      <c r="H28" s="17" t="str">
        <f>J28&amp;0</f>
        <v>S0</v>
      </c>
      <c r="J28" s="15" t="s">
        <v>105</v>
      </c>
      <c r="K28" s="1" t="s">
        <v>349</v>
      </c>
      <c r="L28" s="1" t="s">
        <v>349</v>
      </c>
      <c r="M28" s="1" t="s">
        <v>213</v>
      </c>
      <c r="N28" s="1" t="s">
        <v>213</v>
      </c>
    </row>
    <row r="29" spans="1:14" x14ac:dyDescent="0.15">
      <c r="A29" s="17"/>
      <c r="B29" s="7"/>
      <c r="C29" s="7"/>
      <c r="D29" s="2"/>
      <c r="E29" s="2"/>
      <c r="F29" s="2"/>
      <c r="G29" s="8"/>
      <c r="H29" s="17"/>
    </row>
    <row r="30" spans="1:14" s="12" customFormat="1" ht="13.5" customHeight="1" x14ac:dyDescent="0.15">
      <c r="A30" s="17"/>
      <c r="B30" s="21" t="s">
        <v>530</v>
      </c>
      <c r="C30" s="21"/>
      <c r="D30" s="19"/>
      <c r="E30" s="19"/>
      <c r="F30" s="19"/>
      <c r="G30" s="22"/>
      <c r="H30" s="17"/>
      <c r="J30" s="16"/>
    </row>
    <row r="31" spans="1:14" x14ac:dyDescent="0.15">
      <c r="A31" s="17"/>
      <c r="B31" s="7">
        <v>713550</v>
      </c>
      <c r="C31" s="7" t="s">
        <v>379</v>
      </c>
      <c r="D31" s="2">
        <v>155.16354000000004</v>
      </c>
      <c r="E31" s="2">
        <v>-50.861710000000194</v>
      </c>
      <c r="F31" s="2">
        <f>D31-E31</f>
        <v>206.02525000000023</v>
      </c>
      <c r="G31" s="8">
        <f>IF(E31=0,"n/a",F31/ABS(E31))</f>
        <v>4.0506945204948757</v>
      </c>
      <c r="H31" s="17" t="str">
        <f>J31&amp;0</f>
        <v>S0</v>
      </c>
      <c r="J31" s="15" t="s">
        <v>105</v>
      </c>
      <c r="K31" s="1" t="s">
        <v>380</v>
      </c>
      <c r="L31" s="1" t="s">
        <v>380</v>
      </c>
      <c r="M31" s="1" t="s">
        <v>358</v>
      </c>
      <c r="N31" s="1" t="s">
        <v>358</v>
      </c>
    </row>
    <row r="32" spans="1:14" x14ac:dyDescent="0.15">
      <c r="A32" s="17"/>
      <c r="B32" s="7">
        <v>781730</v>
      </c>
      <c r="C32" s="7" t="s">
        <v>393</v>
      </c>
      <c r="D32" s="2">
        <v>15.058590000000001</v>
      </c>
      <c r="E32" s="2">
        <v>0</v>
      </c>
      <c r="F32" s="2">
        <f>D32-E32</f>
        <v>15.058590000000001</v>
      </c>
      <c r="G32" s="8" t="str">
        <f>IF(E32=0,"n/a",F32/ABS(E32))</f>
        <v>n/a</v>
      </c>
      <c r="H32" s="17" t="str">
        <f>J32&amp;0</f>
        <v>S0</v>
      </c>
      <c r="J32" s="15" t="s">
        <v>105</v>
      </c>
      <c r="K32" s="1" t="s">
        <v>394</v>
      </c>
      <c r="L32" s="1" t="s">
        <v>394</v>
      </c>
      <c r="M32" s="1" t="s">
        <v>358</v>
      </c>
      <c r="N32" s="1" t="s">
        <v>358</v>
      </c>
    </row>
  </sheetData>
  <conditionalFormatting sqref="D4">
    <cfRule type="expression" dxfId="11" priority="1" stopIfTrue="1">
      <formula>ISBLANK(D4)</formula>
    </cfRule>
  </conditionalFormatting>
  <conditionalFormatting sqref="D8">
    <cfRule type="expression" dxfId="10" priority="2" stopIfTrue="1">
      <formula>$D$8="Date N ?"</formula>
    </cfRule>
  </conditionalFormatting>
  <conditionalFormatting sqref="E8">
    <cfRule type="expression" dxfId="9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8B18F8FC-DA57-42C8-9B91-E5FDC849B1FE}"/>
  </dataValidations>
  <hyperlinks>
    <hyperlink ref="A1" location="Sommaire!C3" display="Retour sommaire" xr:uid="{647B57DB-D067-4B2B-98C9-DAA105B79F49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S&amp;R&amp;"Times New Roman,Gras"&amp;10S0
&amp;P/&amp;N</oddHeader>
    <oddFooter>&amp;L&amp;"Times New Roman"&amp;10Firex Audit&amp;C&amp;"Times New Roman"&amp;10&amp;D&amp;R&amp;"Times New Roman"&amp;10Document de travail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B5CC-A5AE-40F3-A806-8B4B008D6402}">
  <sheetPr codeName="Feuil12">
    <pageSetUpPr fitToPage="1"/>
  </sheetPr>
  <dimension ref="A1:N23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539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467000</v>
      </c>
      <c r="C11" s="7" t="s">
        <v>189</v>
      </c>
      <c r="D11" s="2">
        <v>1E-3</v>
      </c>
      <c r="E11" s="2">
        <v>1E-3</v>
      </c>
      <c r="F11" s="2">
        <f>D11-E11</f>
        <v>0</v>
      </c>
      <c r="G11" s="8">
        <f>IF(E11=0,"n/a",F11/ABS(E11))</f>
        <v>0</v>
      </c>
      <c r="H11" s="17" t="str">
        <f>J11&amp;0</f>
        <v>T0</v>
      </c>
      <c r="J11" s="15" t="s">
        <v>190</v>
      </c>
      <c r="K11" s="1" t="s">
        <v>191</v>
      </c>
      <c r="L11" s="1" t="s">
        <v>191</v>
      </c>
      <c r="M11" s="1" t="s">
        <v>61</v>
      </c>
      <c r="N11" s="1" t="s">
        <v>61</v>
      </c>
    </row>
    <row r="12" spans="1:14" x14ac:dyDescent="0.15">
      <c r="A12" s="17"/>
      <c r="B12" s="7">
        <v>471000</v>
      </c>
      <c r="C12" s="7" t="s">
        <v>194</v>
      </c>
      <c r="D12" s="2">
        <v>1.7152099999999628</v>
      </c>
      <c r="E12" s="2">
        <v>-1.8814299999999999</v>
      </c>
      <c r="F12" s="2">
        <f>D12-E12</f>
        <v>3.5966399999999625</v>
      </c>
      <c r="G12" s="8">
        <f>IF(E12=0,"n/a",F12/ABS(E12))</f>
        <v>1.9116523070217668</v>
      </c>
      <c r="H12" s="17" t="str">
        <f>J12&amp;0</f>
        <v>T0</v>
      </c>
      <c r="J12" s="15" t="s">
        <v>190</v>
      </c>
      <c r="K12" s="1" t="s">
        <v>191</v>
      </c>
      <c r="L12" s="1" t="s">
        <v>193</v>
      </c>
      <c r="M12" s="1" t="s">
        <v>61</v>
      </c>
      <c r="N12" s="1" t="s">
        <v>37</v>
      </c>
    </row>
    <row r="13" spans="1:14" x14ac:dyDescent="0.15">
      <c r="A13" s="17"/>
      <c r="B13" s="7"/>
      <c r="C13" s="7"/>
      <c r="D13" s="2"/>
      <c r="E13" s="2"/>
      <c r="F13" s="2"/>
      <c r="G13" s="8"/>
      <c r="H13" s="17"/>
    </row>
    <row r="14" spans="1:14" s="12" customFormat="1" ht="13.5" customHeight="1" x14ac:dyDescent="0.15">
      <c r="A14" s="17"/>
      <c r="B14" s="21" t="s">
        <v>433</v>
      </c>
      <c r="C14" s="21"/>
      <c r="D14" s="19"/>
      <c r="E14" s="19"/>
      <c r="F14" s="19"/>
      <c r="G14" s="22"/>
      <c r="H14" s="17"/>
      <c r="J14" s="16"/>
    </row>
    <row r="15" spans="1:14" x14ac:dyDescent="0.15">
      <c r="A15" s="17"/>
      <c r="B15" s="7">
        <v>467110</v>
      </c>
      <c r="C15" s="7" t="s">
        <v>192</v>
      </c>
      <c r="D15" s="2">
        <v>0.47449000000000002</v>
      </c>
      <c r="E15" s="2">
        <v>0.47449000000000002</v>
      </c>
      <c r="F15" s="2">
        <f>D15-E15</f>
        <v>0</v>
      </c>
      <c r="G15" s="8">
        <f>IF(E15=0,"n/a",F15/ABS(E15))</f>
        <v>0</v>
      </c>
      <c r="H15" s="17" t="str">
        <f>J15&amp;0</f>
        <v>T0</v>
      </c>
      <c r="J15" s="15" t="s">
        <v>190</v>
      </c>
      <c r="K15" s="1" t="s">
        <v>193</v>
      </c>
      <c r="L15" s="1" t="s">
        <v>193</v>
      </c>
      <c r="M15" s="1" t="s">
        <v>37</v>
      </c>
      <c r="N15" s="1" t="s">
        <v>37</v>
      </c>
    </row>
    <row r="16" spans="1:14" x14ac:dyDescent="0.15">
      <c r="A16" s="17"/>
      <c r="B16" s="7"/>
      <c r="C16" s="7"/>
      <c r="D16" s="2"/>
      <c r="E16" s="2"/>
      <c r="F16" s="2"/>
      <c r="G16" s="8"/>
      <c r="H16" s="17"/>
    </row>
    <row r="17" spans="1:14" s="12" customFormat="1" ht="13.5" customHeight="1" x14ac:dyDescent="0.15">
      <c r="A17" s="17"/>
      <c r="B17" s="21" t="s">
        <v>528</v>
      </c>
      <c r="C17" s="21"/>
      <c r="D17" s="19"/>
      <c r="E17" s="19"/>
      <c r="F17" s="19"/>
      <c r="G17" s="22"/>
      <c r="H17" s="17"/>
      <c r="J17" s="16"/>
    </row>
    <row r="18" spans="1:14" x14ac:dyDescent="0.15">
      <c r="A18" s="17"/>
      <c r="B18" s="7">
        <v>658000</v>
      </c>
      <c r="C18" s="7" t="s">
        <v>333</v>
      </c>
      <c r="D18" s="2">
        <v>50.7119</v>
      </c>
      <c r="E18" s="2">
        <v>1.1269999999999563E-2</v>
      </c>
      <c r="F18" s="2">
        <f>D18-E18</f>
        <v>50.700630000000004</v>
      </c>
      <c r="G18" s="8">
        <f>IF(E18=0,"n/a",F18/ABS(E18))</f>
        <v>4498.7249334518165</v>
      </c>
      <c r="H18" s="17" t="str">
        <f>J18&amp;0</f>
        <v>T0</v>
      </c>
      <c r="J18" s="15" t="s">
        <v>190</v>
      </c>
      <c r="K18" s="1" t="s">
        <v>332</v>
      </c>
      <c r="L18" s="1" t="s">
        <v>332</v>
      </c>
      <c r="M18" s="1" t="s">
        <v>213</v>
      </c>
      <c r="N18" s="1" t="s">
        <v>213</v>
      </c>
    </row>
    <row r="19" spans="1:14" x14ac:dyDescent="0.15">
      <c r="A19" s="17"/>
      <c r="B19" s="7"/>
      <c r="C19" s="7"/>
      <c r="D19" s="2"/>
      <c r="E19" s="2"/>
      <c r="F19" s="2"/>
      <c r="G19" s="8"/>
      <c r="H19" s="17"/>
    </row>
    <row r="20" spans="1:14" s="12" customFormat="1" ht="13.5" customHeight="1" x14ac:dyDescent="0.15">
      <c r="A20" s="17"/>
      <c r="B20" s="21" t="s">
        <v>530</v>
      </c>
      <c r="C20" s="21"/>
      <c r="D20" s="19"/>
      <c r="E20" s="19"/>
      <c r="F20" s="19"/>
      <c r="G20" s="22"/>
      <c r="H20" s="17"/>
      <c r="J20" s="16"/>
    </row>
    <row r="21" spans="1:14" x14ac:dyDescent="0.15">
      <c r="A21" s="17"/>
      <c r="B21" s="7">
        <v>758000</v>
      </c>
      <c r="C21" s="7" t="s">
        <v>383</v>
      </c>
      <c r="D21" s="2">
        <v>54.54251</v>
      </c>
      <c r="E21" s="2">
        <v>2.0449799999999998</v>
      </c>
      <c r="F21" s="2">
        <f>D21-E21</f>
        <v>52.497529999999998</v>
      </c>
      <c r="G21" s="8">
        <f>IF(E21=0,"n/a",F21/ABS(E21))</f>
        <v>25.671414879363123</v>
      </c>
      <c r="H21" s="17" t="str">
        <f>J21&amp;0</f>
        <v>T0</v>
      </c>
      <c r="J21" s="15" t="s">
        <v>190</v>
      </c>
      <c r="K21" s="1" t="s">
        <v>384</v>
      </c>
      <c r="L21" s="1" t="s">
        <v>384</v>
      </c>
      <c r="M21" s="1" t="s">
        <v>358</v>
      </c>
      <c r="N21" s="1" t="s">
        <v>358</v>
      </c>
    </row>
    <row r="22" spans="1:14" x14ac:dyDescent="0.15">
      <c r="A22" s="17"/>
      <c r="B22" s="7">
        <v>791000</v>
      </c>
      <c r="C22" s="7" t="s">
        <v>396</v>
      </c>
      <c r="D22" s="2">
        <v>23.47466</v>
      </c>
      <c r="E22" s="2">
        <v>20.42202</v>
      </c>
      <c r="F22" s="2">
        <f>D22-E22</f>
        <v>3.0526400000000002</v>
      </c>
      <c r="G22" s="8">
        <f>IF(E22=0,"n/a",F22/ABS(E22))</f>
        <v>0.14947786751751296</v>
      </c>
      <c r="H22" s="17" t="str">
        <f>J22&amp;0</f>
        <v>T0</v>
      </c>
      <c r="J22" s="15" t="s">
        <v>190</v>
      </c>
      <c r="K22" s="1" t="s">
        <v>397</v>
      </c>
      <c r="L22" s="1" t="s">
        <v>397</v>
      </c>
      <c r="M22" s="1" t="s">
        <v>358</v>
      </c>
      <c r="N22" s="1" t="s">
        <v>358</v>
      </c>
    </row>
    <row r="23" spans="1:14" x14ac:dyDescent="0.15">
      <c r="A23" s="17"/>
      <c r="B23" s="7">
        <v>791500</v>
      </c>
      <c r="C23" s="7" t="s">
        <v>398</v>
      </c>
      <c r="D23" s="2">
        <v>11.56532</v>
      </c>
      <c r="E23" s="2">
        <v>0</v>
      </c>
      <c r="F23" s="2">
        <f>D23-E23</f>
        <v>11.56532</v>
      </c>
      <c r="G23" s="8" t="str">
        <f>IF(E23=0,"n/a",F23/ABS(E23))</f>
        <v>n/a</v>
      </c>
      <c r="H23" s="17" t="str">
        <f>J23&amp;0</f>
        <v>T0</v>
      </c>
      <c r="J23" s="15" t="s">
        <v>190</v>
      </c>
      <c r="K23" s="1" t="s">
        <v>397</v>
      </c>
      <c r="L23" s="1" t="s">
        <v>397</v>
      </c>
      <c r="M23" s="1" t="s">
        <v>358</v>
      </c>
      <c r="N23" s="1" t="s">
        <v>358</v>
      </c>
    </row>
  </sheetData>
  <conditionalFormatting sqref="D4">
    <cfRule type="expression" dxfId="8" priority="1" stopIfTrue="1">
      <formula>ISBLANK(D4)</formula>
    </cfRule>
  </conditionalFormatting>
  <conditionalFormatting sqref="D8">
    <cfRule type="expression" dxfId="7" priority="2" stopIfTrue="1">
      <formula>$D$8="Date N ?"</formula>
    </cfRule>
  </conditionalFormatting>
  <conditionalFormatting sqref="E8">
    <cfRule type="expression" dxfId="6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B330EEF8-AD31-425B-BEF4-06A90868E026}"/>
  </dataValidations>
  <hyperlinks>
    <hyperlink ref="A1" location="Sommaire!C3" display="Retour sommaire" xr:uid="{81BD1BA5-73CB-45DF-A3EE-0437F8AD379E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T&amp;R&amp;"Times New Roman,Gras"&amp;10T0
&amp;P/&amp;N</oddHeader>
    <oddFooter>&amp;L&amp;"Times New Roman"&amp;10Firex Audit&amp;C&amp;"Times New Roman"&amp;10&amp;D&amp;R&amp;"Times New Roman"&amp;10Document de travail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F197-9CBC-4A92-BE1D-B5FA52420021}">
  <sheetPr codeName="Feuil13">
    <pageSetUpPr fitToPage="1"/>
  </sheetPr>
  <dimension ref="A1:N44"/>
  <sheetViews>
    <sheetView showGridLines="0" defaultGridColor="0" topLeftCell="A2" colorId="52" workbookViewId="0">
      <selection activeCell="D24" sqref="D24"/>
    </sheetView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6" width="12.19921875" style="1" customWidth="1"/>
    <col min="7" max="7" width="16.3984375" style="1" customWidth="1"/>
    <col min="8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540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432</v>
      </c>
      <c r="J10" s="16"/>
    </row>
    <row r="11" spans="1:14" x14ac:dyDescent="0.15">
      <c r="A11" s="17"/>
      <c r="B11" s="7">
        <v>411000</v>
      </c>
      <c r="C11" s="7" t="s">
        <v>126</v>
      </c>
      <c r="D11" s="2">
        <v>1562.0346300000026</v>
      </c>
      <c r="E11" s="2">
        <v>1796.0376299999743</v>
      </c>
      <c r="F11" s="2">
        <f t="shared" ref="F11:F17" si="0">D11-E11</f>
        <v>-234.00299999997173</v>
      </c>
      <c r="G11" s="8">
        <f t="shared" ref="G11:G17" si="1">IF(E11=0,"n/a",F11/ABS(E11))</f>
        <v>-0.1302884728534196</v>
      </c>
      <c r="H11" s="17" t="str">
        <f t="shared" ref="H11:H17" si="2">J11&amp;0</f>
        <v>V0</v>
      </c>
      <c r="J11" s="15" t="s">
        <v>127</v>
      </c>
      <c r="K11" s="1" t="s">
        <v>128</v>
      </c>
      <c r="L11" s="1" t="s">
        <v>128</v>
      </c>
      <c r="M11" s="1" t="s">
        <v>61</v>
      </c>
      <c r="N11" s="1" t="s">
        <v>61</v>
      </c>
    </row>
    <row r="12" spans="1:14" x14ac:dyDescent="0.15">
      <c r="A12" s="17"/>
      <c r="B12" s="7">
        <v>413000</v>
      </c>
      <c r="C12" s="7" t="s">
        <v>129</v>
      </c>
      <c r="D12" s="2">
        <v>8.583770000000019</v>
      </c>
      <c r="E12" s="2">
        <v>-2.3078428057488056E-14</v>
      </c>
      <c r="F12" s="2">
        <f t="shared" si="0"/>
        <v>8.5837700000000421</v>
      </c>
      <c r="G12" s="8">
        <f t="shared" si="1"/>
        <v>371939110350929.69</v>
      </c>
      <c r="H12" s="17" t="str">
        <f t="shared" si="2"/>
        <v>V0</v>
      </c>
      <c r="J12" s="15" t="s">
        <v>127</v>
      </c>
      <c r="K12" s="1" t="s">
        <v>128</v>
      </c>
      <c r="L12" s="1" t="s">
        <v>130</v>
      </c>
      <c r="M12" s="1" t="s">
        <v>61</v>
      </c>
      <c r="N12" s="1" t="s">
        <v>37</v>
      </c>
    </row>
    <row r="13" spans="1:14" x14ac:dyDescent="0.15">
      <c r="A13" s="17"/>
      <c r="B13" s="7">
        <v>416000</v>
      </c>
      <c r="C13" s="7" t="s">
        <v>131</v>
      </c>
      <c r="D13" s="2">
        <v>19.10614</v>
      </c>
      <c r="E13" s="2">
        <v>9.1793300000000002</v>
      </c>
      <c r="F13" s="2">
        <f t="shared" si="0"/>
        <v>9.9268099999999997</v>
      </c>
      <c r="G13" s="8">
        <f t="shared" si="1"/>
        <v>1.0814307798063691</v>
      </c>
      <c r="H13" s="17" t="str">
        <f t="shared" si="2"/>
        <v>V0</v>
      </c>
      <c r="J13" s="15" t="s">
        <v>127</v>
      </c>
      <c r="K13" s="1" t="s">
        <v>128</v>
      </c>
      <c r="L13" s="1" t="s">
        <v>128</v>
      </c>
      <c r="M13" s="1" t="s">
        <v>61</v>
      </c>
      <c r="N13" s="1" t="s">
        <v>61</v>
      </c>
    </row>
    <row r="14" spans="1:14" x14ac:dyDescent="0.15">
      <c r="A14" s="17"/>
      <c r="B14" s="7">
        <v>418100</v>
      </c>
      <c r="C14" s="7" t="s">
        <v>132</v>
      </c>
      <c r="D14" s="2">
        <v>0</v>
      </c>
      <c r="E14" s="2">
        <v>94.67756</v>
      </c>
      <c r="F14" s="2">
        <f t="shared" si="0"/>
        <v>-94.67756</v>
      </c>
      <c r="G14" s="8">
        <f t="shared" si="1"/>
        <v>-1</v>
      </c>
      <c r="H14" s="17" t="str">
        <f t="shared" si="2"/>
        <v>V0</v>
      </c>
      <c r="J14" s="15" t="s">
        <v>127</v>
      </c>
      <c r="K14" s="1" t="s">
        <v>128</v>
      </c>
      <c r="L14" s="1" t="s">
        <v>128</v>
      </c>
      <c r="M14" s="1" t="s">
        <v>61</v>
      </c>
      <c r="N14" s="1" t="s">
        <v>61</v>
      </c>
    </row>
    <row r="15" spans="1:14" x14ac:dyDescent="0.15">
      <c r="A15" s="17"/>
      <c r="B15" s="7">
        <v>418101</v>
      </c>
      <c r="C15" s="7" t="s">
        <v>133</v>
      </c>
      <c r="D15" s="2">
        <v>255.64887999999999</v>
      </c>
      <c r="E15" s="2">
        <v>0</v>
      </c>
      <c r="F15" s="2">
        <f t="shared" si="0"/>
        <v>255.64887999999999</v>
      </c>
      <c r="G15" s="8" t="str">
        <f t="shared" si="1"/>
        <v>n/a</v>
      </c>
      <c r="H15" s="17" t="str">
        <f t="shared" si="2"/>
        <v>V0</v>
      </c>
      <c r="J15" s="15" t="s">
        <v>127</v>
      </c>
      <c r="K15" s="1" t="s">
        <v>128</v>
      </c>
      <c r="L15" s="1" t="s">
        <v>128</v>
      </c>
      <c r="M15" s="1" t="s">
        <v>61</v>
      </c>
      <c r="N15" s="1" t="s">
        <v>61</v>
      </c>
    </row>
    <row r="16" spans="1:14" x14ac:dyDescent="0.15">
      <c r="A16" s="17"/>
      <c r="B16" s="7">
        <v>419800</v>
      </c>
      <c r="C16" s="7" t="s">
        <v>134</v>
      </c>
      <c r="D16" s="2">
        <v>0</v>
      </c>
      <c r="E16" s="2">
        <v>0</v>
      </c>
      <c r="F16" s="2">
        <f t="shared" si="0"/>
        <v>0</v>
      </c>
      <c r="G16" s="8" t="str">
        <f t="shared" si="1"/>
        <v>n/a</v>
      </c>
      <c r="H16" s="17" t="str">
        <f t="shared" si="2"/>
        <v>V0</v>
      </c>
      <c r="J16" s="15" t="s">
        <v>127</v>
      </c>
      <c r="K16" s="1" t="s">
        <v>128</v>
      </c>
      <c r="L16" s="1" t="s">
        <v>128</v>
      </c>
      <c r="M16" s="1" t="s">
        <v>61</v>
      </c>
      <c r="N16" s="1" t="s">
        <v>61</v>
      </c>
    </row>
    <row r="17" spans="1:14" x14ac:dyDescent="0.15">
      <c r="A17" s="17"/>
      <c r="B17" s="7">
        <v>491000</v>
      </c>
      <c r="C17" s="7" t="s">
        <v>197</v>
      </c>
      <c r="D17" s="2">
        <v>-16.265899999999998</v>
      </c>
      <c r="E17" s="2">
        <v>-7.6494399999999994</v>
      </c>
      <c r="F17" s="2">
        <f t="shared" si="0"/>
        <v>-8.61646</v>
      </c>
      <c r="G17" s="8">
        <f t="shared" si="1"/>
        <v>-1.1264170971992722</v>
      </c>
      <c r="H17" s="17" t="str">
        <f t="shared" si="2"/>
        <v>V0</v>
      </c>
      <c r="J17" s="15" t="s">
        <v>127</v>
      </c>
      <c r="K17" s="1" t="s">
        <v>128</v>
      </c>
      <c r="L17" s="1" t="s">
        <v>128</v>
      </c>
      <c r="M17" s="1" t="s">
        <v>61</v>
      </c>
      <c r="N17" s="1" t="s">
        <v>61</v>
      </c>
    </row>
    <row r="18" spans="1:14" x14ac:dyDescent="0.15">
      <c r="A18" s="17"/>
      <c r="B18" s="7"/>
      <c r="C18" s="7"/>
      <c r="D18" s="2"/>
      <c r="E18" s="2"/>
      <c r="F18" s="2"/>
      <c r="G18" s="8"/>
      <c r="H18" s="17"/>
    </row>
    <row r="19" spans="1:14" s="12" customFormat="1" ht="13.5" customHeight="1" x14ac:dyDescent="0.15">
      <c r="A19" s="17"/>
      <c r="B19" s="21" t="s">
        <v>528</v>
      </c>
      <c r="C19" s="21"/>
      <c r="D19" s="19"/>
      <c r="E19" s="19"/>
      <c r="F19" s="19"/>
      <c r="G19" s="22"/>
      <c r="H19" s="17"/>
      <c r="J19" s="16"/>
    </row>
    <row r="20" spans="1:14" x14ac:dyDescent="0.15">
      <c r="A20" s="17"/>
      <c r="B20" s="7">
        <v>654100</v>
      </c>
      <c r="C20" s="7" t="s">
        <v>331</v>
      </c>
      <c r="D20" s="2">
        <v>0</v>
      </c>
      <c r="E20" s="2">
        <v>6.46183</v>
      </c>
      <c r="F20" s="2">
        <f>D20-E20</f>
        <v>-6.46183</v>
      </c>
      <c r="G20" s="8">
        <f>IF(E20=0,"n/a",F20/ABS(E20))</f>
        <v>-1</v>
      </c>
      <c r="H20" s="17" t="str">
        <f>J20&amp;0</f>
        <v>V0</v>
      </c>
      <c r="J20" s="15" t="s">
        <v>127</v>
      </c>
      <c r="K20" s="1" t="s">
        <v>332</v>
      </c>
      <c r="L20" s="1" t="s">
        <v>332</v>
      </c>
      <c r="M20" s="1" t="s">
        <v>213</v>
      </c>
      <c r="N20" s="1" t="s">
        <v>213</v>
      </c>
    </row>
    <row r="21" spans="1:14" x14ac:dyDescent="0.15">
      <c r="A21" s="17"/>
      <c r="B21" s="7">
        <v>681740</v>
      </c>
      <c r="C21" s="7" t="s">
        <v>350</v>
      </c>
      <c r="D21" s="2">
        <v>9.8274699999999999</v>
      </c>
      <c r="E21" s="2">
        <v>7.6494399999999994</v>
      </c>
      <c r="F21" s="2">
        <f>D21-E21</f>
        <v>2.1780300000000006</v>
      </c>
      <c r="G21" s="8">
        <f>IF(E21=0,"n/a",F21/ABS(E21))</f>
        <v>0.28473064694931927</v>
      </c>
      <c r="H21" s="17" t="str">
        <f>J21&amp;0</f>
        <v>V0</v>
      </c>
      <c r="J21" s="15" t="s">
        <v>127</v>
      </c>
      <c r="K21" s="1" t="s">
        <v>349</v>
      </c>
      <c r="L21" s="1" t="s">
        <v>349</v>
      </c>
      <c r="M21" s="1" t="s">
        <v>213</v>
      </c>
      <c r="N21" s="1" t="s">
        <v>213</v>
      </c>
    </row>
    <row r="22" spans="1:14" x14ac:dyDescent="0.15">
      <c r="A22" s="17"/>
      <c r="B22" s="7"/>
      <c r="C22" s="7"/>
      <c r="D22" s="2"/>
      <c r="E22" s="2"/>
      <c r="F22" s="2"/>
      <c r="G22" s="8"/>
      <c r="H22" s="17"/>
    </row>
    <row r="23" spans="1:14" s="12" customFormat="1" ht="13.5" customHeight="1" x14ac:dyDescent="0.15">
      <c r="A23" s="17"/>
      <c r="B23" s="21" t="s">
        <v>530</v>
      </c>
      <c r="C23" s="21"/>
      <c r="D23" s="19"/>
      <c r="E23" s="19"/>
      <c r="F23" s="19"/>
      <c r="G23" s="22"/>
      <c r="H23" s="17"/>
      <c r="J23" s="16"/>
    </row>
    <row r="24" spans="1:14" x14ac:dyDescent="0.15">
      <c r="A24" s="17"/>
      <c r="B24" s="7">
        <v>701000</v>
      </c>
      <c r="C24" s="7" t="s">
        <v>356</v>
      </c>
      <c r="D24" s="2">
        <v>11069.48487</v>
      </c>
      <c r="E24" s="2">
        <v>10045.083910000081</v>
      </c>
      <c r="F24" s="2">
        <f t="shared" ref="F24:F44" si="3">D24-E24</f>
        <v>1024.400959999919</v>
      </c>
      <c r="G24" s="8">
        <f t="shared" ref="G24:G44" si="4">IF(E24=0,"n/a",F24/ABS(E24))</f>
        <v>0.10198032880343662</v>
      </c>
      <c r="H24" s="17" t="str">
        <f t="shared" ref="H24:H44" si="5">J24&amp;0</f>
        <v>V0</v>
      </c>
      <c r="J24" s="15" t="s">
        <v>127</v>
      </c>
      <c r="K24" s="1" t="s">
        <v>357</v>
      </c>
      <c r="L24" s="1" t="s">
        <v>357</v>
      </c>
      <c r="M24" s="1" t="s">
        <v>358</v>
      </c>
      <c r="N24" s="1" t="s">
        <v>358</v>
      </c>
    </row>
    <row r="25" spans="1:14" x14ac:dyDescent="0.15">
      <c r="A25" s="17"/>
      <c r="B25" s="7">
        <v>701010</v>
      </c>
      <c r="C25" s="7" t="s">
        <v>359</v>
      </c>
      <c r="D25" s="2">
        <v>1114.1406300000001</v>
      </c>
      <c r="E25" s="2">
        <v>969.267300000001</v>
      </c>
      <c r="F25" s="2">
        <f t="shared" si="3"/>
        <v>144.8733299999991</v>
      </c>
      <c r="G25" s="8">
        <f t="shared" si="4"/>
        <v>0.14946684985658645</v>
      </c>
      <c r="H25" s="17" t="str">
        <f t="shared" si="5"/>
        <v>V0</v>
      </c>
      <c r="J25" s="15" t="s">
        <v>127</v>
      </c>
      <c r="K25" s="1" t="s">
        <v>357</v>
      </c>
      <c r="L25" s="1" t="s">
        <v>357</v>
      </c>
      <c r="M25" s="1" t="s">
        <v>358</v>
      </c>
      <c r="N25" s="1" t="s">
        <v>358</v>
      </c>
    </row>
    <row r="26" spans="1:14" x14ac:dyDescent="0.15">
      <c r="A26" s="17"/>
      <c r="B26" s="7">
        <v>701020</v>
      </c>
      <c r="C26" s="7" t="s">
        <v>360</v>
      </c>
      <c r="D26" s="2">
        <v>65.352829999999997</v>
      </c>
      <c r="E26" s="2">
        <v>81.436170000000033</v>
      </c>
      <c r="F26" s="2">
        <f t="shared" si="3"/>
        <v>-16.083340000000035</v>
      </c>
      <c r="G26" s="8">
        <f t="shared" si="4"/>
        <v>-0.19749627223382471</v>
      </c>
      <c r="H26" s="17" t="str">
        <f t="shared" si="5"/>
        <v>V0</v>
      </c>
      <c r="J26" s="15" t="s">
        <v>127</v>
      </c>
      <c r="K26" s="1" t="s">
        <v>357</v>
      </c>
      <c r="L26" s="1" t="s">
        <v>357</v>
      </c>
      <c r="M26" s="1" t="s">
        <v>358</v>
      </c>
      <c r="N26" s="1" t="s">
        <v>358</v>
      </c>
    </row>
    <row r="27" spans="1:14" x14ac:dyDescent="0.15">
      <c r="A27" s="17"/>
      <c r="B27" s="7">
        <v>701030</v>
      </c>
      <c r="C27" s="7" t="s">
        <v>361</v>
      </c>
      <c r="D27" s="2">
        <v>153.71644000000001</v>
      </c>
      <c r="E27" s="2">
        <v>93.88657000000002</v>
      </c>
      <c r="F27" s="2">
        <f t="shared" si="3"/>
        <v>59.829869999999985</v>
      </c>
      <c r="G27" s="8">
        <f t="shared" si="4"/>
        <v>0.63725695805054938</v>
      </c>
      <c r="H27" s="17" t="str">
        <f t="shared" si="5"/>
        <v>V0</v>
      </c>
      <c r="J27" s="15" t="s">
        <v>127</v>
      </c>
      <c r="K27" s="1" t="s">
        <v>357</v>
      </c>
      <c r="L27" s="1" t="s">
        <v>357</v>
      </c>
      <c r="M27" s="1" t="s">
        <v>358</v>
      </c>
      <c r="N27" s="1" t="s">
        <v>358</v>
      </c>
    </row>
    <row r="28" spans="1:14" x14ac:dyDescent="0.15">
      <c r="A28" s="17"/>
      <c r="B28" s="7">
        <v>703000</v>
      </c>
      <c r="C28" s="7" t="s">
        <v>362</v>
      </c>
      <c r="D28" s="2">
        <v>14.011209999999998</v>
      </c>
      <c r="E28" s="2">
        <v>19.056010000000004</v>
      </c>
      <c r="F28" s="2">
        <f t="shared" si="3"/>
        <v>-5.0448000000000057</v>
      </c>
      <c r="G28" s="8">
        <f t="shared" si="4"/>
        <v>-0.26473537744785003</v>
      </c>
      <c r="H28" s="17" t="str">
        <f t="shared" si="5"/>
        <v>V0</v>
      </c>
      <c r="J28" s="15" t="s">
        <v>127</v>
      </c>
      <c r="K28" s="1" t="s">
        <v>357</v>
      </c>
      <c r="L28" s="1" t="s">
        <v>357</v>
      </c>
      <c r="M28" s="1" t="s">
        <v>358</v>
      </c>
      <c r="N28" s="1" t="s">
        <v>358</v>
      </c>
    </row>
    <row r="29" spans="1:14" x14ac:dyDescent="0.15">
      <c r="A29" s="17"/>
      <c r="B29" s="7">
        <v>707000</v>
      </c>
      <c r="C29" s="7" t="s">
        <v>363</v>
      </c>
      <c r="D29" s="2">
        <v>1368.2297100000001</v>
      </c>
      <c r="E29" s="2">
        <v>1131.4502699999998</v>
      </c>
      <c r="F29" s="2">
        <f t="shared" si="3"/>
        <v>236.77944000000025</v>
      </c>
      <c r="G29" s="8">
        <f t="shared" si="4"/>
        <v>0.20927074417508451</v>
      </c>
      <c r="H29" s="17" t="str">
        <f t="shared" si="5"/>
        <v>V0</v>
      </c>
      <c r="J29" s="15" t="s">
        <v>127</v>
      </c>
      <c r="K29" s="1" t="s">
        <v>364</v>
      </c>
      <c r="L29" s="1" t="s">
        <v>364</v>
      </c>
      <c r="M29" s="1" t="s">
        <v>358</v>
      </c>
      <c r="N29" s="1" t="s">
        <v>358</v>
      </c>
    </row>
    <row r="30" spans="1:14" x14ac:dyDescent="0.15">
      <c r="A30" s="17"/>
      <c r="B30" s="7">
        <v>707010</v>
      </c>
      <c r="C30" s="7" t="s">
        <v>365</v>
      </c>
      <c r="D30" s="2">
        <v>26.541539999999998</v>
      </c>
      <c r="E30" s="2">
        <v>24.12555</v>
      </c>
      <c r="F30" s="2">
        <f t="shared" si="3"/>
        <v>2.4159899999999972</v>
      </c>
      <c r="G30" s="8">
        <f t="shared" si="4"/>
        <v>0.10014238017371613</v>
      </c>
      <c r="H30" s="17" t="str">
        <f t="shared" si="5"/>
        <v>V0</v>
      </c>
      <c r="J30" s="15" t="s">
        <v>127</v>
      </c>
      <c r="K30" s="1" t="s">
        <v>364</v>
      </c>
      <c r="L30" s="1" t="s">
        <v>364</v>
      </c>
      <c r="M30" s="1" t="s">
        <v>358</v>
      </c>
      <c r="N30" s="1" t="s">
        <v>358</v>
      </c>
    </row>
    <row r="31" spans="1:14" x14ac:dyDescent="0.15">
      <c r="A31" s="17"/>
      <c r="B31" s="7">
        <v>707020</v>
      </c>
      <c r="C31" s="7" t="s">
        <v>366</v>
      </c>
      <c r="D31" s="2">
        <v>30.710740000000001</v>
      </c>
      <c r="E31" s="2">
        <v>18.269699999999997</v>
      </c>
      <c r="F31" s="2">
        <f t="shared" si="3"/>
        <v>12.441040000000005</v>
      </c>
      <c r="G31" s="8">
        <f t="shared" si="4"/>
        <v>0.68096575203752696</v>
      </c>
      <c r="H31" s="17" t="str">
        <f t="shared" si="5"/>
        <v>V0</v>
      </c>
      <c r="J31" s="15" t="s">
        <v>127</v>
      </c>
      <c r="K31" s="1" t="s">
        <v>364</v>
      </c>
      <c r="L31" s="1" t="s">
        <v>364</v>
      </c>
      <c r="M31" s="1" t="s">
        <v>358</v>
      </c>
      <c r="N31" s="1" t="s">
        <v>358</v>
      </c>
    </row>
    <row r="32" spans="1:14" x14ac:dyDescent="0.15">
      <c r="A32" s="17"/>
      <c r="B32" s="7">
        <v>707030</v>
      </c>
      <c r="C32" s="7" t="s">
        <v>367</v>
      </c>
      <c r="D32" s="2">
        <v>21.829450000000001</v>
      </c>
      <c r="E32" s="2">
        <v>25.87107</v>
      </c>
      <c r="F32" s="2">
        <f t="shared" si="3"/>
        <v>-4.0416199999999982</v>
      </c>
      <c r="G32" s="8">
        <f t="shared" si="4"/>
        <v>-0.15622160196698467</v>
      </c>
      <c r="H32" s="17" t="str">
        <f t="shared" si="5"/>
        <v>V0</v>
      </c>
      <c r="J32" s="15" t="s">
        <v>127</v>
      </c>
      <c r="K32" s="1" t="s">
        <v>364</v>
      </c>
      <c r="L32" s="1" t="s">
        <v>364</v>
      </c>
      <c r="M32" s="1" t="s">
        <v>358</v>
      </c>
      <c r="N32" s="1" t="s">
        <v>358</v>
      </c>
    </row>
    <row r="33" spans="1:14" x14ac:dyDescent="0.15">
      <c r="A33" s="17"/>
      <c r="B33" s="7">
        <v>708000</v>
      </c>
      <c r="C33" s="7" t="s">
        <v>368</v>
      </c>
      <c r="D33" s="2">
        <v>-1.3250699999999997</v>
      </c>
      <c r="E33" s="2">
        <v>8.92</v>
      </c>
      <c r="F33" s="2">
        <f t="shared" si="3"/>
        <v>-10.24507</v>
      </c>
      <c r="G33" s="8">
        <f t="shared" si="4"/>
        <v>-1.1485504484304934</v>
      </c>
      <c r="H33" s="17" t="str">
        <f t="shared" si="5"/>
        <v>V0</v>
      </c>
      <c r="J33" s="15" t="s">
        <v>127</v>
      </c>
      <c r="K33" s="1" t="s">
        <v>357</v>
      </c>
      <c r="L33" s="1" t="s">
        <v>357</v>
      </c>
      <c r="M33" s="1" t="s">
        <v>358</v>
      </c>
      <c r="N33" s="1" t="s">
        <v>358</v>
      </c>
    </row>
    <row r="34" spans="1:14" x14ac:dyDescent="0.15">
      <c r="A34" s="17"/>
      <c r="B34" s="7">
        <v>708010</v>
      </c>
      <c r="C34" s="7" t="s">
        <v>369</v>
      </c>
      <c r="D34" s="2">
        <v>0.14000000000000001</v>
      </c>
      <c r="E34" s="2">
        <v>0.18</v>
      </c>
      <c r="F34" s="2">
        <f t="shared" si="3"/>
        <v>-3.999999999999998E-2</v>
      </c>
      <c r="G34" s="8">
        <f t="shared" si="4"/>
        <v>-0.22222222222222213</v>
      </c>
      <c r="H34" s="17" t="str">
        <f t="shared" si="5"/>
        <v>V0</v>
      </c>
      <c r="J34" s="15" t="s">
        <v>127</v>
      </c>
      <c r="K34" s="1" t="s">
        <v>357</v>
      </c>
      <c r="L34" s="1" t="s">
        <v>357</v>
      </c>
      <c r="M34" s="1" t="s">
        <v>358</v>
      </c>
      <c r="N34" s="1" t="s">
        <v>358</v>
      </c>
    </row>
    <row r="35" spans="1:14" x14ac:dyDescent="0.15">
      <c r="A35" s="17"/>
      <c r="B35" s="7">
        <v>708020</v>
      </c>
      <c r="C35" s="7" t="s">
        <v>370</v>
      </c>
      <c r="D35" s="2">
        <v>0.08</v>
      </c>
      <c r="E35" s="2">
        <v>0.12</v>
      </c>
      <c r="F35" s="2">
        <f t="shared" si="3"/>
        <v>-3.9999999999999994E-2</v>
      </c>
      <c r="G35" s="8">
        <f t="shared" si="4"/>
        <v>-0.33333333333333331</v>
      </c>
      <c r="H35" s="17" t="str">
        <f t="shared" si="5"/>
        <v>V0</v>
      </c>
      <c r="J35" s="15" t="s">
        <v>127</v>
      </c>
      <c r="K35" s="1" t="s">
        <v>357</v>
      </c>
      <c r="L35" s="1" t="s">
        <v>357</v>
      </c>
      <c r="M35" s="1" t="s">
        <v>358</v>
      </c>
      <c r="N35" s="1" t="s">
        <v>358</v>
      </c>
    </row>
    <row r="36" spans="1:14" x14ac:dyDescent="0.15">
      <c r="A36" s="17"/>
      <c r="B36" s="7">
        <v>708030</v>
      </c>
      <c r="C36" s="7" t="s">
        <v>371</v>
      </c>
      <c r="D36" s="2">
        <v>4.4999999999999998E-2</v>
      </c>
      <c r="E36" s="2">
        <v>0.02</v>
      </c>
      <c r="F36" s="2">
        <f t="shared" si="3"/>
        <v>2.4999999999999998E-2</v>
      </c>
      <c r="G36" s="8">
        <f t="shared" si="4"/>
        <v>1.2499999999999998</v>
      </c>
      <c r="H36" s="17" t="str">
        <f t="shared" si="5"/>
        <v>V0</v>
      </c>
      <c r="J36" s="15" t="s">
        <v>127</v>
      </c>
      <c r="K36" s="1" t="s">
        <v>357</v>
      </c>
      <c r="L36" s="1" t="s">
        <v>357</v>
      </c>
      <c r="M36" s="1" t="s">
        <v>358</v>
      </c>
      <c r="N36" s="1" t="s">
        <v>358</v>
      </c>
    </row>
    <row r="37" spans="1:14" x14ac:dyDescent="0.15">
      <c r="A37" s="17"/>
      <c r="B37" s="7">
        <v>708500</v>
      </c>
      <c r="C37" s="7" t="s">
        <v>372</v>
      </c>
      <c r="D37" s="2">
        <v>87.070200000000014</v>
      </c>
      <c r="E37" s="2">
        <v>81.716070000000997</v>
      </c>
      <c r="F37" s="2">
        <f t="shared" si="3"/>
        <v>5.3541299999990173</v>
      </c>
      <c r="G37" s="8">
        <f t="shared" si="4"/>
        <v>6.5521139232453937E-2</v>
      </c>
      <c r="H37" s="17" t="str">
        <f t="shared" si="5"/>
        <v>V0</v>
      </c>
      <c r="J37" s="15" t="s">
        <v>127</v>
      </c>
      <c r="K37" s="1" t="s">
        <v>357</v>
      </c>
      <c r="L37" s="1" t="s">
        <v>357</v>
      </c>
      <c r="M37" s="1" t="s">
        <v>358</v>
      </c>
      <c r="N37" s="1" t="s">
        <v>358</v>
      </c>
    </row>
    <row r="38" spans="1:14" x14ac:dyDescent="0.15">
      <c r="A38" s="17"/>
      <c r="B38" s="7">
        <v>708510</v>
      </c>
      <c r="C38" s="7" t="s">
        <v>373</v>
      </c>
      <c r="D38" s="2">
        <v>4.2877399999999994</v>
      </c>
      <c r="E38" s="2">
        <v>5.5792299999999999</v>
      </c>
      <c r="F38" s="2">
        <f t="shared" si="3"/>
        <v>-1.2914900000000005</v>
      </c>
      <c r="G38" s="8">
        <f t="shared" si="4"/>
        <v>-0.23148176361254161</v>
      </c>
      <c r="H38" s="17" t="str">
        <f t="shared" si="5"/>
        <v>V0</v>
      </c>
      <c r="J38" s="15" t="s">
        <v>127</v>
      </c>
      <c r="K38" s="1" t="s">
        <v>357</v>
      </c>
      <c r="L38" s="1" t="s">
        <v>357</v>
      </c>
      <c r="M38" s="1" t="s">
        <v>358</v>
      </c>
      <c r="N38" s="1" t="s">
        <v>358</v>
      </c>
    </row>
    <row r="39" spans="1:14" x14ac:dyDescent="0.15">
      <c r="A39" s="17"/>
      <c r="B39" s="7">
        <v>708520</v>
      </c>
      <c r="C39" s="7" t="s">
        <v>374</v>
      </c>
      <c r="D39" s="2">
        <v>0.67269000000000001</v>
      </c>
      <c r="E39" s="2">
        <v>0.13800000000000001</v>
      </c>
      <c r="F39" s="2">
        <f t="shared" si="3"/>
        <v>0.53469</v>
      </c>
      <c r="G39" s="8">
        <f t="shared" si="4"/>
        <v>3.8745652173913041</v>
      </c>
      <c r="H39" s="17" t="str">
        <f t="shared" si="5"/>
        <v>V0</v>
      </c>
      <c r="J39" s="15" t="s">
        <v>127</v>
      </c>
      <c r="K39" s="1" t="s">
        <v>357</v>
      </c>
      <c r="L39" s="1" t="s">
        <v>357</v>
      </c>
      <c r="M39" s="1" t="s">
        <v>358</v>
      </c>
      <c r="N39" s="1" t="s">
        <v>358</v>
      </c>
    </row>
    <row r="40" spans="1:14" x14ac:dyDescent="0.15">
      <c r="A40" s="17"/>
      <c r="B40" s="7">
        <v>708530</v>
      </c>
      <c r="C40" s="7" t="s">
        <v>375</v>
      </c>
      <c r="D40" s="2">
        <v>1.9989999999999997E-2</v>
      </c>
      <c r="E40" s="2">
        <v>0.26477000000000001</v>
      </c>
      <c r="F40" s="2">
        <f t="shared" si="3"/>
        <v>-0.24478</v>
      </c>
      <c r="G40" s="8">
        <f t="shared" si="4"/>
        <v>-0.92450050987649657</v>
      </c>
      <c r="H40" s="17" t="str">
        <f t="shared" si="5"/>
        <v>V0</v>
      </c>
      <c r="J40" s="15" t="s">
        <v>127</v>
      </c>
      <c r="K40" s="1" t="s">
        <v>357</v>
      </c>
      <c r="L40" s="1" t="s">
        <v>357</v>
      </c>
      <c r="M40" s="1" t="s">
        <v>358</v>
      </c>
      <c r="N40" s="1" t="s">
        <v>358</v>
      </c>
    </row>
    <row r="41" spans="1:14" x14ac:dyDescent="0.15">
      <c r="A41" s="17"/>
      <c r="B41" s="7">
        <v>708800</v>
      </c>
      <c r="C41" s="7" t="s">
        <v>376</v>
      </c>
      <c r="D41" s="2">
        <v>5.0308000000000028</v>
      </c>
      <c r="E41" s="2">
        <v>3.7796199999999955</v>
      </c>
      <c r="F41" s="2">
        <f t="shared" si="3"/>
        <v>1.2511800000000073</v>
      </c>
      <c r="G41" s="8">
        <f t="shared" si="4"/>
        <v>0.3310332784777329</v>
      </c>
      <c r="H41" s="17" t="str">
        <f t="shared" si="5"/>
        <v>V0</v>
      </c>
      <c r="J41" s="15" t="s">
        <v>127</v>
      </c>
      <c r="K41" s="1" t="s">
        <v>357</v>
      </c>
      <c r="L41" s="1" t="s">
        <v>357</v>
      </c>
      <c r="M41" s="1" t="s">
        <v>358</v>
      </c>
      <c r="N41" s="1" t="s">
        <v>358</v>
      </c>
    </row>
    <row r="42" spans="1:14" x14ac:dyDescent="0.15">
      <c r="A42" s="17"/>
      <c r="B42" s="7">
        <v>708801</v>
      </c>
      <c r="C42" s="7" t="s">
        <v>377</v>
      </c>
      <c r="D42" s="2">
        <v>468.71585000000005</v>
      </c>
      <c r="E42" s="2">
        <v>384.62993</v>
      </c>
      <c r="F42" s="2">
        <f t="shared" si="3"/>
        <v>84.085920000000044</v>
      </c>
      <c r="G42" s="8">
        <f t="shared" si="4"/>
        <v>0.21861512441322506</v>
      </c>
      <c r="H42" s="17" t="str">
        <f t="shared" si="5"/>
        <v>V0</v>
      </c>
      <c r="J42" s="15" t="s">
        <v>127</v>
      </c>
      <c r="K42" s="1" t="s">
        <v>357</v>
      </c>
      <c r="L42" s="1" t="s">
        <v>357</v>
      </c>
      <c r="M42" s="1" t="s">
        <v>358</v>
      </c>
      <c r="N42" s="1" t="s">
        <v>358</v>
      </c>
    </row>
    <row r="43" spans="1:14" x14ac:dyDescent="0.15">
      <c r="A43" s="17"/>
      <c r="B43" s="7">
        <v>709100</v>
      </c>
      <c r="C43" s="7" t="s">
        <v>378</v>
      </c>
      <c r="D43" s="2">
        <v>-41.004220000000004</v>
      </c>
      <c r="E43" s="2">
        <v>-125.27760000000004</v>
      </c>
      <c r="F43" s="2">
        <f t="shared" si="3"/>
        <v>84.273380000000031</v>
      </c>
      <c r="G43" s="8">
        <f t="shared" si="4"/>
        <v>0.67269312311219254</v>
      </c>
      <c r="H43" s="17" t="str">
        <f t="shared" si="5"/>
        <v>V0</v>
      </c>
      <c r="J43" s="15" t="s">
        <v>127</v>
      </c>
      <c r="K43" s="1" t="s">
        <v>357</v>
      </c>
      <c r="L43" s="1" t="s">
        <v>357</v>
      </c>
      <c r="M43" s="1" t="s">
        <v>358</v>
      </c>
      <c r="N43" s="1" t="s">
        <v>358</v>
      </c>
    </row>
    <row r="44" spans="1:14" x14ac:dyDescent="0.15">
      <c r="A44" s="17"/>
      <c r="B44" s="7">
        <v>781740</v>
      </c>
      <c r="C44" s="7" t="s">
        <v>395</v>
      </c>
      <c r="D44" s="2">
        <v>1.2110099999999999</v>
      </c>
      <c r="E44" s="2">
        <v>10.711819999999999</v>
      </c>
      <c r="F44" s="2">
        <f t="shared" si="3"/>
        <v>-9.5008099999999995</v>
      </c>
      <c r="G44" s="8">
        <f t="shared" si="4"/>
        <v>-0.88694638259418102</v>
      </c>
      <c r="H44" s="17" t="str">
        <f t="shared" si="5"/>
        <v>V0</v>
      </c>
      <c r="J44" s="15" t="s">
        <v>127</v>
      </c>
      <c r="K44" s="1" t="s">
        <v>394</v>
      </c>
      <c r="L44" s="1" t="s">
        <v>394</v>
      </c>
      <c r="M44" s="1" t="s">
        <v>358</v>
      </c>
      <c r="N44" s="1" t="s">
        <v>358</v>
      </c>
    </row>
  </sheetData>
  <conditionalFormatting sqref="D4">
    <cfRule type="expression" dxfId="5" priority="1" stopIfTrue="1">
      <formula>ISBLANK(D4)</formula>
    </cfRule>
  </conditionalFormatting>
  <conditionalFormatting sqref="D8">
    <cfRule type="expression" dxfId="4" priority="2" stopIfTrue="1">
      <formula>$D$8="Date N ?"</formula>
    </cfRule>
  </conditionalFormatting>
  <conditionalFormatting sqref="E8">
    <cfRule type="expression" dxfId="3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6D12CAA2-2BF7-436A-A25B-39C44C0CABCF}"/>
  </dataValidations>
  <hyperlinks>
    <hyperlink ref="A1" location="Sommaire!C3" display="Retour sommaire" xr:uid="{2D5FD7F3-84BF-4CE8-8E1C-B073F9293DA7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V&amp;R&amp;"Times New Roman,Gras"&amp;10V0
&amp;P/&amp;N</oddHeader>
    <oddFooter>&amp;L&amp;"Times New Roman"&amp;10Firex Audit&amp;C&amp;"Times New Roman"&amp;10&amp;D&amp;R&amp;"Times New Roman"&amp;10Document de travail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D2FA-33DD-4363-9A20-7D2239F955D1}">
  <sheetPr codeName="Feuil14">
    <pageSetUpPr fitToPage="1"/>
  </sheetPr>
  <dimension ref="A1:N16"/>
  <sheetViews>
    <sheetView showGridLines="0" defaultGridColor="0" colorId="52" workbookViewId="0"/>
  </sheetViews>
  <sheetFormatPr baseColWidth="10" defaultColWidth="9.3984375" defaultRowHeight="13" x14ac:dyDescent="0.15"/>
  <cols>
    <col min="1" max="1" width="4.796875" style="1" bestFit="1" customWidth="1"/>
    <col min="2" max="2" width="11.796875" style="1" customWidth="1"/>
    <col min="3" max="3" width="47.3984375" style="1" bestFit="1" customWidth="1"/>
    <col min="4" max="9" width="12.19921875" style="1" customWidth="1"/>
    <col min="10" max="10" width="9.796875" style="15" bestFit="1" customWidth="1"/>
    <col min="11" max="16384" width="9.3984375" style="1"/>
  </cols>
  <sheetData>
    <row r="1" spans="1:14" ht="14" x14ac:dyDescent="0.15">
      <c r="A1" s="40" t="s">
        <v>23</v>
      </c>
      <c r="B1" s="2"/>
      <c r="C1" s="2"/>
      <c r="D1" s="2"/>
      <c r="E1" s="2"/>
      <c r="F1" s="2"/>
      <c r="G1" s="2"/>
    </row>
    <row r="2" spans="1:14" x14ac:dyDescent="0.15">
      <c r="B2" s="2"/>
      <c r="C2" s="2"/>
      <c r="D2" s="2"/>
      <c r="E2" s="2"/>
      <c r="F2" s="2"/>
      <c r="G2" s="2"/>
    </row>
    <row r="3" spans="1:14" ht="18" x14ac:dyDescent="0.15">
      <c r="B3" s="2"/>
      <c r="C3" s="2"/>
      <c r="D3" s="11" t="s">
        <v>541</v>
      </c>
      <c r="E3" s="2"/>
      <c r="F3" s="2"/>
      <c r="G3" s="2"/>
    </row>
    <row r="4" spans="1:14" ht="16" x14ac:dyDescent="0.15">
      <c r="B4" s="2"/>
      <c r="C4" s="3"/>
      <c r="D4" s="4" t="s">
        <v>1</v>
      </c>
      <c r="E4" s="2"/>
      <c r="F4" s="2"/>
      <c r="G4" s="2"/>
    </row>
    <row r="5" spans="1:14" x14ac:dyDescent="0.15">
      <c r="B5" s="2"/>
      <c r="C5" s="2"/>
      <c r="D5" s="2"/>
      <c r="E5" s="2"/>
      <c r="F5" s="2"/>
      <c r="G5" s="2"/>
    </row>
    <row r="6" spans="1:14" x14ac:dyDescent="0.15">
      <c r="B6" s="2"/>
      <c r="C6" s="2"/>
      <c r="D6"/>
      <c r="E6"/>
      <c r="F6" s="2"/>
      <c r="G6" s="2"/>
    </row>
    <row r="7" spans="1:14" x14ac:dyDescent="0.15">
      <c r="B7" s="2"/>
      <c r="C7" s="2"/>
      <c r="D7" s="2"/>
      <c r="E7" s="2"/>
      <c r="F7" s="2"/>
      <c r="G7" s="2"/>
    </row>
    <row r="8" spans="1:14" x14ac:dyDescent="0.15">
      <c r="A8" s="16" t="s">
        <v>25</v>
      </c>
      <c r="B8" s="5" t="s">
        <v>26</v>
      </c>
      <c r="C8" s="6"/>
      <c r="D8" s="13">
        <v>45657</v>
      </c>
      <c r="E8" s="13">
        <v>45291</v>
      </c>
      <c r="F8" s="6" t="s">
        <v>27</v>
      </c>
      <c r="G8" s="6" t="s">
        <v>28</v>
      </c>
      <c r="H8" s="16" t="s">
        <v>25</v>
      </c>
      <c r="J8" s="14" t="s">
        <v>29</v>
      </c>
      <c r="K8" s="14" t="s">
        <v>30</v>
      </c>
      <c r="L8" s="14" t="s">
        <v>31</v>
      </c>
      <c r="M8" s="14" t="s">
        <v>32</v>
      </c>
      <c r="N8" s="14" t="s">
        <v>33</v>
      </c>
    </row>
    <row r="9" spans="1:14" ht="6" customHeight="1" x14ac:dyDescent="0.15"/>
    <row r="10" spans="1:14" s="12" customFormat="1" ht="13.5" customHeight="1" x14ac:dyDescent="0.15">
      <c r="B10" s="12" t="s">
        <v>528</v>
      </c>
      <c r="J10" s="16"/>
    </row>
    <row r="11" spans="1:14" x14ac:dyDescent="0.15">
      <c r="A11" s="17"/>
      <c r="B11" s="7">
        <v>672000</v>
      </c>
      <c r="C11" s="7" t="s">
        <v>341</v>
      </c>
      <c r="D11" s="2">
        <v>0</v>
      </c>
      <c r="E11" s="2">
        <v>16.641940000000002</v>
      </c>
      <c r="F11" s="2">
        <f>D11-E11</f>
        <v>-16.641940000000002</v>
      </c>
      <c r="G11" s="8">
        <f>IF(E11=0,"n/a",F11/ABS(E11))</f>
        <v>-1</v>
      </c>
      <c r="H11" s="17" t="str">
        <f>J11&amp;0</f>
        <v>X0</v>
      </c>
      <c r="J11" s="15" t="s">
        <v>342</v>
      </c>
      <c r="K11" s="1" t="s">
        <v>343</v>
      </c>
      <c r="L11" s="1" t="s">
        <v>343</v>
      </c>
      <c r="M11" s="1" t="s">
        <v>213</v>
      </c>
      <c r="N11" s="1" t="s">
        <v>213</v>
      </c>
    </row>
    <row r="12" spans="1:14" x14ac:dyDescent="0.15">
      <c r="A12" s="17"/>
      <c r="B12" s="7">
        <v>675200</v>
      </c>
      <c r="C12" s="7" t="s">
        <v>344</v>
      </c>
      <c r="D12" s="2">
        <v>15.591520000000001</v>
      </c>
      <c r="E12" s="2">
        <v>0</v>
      </c>
      <c r="F12" s="2">
        <f>D12-E12</f>
        <v>15.591520000000001</v>
      </c>
      <c r="G12" s="8" t="str">
        <f>IF(E12=0,"n/a",F12/ABS(E12))</f>
        <v>n/a</v>
      </c>
      <c r="H12" s="17" t="str">
        <f>J12&amp;0</f>
        <v>X0</v>
      </c>
      <c r="J12" s="15" t="s">
        <v>342</v>
      </c>
      <c r="K12" s="1" t="s">
        <v>345</v>
      </c>
      <c r="L12" s="1" t="s">
        <v>345</v>
      </c>
      <c r="M12" s="1" t="s">
        <v>213</v>
      </c>
      <c r="N12" s="1" t="s">
        <v>213</v>
      </c>
    </row>
    <row r="13" spans="1:14" x14ac:dyDescent="0.15">
      <c r="A13" s="17"/>
      <c r="B13" s="7"/>
      <c r="C13" s="7"/>
      <c r="D13" s="2"/>
      <c r="E13" s="2"/>
      <c r="F13" s="2"/>
      <c r="G13" s="8"/>
      <c r="H13" s="17"/>
    </row>
    <row r="14" spans="1:14" s="12" customFormat="1" ht="13.5" customHeight="1" x14ac:dyDescent="0.15">
      <c r="A14" s="17"/>
      <c r="B14" s="21" t="s">
        <v>530</v>
      </c>
      <c r="C14" s="21"/>
      <c r="D14" s="19"/>
      <c r="E14" s="19"/>
      <c r="F14" s="19"/>
      <c r="G14" s="22"/>
      <c r="H14" s="17"/>
      <c r="J14" s="16"/>
    </row>
    <row r="15" spans="1:14" ht="14" x14ac:dyDescent="0.15">
      <c r="A15" s="17"/>
      <c r="B15" s="9">
        <v>772000</v>
      </c>
      <c r="C15" s="10" t="s">
        <v>389</v>
      </c>
      <c r="D15" s="2">
        <v>0</v>
      </c>
      <c r="E15" s="2">
        <v>1.81785</v>
      </c>
      <c r="F15" s="2">
        <f>D15-E15</f>
        <v>-1.81785</v>
      </c>
      <c r="G15" s="8">
        <f>IF(E15=0,"n/a",F15/ABS(E15))</f>
        <v>-1</v>
      </c>
      <c r="H15" s="17" t="str">
        <f>J15&amp;0</f>
        <v>X0</v>
      </c>
      <c r="J15" s="15" t="s">
        <v>342</v>
      </c>
      <c r="K15" s="1" t="s">
        <v>390</v>
      </c>
      <c r="L15" s="1" t="s">
        <v>390</v>
      </c>
      <c r="M15" s="1" t="s">
        <v>358</v>
      </c>
      <c r="N15" s="1" t="s">
        <v>358</v>
      </c>
    </row>
    <row r="16" spans="1:14" x14ac:dyDescent="0.15">
      <c r="A16" s="17"/>
      <c r="B16" s="7">
        <v>775200</v>
      </c>
      <c r="C16" s="7" t="s">
        <v>391</v>
      </c>
      <c r="D16" s="2">
        <v>22.2</v>
      </c>
      <c r="E16" s="2">
        <v>0</v>
      </c>
      <c r="F16" s="2">
        <f>D16-E16</f>
        <v>22.2</v>
      </c>
      <c r="G16" s="8" t="str">
        <f>IF(E16=0,"n/a",F16/ABS(E16))</f>
        <v>n/a</v>
      </c>
      <c r="H16" s="17" t="str">
        <f>J16&amp;0</f>
        <v>X0</v>
      </c>
      <c r="J16" s="15" t="s">
        <v>342</v>
      </c>
      <c r="K16" s="1" t="s">
        <v>392</v>
      </c>
      <c r="L16" s="1" t="s">
        <v>392</v>
      </c>
      <c r="M16" s="1" t="s">
        <v>358</v>
      </c>
      <c r="N16" s="1" t="s">
        <v>358</v>
      </c>
    </row>
  </sheetData>
  <conditionalFormatting sqref="D4">
    <cfRule type="expression" dxfId="2" priority="1" stopIfTrue="1">
      <formula>ISBLANK(D4)</formula>
    </cfRule>
  </conditionalFormatting>
  <conditionalFormatting sqref="D8">
    <cfRule type="expression" dxfId="1" priority="2" stopIfTrue="1">
      <formula>$D$8="Date N ?"</formula>
    </cfRule>
  </conditionalFormatting>
  <conditionalFormatting sqref="E8">
    <cfRule type="expression" dxfId="0" priority="3" stopIfTrue="1">
      <formula>$E$8="Date N-1 ?"</formula>
    </cfRule>
  </conditionalFormatting>
  <dataValidations count="1">
    <dataValidation allowBlank="1" showInputMessage="1" showErrorMessage="1" promptTitle="Nom du dossier" prompt="Veuillez renseigner le nom du dossier audité" sqref="D4" xr:uid="{FF0728C9-97B5-428D-8DE8-985F761616E7}"/>
  </dataValidations>
  <hyperlinks>
    <hyperlink ref="A1" location="Sommaire!C3" display="Retour sommaire" xr:uid="{DDE2FE26-519E-4A4F-ABC1-FB46C07D199D}"/>
  </hyperlinks>
  <printOptions horizontalCentered="1"/>
  <pageMargins left="0.75" right="0.75" top="1" bottom="1" header="0.4921259845" footer="0.4921259845"/>
  <pageSetup paperSize="9" scale="84" fitToHeight="0" orientation="portrait" r:id="rId1"/>
  <headerFooter alignWithMargins="0">
    <oddHeader>&amp;L&amp;10Dossier : GILAC
Date de clôture : 31/12/2024&amp;C&amp;"Times New Roman,Gras"&amp;12Feuille maîtresse du cycle X&amp;R&amp;"Times New Roman,Gras"&amp;10X0
&amp;P/&amp;N</oddHeader>
    <oddFooter>&amp;L&amp;"Times New Roman"&amp;10Firex Audit&amp;C&amp;"Times New Roman"&amp;10&amp;D&amp;R&amp;"Times New Roman"&amp;10Document de travail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D59F58280AD41A5918925014CC10D" ma:contentTypeVersion="11" ma:contentTypeDescription="Crée un document." ma:contentTypeScope="" ma:versionID="23e3e41ecfbc56ed7f7ada619c1405e0">
  <xsd:schema xmlns:xsd="http://www.w3.org/2001/XMLSchema" xmlns:xs="http://www.w3.org/2001/XMLSchema" xmlns:p="http://schemas.microsoft.com/office/2006/metadata/properties" xmlns:ns2="95e88028-4570-475f-9022-07c2b4676a38" xmlns:ns3="7473872d-ff72-4991-a669-283f81f4c181" targetNamespace="http://schemas.microsoft.com/office/2006/metadata/properties" ma:root="true" ma:fieldsID="f7baba8052afb2978dbec880f69939f6" ns2:_="" ns3:_="">
    <xsd:import namespace="95e88028-4570-475f-9022-07c2b4676a38"/>
    <xsd:import namespace="7473872d-ff72-4991-a669-283f81f4c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88028-4570-475f-9022-07c2b4676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872d-ff72-4991-a669-283f81f4c18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de80aa3-d9bc-4209-b6d5-d240fc675feb}" ma:internalName="TaxCatchAll" ma:showField="CatchAllData" ma:web="7473872d-ff72-4991-a669-283f81f4c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872d-ff72-4991-a669-283f81f4c181" xsi:nil="true"/>
    <lcf76f155ced4ddcb4097134ff3c332f xmlns="95e88028-4570-475f-9022-07c2b4676a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52E7E2-D9F7-4340-9DC4-6432263B8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e88028-4570-475f-9022-07c2b4676a38"/>
    <ds:schemaRef ds:uri="7473872d-ff72-4991-a669-283f81f4c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10E08-0F04-45D3-9646-7A523A8147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DFC6A-C021-4EF5-A2B7-149789310CFB}">
  <ds:schemaRefs>
    <ds:schemaRef ds:uri="http://schemas.microsoft.com/office/2006/metadata/properties"/>
    <ds:schemaRef ds:uri="http://schemas.microsoft.com/office/infopath/2007/PartnerControls"/>
    <ds:schemaRef ds:uri="7473872d-ff72-4991-a669-283f81f4c181"/>
    <ds:schemaRef ds:uri="95e88028-4570-475f-9022-07c2b4676a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145</vt:i4>
      </vt:variant>
    </vt:vector>
  </HeadingPairs>
  <TitlesOfParts>
    <vt:vector size="167" baseType="lpstr">
      <vt:lpstr>Sommaire</vt:lpstr>
      <vt:lpstr>Balance N Vs N-1</vt:lpstr>
      <vt:lpstr>Bilan</vt:lpstr>
      <vt:lpstr>EBIT</vt:lpstr>
      <vt:lpstr>Actif détaillé</vt:lpstr>
      <vt:lpstr>Passif détaillé</vt:lpstr>
      <vt:lpstr>P&amp;L détaillé</vt:lpstr>
      <vt:lpstr>Tréso</vt:lpstr>
      <vt:lpstr>AACE</vt:lpstr>
      <vt:lpstr>A0</vt:lpstr>
      <vt:lpstr>C Propres0</vt:lpstr>
      <vt:lpstr>C PRC0</vt:lpstr>
      <vt:lpstr>E0</vt:lpstr>
      <vt:lpstr>F0</vt:lpstr>
      <vt:lpstr>I Incorp0</vt:lpstr>
      <vt:lpstr>I Corp0</vt:lpstr>
      <vt:lpstr>I Fi0</vt:lpstr>
      <vt:lpstr>P0</vt:lpstr>
      <vt:lpstr>S0</vt:lpstr>
      <vt:lpstr>T0</vt:lpstr>
      <vt:lpstr>V0</vt:lpstr>
      <vt:lpstr>X0</vt:lpstr>
      <vt:lpstr>ActifN</vt:lpstr>
      <vt:lpstr>ActifN_1</vt:lpstr>
      <vt:lpstr>ChiffreAffairesN</vt:lpstr>
      <vt:lpstr>ChiffreAffairesN_1</vt:lpstr>
      <vt:lpstr>A0!ColonneComptaN</vt:lpstr>
      <vt:lpstr>'C PRC0'!ColonneComptaN</vt:lpstr>
      <vt:lpstr>'C Propres0'!ColonneComptaN</vt:lpstr>
      <vt:lpstr>E0!ColonneComptaN</vt:lpstr>
      <vt:lpstr>F0!ColonneComptaN</vt:lpstr>
      <vt:lpstr>'I Corp0'!ColonneComptaN</vt:lpstr>
      <vt:lpstr>'I Fi0'!ColonneComptaN</vt:lpstr>
      <vt:lpstr>'I Incorp0'!ColonneComptaN</vt:lpstr>
      <vt:lpstr>P0!ColonneComptaN</vt:lpstr>
      <vt:lpstr>S0!ColonneComptaN</vt:lpstr>
      <vt:lpstr>T0!ColonneComptaN</vt:lpstr>
      <vt:lpstr>V0!ColonneComptaN</vt:lpstr>
      <vt:lpstr>X0!ColonneComptaN</vt:lpstr>
      <vt:lpstr>ColonneComptaN</vt:lpstr>
      <vt:lpstr>A0!ColonneComptaN_1</vt:lpstr>
      <vt:lpstr>'C PRC0'!ColonneComptaN_1</vt:lpstr>
      <vt:lpstr>'C Propres0'!ColonneComptaN_1</vt:lpstr>
      <vt:lpstr>E0!ColonneComptaN_1</vt:lpstr>
      <vt:lpstr>F0!ColonneComptaN_1</vt:lpstr>
      <vt:lpstr>'I Corp0'!ColonneComptaN_1</vt:lpstr>
      <vt:lpstr>'I Fi0'!ColonneComptaN_1</vt:lpstr>
      <vt:lpstr>'I Incorp0'!ColonneComptaN_1</vt:lpstr>
      <vt:lpstr>P0!ColonneComptaN_1</vt:lpstr>
      <vt:lpstr>S0!ColonneComptaN_1</vt:lpstr>
      <vt:lpstr>T0!ColonneComptaN_1</vt:lpstr>
      <vt:lpstr>V0!ColonneComptaN_1</vt:lpstr>
      <vt:lpstr>X0!ColonneComptaN_1</vt:lpstr>
      <vt:lpstr>ColonneComptaN_1</vt:lpstr>
      <vt:lpstr>A0!Impression_des_titres</vt:lpstr>
      <vt:lpstr>AACE!Impression_des_titres</vt:lpstr>
      <vt:lpstr>'Balance N Vs N-1'!Impression_des_titres</vt:lpstr>
      <vt:lpstr>'C PRC0'!Impression_des_titres</vt:lpstr>
      <vt:lpstr>'C Propres0'!Impression_des_titres</vt:lpstr>
      <vt:lpstr>E0!Impression_des_titres</vt:lpstr>
      <vt:lpstr>F0!Impression_des_titres</vt:lpstr>
      <vt:lpstr>'I Corp0'!Impression_des_titres</vt:lpstr>
      <vt:lpstr>'I Fi0'!Impression_des_titres</vt:lpstr>
      <vt:lpstr>'I Incorp0'!Impression_des_titres</vt:lpstr>
      <vt:lpstr>P0!Impression_des_titres</vt:lpstr>
      <vt:lpstr>S0!Impression_des_titres</vt:lpstr>
      <vt:lpstr>T0!Impression_des_titres</vt:lpstr>
      <vt:lpstr>V0!Impression_des_titres</vt:lpstr>
      <vt:lpstr>X0!Impression_des_titres</vt:lpstr>
      <vt:lpstr>RésultatN</vt:lpstr>
      <vt:lpstr>RésultatN_1</vt:lpstr>
      <vt:lpstr>tab_Actif</vt:lpstr>
      <vt:lpstr>A0!tab_BGN</vt:lpstr>
      <vt:lpstr>AACE!tab_BGN</vt:lpstr>
      <vt:lpstr>'C PRC0'!tab_BGN</vt:lpstr>
      <vt:lpstr>'C Propres0'!tab_BGN</vt:lpstr>
      <vt:lpstr>E0!tab_BGN</vt:lpstr>
      <vt:lpstr>F0!tab_BGN</vt:lpstr>
      <vt:lpstr>'I Corp0'!tab_BGN</vt:lpstr>
      <vt:lpstr>'I Fi0'!tab_BGN</vt:lpstr>
      <vt:lpstr>'I Incorp0'!tab_BGN</vt:lpstr>
      <vt:lpstr>P0!tab_BGN</vt:lpstr>
      <vt:lpstr>S0!tab_BGN</vt:lpstr>
      <vt:lpstr>T0!tab_BGN</vt:lpstr>
      <vt:lpstr>V0!tab_BGN</vt:lpstr>
      <vt:lpstr>X0!tab_BGN</vt:lpstr>
      <vt:lpstr>tab_BGN</vt:lpstr>
      <vt:lpstr>A0!tab_BGN_1</vt:lpstr>
      <vt:lpstr>AACE!tab_BGN_1</vt:lpstr>
      <vt:lpstr>'C PRC0'!tab_BGN_1</vt:lpstr>
      <vt:lpstr>'C Propres0'!tab_BGN_1</vt:lpstr>
      <vt:lpstr>E0!tab_BGN_1</vt:lpstr>
      <vt:lpstr>F0!tab_BGN_1</vt:lpstr>
      <vt:lpstr>'I Corp0'!tab_BGN_1</vt:lpstr>
      <vt:lpstr>'I Fi0'!tab_BGN_1</vt:lpstr>
      <vt:lpstr>'I Incorp0'!tab_BGN_1</vt:lpstr>
      <vt:lpstr>P0!tab_BGN_1</vt:lpstr>
      <vt:lpstr>S0!tab_BGN_1</vt:lpstr>
      <vt:lpstr>T0!tab_BGN_1</vt:lpstr>
      <vt:lpstr>V0!tab_BGN_1</vt:lpstr>
      <vt:lpstr>X0!tab_BGN_1</vt:lpstr>
      <vt:lpstr>tab_BGN_1</vt:lpstr>
      <vt:lpstr>A0!tab_Cycle</vt:lpstr>
      <vt:lpstr>'C PRC0'!tab_Cycle</vt:lpstr>
      <vt:lpstr>'C Propres0'!tab_Cycle</vt:lpstr>
      <vt:lpstr>E0!tab_Cycle</vt:lpstr>
      <vt:lpstr>F0!tab_Cycle</vt:lpstr>
      <vt:lpstr>'I Corp0'!tab_Cycle</vt:lpstr>
      <vt:lpstr>'I Fi0'!tab_Cycle</vt:lpstr>
      <vt:lpstr>'I Incorp0'!tab_Cycle</vt:lpstr>
      <vt:lpstr>P0!tab_Cycle</vt:lpstr>
      <vt:lpstr>S0!tab_Cycle</vt:lpstr>
      <vt:lpstr>T0!tab_Cycle</vt:lpstr>
      <vt:lpstr>V0!tab_Cycle</vt:lpstr>
      <vt:lpstr>X0!tab_Cycle</vt:lpstr>
      <vt:lpstr>tab_Cycle</vt:lpstr>
      <vt:lpstr>A0!tab_EtatsFinanciersN</vt:lpstr>
      <vt:lpstr>'C PRC0'!tab_EtatsFinanciersN</vt:lpstr>
      <vt:lpstr>'C Propres0'!tab_EtatsFinanciersN</vt:lpstr>
      <vt:lpstr>E0!tab_EtatsFinanciersN</vt:lpstr>
      <vt:lpstr>F0!tab_EtatsFinanciersN</vt:lpstr>
      <vt:lpstr>'I Corp0'!tab_EtatsFinanciersN</vt:lpstr>
      <vt:lpstr>'I Fi0'!tab_EtatsFinanciersN</vt:lpstr>
      <vt:lpstr>'I Incorp0'!tab_EtatsFinanciersN</vt:lpstr>
      <vt:lpstr>P0!tab_EtatsFinanciersN</vt:lpstr>
      <vt:lpstr>S0!tab_EtatsFinanciersN</vt:lpstr>
      <vt:lpstr>T0!tab_EtatsFinanciersN</vt:lpstr>
      <vt:lpstr>V0!tab_EtatsFinanciersN</vt:lpstr>
      <vt:lpstr>X0!tab_EtatsFinanciersN</vt:lpstr>
      <vt:lpstr>tab_EtatsFinanciersN</vt:lpstr>
      <vt:lpstr>A0!tab_EtatsFinanciersN_1</vt:lpstr>
      <vt:lpstr>'C PRC0'!tab_EtatsFinanciersN_1</vt:lpstr>
      <vt:lpstr>'C Propres0'!tab_EtatsFinanciersN_1</vt:lpstr>
      <vt:lpstr>E0!tab_EtatsFinanciersN_1</vt:lpstr>
      <vt:lpstr>F0!tab_EtatsFinanciersN_1</vt:lpstr>
      <vt:lpstr>'I Corp0'!tab_EtatsFinanciersN_1</vt:lpstr>
      <vt:lpstr>'I Fi0'!tab_EtatsFinanciersN_1</vt:lpstr>
      <vt:lpstr>'I Incorp0'!tab_EtatsFinanciersN_1</vt:lpstr>
      <vt:lpstr>P0!tab_EtatsFinanciersN_1</vt:lpstr>
      <vt:lpstr>S0!tab_EtatsFinanciersN_1</vt:lpstr>
      <vt:lpstr>T0!tab_EtatsFinanciersN_1</vt:lpstr>
      <vt:lpstr>V0!tab_EtatsFinanciersN_1</vt:lpstr>
      <vt:lpstr>X0!tab_EtatsFinanciersN_1</vt:lpstr>
      <vt:lpstr>tab_EtatsFinanciersN_1</vt:lpstr>
      <vt:lpstr>tab_Passif</vt:lpstr>
      <vt:lpstr>tab_PnL</vt:lpstr>
      <vt:lpstr>A0!Zone_d_impression</vt:lpstr>
      <vt:lpstr>AACE!Zone_d_impression</vt:lpstr>
      <vt:lpstr>'Actif détaillé'!Zone_d_impression</vt:lpstr>
      <vt:lpstr>'Balance N Vs N-1'!Zone_d_impression</vt:lpstr>
      <vt:lpstr>Bilan!Zone_d_impression</vt:lpstr>
      <vt:lpstr>'C PRC0'!Zone_d_impression</vt:lpstr>
      <vt:lpstr>'C Propres0'!Zone_d_impression</vt:lpstr>
      <vt:lpstr>E0!Zone_d_impression</vt:lpstr>
      <vt:lpstr>EBIT!Zone_d_impression</vt:lpstr>
      <vt:lpstr>F0!Zone_d_impression</vt:lpstr>
      <vt:lpstr>'I Corp0'!Zone_d_impression</vt:lpstr>
      <vt:lpstr>'I Fi0'!Zone_d_impression</vt:lpstr>
      <vt:lpstr>'I Incorp0'!Zone_d_impression</vt:lpstr>
      <vt:lpstr>'P&amp;L détaillé'!Zone_d_impression</vt:lpstr>
      <vt:lpstr>P0!Zone_d_impression</vt:lpstr>
      <vt:lpstr>'Passif détaillé'!Zone_d_impression</vt:lpstr>
      <vt:lpstr>S0!Zone_d_impression</vt:lpstr>
      <vt:lpstr>T0!Zone_d_impression</vt:lpstr>
      <vt:lpstr>Tréso!Zone_d_impression</vt:lpstr>
      <vt:lpstr>V0!Zone_d_impression</vt:lpstr>
      <vt:lpstr>X0!Zone_d_impression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Iliassa</dc:creator>
  <cp:keywords/>
  <dc:description/>
  <cp:lastModifiedBy>PEDRINI Augustin</cp:lastModifiedBy>
  <cp:revision/>
  <dcterms:created xsi:type="dcterms:W3CDTF">2025-03-20T11:19:59Z</dcterms:created>
  <dcterms:modified xsi:type="dcterms:W3CDTF">2026-03-23T18:50:55Z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0x0101000D6D59F58280AD41A5918925014CC10D</vt:lpwstr>
  </property>
  <property fmtid="{D5CDD505-2E9C-101B-9397-08002B2CF9AE}" pid="3" name="MediaServiceImageTags">
    <vt:lpwstr/>
  </property>
</Properties>
</file>