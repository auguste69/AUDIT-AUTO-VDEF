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Bilan" sheetId="3" state="visible" r:id="rId3"/>
    <sheet name="Tréso" sheetId="4" state="visible" r:id="rId4"/>
    <sheet name="AACE" sheetId="5" state="visible" r:id="rId5"/>
    <sheet name="C Propres0" sheetId="6" state="visible" r:id="rId6"/>
    <sheet name="C PRC0" sheetId="7" state="visible" r:id="rId7"/>
    <sheet name="F0" sheetId="8" state="visible" r:id="rId8"/>
    <sheet name="I Incorp0" sheetId="9" state="visible" r:id="rId9"/>
    <sheet name="I Corp0" sheetId="10" state="visible" r:id="rId10"/>
    <sheet name="I Fi0" sheetId="11" state="visible" r:id="rId11"/>
    <sheet name="S0" sheetId="12" state="visible" r:id="rId12"/>
    <sheet name="A0" sheetId="13" state="visible" r:id="rId13"/>
    <sheet name="V0" sheetId="14" state="visible" r:id="rId14"/>
    <sheet name="P0" sheetId="15" state="visible" r:id="rId15"/>
    <sheet name="E0" sheetId="16" state="visible" r:id="rId16"/>
    <sheet name="T0" sheetId="17" state="visible" r:id="rId17"/>
    <sheet name="X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  <border>
      <top style="thin">
        <color rgb="0000000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0" fontId="7" fillId="0" borderId="0" pivotButton="0" quotePrefix="0" xfId="0"/>
    <xf numFmtId="0" fontId="1" fillId="0" borderId="3" pivotButton="0" quotePrefix="0" xfId="0"/>
    <xf numFmtId="164" fontId="1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Bilan</t>
        </is>
      </c>
    </row>
    <row r="13">
      <c r="C13" s="3" t="inlineStr">
        <is>
          <t>Tréso</t>
        </is>
      </c>
    </row>
    <row r="14">
      <c r="C14" s="3" t="inlineStr">
        <is>
          <t>AACE</t>
        </is>
      </c>
    </row>
    <row r="15">
      <c r="C15" s="3" t="inlineStr">
        <is>
          <t>Cycle C Propres</t>
        </is>
      </c>
    </row>
    <row r="16">
      <c r="C16" s="3" t="inlineStr">
        <is>
          <t>Cycle C PRC</t>
        </is>
      </c>
    </row>
    <row r="17">
      <c r="C17" s="3" t="inlineStr">
        <is>
          <t>Cycle F</t>
        </is>
      </c>
    </row>
    <row r="18">
      <c r="C18" s="3" t="inlineStr">
        <is>
          <t>Cycle I Incorp</t>
        </is>
      </c>
    </row>
    <row r="19">
      <c r="C19" s="3" t="inlineStr">
        <is>
          <t>Cycle I Corp</t>
        </is>
      </c>
    </row>
    <row r="20">
      <c r="C20" s="3" t="inlineStr">
        <is>
          <t>Cycle I Fi</t>
        </is>
      </c>
    </row>
    <row r="21">
      <c r="C21" s="3" t="inlineStr">
        <is>
          <t>Cycle S</t>
        </is>
      </c>
    </row>
    <row r="22">
      <c r="C22" s="3" t="inlineStr">
        <is>
          <t>Cycle A</t>
        </is>
      </c>
    </row>
    <row r="23">
      <c r="C23" s="3" t="inlineStr">
        <is>
          <t>Cycle V</t>
        </is>
      </c>
    </row>
    <row r="24">
      <c r="C24" s="3" t="inlineStr">
        <is>
          <t>Cycle P</t>
        </is>
      </c>
    </row>
    <row r="25">
      <c r="C25" s="3" t="inlineStr">
        <is>
          <t>Cycle E</t>
        </is>
      </c>
    </row>
    <row r="26">
      <c r="C26" s="3" t="inlineStr">
        <is>
          <t>Cycle T</t>
        </is>
      </c>
    </row>
    <row r="27">
      <c r="C27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0</v>
      </c>
      <c r="F10" s="9" t="n">
        <v>-1150.001</v>
      </c>
      <c r="G10" s="8" t="inlineStr">
        <is>
          <t>n/a</t>
        </is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0</v>
      </c>
      <c r="F11" s="9" t="n">
        <v>-115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Réserves</t>
        </is>
      </c>
      <c r="L11" s="7" t="inlineStr">
        <is>
          <t>Réserves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0</v>
      </c>
      <c r="F12" s="9" t="n">
        <v>-2866.188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>
        <is>
          <t>Résultat de l'exercice</t>
        </is>
      </c>
      <c r="L14" s="7" t="inlineStr">
        <is>
          <t>Résultat de l'exercice</t>
        </is>
      </c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0</v>
      </c>
      <c r="F15" s="9" t="n">
        <v>-30</v>
      </c>
      <c r="G15" s="8" t="inlineStr">
        <is>
          <t>n/a</t>
        </is>
      </c>
      <c r="H15" s="7" t="inlineStr">
        <is>
          <t>C PRC0</t>
        </is>
      </c>
      <c r="J15" s="7" t="inlineStr">
        <is>
          <t>C PRC</t>
        </is>
      </c>
      <c r="K15" s="7" t="inlineStr">
        <is>
          <t>Provisions pour risques</t>
        </is>
      </c>
      <c r="L15" s="7" t="inlineStr">
        <is>
          <t>Provisions pour risques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0</v>
      </c>
      <c r="F16" s="9" t="n">
        <v>-0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  <c r="K16" s="7" t="inlineStr">
        <is>
          <t>Emprunts et dettes auprès d'établissements de crédit</t>
        </is>
      </c>
      <c r="L16" s="7" t="inlineStr">
        <is>
          <t>Emprunts et dettes auprès d'établissements de crédit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0</v>
      </c>
      <c r="F17" s="9" t="n">
        <v>-1106.052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0</v>
      </c>
      <c r="F18" s="9" t="n">
        <v>-299.025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0</v>
      </c>
      <c r="F20" s="9" t="n">
        <v>0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0</v>
      </c>
      <c r="F21" s="9" t="n">
        <v>-0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financières</t>
        </is>
      </c>
      <c r="L21" s="7" t="inlineStr">
        <is>
          <t>Emprunts et dettes financières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0</v>
      </c>
      <c r="F22" s="9" t="n">
        <v>5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  <c r="K22" s="7" t="inlineStr">
        <is>
          <t>Concessions, brvts, licences, logiciels, drts &amp; val. similaire</t>
        </is>
      </c>
      <c r="L22" s="7" t="inlineStr">
        <is>
          <t>Concessions, brvts, licences, logiciels, drts &amp; val. similaire</t>
        </is>
      </c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0</v>
      </c>
      <c r="F23" s="9" t="n">
        <v>186.351</v>
      </c>
      <c r="G23" s="8" t="inlineStr">
        <is>
          <t>n/a</t>
        </is>
      </c>
      <c r="H23" s="7" t="inlineStr">
        <is>
          <t>I Incorp0</t>
        </is>
      </c>
      <c r="J23" s="7" t="inlineStr">
        <is>
          <t>I Incorp</t>
        </is>
      </c>
      <c r="K23" s="7" t="inlineStr">
        <is>
          <t>Fonds commercial</t>
        </is>
      </c>
      <c r="L23" s="7" t="inlineStr">
        <is>
          <t>Fonds commercial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0</v>
      </c>
      <c r="F24" s="9" t="n">
        <v>29.207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  <c r="K24" s="7" t="inlineStr">
        <is>
          <t>Autres immobilisations incorporelles</t>
        </is>
      </c>
      <c r="L24" s="7" t="inlineStr">
        <is>
          <t>Autres immobilisations incorporelles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0</v>
      </c>
      <c r="F25" s="9" t="n">
        <v>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  <c r="K25" s="7" t="inlineStr">
        <is>
          <t>Constructions</t>
        </is>
      </c>
      <c r="L25" s="7" t="inlineStr">
        <is>
          <t>Constructions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0</v>
      </c>
      <c r="F26" s="9" t="n">
        <v>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0</v>
      </c>
      <c r="F27" s="9" t="n">
        <v>318.631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  <c r="K27" s="7" t="inlineStr">
        <is>
          <t>Installations techniques, matériel et outillage industriels</t>
        </is>
      </c>
      <c r="L27" s="7" t="inlineStr">
        <is>
          <t>Installations techniques, matériel et outillage industriels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0</v>
      </c>
      <c r="F28" s="9" t="n">
        <v>1487.441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0</v>
      </c>
      <c r="F29" s="9" t="n">
        <v>25.537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0</v>
      </c>
      <c r="F30" s="9" t="n">
        <v>14.266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  <c r="K30" s="7" t="inlineStr">
        <is>
          <t>Autres immobilisations corporelles</t>
        </is>
      </c>
      <c r="L30" s="7" t="inlineStr">
        <is>
          <t>Autres immobilisations corporelles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0</v>
      </c>
      <c r="F31" s="9" t="n">
        <v>272.022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0</v>
      </c>
      <c r="F32" s="9" t="n">
        <v>17.576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0</v>
      </c>
      <c r="F33" s="9" t="n">
        <v>115.469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0</v>
      </c>
      <c r="F34" s="9" t="n">
        <v>18.893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>
        <is>
          <t>Avances et acomptes sur immobilisations corporelles</t>
        </is>
      </c>
      <c r="L36" s="7" t="inlineStr">
        <is>
          <t>Avances et acomptes sur immobilisations corporelles</t>
        </is>
      </c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0</v>
      </c>
      <c r="F37" s="9" t="n">
        <v>3284.904</v>
      </c>
      <c r="G37" s="8" t="inlineStr">
        <is>
          <t>n/a</t>
        </is>
      </c>
      <c r="H37" s="7" t="inlineStr">
        <is>
          <t>I Fi0</t>
        </is>
      </c>
      <c r="J37" s="7" t="inlineStr">
        <is>
          <t>I Fi</t>
        </is>
      </c>
      <c r="K37" s="7" t="inlineStr">
        <is>
          <t>Participations</t>
        </is>
      </c>
      <c r="L37" s="7" t="inlineStr">
        <is>
          <t>Participations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0</v>
      </c>
      <c r="F38" s="9" t="n">
        <v>75.611</v>
      </c>
      <c r="G38" s="8" t="inlineStr">
        <is>
          <t>n/a</t>
        </is>
      </c>
      <c r="H38" s="7" t="inlineStr">
        <is>
          <t>I Fi0</t>
        </is>
      </c>
      <c r="J38" s="7" t="inlineStr">
        <is>
          <t>I Fi</t>
        </is>
      </c>
      <c r="K38" s="7" t="inlineStr">
        <is>
          <t>Prêts</t>
        </is>
      </c>
      <c r="L38" s="7" t="inlineStr">
        <is>
          <t>Prêts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0</v>
      </c>
      <c r="F39" s="9" t="n">
        <v>104.093</v>
      </c>
      <c r="G39" s="8" t="inlineStr">
        <is>
          <t>n/a</t>
        </is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0</v>
      </c>
      <c r="F40" s="9" t="n">
        <v>0.804</v>
      </c>
      <c r="G40" s="8" t="inlineStr">
        <is>
          <t>n/a</t>
        </is>
      </c>
      <c r="H40" s="7" t="inlineStr">
        <is>
          <t>I Fi0</t>
        </is>
      </c>
      <c r="J40" s="7" t="inlineStr">
        <is>
          <t>I Fi</t>
        </is>
      </c>
      <c r="K40" s="7" t="inlineStr">
        <is>
          <t>Dépôts et cautionnements versés</t>
        </is>
      </c>
      <c r="L40" s="7" t="inlineStr">
        <is>
          <t>Dépôts et cautionnements versés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0</v>
      </c>
      <c r="F41" s="9" t="n">
        <v>435.321</v>
      </c>
      <c r="G41" s="8" t="inlineStr">
        <is>
          <t>n/a</t>
        </is>
      </c>
      <c r="H41" s="7" t="inlineStr">
        <is>
          <t>I Fi0</t>
        </is>
      </c>
      <c r="J41" s="7" t="inlineStr">
        <is>
          <t>I Fi</t>
        </is>
      </c>
      <c r="K41" s="7" t="inlineStr">
        <is>
          <t>Autres créances immobilisées</t>
        </is>
      </c>
      <c r="L41" s="7" t="inlineStr">
        <is>
          <t>Autres créances immobilisées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0</v>
      </c>
      <c r="F42" s="9" t="n">
        <v>-29.207</v>
      </c>
      <c r="G42" s="8" t="inlineStr">
        <is>
          <t>n/a</t>
        </is>
      </c>
      <c r="H42" s="7" t="inlineStr">
        <is>
          <t>I Incorp0</t>
        </is>
      </c>
      <c r="J42" s="7" t="inlineStr">
        <is>
          <t>I Incorp</t>
        </is>
      </c>
      <c r="K42" s="7" t="inlineStr">
        <is>
          <t>Autres immobilisations incorporelles</t>
        </is>
      </c>
      <c r="L42" s="7" t="inlineStr">
        <is>
          <t>Autres immobilisations incorporelles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0</v>
      </c>
      <c r="F43" s="9" t="n">
        <v>-21</v>
      </c>
      <c r="G43" s="8" t="inlineStr">
        <is>
          <t>n/a</t>
        </is>
      </c>
      <c r="H43" s="7" t="inlineStr">
        <is>
          <t>I Corp0</t>
        </is>
      </c>
      <c r="J43" s="7" t="inlineStr">
        <is>
          <t>I Corp</t>
        </is>
      </c>
      <c r="K43" s="7" t="inlineStr">
        <is>
          <t>Constructions</t>
        </is>
      </c>
      <c r="L43" s="7" t="inlineStr">
        <is>
          <t>Constructions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0</v>
      </c>
      <c r="F44" s="9" t="n">
        <v>-22.983</v>
      </c>
      <c r="G44" s="8" t="inlineStr">
        <is>
          <t>n/a</t>
        </is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0</v>
      </c>
      <c r="F45" s="9" t="n">
        <v>-228.078</v>
      </c>
      <c r="G45" s="8" t="inlineStr">
        <is>
          <t>n/a</t>
        </is>
      </c>
      <c r="H45" s="7" t="inlineStr">
        <is>
          <t>I Corp0</t>
        </is>
      </c>
      <c r="J45" s="7" t="inlineStr">
        <is>
          <t>I Corp</t>
        </is>
      </c>
      <c r="K45" s="7" t="inlineStr">
        <is>
          <t>Installations techniques, matériel et outillage industriels</t>
        </is>
      </c>
      <c r="L45" s="7" t="inlineStr">
        <is>
          <t>Installations techniques, matériel et outillage industriels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0</v>
      </c>
      <c r="F46" s="9" t="n">
        <v>-1430.907</v>
      </c>
      <c r="G46" s="8" t="inlineStr">
        <is>
          <t>n/a</t>
        </is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0</v>
      </c>
      <c r="F47" s="9" t="n">
        <v>-20.177</v>
      </c>
      <c r="G47" s="8" t="inlineStr">
        <is>
          <t>n/a</t>
        </is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0</v>
      </c>
      <c r="F48" s="9" t="n">
        <v>-10.467</v>
      </c>
      <c r="G48" s="8" t="inlineStr">
        <is>
          <t>n/a</t>
        </is>
      </c>
      <c r="H48" s="7" t="inlineStr">
        <is>
          <t>I Corp0</t>
        </is>
      </c>
      <c r="J48" s="7" t="inlineStr">
        <is>
          <t>I Corp</t>
        </is>
      </c>
      <c r="K48" s="7" t="inlineStr">
        <is>
          <t>Autres immobilisations corporelles</t>
        </is>
      </c>
      <c r="L48" s="7" t="inlineStr">
        <is>
          <t>Autres immobilisations corporelles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0</v>
      </c>
      <c r="F49" s="9" t="n">
        <v>-153.942</v>
      </c>
      <c r="G49" s="8" t="inlineStr">
        <is>
          <t>n/a</t>
        </is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0</v>
      </c>
      <c r="F50" s="9" t="n">
        <v>-15.348</v>
      </c>
      <c r="G50" s="8" t="inlineStr">
        <is>
          <t>n/a</t>
        </is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0</v>
      </c>
      <c r="F51" s="9" t="n">
        <v>-81.373</v>
      </c>
      <c r="G51" s="8" t="inlineStr">
        <is>
          <t>n/a</t>
        </is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0</v>
      </c>
      <c r="F52" s="9" t="n">
        <v>-11.44</v>
      </c>
      <c r="G52" s="8" t="inlineStr">
        <is>
          <t>n/a</t>
        </is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0</v>
      </c>
      <c r="F53" s="9" t="n">
        <v>1061.277</v>
      </c>
      <c r="G53" s="8" t="inlineStr">
        <is>
          <t>n/a</t>
        </is>
      </c>
      <c r="H53" s="7" t="inlineStr">
        <is>
          <t>S0</t>
        </is>
      </c>
      <c r="J53" s="7" t="inlineStr">
        <is>
          <t>S</t>
        </is>
      </c>
      <c r="K53" s="7" t="inlineStr">
        <is>
          <t>Matières premières et autres approvisionnements</t>
        </is>
      </c>
      <c r="L53" s="7" t="inlineStr">
        <is>
          <t>Matières premières et autres approvisionnements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0</v>
      </c>
      <c r="F54" s="9" t="n">
        <v>387.649</v>
      </c>
      <c r="G54" s="8" t="inlineStr">
        <is>
          <t>n/a</t>
        </is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0</v>
      </c>
      <c r="F55" s="9" t="n">
        <v>160.986</v>
      </c>
      <c r="G55" s="8" t="inlineStr">
        <is>
          <t>n/a</t>
        </is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0</v>
      </c>
      <c r="F56" s="9" t="n">
        <v>167.044</v>
      </c>
      <c r="G56" s="8" t="inlineStr">
        <is>
          <t>n/a</t>
        </is>
      </c>
      <c r="H56" s="7" t="inlineStr">
        <is>
          <t>S0</t>
        </is>
      </c>
      <c r="J56" s="7" t="inlineStr">
        <is>
          <t>S</t>
        </is>
      </c>
      <c r="K56" s="7" t="inlineStr">
        <is>
          <t>Produits intermédiaires et finis</t>
        </is>
      </c>
      <c r="L56" s="7" t="inlineStr">
        <is>
          <t>Produits intermédiaires et finis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0</v>
      </c>
      <c r="F57" s="9" t="n">
        <v>1178.005</v>
      </c>
      <c r="G57" s="8" t="inlineStr">
        <is>
          <t>n/a</t>
        </is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0</v>
      </c>
      <c r="F58" s="9" t="n">
        <v>540.3099999999999</v>
      </c>
      <c r="G58" s="8" t="inlineStr">
        <is>
          <t>n/a</t>
        </is>
      </c>
      <c r="H58" s="7" t="inlineStr">
        <is>
          <t>S0</t>
        </is>
      </c>
      <c r="J58" s="7" t="inlineStr">
        <is>
          <t>S</t>
        </is>
      </c>
      <c r="K58" s="7" t="inlineStr">
        <is>
          <t>Marchandises</t>
        </is>
      </c>
      <c r="L58" s="7" t="inlineStr">
        <is>
          <t>Marchandises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0</v>
      </c>
      <c r="F59" s="9" t="n">
        <v>-7.074</v>
      </c>
      <c r="G59" s="8" t="inlineStr">
        <is>
          <t>n/a</t>
        </is>
      </c>
      <c r="H59" s="7" t="inlineStr">
        <is>
          <t>S0</t>
        </is>
      </c>
      <c r="J59" s="7" t="inlineStr">
        <is>
          <t>S</t>
        </is>
      </c>
      <c r="K59" s="7" t="inlineStr">
        <is>
          <t>Matières premières et autres approvisionnements</t>
        </is>
      </c>
      <c r="L59" s="7" t="inlineStr">
        <is>
          <t>Matières premières et autres approvisionnements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0</v>
      </c>
      <c r="F60" s="9" t="n">
        <v>-17.653</v>
      </c>
      <c r="G60" s="8" t="inlineStr">
        <is>
          <t>n/a</t>
        </is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0</v>
      </c>
      <c r="F61" s="9" t="n">
        <v>-2.589</v>
      </c>
      <c r="G61" s="8" t="inlineStr">
        <is>
          <t>n/a</t>
        </is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0</v>
      </c>
      <c r="F62" s="9" t="n">
        <v>-2.412</v>
      </c>
      <c r="G62" s="8" t="inlineStr">
        <is>
          <t>n/a</t>
        </is>
      </c>
      <c r="H62" s="7" t="inlineStr">
        <is>
          <t>S0</t>
        </is>
      </c>
      <c r="J62" s="7" t="inlineStr">
        <is>
          <t>S</t>
        </is>
      </c>
      <c r="K62" s="7" t="inlineStr">
        <is>
          <t>Produits intermédiaires et finis</t>
        </is>
      </c>
      <c r="L62" s="7" t="inlineStr">
        <is>
          <t>Produits intermédiaires et finis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0</v>
      </c>
      <c r="F63" s="9" t="n">
        <v>-6.887</v>
      </c>
      <c r="G63" s="8" t="inlineStr">
        <is>
          <t>n/a</t>
        </is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0</v>
      </c>
      <c r="F64" s="9" t="n">
        <v>-6.943</v>
      </c>
      <c r="G64" s="8" t="inlineStr">
        <is>
          <t>n/a</t>
        </is>
      </c>
      <c r="H64" s="7" t="inlineStr">
        <is>
          <t>S0</t>
        </is>
      </c>
      <c r="J64" s="7" t="inlineStr">
        <is>
          <t>S</t>
        </is>
      </c>
      <c r="K64" s="7" t="inlineStr">
        <is>
          <t>Marchandises</t>
        </is>
      </c>
      <c r="L64" s="7" t="inlineStr">
        <is>
          <t>Marchandises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0</v>
      </c>
      <c r="F65" s="9" t="n">
        <v>-512.977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  <c r="K65" s="7" t="inlineStr">
        <is>
          <t>Fournisseurs et comptes rattachés</t>
        </is>
      </c>
      <c r="L65" s="7" t="inlineStr">
        <is>
          <t>Fournisseurs et comptes rattachés</t>
        </is>
      </c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0</v>
      </c>
      <c r="F68" s="9" t="n">
        <v>-533.696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  <c r="K68" s="7" t="inlineStr">
        <is>
          <t>Fournisseurs et comptes rattachés</t>
        </is>
      </c>
      <c r="L68" s="7" t="inlineStr">
        <is>
          <t>Fournisseurs et comptes rattachés</t>
        </is>
      </c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0</v>
      </c>
      <c r="F70" s="9" t="n">
        <v>1700.429</v>
      </c>
      <c r="G70" s="8" t="inlineStr">
        <is>
          <t>n/a</t>
        </is>
      </c>
      <c r="H70" s="7" t="inlineStr">
        <is>
          <t>V0</t>
        </is>
      </c>
      <c r="J70" s="7" t="inlineStr">
        <is>
          <t>V</t>
        </is>
      </c>
      <c r="K70" s="7" t="inlineStr">
        <is>
          <t>Clients et comptes rattachés</t>
        </is>
      </c>
      <c r="L70" s="7" t="inlineStr">
        <is>
          <t>Clients et comptes rattachés</t>
        </is>
      </c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0</v>
      </c>
      <c r="F73" s="9" t="n">
        <v>2.131</v>
      </c>
      <c r="G73" s="8" t="inlineStr">
        <is>
          <t>n/a</t>
        </is>
      </c>
      <c r="H73" s="7" t="inlineStr">
        <is>
          <t>V0</t>
        </is>
      </c>
      <c r="J73" s="7" t="inlineStr">
        <is>
          <t>V</t>
        </is>
      </c>
      <c r="K73" s="7" t="inlineStr">
        <is>
          <t>Clients et comptes rattachés</t>
        </is>
      </c>
      <c r="L73" s="7" t="inlineStr">
        <is>
          <t>Clients et comptes rattachés</t>
        </is>
      </c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0</v>
      </c>
      <c r="F74" s="9" t="n">
        <v>15.295</v>
      </c>
      <c r="G74" s="8" t="inlineStr">
        <is>
          <t>n/a</t>
        </is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et comptes rattachés</t>
        </is>
      </c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0</v>
      </c>
      <c r="F75" s="9" t="n">
        <v>492.794</v>
      </c>
      <c r="G75" s="8" t="inlineStr">
        <is>
          <t>n/a</t>
        </is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0</v>
      </c>
      <c r="F76" s="9" t="n">
        <v>-2.404</v>
      </c>
      <c r="G76" s="8" t="inlineStr">
        <is>
          <t>n/a</t>
        </is>
      </c>
      <c r="H76" s="7" t="inlineStr">
        <is>
          <t>P0</t>
        </is>
      </c>
      <c r="J76" s="7" t="inlineStr">
        <is>
          <t>P</t>
        </is>
      </c>
      <c r="K76" s="7" t="inlineStr">
        <is>
          <t>Dettes sociales</t>
        </is>
      </c>
      <c r="L76" s="7" t="inlineStr">
        <is>
          <t>Dettes sociales</t>
        </is>
      </c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0</v>
      </c>
      <c r="F77" s="9" t="n">
        <v>-7.691</v>
      </c>
      <c r="G77" s="8" t="inlineStr">
        <is>
          <t>n/a</t>
        </is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Dettes sociales</t>
        </is>
      </c>
      <c r="M77" s="7" t="inlineStr">
        <is>
          <t>Passif</t>
        </is>
      </c>
      <c r="N77" s="7" t="inlineStr">
        <is>
          <t>Passif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>
        <is>
          <t>Créances sociales</t>
        </is>
      </c>
      <c r="L78" s="7" t="inlineStr">
        <is>
          <t>Créances sociales</t>
        </is>
      </c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0</v>
      </c>
      <c r="F79" s="9" t="n">
        <v>-88.017</v>
      </c>
      <c r="G79" s="8" t="inlineStr">
        <is>
          <t>n/a</t>
        </is>
      </c>
      <c r="H79" s="7" t="inlineStr">
        <is>
          <t>P0</t>
        </is>
      </c>
      <c r="J79" s="7" t="inlineStr">
        <is>
          <t>P</t>
        </is>
      </c>
      <c r="K79" s="7" t="inlineStr">
        <is>
          <t>Dettes sociales</t>
        </is>
      </c>
      <c r="L79" s="7" t="inlineStr">
        <is>
          <t>Dettes sociales</t>
        </is>
      </c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0</v>
      </c>
      <c r="F80" s="9" t="n">
        <v>0</v>
      </c>
      <c r="G80" s="8" t="inlineStr">
        <is>
          <t>n/a</t>
        </is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0</v>
      </c>
      <c r="F81" s="9" t="n">
        <v>1.643</v>
      </c>
      <c r="G81" s="8" t="inlineStr">
        <is>
          <t>n/a</t>
        </is>
      </c>
      <c r="H81" s="7" t="inlineStr">
        <is>
          <t>P0</t>
        </is>
      </c>
      <c r="J81" s="7" t="inlineStr">
        <is>
          <t>P</t>
        </is>
      </c>
      <c r="K81" s="7" t="inlineStr">
        <is>
          <t>Créances sociales</t>
        </is>
      </c>
      <c r="L81" s="7" t="inlineStr">
        <is>
          <t>Créances sociales</t>
        </is>
      </c>
      <c r="M81" s="7" t="inlineStr">
        <is>
          <t>Actif</t>
        </is>
      </c>
      <c r="N81" s="7" t="inlineStr">
        <is>
          <t>Actif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0</v>
      </c>
      <c r="F82" s="9" t="n">
        <v>-77.672</v>
      </c>
      <c r="G82" s="8" t="inlineStr">
        <is>
          <t>n/a</t>
        </is>
      </c>
      <c r="H82" s="7" t="inlineStr">
        <is>
          <t>P0</t>
        </is>
      </c>
      <c r="J82" s="7" t="inlineStr">
        <is>
          <t>P</t>
        </is>
      </c>
      <c r="K82" s="7" t="inlineStr">
        <is>
          <t>Dettes sociales</t>
        </is>
      </c>
      <c r="L82" s="7" t="inlineStr">
        <is>
          <t>Dettes sociales</t>
        </is>
      </c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0</v>
      </c>
      <c r="F83" s="9" t="n">
        <v>-21.909</v>
      </c>
      <c r="G83" s="8" t="inlineStr">
        <is>
          <t>n/a</t>
        </is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0</v>
      </c>
      <c r="F84" s="9" t="n">
        <v>-5.791</v>
      </c>
      <c r="G84" s="8" t="inlineStr">
        <is>
          <t>n/a</t>
        </is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0</v>
      </c>
      <c r="F85" s="9" t="n">
        <v>-13.866</v>
      </c>
      <c r="G85" s="8" t="inlineStr">
        <is>
          <t>n/a</t>
        </is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0</v>
      </c>
      <c r="F86" s="9" t="n">
        <v>-11.224</v>
      </c>
      <c r="G86" s="8" t="inlineStr">
        <is>
          <t>n/a</t>
        </is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0</v>
      </c>
      <c r="F87" s="9" t="n">
        <v>-23.04</v>
      </c>
      <c r="G87" s="8" t="inlineStr">
        <is>
          <t>n/a</t>
        </is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0</v>
      </c>
      <c r="F88" s="9" t="n">
        <v>-8.351000000000001</v>
      </c>
      <c r="G88" s="8" t="inlineStr">
        <is>
          <t>n/a</t>
        </is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0</v>
      </c>
      <c r="F89" s="9" t="n">
        <v>-39.956</v>
      </c>
      <c r="G89" s="8" t="inlineStr">
        <is>
          <t>n/a</t>
        </is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Dettes sociales</t>
        </is>
      </c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0</v>
      </c>
      <c r="F90" s="9" t="n">
        <v>0</v>
      </c>
      <c r="G90" s="8" t="inlineStr">
        <is>
          <t>n/a</t>
        </is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0</v>
      </c>
      <c r="F91" s="9" t="n">
        <v>8.638</v>
      </c>
      <c r="G91" s="8" t="inlineStr">
        <is>
          <t>n/a</t>
        </is>
      </c>
      <c r="H91" s="7" t="inlineStr">
        <is>
          <t>P0</t>
        </is>
      </c>
      <c r="J91" s="7" t="inlineStr">
        <is>
          <t>P</t>
        </is>
      </c>
      <c r="K91" s="7" t="inlineStr">
        <is>
          <t>Créances sociales</t>
        </is>
      </c>
      <c r="L91" s="7" t="inlineStr">
        <is>
          <t>Créances sociales</t>
        </is>
      </c>
      <c r="M91" s="7" t="inlineStr">
        <is>
          <t>Actif</t>
        </is>
      </c>
      <c r="N91" s="7" t="inlineStr">
        <is>
          <t>Actif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0</v>
      </c>
      <c r="F92" s="9" t="n">
        <v>-9.851000000000001</v>
      </c>
      <c r="G92" s="8" t="inlineStr">
        <is>
          <t>n/a</t>
        </is>
      </c>
      <c r="H92" s="7" t="inlineStr">
        <is>
          <t>E0</t>
        </is>
      </c>
      <c r="J92" s="7" t="inlineStr">
        <is>
          <t>E</t>
        </is>
      </c>
      <c r="K92" s="7" t="inlineStr">
        <is>
          <t>Dettes fiscales</t>
        </is>
      </c>
      <c r="L92" s="7" t="inlineStr">
        <is>
          <t>Dettes fiscales</t>
        </is>
      </c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0</v>
      </c>
      <c r="F93" s="9" t="n">
        <v>761.204</v>
      </c>
      <c r="G93" s="8" t="inlineStr">
        <is>
          <t>n/a</t>
        </is>
      </c>
      <c r="H93" s="7" t="inlineStr">
        <is>
          <t>E0</t>
        </is>
      </c>
      <c r="J93" s="7" t="inlineStr">
        <is>
          <t>E</t>
        </is>
      </c>
      <c r="K93" s="7" t="inlineStr">
        <is>
          <t>Créances fiscales</t>
        </is>
      </c>
      <c r="L93" s="7" t="inlineStr">
        <is>
          <t>Créances fiscales</t>
        </is>
      </c>
      <c r="M93" s="7" t="inlineStr">
        <is>
          <t>Actif</t>
        </is>
      </c>
      <c r="N93" s="7" t="inlineStr">
        <is>
          <t>Actif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0</v>
      </c>
      <c r="F94" s="9" t="n">
        <v>-62.769</v>
      </c>
      <c r="G94" s="8" t="inlineStr">
        <is>
          <t>n/a</t>
        </is>
      </c>
      <c r="H94" s="7" t="inlineStr">
        <is>
          <t>E0</t>
        </is>
      </c>
      <c r="J94" s="7" t="inlineStr">
        <is>
          <t>E</t>
        </is>
      </c>
      <c r="K94" s="7" t="inlineStr">
        <is>
          <t>Dettes fiscales</t>
        </is>
      </c>
      <c r="L94" s="7" t="inlineStr">
        <is>
          <t>Dettes fiscales</t>
        </is>
      </c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0</v>
      </c>
      <c r="F95" s="9" t="n">
        <v>0</v>
      </c>
      <c r="G95" s="8" t="inlineStr">
        <is>
          <t>n/a</t>
        </is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>
        <is>
          <t>Créances fiscales</t>
        </is>
      </c>
      <c r="L97" s="7" t="inlineStr">
        <is>
          <t>Créances fiscales</t>
        </is>
      </c>
      <c r="M97" s="7" t="inlineStr">
        <is>
          <t>Actif</t>
        </is>
      </c>
      <c r="N97" s="7" t="inlineStr">
        <is>
          <t>Actif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</v>
      </c>
      <c r="F99" s="9" t="n">
        <v>0.054</v>
      </c>
      <c r="G99" s="8" t="inlineStr">
        <is>
          <t>n/a</t>
        </is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Créances fiscales</t>
        </is>
      </c>
      <c r="M99" s="7" t="inlineStr">
        <is>
          <t>Actif</t>
        </is>
      </c>
      <c r="N99" s="7" t="inlineStr">
        <is>
          <t>Actif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0</v>
      </c>
      <c r="F101" s="9" t="n">
        <v>15.862</v>
      </c>
      <c r="G101" s="8" t="inlineStr">
        <is>
          <t>n/a</t>
        </is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0</v>
      </c>
      <c r="F105" s="9" t="n">
        <v>-2</v>
      </c>
      <c r="G105" s="8" t="inlineStr">
        <is>
          <t>n/a</t>
        </is>
      </c>
      <c r="H105" s="7" t="inlineStr">
        <is>
          <t>E0</t>
        </is>
      </c>
      <c r="J105" s="7" t="inlineStr">
        <is>
          <t>E</t>
        </is>
      </c>
      <c r="K105" s="7" t="inlineStr">
        <is>
          <t>Dettes fiscales</t>
        </is>
      </c>
      <c r="L105" s="7" t="inlineStr">
        <is>
          <t>Dettes fiscales</t>
        </is>
      </c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>
        <is>
          <t>Créances fiscales</t>
        </is>
      </c>
      <c r="L106" s="7" t="inlineStr">
        <is>
          <t>Créances fiscales</t>
        </is>
      </c>
      <c r="M106" s="7" t="inlineStr">
        <is>
          <t>Actif</t>
        </is>
      </c>
      <c r="N106" s="7" t="inlineStr">
        <is>
          <t>Actif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0</v>
      </c>
      <c r="F107" s="9" t="n">
        <v>-3172.836</v>
      </c>
      <c r="G107" s="8" t="inlineStr">
        <is>
          <t>n/a</t>
        </is>
      </c>
      <c r="H107" s="7" t="inlineStr">
        <is>
          <t>F0</t>
        </is>
      </c>
      <c r="J107" s="7" t="inlineStr">
        <is>
          <t>F</t>
        </is>
      </c>
      <c r="K107" s="7" t="inlineStr">
        <is>
          <t>Emprunts et dettes financières</t>
        </is>
      </c>
      <c r="L107" s="7" t="inlineStr">
        <is>
          <t>Emprunts et dettes financières</t>
        </is>
      </c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0</v>
      </c>
      <c r="F108" s="9" t="n">
        <v>160.81</v>
      </c>
      <c r="G108" s="8" t="inlineStr">
        <is>
          <t>n/a</t>
        </is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Emprunts et dettes financières</t>
        </is>
      </c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0</v>
      </c>
      <c r="F109" s="9" t="n">
        <v>71.73999999999999</v>
      </c>
      <c r="G109" s="8" t="inlineStr">
        <is>
          <t>n/a</t>
        </is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Emprunts et dettes financières</t>
        </is>
      </c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0</v>
      </c>
      <c r="F110" s="9" t="n">
        <v>330.084</v>
      </c>
      <c r="G110" s="8" t="inlineStr">
        <is>
          <t>n/a</t>
        </is>
      </c>
      <c r="H110" s="7" t="inlineStr">
        <is>
          <t>F0</t>
        </is>
      </c>
      <c r="J110" s="7" t="inlineStr">
        <is>
          <t>F</t>
        </is>
      </c>
      <c r="K110" s="7" t="inlineStr">
        <is>
          <t>Comptes courants débiteurs</t>
        </is>
      </c>
      <c r="L110" s="7" t="inlineStr">
        <is>
          <t>Comptes courants débiteurs</t>
        </is>
      </c>
      <c r="M110" s="7" t="inlineStr">
        <is>
          <t>Actif</t>
        </is>
      </c>
      <c r="N110" s="7" t="inlineStr">
        <is>
          <t>Actif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0</v>
      </c>
      <c r="F111" s="9" t="n">
        <v>183.088</v>
      </c>
      <c r="G111" s="8" t="inlineStr">
        <is>
          <t>n/a</t>
        </is>
      </c>
      <c r="H111" s="7" t="inlineStr">
        <is>
          <t>F0</t>
        </is>
      </c>
      <c r="J111" s="7" t="inlineStr">
        <is>
          <t>F</t>
        </is>
      </c>
      <c r="K111" s="7" t="inlineStr">
        <is>
          <t>Emprunts et dettes financières</t>
        </is>
      </c>
      <c r="L111" s="7" t="inlineStr">
        <is>
          <t>Emprunts et dettes financières</t>
        </is>
      </c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0</v>
      </c>
      <c r="F112" s="9" t="n">
        <v>401.728</v>
      </c>
      <c r="G112" s="8" t="inlineStr">
        <is>
          <t>n/a</t>
        </is>
      </c>
      <c r="H112" s="7" t="inlineStr">
        <is>
          <t>F0</t>
        </is>
      </c>
      <c r="J112" s="7" t="inlineStr">
        <is>
          <t>F</t>
        </is>
      </c>
      <c r="K112" s="7" t="inlineStr">
        <is>
          <t>Comptes courants débiteurs</t>
        </is>
      </c>
      <c r="L112" s="7" t="inlineStr">
        <is>
          <t>Comptes courants débiteurs</t>
        </is>
      </c>
      <c r="M112" s="7" t="inlineStr">
        <is>
          <t>Actif</t>
        </is>
      </c>
      <c r="N112" s="7" t="inlineStr">
        <is>
          <t>Actif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0</v>
      </c>
      <c r="F113" s="9" t="n">
        <v>-3.643</v>
      </c>
      <c r="G113" s="8" t="inlineStr">
        <is>
          <t>n/a</t>
        </is>
      </c>
      <c r="H113" s="7" t="inlineStr">
        <is>
          <t>F0</t>
        </is>
      </c>
      <c r="J113" s="7" t="inlineStr">
        <is>
          <t>F</t>
        </is>
      </c>
      <c r="K113" s="7" t="inlineStr">
        <is>
          <t>Emprunts et dettes financières</t>
        </is>
      </c>
      <c r="L113" s="7" t="inlineStr">
        <is>
          <t>Emprunts et dettes financières</t>
        </is>
      </c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0</v>
      </c>
      <c r="F115" s="9" t="n">
        <v>-42.255</v>
      </c>
      <c r="G115" s="8" t="inlineStr">
        <is>
          <t>n/a</t>
        </is>
      </c>
      <c r="H115" s="7" t="inlineStr">
        <is>
          <t>F0</t>
        </is>
      </c>
      <c r="J115" s="7" t="inlineStr">
        <is>
          <t>F</t>
        </is>
      </c>
      <c r="K115" s="7" t="inlineStr">
        <is>
          <t>Emprunts et dettes financières</t>
        </is>
      </c>
      <c r="L115" s="7" t="inlineStr">
        <is>
          <t>Emprunts et dettes financières</t>
        </is>
      </c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</v>
      </c>
      <c r="F116" s="9" t="n">
        <v>0.001</v>
      </c>
      <c r="G116" s="8" t="inlineStr">
        <is>
          <t>n/a</t>
        </is>
      </c>
      <c r="H116" s="7" t="inlineStr">
        <is>
          <t>T0</t>
        </is>
      </c>
      <c r="J116" s="7" t="inlineStr">
        <is>
          <t>T</t>
        </is>
      </c>
      <c r="K116" s="7" t="inlineStr">
        <is>
          <t>Créances diverses</t>
        </is>
      </c>
      <c r="L116" s="7" t="inlineStr">
        <is>
          <t>Créances diverses</t>
        </is>
      </c>
      <c r="M116" s="7" t="inlineStr">
        <is>
          <t>Actif</t>
        </is>
      </c>
      <c r="N116" s="7" t="inlineStr">
        <is>
          <t>Actif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0</v>
      </c>
      <c r="F117" s="9" t="n">
        <v>-0.474</v>
      </c>
      <c r="G117" s="8" t="inlineStr">
        <is>
          <t>n/a</t>
        </is>
      </c>
      <c r="H117" s="7" t="inlineStr">
        <is>
          <t>T0</t>
        </is>
      </c>
      <c r="J117" s="7" t="inlineStr">
        <is>
          <t>T</t>
        </is>
      </c>
      <c r="K117" s="7" t="inlineStr">
        <is>
          <t>Dettes diverses</t>
        </is>
      </c>
      <c r="L117" s="7" t="inlineStr">
        <is>
          <t>Dettes diverses</t>
        </is>
      </c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0</v>
      </c>
      <c r="F118" s="9" t="n">
        <v>1.715</v>
      </c>
      <c r="G118" s="8" t="inlineStr">
        <is>
          <t>n/a</t>
        </is>
      </c>
      <c r="H118" s="7" t="inlineStr">
        <is>
          <t>T0</t>
        </is>
      </c>
      <c r="J118" s="7" t="inlineStr">
        <is>
          <t>T</t>
        </is>
      </c>
      <c r="K118" s="7" t="inlineStr">
        <is>
          <t>Créances diverses</t>
        </is>
      </c>
      <c r="L118" s="7" t="inlineStr">
        <is>
          <t>Créances diverses</t>
        </is>
      </c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0</v>
      </c>
      <c r="F119" s="9" t="n">
        <v>144.09</v>
      </c>
      <c r="G119" s="8" t="inlineStr">
        <is>
          <t>n/a</t>
        </is>
      </c>
      <c r="H119" s="7" t="inlineStr">
        <is>
          <t>A0</t>
        </is>
      </c>
      <c r="J119" s="7" t="inlineStr">
        <is>
          <t>A</t>
        </is>
      </c>
      <c r="K119" s="7" t="inlineStr">
        <is>
          <t>Charges constatées d'avance</t>
        </is>
      </c>
      <c r="L119" s="7" t="inlineStr">
        <is>
          <t>Charges constatées d'avance</t>
        </is>
      </c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0</v>
      </c>
      <c r="F121" s="9" t="n">
        <v>-14.288</v>
      </c>
      <c r="G121" s="8" t="inlineStr">
        <is>
          <t>n/a</t>
        </is>
      </c>
      <c r="H121" s="7" t="inlineStr">
        <is>
          <t>V0</t>
        </is>
      </c>
      <c r="J121" s="7" t="inlineStr">
        <is>
          <t>V</t>
        </is>
      </c>
      <c r="K121" s="7" t="inlineStr">
        <is>
          <t>Clients et comptes rattachés</t>
        </is>
      </c>
      <c r="L121" s="7" t="inlineStr">
        <is>
          <t>Clients et comptes rattachés</t>
        </is>
      </c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>
        <is>
          <t>Disponibilités</t>
        </is>
      </c>
      <c r="L122" s="7" t="inlineStr">
        <is>
          <t>Disponibilités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0</v>
      </c>
      <c r="F123" s="9" t="n">
        <v>3.791</v>
      </c>
      <c r="G123" s="8" t="inlineStr">
        <is>
          <t>n/a</t>
        </is>
      </c>
      <c r="H123" s="7" t="inlineStr">
        <is>
          <t>F0</t>
        </is>
      </c>
      <c r="J123" s="7" t="inlineStr">
        <is>
          <t>F</t>
        </is>
      </c>
      <c r="K123" s="7" t="inlineStr">
        <is>
          <t>Emprunts et dettes auprès d'établissements de crédit</t>
        </is>
      </c>
      <c r="L123" s="7" t="inlineStr">
        <is>
          <t>Emprunts et dettes auprès d'établissements de crédit</t>
        </is>
      </c>
      <c r="M123" s="7" t="inlineStr">
        <is>
          <t>Passif</t>
        </is>
      </c>
      <c r="N123" s="7" t="inlineStr">
        <is>
          <t>Passif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0</v>
      </c>
      <c r="F124" s="9" t="n">
        <v>154.195</v>
      </c>
      <c r="G124" s="8" t="inlineStr">
        <is>
          <t>n/a</t>
        </is>
      </c>
      <c r="H124" s="7" t="inlineStr">
        <is>
          <t>F0</t>
        </is>
      </c>
      <c r="J124" s="7" t="inlineStr">
        <is>
          <t>F</t>
        </is>
      </c>
      <c r="K124" s="7" t="inlineStr">
        <is>
          <t>Disponibilités</t>
        </is>
      </c>
      <c r="L124" s="7" t="inlineStr">
        <is>
          <t>Disponibilités</t>
        </is>
      </c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</v>
      </c>
      <c r="F125" s="9" t="n">
        <v>92.181</v>
      </c>
      <c r="G125" s="8" t="inlineStr">
        <is>
          <t>n/a</t>
        </is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0</v>
      </c>
      <c r="F127" s="9" t="n">
        <v>141.961</v>
      </c>
      <c r="G127" s="8" t="inlineStr">
        <is>
          <t>n/a</t>
        </is>
      </c>
      <c r="H127" s="7" t="inlineStr">
        <is>
          <t>F0</t>
        </is>
      </c>
      <c r="J127" s="7" t="inlineStr">
        <is>
          <t>F</t>
        </is>
      </c>
      <c r="K127" s="7" t="inlineStr">
        <is>
          <t>Disponibilités</t>
        </is>
      </c>
      <c r="L127" s="7" t="inlineStr">
        <is>
          <t>Disponibilités</t>
        </is>
      </c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</v>
      </c>
      <c r="F128" s="9" t="n">
        <v>11.525</v>
      </c>
      <c r="G128" s="8" t="inlineStr">
        <is>
          <t>n/a</t>
        </is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0</v>
      </c>
      <c r="F129" s="9" t="n">
        <v>0</v>
      </c>
      <c r="G129" s="8" t="inlineStr">
        <is>
          <t>n/a</t>
        </is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0</v>
      </c>
      <c r="F130" s="9" t="n">
        <v>0</v>
      </c>
      <c r="G130" s="8" t="inlineStr">
        <is>
          <t>n/a</t>
        </is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0</v>
      </c>
      <c r="F131" s="9" t="n">
        <v>6.685</v>
      </c>
      <c r="G131" s="8" t="inlineStr">
        <is>
          <t>n/a</t>
        </is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0</v>
      </c>
      <c r="F134" s="9" t="n">
        <v>8.086</v>
      </c>
      <c r="G134" s="8" t="inlineStr">
        <is>
          <t>n/a</t>
        </is>
      </c>
      <c r="H134" s="7" t="inlineStr">
        <is>
          <t>F0</t>
        </is>
      </c>
      <c r="J134" s="7" t="inlineStr">
        <is>
          <t>F</t>
        </is>
      </c>
      <c r="K134" s="7" t="inlineStr">
        <is>
          <t>Disponibilités</t>
        </is>
      </c>
      <c r="L134" s="7" t="inlineStr">
        <is>
          <t>Disponibilités</t>
        </is>
      </c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0</v>
      </c>
      <c r="F136" s="9" t="n">
        <v>910.128</v>
      </c>
      <c r="G136" s="8" t="inlineStr">
        <is>
          <t>n/a</t>
        </is>
      </c>
      <c r="H136" s="7" t="inlineStr">
        <is>
          <t>A0</t>
        </is>
      </c>
      <c r="J136" s="7" t="inlineStr">
        <is>
          <t>A</t>
        </is>
      </c>
      <c r="K136" s="7" t="inlineStr">
        <is>
          <t>Achat de matières premières et autres approvisionnements</t>
        </is>
      </c>
      <c r="L136" s="7" t="inlineStr">
        <is>
          <t>Achat de matières premières et autres approvisionnements</t>
        </is>
      </c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0</v>
      </c>
      <c r="F137" s="9" t="n">
        <v>403.396</v>
      </c>
      <c r="G137" s="8" t="inlineStr">
        <is>
          <t>n/a</t>
        </is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0</v>
      </c>
      <c r="F138" s="9" t="n">
        <v>1037.085</v>
      </c>
      <c r="G138" s="8" t="inlineStr">
        <is>
          <t>n/a</t>
        </is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0</v>
      </c>
      <c r="F139" s="9" t="n">
        <v>359.768</v>
      </c>
      <c r="G139" s="8" t="inlineStr">
        <is>
          <t>n/a</t>
        </is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0</v>
      </c>
      <c r="F140" s="9" t="n">
        <v>180.103</v>
      </c>
      <c r="G140" s="8" t="inlineStr">
        <is>
          <t>n/a</t>
        </is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0</v>
      </c>
      <c r="F141" s="9" t="n">
        <v>21.69</v>
      </c>
      <c r="G141" s="8" t="inlineStr">
        <is>
          <t>n/a</t>
        </is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0</v>
      </c>
      <c r="F142" s="9" t="n">
        <v>274.75</v>
      </c>
      <c r="G142" s="8" t="inlineStr">
        <is>
          <t>n/a</t>
        </is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0</v>
      </c>
      <c r="F143" s="9" t="n">
        <v>-501.417</v>
      </c>
      <c r="G143" s="8" t="inlineStr">
        <is>
          <t>n/a</t>
        </is>
      </c>
      <c r="H143" s="7" t="inlineStr">
        <is>
          <t>S0</t>
        </is>
      </c>
      <c r="J143" s="7" t="inlineStr">
        <is>
          <t>S</t>
        </is>
      </c>
      <c r="K143" s="7" t="inlineStr">
        <is>
          <t>Variation de stocks</t>
        </is>
      </c>
      <c r="L143" s="7" t="inlineStr">
        <is>
          <t>Variation de stocks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0</v>
      </c>
      <c r="F144" s="9" t="n">
        <v>-38.19</v>
      </c>
      <c r="G144" s="8" t="inlineStr">
        <is>
          <t>n/a</t>
        </is>
      </c>
      <c r="H144" s="7" t="inlineStr">
        <is>
          <t>S0</t>
        </is>
      </c>
      <c r="J144" s="7" t="inlineStr">
        <is>
          <t>S</t>
        </is>
      </c>
      <c r="K144" s="7" t="inlineStr">
        <is>
          <t>Variation de stocks</t>
        </is>
      </c>
      <c r="L144" s="7" t="inlineStr">
        <is>
          <t>Variation de stocks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0</v>
      </c>
      <c r="F145" s="9" t="n">
        <v>-99.37</v>
      </c>
      <c r="G145" s="8" t="inlineStr">
        <is>
          <t>n/a</t>
        </is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 de marchandises</t>
        </is>
      </c>
      <c r="L145" s="7" t="inlineStr">
        <is>
          <t>Variation de stocks de marchandises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0</v>
      </c>
      <c r="F147" s="9" t="n">
        <v>2266.391</v>
      </c>
      <c r="G147" s="8" t="inlineStr">
        <is>
          <t>n/a</t>
        </is>
      </c>
      <c r="H147" s="7" t="inlineStr">
        <is>
          <t>A0</t>
        </is>
      </c>
      <c r="J147" s="7" t="inlineStr">
        <is>
          <t>A</t>
        </is>
      </c>
      <c r="K147" s="7" t="inlineStr">
        <is>
          <t>Achat de matières premières et autres approvisionnements</t>
        </is>
      </c>
      <c r="L147" s="7" t="inlineStr">
        <is>
          <t>Achat de matières premières et autres approvisionnements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0</v>
      </c>
      <c r="F148" s="9" t="n">
        <v>2673.238</v>
      </c>
      <c r="G148" s="8" t="inlineStr">
        <is>
          <t>n/a</t>
        </is>
      </c>
      <c r="H148" s="7" t="inlineStr">
        <is>
          <t>A0</t>
        </is>
      </c>
      <c r="J148" s="7" t="inlineStr">
        <is>
          <t>A</t>
        </is>
      </c>
      <c r="K148" s="7" t="inlineStr">
        <is>
          <t>Achat de matières premières et autres approvisionnements</t>
        </is>
      </c>
      <c r="L148" s="7" t="inlineStr">
        <is>
          <t>Achat de matières premières et autres approvisionnements</t>
        </is>
      </c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0</v>
      </c>
      <c r="F149" s="9" t="n">
        <v>256.109</v>
      </c>
      <c r="G149" s="8" t="inlineStr">
        <is>
          <t>n/a</t>
        </is>
      </c>
      <c r="H149" s="7" t="inlineStr">
        <is>
          <t>A0</t>
        </is>
      </c>
      <c r="J149" s="7" t="inlineStr">
        <is>
          <t>A</t>
        </is>
      </c>
      <c r="K149" s="7" t="inlineStr">
        <is>
          <t>Autres achats et charges externes</t>
        </is>
      </c>
      <c r="L149" s="7" t="inlineStr">
        <is>
          <t>Autres achats et charges externes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0</v>
      </c>
      <c r="F150" s="9" t="n">
        <v>8.127000000000001</v>
      </c>
      <c r="G150" s="8" t="inlineStr">
        <is>
          <t>n/a</t>
        </is>
      </c>
      <c r="H150" s="7" t="inlineStr">
        <is>
          <t>A0</t>
        </is>
      </c>
      <c r="J150" s="7" t="inlineStr">
        <is>
          <t>A</t>
        </is>
      </c>
      <c r="K150" s="7" t="inlineStr">
        <is>
          <t>Autres achats et charges externes</t>
        </is>
      </c>
      <c r="L150" s="7" t="inlineStr">
        <is>
          <t>Autres achats et charges externes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0</v>
      </c>
      <c r="F151" s="9" t="n">
        <v>6.21</v>
      </c>
      <c r="G151" s="8" t="inlineStr">
        <is>
          <t>n/a</t>
        </is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0</v>
      </c>
      <c r="F152" s="9" t="n">
        <v>11.344</v>
      </c>
      <c r="G152" s="8" t="inlineStr">
        <is>
          <t>n/a</t>
        </is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0</v>
      </c>
      <c r="F153" s="9" t="n">
        <v>2.98</v>
      </c>
      <c r="G153" s="8" t="inlineStr">
        <is>
          <t>n/a</t>
        </is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0</v>
      </c>
      <c r="F154" s="9" t="n">
        <v>555.276</v>
      </c>
      <c r="G154" s="8" t="inlineStr">
        <is>
          <t>n/a</t>
        </is>
      </c>
      <c r="H154" s="7" t="inlineStr">
        <is>
          <t>A0</t>
        </is>
      </c>
      <c r="J154" s="7" t="inlineStr">
        <is>
          <t>A</t>
        </is>
      </c>
      <c r="K154" s="7" t="inlineStr">
        <is>
          <t>Achats de marchandises</t>
        </is>
      </c>
      <c r="L154" s="7" t="inlineStr">
        <is>
          <t>Achats de marchandises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0</v>
      </c>
      <c r="F155" s="9" t="n">
        <v>960.287</v>
      </c>
      <c r="G155" s="8" t="inlineStr">
        <is>
          <t>n/a</t>
        </is>
      </c>
      <c r="H155" s="7" t="inlineStr">
        <is>
          <t>A0</t>
        </is>
      </c>
      <c r="J155" s="7" t="inlineStr">
        <is>
          <t>A</t>
        </is>
      </c>
      <c r="K155" s="7" t="inlineStr">
        <is>
          <t>Achats de marchandises</t>
        </is>
      </c>
      <c r="L155" s="7" t="inlineStr">
        <is>
          <t>Achats de marchandises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0</v>
      </c>
      <c r="F157" s="9" t="n">
        <v>93.708</v>
      </c>
      <c r="G157" s="8" t="inlineStr">
        <is>
          <t>n/a</t>
        </is>
      </c>
      <c r="H157" s="7" t="inlineStr">
        <is>
          <t>A0</t>
        </is>
      </c>
      <c r="J157" s="7" t="inlineStr">
        <is>
          <t>A</t>
        </is>
      </c>
      <c r="K157" s="7" t="inlineStr">
        <is>
          <t>Achat de matières premières et autres approvisionnements</t>
        </is>
      </c>
      <c r="L157" s="7" t="inlineStr">
        <is>
          <t>Achat de matières premières et autres approvisionnements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0</v>
      </c>
      <c r="F158" s="9" t="n">
        <v>11.114</v>
      </c>
      <c r="G158" s="8" t="inlineStr">
        <is>
          <t>n/a</t>
        </is>
      </c>
      <c r="H158" s="7" t="inlineStr">
        <is>
          <t>A0</t>
        </is>
      </c>
      <c r="J158" s="7" t="inlineStr">
        <is>
          <t>A</t>
        </is>
      </c>
      <c r="K158" s="7" t="inlineStr">
        <is>
          <t>Achat de matières premières et autres approvisionnements</t>
        </is>
      </c>
      <c r="L158" s="7" t="inlineStr">
        <is>
          <t>Achat de matières premières et autres approvisionnements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0</v>
      </c>
      <c r="F159" s="9" t="n">
        <v>81.84699999999999</v>
      </c>
      <c r="G159" s="8" t="inlineStr">
        <is>
          <t>n/a</t>
        </is>
      </c>
      <c r="H159" s="7" t="inlineStr">
        <is>
          <t>A0</t>
        </is>
      </c>
      <c r="J159" s="7" t="inlineStr">
        <is>
          <t>A</t>
        </is>
      </c>
      <c r="K159" s="7" t="inlineStr">
        <is>
          <t>Achat de matières premières et autres approvisionnements</t>
        </is>
      </c>
      <c r="L159" s="7" t="inlineStr">
        <is>
          <t>Achat de matières premières et autres approvisionnements</t>
        </is>
      </c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0</v>
      </c>
      <c r="F160" s="9" t="n">
        <v>27.431</v>
      </c>
      <c r="G160" s="8" t="inlineStr">
        <is>
          <t>n/a</t>
        </is>
      </c>
      <c r="H160" s="7" t="inlineStr">
        <is>
          <t>A0</t>
        </is>
      </c>
      <c r="J160" s="7" t="inlineStr">
        <is>
          <t>A</t>
        </is>
      </c>
      <c r="K160" s="7" t="inlineStr">
        <is>
          <t>Autres achats et charges externes</t>
        </is>
      </c>
      <c r="L160" s="7" t="inlineStr">
        <is>
          <t>Autres achats et charges externes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0</v>
      </c>
      <c r="F161" s="9" t="n">
        <v>5.712</v>
      </c>
      <c r="G161" s="8" t="inlineStr">
        <is>
          <t>n/a</t>
        </is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0</v>
      </c>
      <c r="F162" s="9" t="n">
        <v>-5.691</v>
      </c>
      <c r="G162" s="8" t="inlineStr">
        <is>
          <t>n/a</t>
        </is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0</v>
      </c>
      <c r="F163" s="9" t="n">
        <v>-1.482</v>
      </c>
      <c r="G163" s="8" t="inlineStr">
        <is>
          <t>n/a</t>
        </is>
      </c>
      <c r="H163" s="7" t="inlineStr">
        <is>
          <t>A0</t>
        </is>
      </c>
      <c r="J163" s="7" t="inlineStr">
        <is>
          <t>A</t>
        </is>
      </c>
      <c r="K163" s="7" t="inlineStr">
        <is>
          <t>Achat de matières premières et autres approvisionnements</t>
        </is>
      </c>
      <c r="L163" s="7" t="inlineStr">
        <is>
          <t>Achat de matières premières et autres approvisionnements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0</v>
      </c>
      <c r="F164" s="9" t="n">
        <v>25.272</v>
      </c>
      <c r="G164" s="8" t="inlineStr">
        <is>
          <t>n/a</t>
        </is>
      </c>
      <c r="H164" s="7" t="inlineStr">
        <is>
          <t>A0</t>
        </is>
      </c>
      <c r="J164" s="7" t="inlineStr">
        <is>
          <t>A</t>
        </is>
      </c>
      <c r="K164" s="7" t="inlineStr">
        <is>
          <t>Autres achats et charges externes</t>
        </is>
      </c>
      <c r="L164" s="7" t="inlineStr">
        <is>
          <t>Autres achats et charges externes</t>
        </is>
      </c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0</v>
      </c>
      <c r="F165" s="9" t="n">
        <v>189.261</v>
      </c>
      <c r="G165" s="8" t="inlineStr">
        <is>
          <t>n/a</t>
        </is>
      </c>
      <c r="H165" s="7" t="inlineStr">
        <is>
          <t>A0</t>
        </is>
      </c>
      <c r="J165" s="7" t="inlineStr">
        <is>
          <t>A</t>
        </is>
      </c>
      <c r="K165" s="7" t="inlineStr">
        <is>
          <t>Autres achats et charges externes</t>
        </is>
      </c>
      <c r="L165" s="7" t="inlineStr">
        <is>
          <t>Autres achats et charges externes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0</v>
      </c>
      <c r="F167" s="9" t="n">
        <v>110.991</v>
      </c>
      <c r="G167" s="8" t="inlineStr">
        <is>
          <t>n/a</t>
        </is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0</v>
      </c>
      <c r="F168" s="9" t="n">
        <v>5.36</v>
      </c>
      <c r="G168" s="8" t="inlineStr">
        <is>
          <t>n/a</t>
        </is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0</v>
      </c>
      <c r="F169" s="9" t="n">
        <v>416.167</v>
      </c>
      <c r="G169" s="8" t="inlineStr">
        <is>
          <t>n/a</t>
        </is>
      </c>
      <c r="H169" s="7" t="inlineStr">
        <is>
          <t>A0</t>
        </is>
      </c>
      <c r="J169" s="7" t="inlineStr">
        <is>
          <t>A</t>
        </is>
      </c>
      <c r="K169" s="7" t="inlineStr">
        <is>
          <t>Autres achats et charges externes</t>
        </is>
      </c>
      <c r="L169" s="7" t="inlineStr">
        <is>
          <t>Autres achats et charges externes</t>
        </is>
      </c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0</v>
      </c>
      <c r="F170" s="9" t="n">
        <v>103.74</v>
      </c>
      <c r="G170" s="8" t="inlineStr">
        <is>
          <t>n/a</t>
        </is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0</v>
      </c>
      <c r="F171" s="9" t="n">
        <v>18.122</v>
      </c>
      <c r="G171" s="8" t="inlineStr">
        <is>
          <t>n/a</t>
        </is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0</v>
      </c>
      <c r="F172" s="9" t="n">
        <v>11.395</v>
      </c>
      <c r="G172" s="8" t="inlineStr">
        <is>
          <t>n/a</t>
        </is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0</v>
      </c>
      <c r="F173" s="9" t="n">
        <v>0.099</v>
      </c>
      <c r="G173" s="8" t="inlineStr">
        <is>
          <t>n/a</t>
        </is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0</v>
      </c>
      <c r="F174" s="9" t="n">
        <v>12.24</v>
      </c>
      <c r="G174" s="8" t="inlineStr">
        <is>
          <t>n/a</t>
        </is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0</v>
      </c>
      <c r="F175" s="9" t="n">
        <v>25.323</v>
      </c>
      <c r="G175" s="8" t="inlineStr">
        <is>
          <t>n/a</t>
        </is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0</v>
      </c>
      <c r="F176" s="9" t="n">
        <v>0.57</v>
      </c>
      <c r="G176" s="8" t="inlineStr">
        <is>
          <t>n/a</t>
        </is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0</v>
      </c>
      <c r="F177" s="9" t="n">
        <v>25.18</v>
      </c>
      <c r="G177" s="8" t="inlineStr">
        <is>
          <t>n/a</t>
        </is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0</v>
      </c>
      <c r="F178" s="9" t="n">
        <v>19.321</v>
      </c>
      <c r="G178" s="8" t="inlineStr">
        <is>
          <t>n/a</t>
        </is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0</v>
      </c>
      <c r="F179" s="9" t="n">
        <v>6.057</v>
      </c>
      <c r="G179" s="8" t="inlineStr">
        <is>
          <t>n/a</t>
        </is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0</v>
      </c>
      <c r="F180" s="9" t="n">
        <v>2.044</v>
      </c>
      <c r="G180" s="8" t="inlineStr">
        <is>
          <t>n/a</t>
        </is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0</v>
      </c>
      <c r="F181" s="9" t="n">
        <v>2.499</v>
      </c>
      <c r="G181" s="8" t="inlineStr">
        <is>
          <t>n/a</t>
        </is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0</v>
      </c>
      <c r="F182" s="9" t="n">
        <v>69.854</v>
      </c>
      <c r="G182" s="8" t="inlineStr">
        <is>
          <t>n/a</t>
        </is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</v>
      </c>
      <c r="F183" s="9" t="n">
        <v>1.733</v>
      </c>
      <c r="G183" s="8" t="inlineStr">
        <is>
          <t>n/a</t>
        </is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0</v>
      </c>
      <c r="F184" s="9" t="n">
        <v>25.786</v>
      </c>
      <c r="G184" s="8" t="inlineStr">
        <is>
          <t>n/a</t>
        </is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0</v>
      </c>
      <c r="F186" s="9" t="n">
        <v>23.171</v>
      </c>
      <c r="G186" s="8" t="inlineStr">
        <is>
          <t>n/a</t>
        </is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0</v>
      </c>
      <c r="F187" s="9" t="n">
        <v>1.909</v>
      </c>
      <c r="G187" s="8" t="inlineStr">
        <is>
          <t>n/a</t>
        </is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0</v>
      </c>
      <c r="F188" s="9" t="n">
        <v>3.871</v>
      </c>
      <c r="G188" s="8" t="inlineStr">
        <is>
          <t>n/a</t>
        </is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0</v>
      </c>
      <c r="F189" s="9" t="n">
        <v>13.028</v>
      </c>
      <c r="G189" s="8" t="inlineStr">
        <is>
          <t>n/a</t>
        </is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0</v>
      </c>
      <c r="F191" s="9" t="n">
        <v>58.595</v>
      </c>
      <c r="G191" s="8" t="inlineStr">
        <is>
          <t>n/a</t>
        </is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0</v>
      </c>
      <c r="F192" s="9" t="n">
        <v>147.499</v>
      </c>
      <c r="G192" s="8" t="inlineStr">
        <is>
          <t>n/a</t>
        </is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0</v>
      </c>
      <c r="F193" s="9" t="n">
        <v>5.443</v>
      </c>
      <c r="G193" s="8" t="inlineStr">
        <is>
          <t>n/a</t>
        </is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0</v>
      </c>
      <c r="F194" s="9" t="n">
        <v>716.516</v>
      </c>
      <c r="G194" s="8" t="inlineStr">
        <is>
          <t>n/a</t>
        </is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</v>
      </c>
      <c r="F196" s="9" t="n">
        <v>10.39</v>
      </c>
      <c r="G196" s="8" t="inlineStr">
        <is>
          <t>n/a</t>
        </is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</v>
      </c>
      <c r="F197" s="9" t="n">
        <v>0.218</v>
      </c>
      <c r="G197" s="8" t="inlineStr">
        <is>
          <t>n/a</t>
        </is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0</v>
      </c>
      <c r="F198" s="9" t="n">
        <v>85.032</v>
      </c>
      <c r="G198" s="8" t="inlineStr">
        <is>
          <t>n/a</t>
        </is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0</v>
      </c>
      <c r="F199" s="9" t="n">
        <v>362.522</v>
      </c>
      <c r="G199" s="8" t="inlineStr">
        <is>
          <t>n/a</t>
        </is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</v>
      </c>
      <c r="F202" s="9" t="n">
        <v>2.687</v>
      </c>
      <c r="G202" s="8" t="inlineStr">
        <is>
          <t>n/a</t>
        </is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0</v>
      </c>
      <c r="F203" s="9" t="n">
        <v>143.076</v>
      </c>
      <c r="G203" s="8" t="inlineStr">
        <is>
          <t>n/a</t>
        </is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0</v>
      </c>
      <c r="F204" s="9" t="n">
        <v>5.347</v>
      </c>
      <c r="G204" s="8" t="inlineStr">
        <is>
          <t>n/a</t>
        </is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</v>
      </c>
      <c r="F205" s="9" t="n">
        <v>4.334</v>
      </c>
      <c r="G205" s="8" t="inlineStr">
        <is>
          <t>n/a</t>
        </is>
      </c>
      <c r="H205" s="7" t="inlineStr">
        <is>
          <t>A0</t>
        </is>
      </c>
      <c r="J205" s="7" t="inlineStr">
        <is>
          <t>A</t>
        </is>
      </c>
      <c r="K205" s="7" t="inlineStr">
        <is>
          <t>Autres achats et charges externes</t>
        </is>
      </c>
      <c r="L205" s="7" t="inlineStr">
        <is>
          <t>Autres achats et charges externes</t>
        </is>
      </c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0</v>
      </c>
      <c r="F206" s="9" t="n">
        <v>843.303</v>
      </c>
      <c r="G206" s="8" t="inlineStr">
        <is>
          <t>n/a</t>
        </is>
      </c>
      <c r="H206" s="7" t="inlineStr">
        <is>
          <t>A0</t>
        </is>
      </c>
      <c r="J206" s="7" t="inlineStr">
        <is>
          <t>A</t>
        </is>
      </c>
      <c r="K206" s="7" t="inlineStr">
        <is>
          <t>Autres achats et charges externes</t>
        </is>
      </c>
      <c r="L206" s="7" t="inlineStr">
        <is>
          <t>Autres achats et charges externes</t>
        </is>
      </c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0</v>
      </c>
      <c r="F207" s="9" t="n">
        <v>90.30800000000001</v>
      </c>
      <c r="G207" s="8" t="inlineStr">
        <is>
          <t>n/a</t>
        </is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0</v>
      </c>
      <c r="F208" s="9" t="n">
        <v>55.795</v>
      </c>
      <c r="G208" s="8" t="inlineStr">
        <is>
          <t>n/a</t>
        </is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0</v>
      </c>
      <c r="F209" s="9" t="n">
        <v>114.1</v>
      </c>
      <c r="G209" s="8" t="inlineStr">
        <is>
          <t>n/a</t>
        </is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0</v>
      </c>
      <c r="F210" s="9" t="n">
        <v>34.697</v>
      </c>
      <c r="G210" s="8" t="inlineStr">
        <is>
          <t>n/a</t>
        </is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0</v>
      </c>
      <c r="F211" s="9" t="n">
        <v>9.617000000000001</v>
      </c>
      <c r="G211" s="8" t="inlineStr">
        <is>
          <t>n/a</t>
        </is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0</v>
      </c>
      <c r="F212" s="9" t="n">
        <v>1.309</v>
      </c>
      <c r="G212" s="8" t="inlineStr">
        <is>
          <t>n/a</t>
        </is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0</v>
      </c>
      <c r="F213" s="9" t="n">
        <v>17.361</v>
      </c>
      <c r="G213" s="8" t="inlineStr">
        <is>
          <t>n/a</t>
        </is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0</v>
      </c>
      <c r="F214" s="9" t="n">
        <v>21.818</v>
      </c>
      <c r="G214" s="8" t="inlineStr">
        <is>
          <t>n/a</t>
        </is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0</v>
      </c>
      <c r="F215" s="9" t="n">
        <v>29.679</v>
      </c>
      <c r="G215" s="8" t="inlineStr">
        <is>
          <t>n/a</t>
        </is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0</v>
      </c>
      <c r="F216" s="9" t="n">
        <v>80.128</v>
      </c>
      <c r="G216" s="8" t="inlineStr">
        <is>
          <t>n/a</t>
        </is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0</v>
      </c>
      <c r="F217" s="9" t="n">
        <v>19.385</v>
      </c>
      <c r="G217" s="8" t="inlineStr">
        <is>
          <t>n/a</t>
        </is>
      </c>
      <c r="H217" s="7" t="inlineStr">
        <is>
          <t>E0</t>
        </is>
      </c>
      <c r="J217" s="7" t="inlineStr">
        <is>
          <t>E</t>
        </is>
      </c>
      <c r="K217" s="7" t="inlineStr">
        <is>
          <t>Impôts, taxes et versements assimilés</t>
        </is>
      </c>
      <c r="L217" s="7" t="inlineStr">
        <is>
          <t>Impôts, taxes et versements assimilés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0</v>
      </c>
      <c r="F218" s="9" t="n">
        <v>11.743</v>
      </c>
      <c r="G218" s="8" t="inlineStr">
        <is>
          <t>n/a</t>
        </is>
      </c>
      <c r="H218" s="7" t="inlineStr">
        <is>
          <t>E0</t>
        </is>
      </c>
      <c r="J218" s="7" t="inlineStr">
        <is>
          <t>E</t>
        </is>
      </c>
      <c r="K218" s="7" t="inlineStr">
        <is>
          <t>Impôts, taxes et versements assimilés</t>
        </is>
      </c>
      <c r="L218" s="7" t="inlineStr">
        <is>
          <t>Impôts, taxes et versements assimilés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0</v>
      </c>
      <c r="F219" s="9" t="n">
        <v>2</v>
      </c>
      <c r="G219" s="8" t="inlineStr">
        <is>
          <t>n/a</t>
        </is>
      </c>
      <c r="H219" s="7" t="inlineStr">
        <is>
          <t>E0</t>
        </is>
      </c>
      <c r="J219" s="7" t="inlineStr">
        <is>
          <t>E</t>
        </is>
      </c>
      <c r="K219" s="7" t="inlineStr">
        <is>
          <t>Impôts, taxes et versements assimilés</t>
        </is>
      </c>
      <c r="L219" s="7" t="inlineStr">
        <is>
          <t>Impôts, taxes et versements assimilés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0</v>
      </c>
      <c r="F220" s="9" t="n">
        <v>25.648</v>
      </c>
      <c r="G220" s="8" t="inlineStr">
        <is>
          <t>n/a</t>
        </is>
      </c>
      <c r="H220" s="7" t="inlineStr">
        <is>
          <t>E0</t>
        </is>
      </c>
      <c r="J220" s="7" t="inlineStr">
        <is>
          <t>E</t>
        </is>
      </c>
      <c r="K220" s="7" t="inlineStr">
        <is>
          <t>Impôts, taxes et versements assimilés</t>
        </is>
      </c>
      <c r="L220" s="7" t="inlineStr">
        <is>
          <t>Impôts, taxes et versements assimilés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0</v>
      </c>
      <c r="F221" s="9" t="n">
        <v>20.829</v>
      </c>
      <c r="G221" s="8" t="inlineStr">
        <is>
          <t>n/a</t>
        </is>
      </c>
      <c r="H221" s="7" t="inlineStr">
        <is>
          <t>E0</t>
        </is>
      </c>
      <c r="J221" s="7" t="inlineStr">
        <is>
          <t>E</t>
        </is>
      </c>
      <c r="K221" s="7" t="inlineStr">
        <is>
          <t>Impôts, taxes et versements assimilés</t>
        </is>
      </c>
      <c r="L221" s="7" t="inlineStr">
        <is>
          <t>Impôts, taxes et versements assimilés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0</v>
      </c>
      <c r="F222" s="9" t="n">
        <v>3.404</v>
      </c>
      <c r="G222" s="8" t="inlineStr">
        <is>
          <t>n/a</t>
        </is>
      </c>
      <c r="H222" s="7" t="inlineStr">
        <is>
          <t>E0</t>
        </is>
      </c>
      <c r="J222" s="7" t="inlineStr">
        <is>
          <t>E</t>
        </is>
      </c>
      <c r="K222" s="7" t="inlineStr">
        <is>
          <t>Impôts, taxes et versements assimilés</t>
        </is>
      </c>
      <c r="L222" s="7" t="inlineStr">
        <is>
          <t>Impôts, taxes et versements assimilés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</v>
      </c>
      <c r="F223" s="9" t="n">
        <v>0.23</v>
      </c>
      <c r="G223" s="8" t="inlineStr">
        <is>
          <t>n/a</t>
        </is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0</v>
      </c>
      <c r="F225" s="9" t="n">
        <v>1370.156</v>
      </c>
      <c r="G225" s="8" t="inlineStr">
        <is>
          <t>n/a</t>
        </is>
      </c>
      <c r="H225" s="7" t="inlineStr">
        <is>
          <t>P0</t>
        </is>
      </c>
      <c r="J225" s="7" t="inlineStr">
        <is>
          <t>P</t>
        </is>
      </c>
      <c r="K225" s="7" t="inlineStr">
        <is>
          <t>Salaires et traitements</t>
        </is>
      </c>
      <c r="L225" s="7" t="inlineStr">
        <is>
          <t>Salaires et traitements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0</v>
      </c>
      <c r="F226" s="9" t="n">
        <v>16.613</v>
      </c>
      <c r="G226" s="8" t="inlineStr">
        <is>
          <t>n/a</t>
        </is>
      </c>
      <c r="H226" s="7" t="inlineStr">
        <is>
          <t>P0</t>
        </is>
      </c>
      <c r="J226" s="7" t="inlineStr">
        <is>
          <t>P</t>
        </is>
      </c>
      <c r="K226" s="7" t="inlineStr">
        <is>
          <t>Salaires et traitements</t>
        </is>
      </c>
      <c r="L226" s="7" t="inlineStr">
        <is>
          <t>Salaires et traitements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0</v>
      </c>
      <c r="F227" s="9" t="n">
        <v>174.904</v>
      </c>
      <c r="G227" s="8" t="inlineStr">
        <is>
          <t>n/a</t>
        </is>
      </c>
      <c r="H227" s="7" t="inlineStr">
        <is>
          <t>P0</t>
        </is>
      </c>
      <c r="J227" s="7" t="inlineStr">
        <is>
          <t>P</t>
        </is>
      </c>
      <c r="K227" s="7" t="inlineStr">
        <is>
          <t>Salaires et traitements</t>
        </is>
      </c>
      <c r="L227" s="7" t="inlineStr">
        <is>
          <t>Salaires et traitements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0</v>
      </c>
      <c r="F228" s="9" t="n">
        <v>44.269</v>
      </c>
      <c r="G228" s="8" t="inlineStr">
        <is>
          <t>n/a</t>
        </is>
      </c>
      <c r="H228" s="7" t="inlineStr">
        <is>
          <t>P0</t>
        </is>
      </c>
      <c r="J228" s="7" t="inlineStr">
        <is>
          <t>P</t>
        </is>
      </c>
      <c r="K228" s="7" t="inlineStr">
        <is>
          <t>Salaires et traitements</t>
        </is>
      </c>
      <c r="L228" s="7" t="inlineStr">
        <is>
          <t>Salaires et traitements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0</v>
      </c>
      <c r="F230" s="9" t="n">
        <v>15.087</v>
      </c>
      <c r="G230" s="8" t="inlineStr">
        <is>
          <t>n/a</t>
        </is>
      </c>
      <c r="H230" s="7" t="inlineStr">
        <is>
          <t>P0</t>
        </is>
      </c>
      <c r="J230" s="7" t="inlineStr">
        <is>
          <t>P</t>
        </is>
      </c>
      <c r="K230" s="7" t="inlineStr">
        <is>
          <t>Salaires et traitements</t>
        </is>
      </c>
      <c r="L230" s="7" t="inlineStr">
        <is>
          <t>Salaires et traitements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0</v>
      </c>
      <c r="F231" s="9" t="n">
        <v>1.592</v>
      </c>
      <c r="G231" s="8" t="inlineStr">
        <is>
          <t>n/a</t>
        </is>
      </c>
      <c r="H231" s="7" t="inlineStr">
        <is>
          <t>P0</t>
        </is>
      </c>
      <c r="J231" s="7" t="inlineStr">
        <is>
          <t>P</t>
        </is>
      </c>
      <c r="K231" s="7" t="inlineStr">
        <is>
          <t>Salaires et traitements</t>
        </is>
      </c>
      <c r="L231" s="7" t="inlineStr">
        <is>
          <t>Salaires et traitements</t>
        </is>
      </c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0</v>
      </c>
      <c r="F232" s="9" t="n">
        <v>438.273</v>
      </c>
      <c r="G232" s="8" t="inlineStr">
        <is>
          <t>n/a</t>
        </is>
      </c>
      <c r="H232" s="7" t="inlineStr">
        <is>
          <t>P0</t>
        </is>
      </c>
      <c r="J232" s="7" t="inlineStr">
        <is>
          <t>P</t>
        </is>
      </c>
      <c r="K232" s="7" t="inlineStr">
        <is>
          <t>Charges sociales</t>
        </is>
      </c>
      <c r="L232" s="7" t="inlineStr">
        <is>
          <t>Charges sociales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0</v>
      </c>
      <c r="F233" s="9" t="n">
        <v>62.986</v>
      </c>
      <c r="G233" s="8" t="inlineStr">
        <is>
          <t>n/a</t>
        </is>
      </c>
      <c r="H233" s="7" t="inlineStr">
        <is>
          <t>P0</t>
        </is>
      </c>
      <c r="J233" s="7" t="inlineStr">
        <is>
          <t>P</t>
        </is>
      </c>
      <c r="K233" s="7" t="inlineStr">
        <is>
          <t>Charges sociales</t>
        </is>
      </c>
      <c r="L233" s="7" t="inlineStr">
        <is>
          <t>Charges sociales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0</v>
      </c>
      <c r="F234" s="9" t="n">
        <v>112.544</v>
      </c>
      <c r="G234" s="8" t="inlineStr">
        <is>
          <t>n/a</t>
        </is>
      </c>
      <c r="H234" s="7" t="inlineStr">
        <is>
          <t>P0</t>
        </is>
      </c>
      <c r="J234" s="7" t="inlineStr">
        <is>
          <t>P</t>
        </is>
      </c>
      <c r="K234" s="7" t="inlineStr">
        <is>
          <t>Charges sociales</t>
        </is>
      </c>
      <c r="L234" s="7" t="inlineStr">
        <is>
          <t>Charges sociales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0</v>
      </c>
      <c r="F235" s="9" t="n">
        <v>23.076</v>
      </c>
      <c r="G235" s="8" t="inlineStr">
        <is>
          <t>n/a</t>
        </is>
      </c>
      <c r="H235" s="7" t="inlineStr">
        <is>
          <t>P0</t>
        </is>
      </c>
      <c r="J235" s="7" t="inlineStr">
        <is>
          <t>P</t>
        </is>
      </c>
      <c r="K235" s="7" t="inlineStr">
        <is>
          <t>Charges sociales</t>
        </is>
      </c>
      <c r="L235" s="7" t="inlineStr">
        <is>
          <t>Charges sociales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0</v>
      </c>
      <c r="F236" s="9" t="n">
        <v>29.859</v>
      </c>
      <c r="G236" s="8" t="inlineStr">
        <is>
          <t>n/a</t>
        </is>
      </c>
      <c r="H236" s="7" t="inlineStr">
        <is>
          <t>P0</t>
        </is>
      </c>
      <c r="J236" s="7" t="inlineStr">
        <is>
          <t>P</t>
        </is>
      </c>
      <c r="K236" s="7" t="inlineStr">
        <is>
          <t>Charges sociales</t>
        </is>
      </c>
      <c r="L236" s="7" t="inlineStr">
        <is>
          <t>Charges sociales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</v>
      </c>
      <c r="F237" s="9" t="n">
        <v>0.776</v>
      </c>
      <c r="G237" s="8" t="inlineStr">
        <is>
          <t>n/a</t>
        </is>
      </c>
      <c r="H237" s="7" t="inlineStr">
        <is>
          <t>P0</t>
        </is>
      </c>
      <c r="J237" s="7" t="inlineStr">
        <is>
          <t>P</t>
        </is>
      </c>
      <c r="K237" s="7" t="inlineStr">
        <is>
          <t>Charges sociales</t>
        </is>
      </c>
      <c r="L237" s="7" t="inlineStr">
        <is>
          <t>Charges sociales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0</v>
      </c>
      <c r="F238" s="9" t="n">
        <v>-1.4</v>
      </c>
      <c r="G238" s="8" t="inlineStr">
        <is>
          <t>n/a</t>
        </is>
      </c>
      <c r="H238" s="7" t="inlineStr">
        <is>
          <t>P0</t>
        </is>
      </c>
      <c r="J238" s="7" t="inlineStr">
        <is>
          <t>P</t>
        </is>
      </c>
      <c r="K238" s="7" t="inlineStr">
        <is>
          <t>Charges sociales</t>
        </is>
      </c>
      <c r="L238" s="7" t="inlineStr">
        <is>
          <t>Charges sociales</t>
        </is>
      </c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0</v>
      </c>
      <c r="F239" s="9" t="n">
        <v>8.83</v>
      </c>
      <c r="G239" s="8" t="inlineStr">
        <is>
          <t>n/a</t>
        </is>
      </c>
      <c r="H239" s="7" t="inlineStr">
        <is>
          <t>P0</t>
        </is>
      </c>
      <c r="J239" s="7" t="inlineStr">
        <is>
          <t>P</t>
        </is>
      </c>
      <c r="K239" s="7" t="inlineStr">
        <is>
          <t>Charges sociales</t>
        </is>
      </c>
      <c r="L239" s="7" t="inlineStr">
        <is>
          <t>Charges sociales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0</v>
      </c>
      <c r="F240" s="9" t="n">
        <v>4.869</v>
      </c>
      <c r="G240" s="8" t="inlineStr">
        <is>
          <t>n/a</t>
        </is>
      </c>
      <c r="H240" s="7" t="inlineStr">
        <is>
          <t>P0</t>
        </is>
      </c>
      <c r="J240" s="7" t="inlineStr">
        <is>
          <t>P</t>
        </is>
      </c>
      <c r="K240" s="7" t="inlineStr">
        <is>
          <t>Charges sociales</t>
        </is>
      </c>
      <c r="L240" s="7" t="inlineStr">
        <is>
          <t>Charges sociales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>
        <is>
          <t>Autres charges d'exploitation</t>
        </is>
      </c>
      <c r="L244" s="7" t="inlineStr">
        <is>
          <t>Autres charges d'exploitation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0</v>
      </c>
      <c r="F245" s="9" t="n">
        <v>18.225</v>
      </c>
      <c r="G245" s="8" t="inlineStr">
        <is>
          <t>n/a</t>
        </is>
      </c>
      <c r="H245" s="7" t="inlineStr">
        <is>
          <t>T0</t>
        </is>
      </c>
      <c r="J245" s="7" t="inlineStr">
        <is>
          <t>T</t>
        </is>
      </c>
      <c r="K245" s="7" t="inlineStr">
        <is>
          <t>Autres charges d'exploitation</t>
        </is>
      </c>
      <c r="L245" s="7" t="inlineStr">
        <is>
          <t>Autres charges d'exploitation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0</v>
      </c>
      <c r="F246" s="9" t="n">
        <v>79.471</v>
      </c>
      <c r="G246" s="8" t="inlineStr">
        <is>
          <t>n/a</t>
        </is>
      </c>
      <c r="H246" s="7" t="inlineStr">
        <is>
          <t>F0</t>
        </is>
      </c>
      <c r="J246" s="7" t="inlineStr">
        <is>
          <t>F</t>
        </is>
      </c>
      <c r="K246" s="7" t="inlineStr">
        <is>
          <t>Intérêts et charges assimilées</t>
        </is>
      </c>
      <c r="L246" s="7" t="inlineStr">
        <is>
          <t>Intérêts et charges assimilées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0</v>
      </c>
      <c r="F247" s="9" t="n">
        <v>0.001</v>
      </c>
      <c r="G247" s="8" t="inlineStr">
        <is>
          <t>n/a</t>
        </is>
      </c>
      <c r="H247" s="7" t="inlineStr">
        <is>
          <t>F0</t>
        </is>
      </c>
      <c r="J247" s="7" t="inlineStr">
        <is>
          <t>F</t>
        </is>
      </c>
      <c r="K247" s="7" t="inlineStr">
        <is>
          <t>Intérêts et charges assimilées</t>
        </is>
      </c>
      <c r="L247" s="7" t="inlineStr">
        <is>
          <t>Intérêts et charges assimilées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0</v>
      </c>
      <c r="F249" s="9" t="n">
        <v>298.308</v>
      </c>
      <c r="G249" s="8" t="inlineStr">
        <is>
          <t>n/a</t>
        </is>
      </c>
      <c r="H249" s="7" t="inlineStr">
        <is>
          <t>I Corp0</t>
        </is>
      </c>
      <c r="J249" s="7" t="inlineStr">
        <is>
          <t>I Corp</t>
        </is>
      </c>
      <c r="K249" s="7" t="inlineStr">
        <is>
          <t>Dotations aux amortissements sur Immobilisations</t>
        </is>
      </c>
      <c r="L249" s="7" t="inlineStr">
        <is>
          <t>Dotations aux amortissements sur Immobilisations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0</v>
      </c>
      <c r="F250" s="9" t="n">
        <v>13.228</v>
      </c>
      <c r="G250" s="8" t="inlineStr">
        <is>
          <t>n/a</t>
        </is>
      </c>
      <c r="H250" s="7" t="inlineStr">
        <is>
          <t>S0</t>
        </is>
      </c>
      <c r="J250" s="7" t="inlineStr">
        <is>
          <t>S</t>
        </is>
      </c>
      <c r="K250" s="7" t="inlineStr">
        <is>
          <t>Dotations aux dépréciations sur Actif circulant</t>
        </is>
      </c>
      <c r="L250" s="7" t="inlineStr">
        <is>
          <t>Dotations aux dépréciations sur Actif circulant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0</v>
      </c>
      <c r="F251" s="9" t="n">
        <v>-12454.427</v>
      </c>
      <c r="G251" s="8" t="inlineStr">
        <is>
          <t>n/a</t>
        </is>
      </c>
      <c r="H251" s="7" t="inlineStr">
        <is>
          <t>V0</t>
        </is>
      </c>
      <c r="J251" s="7" t="inlineStr">
        <is>
          <t>V</t>
        </is>
      </c>
      <c r="K251" s="7" t="inlineStr">
        <is>
          <t>Production vendue (Biens et Services)</t>
        </is>
      </c>
      <c r="L251" s="7" t="inlineStr">
        <is>
          <t>Production vendue (Biens et Services)</t>
        </is>
      </c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0</v>
      </c>
      <c r="F252" s="9" t="n">
        <v>-1795.792</v>
      </c>
      <c r="G252" s="8" t="inlineStr">
        <is>
          <t>n/a</t>
        </is>
      </c>
      <c r="H252" s="7" t="inlineStr">
        <is>
          <t>V0</t>
        </is>
      </c>
      <c r="J252" s="7" t="inlineStr">
        <is>
          <t>V</t>
        </is>
      </c>
      <c r="K252" s="7" t="inlineStr">
        <is>
          <t>Production vendue (Biens et Services)</t>
        </is>
      </c>
      <c r="L252" s="7" t="inlineStr">
        <is>
          <t>Production vendue (Biens et Services)</t>
        </is>
      </c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0</v>
      </c>
      <c r="F253" s="9" t="n">
        <v>-87.102</v>
      </c>
      <c r="G253" s="8" t="inlineStr">
        <is>
          <t>n/a</t>
        </is>
      </c>
      <c r="H253" s="7" t="inlineStr">
        <is>
          <t>V0</t>
        </is>
      </c>
      <c r="J253" s="7" t="inlineStr">
        <is>
          <t>V</t>
        </is>
      </c>
      <c r="K253" s="7" t="inlineStr">
        <is>
          <t>Production vendue (Biens et Services)</t>
        </is>
      </c>
      <c r="L253" s="7" t="inlineStr">
        <is>
          <t>Production vendue (Biens et Services)</t>
        </is>
      </c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0</v>
      </c>
      <c r="F254" s="9" t="n">
        <v>-802.322</v>
      </c>
      <c r="G254" s="8" t="inlineStr">
        <is>
          <t>n/a</t>
        </is>
      </c>
      <c r="H254" s="7" t="inlineStr">
        <is>
          <t>V0</t>
        </is>
      </c>
      <c r="J254" s="7" t="inlineStr">
        <is>
          <t>V</t>
        </is>
      </c>
      <c r="K254" s="7" t="inlineStr">
        <is>
          <t>Production vendue (Biens et Services)</t>
        </is>
      </c>
      <c r="L254" s="7" t="inlineStr">
        <is>
          <t>Production vendue (Biens et Services)</t>
        </is>
      </c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0</v>
      </c>
      <c r="F255" s="9" t="n">
        <v>-15.388</v>
      </c>
      <c r="G255" s="8" t="inlineStr">
        <is>
          <t>n/a</t>
        </is>
      </c>
      <c r="H255" s="7" t="inlineStr">
        <is>
          <t>V0</t>
        </is>
      </c>
      <c r="J255" s="7" t="inlineStr">
        <is>
          <t>V</t>
        </is>
      </c>
      <c r="K255" s="7" t="inlineStr">
        <is>
          <t>Production vendue (Biens et Services)</t>
        </is>
      </c>
      <c r="L255" s="7" t="inlineStr">
        <is>
          <t>Production vendue (Biens et Services)</t>
        </is>
      </c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0</v>
      </c>
      <c r="F256" s="9" t="n">
        <v>-2433.986</v>
      </c>
      <c r="G256" s="8" t="inlineStr">
        <is>
          <t>n/a</t>
        </is>
      </c>
      <c r="H256" s="7" t="inlineStr">
        <is>
          <t>V0</t>
        </is>
      </c>
      <c r="J256" s="7" t="inlineStr">
        <is>
          <t>V</t>
        </is>
      </c>
      <c r="K256" s="7" t="inlineStr">
        <is>
          <t>Ventes de marchandises</t>
        </is>
      </c>
      <c r="L256" s="7" t="inlineStr">
        <is>
          <t>Ventes de marchandises</t>
        </is>
      </c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0</v>
      </c>
      <c r="F257" s="9" t="n">
        <v>-493.132</v>
      </c>
      <c r="G257" s="8" t="inlineStr">
        <is>
          <t>n/a</t>
        </is>
      </c>
      <c r="H257" s="7" t="inlineStr">
        <is>
          <t>V0</t>
        </is>
      </c>
      <c r="J257" s="7" t="inlineStr">
        <is>
          <t>V</t>
        </is>
      </c>
      <c r="K257" s="7" t="inlineStr">
        <is>
          <t>Ventes de marchandises</t>
        </is>
      </c>
      <c r="L257" s="7" t="inlineStr">
        <is>
          <t>Ventes de marchandises</t>
        </is>
      </c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0</v>
      </c>
      <c r="F258" s="9" t="n">
        <v>-44.564</v>
      </c>
      <c r="G258" s="8" t="inlineStr">
        <is>
          <t>n/a</t>
        </is>
      </c>
      <c r="H258" s="7" t="inlineStr">
        <is>
          <t>V0</t>
        </is>
      </c>
      <c r="J258" s="7" t="inlineStr">
        <is>
          <t>V</t>
        </is>
      </c>
      <c r="K258" s="7" t="inlineStr">
        <is>
          <t>Ventes de marchandises</t>
        </is>
      </c>
      <c r="L258" s="7" t="inlineStr">
        <is>
          <t>Ventes de marchandises</t>
        </is>
      </c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0</v>
      </c>
      <c r="F259" s="9" t="n">
        <v>-209.102</v>
      </c>
      <c r="G259" s="8" t="inlineStr">
        <is>
          <t>n/a</t>
        </is>
      </c>
      <c r="H259" s="7" t="inlineStr">
        <is>
          <t>V0</t>
        </is>
      </c>
      <c r="J259" s="7" t="inlineStr">
        <is>
          <t>V</t>
        </is>
      </c>
      <c r="K259" s="7" t="inlineStr">
        <is>
          <t>Ventes de marchandises</t>
        </is>
      </c>
      <c r="L259" s="7" t="inlineStr">
        <is>
          <t>Ventes de marchandises</t>
        </is>
      </c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0</v>
      </c>
      <c r="F260" s="9" t="n">
        <v>-9.601000000000001</v>
      </c>
      <c r="G260" s="8" t="inlineStr">
        <is>
          <t>n/a</t>
        </is>
      </c>
      <c r="H260" s="7" t="inlineStr">
        <is>
          <t>V0</t>
        </is>
      </c>
      <c r="J260" s="7" t="inlineStr">
        <is>
          <t>V</t>
        </is>
      </c>
      <c r="K260" s="7" t="inlineStr">
        <is>
          <t>Production vendue (Biens et Services)</t>
        </is>
      </c>
      <c r="L260" s="7" t="inlineStr">
        <is>
          <t>Production vendue (Biens et Services)</t>
        </is>
      </c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0</v>
      </c>
      <c r="F261" s="9" t="n">
        <v>-1.24</v>
      </c>
      <c r="G261" s="8" t="inlineStr">
        <is>
          <t>n/a</t>
        </is>
      </c>
      <c r="H261" s="7" t="inlineStr">
        <is>
          <t>V0</t>
        </is>
      </c>
      <c r="J261" s="7" t="inlineStr">
        <is>
          <t>V</t>
        </is>
      </c>
      <c r="K261" s="7" t="inlineStr">
        <is>
          <t>Production vendue (Biens et Services)</t>
        </is>
      </c>
      <c r="L261" s="7" t="inlineStr">
        <is>
          <t>Production vendue (Biens et Services)</t>
        </is>
      </c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0</v>
      </c>
      <c r="F262" s="9" t="n">
        <v>-0.16</v>
      </c>
      <c r="G262" s="8" t="inlineStr">
        <is>
          <t>n/a</t>
        </is>
      </c>
      <c r="H262" s="7" t="inlineStr">
        <is>
          <t>V0</t>
        </is>
      </c>
      <c r="J262" s="7" t="inlineStr">
        <is>
          <t>V</t>
        </is>
      </c>
      <c r="K262" s="7" t="inlineStr">
        <is>
          <t>Production vendue (Biens et Services)</t>
        </is>
      </c>
      <c r="L262" s="7" t="inlineStr">
        <is>
          <t>Production vendue (Biens et Services)</t>
        </is>
      </c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0</v>
      </c>
      <c r="F263" s="9" t="n">
        <v>-0.3</v>
      </c>
      <c r="G263" s="8" t="inlineStr">
        <is>
          <t>n/a</t>
        </is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0</v>
      </c>
      <c r="F264" s="9" t="n">
        <v>-142.382</v>
      </c>
      <c r="G264" s="8" t="inlineStr">
        <is>
          <t>n/a</t>
        </is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0</v>
      </c>
      <c r="F265" s="9" t="n">
        <v>-115.953</v>
      </c>
      <c r="G265" s="8" t="inlineStr">
        <is>
          <t>n/a</t>
        </is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0</v>
      </c>
      <c r="F266" s="9" t="n">
        <v>-1.773</v>
      </c>
      <c r="G266" s="8" t="inlineStr">
        <is>
          <t>n/a</t>
        </is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0</v>
      </c>
      <c r="F267" s="9" t="n">
        <v>-74.572</v>
      </c>
      <c r="G267" s="8" t="inlineStr">
        <is>
          <t>n/a</t>
        </is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0</v>
      </c>
      <c r="F268" s="9" t="n">
        <v>-12.442</v>
      </c>
      <c r="G268" s="8" t="inlineStr">
        <is>
          <t>n/a</t>
        </is>
      </c>
      <c r="H268" s="7" t="inlineStr">
        <is>
          <t>V0</t>
        </is>
      </c>
      <c r="J268" s="7" t="inlineStr">
        <is>
          <t>V</t>
        </is>
      </c>
      <c r="K268" s="7" t="inlineStr">
        <is>
          <t>Production vendue (Biens et Services)</t>
        </is>
      </c>
      <c r="L268" s="7" t="inlineStr">
        <is>
          <t>Production vendue (Biens et Services)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0</v>
      </c>
      <c r="F269" s="9" t="n">
        <v>-513.054</v>
      </c>
      <c r="G269" s="8" t="inlineStr">
        <is>
          <t>n/a</t>
        </is>
      </c>
      <c r="H269" s="7" t="inlineStr">
        <is>
          <t>V0</t>
        </is>
      </c>
      <c r="J269" s="7" t="inlineStr">
        <is>
          <t>V</t>
        </is>
      </c>
      <c r="K269" s="7" t="inlineStr">
        <is>
          <t>Production vendue (Biens et Services)</t>
        </is>
      </c>
      <c r="L269" s="7" t="inlineStr">
        <is>
          <t>Production vendue (Biens et Services)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0</v>
      </c>
      <c r="F270" s="9" t="n">
        <v>80.702</v>
      </c>
      <c r="G270" s="8" t="inlineStr">
        <is>
          <t>n/a</t>
        </is>
      </c>
      <c r="H270" s="7" t="inlineStr">
        <is>
          <t>V0</t>
        </is>
      </c>
      <c r="J270" s="7" t="inlineStr">
        <is>
          <t>V</t>
        </is>
      </c>
      <c r="K270" s="7" t="inlineStr">
        <is>
          <t>Production vendue (Biens et Services)</t>
        </is>
      </c>
      <c r="L270" s="7" t="inlineStr">
        <is>
          <t>Production vendue (Biens et Services)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0</v>
      </c>
      <c r="F271" s="9" t="n">
        <v>149.922</v>
      </c>
      <c r="G271" s="8" t="inlineStr">
        <is>
          <t>n/a</t>
        </is>
      </c>
      <c r="H271" s="7" t="inlineStr">
        <is>
          <t>S0</t>
        </is>
      </c>
      <c r="J271" s="7" t="inlineStr">
        <is>
          <t>S</t>
        </is>
      </c>
      <c r="K271" s="7" t="inlineStr">
        <is>
          <t>Production stockée</t>
        </is>
      </c>
      <c r="L271" s="7" t="inlineStr">
        <is>
          <t>Production stockée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0</v>
      </c>
      <c r="F272" s="9" t="n">
        <v>-34.5</v>
      </c>
      <c r="G272" s="8" t="inlineStr">
        <is>
          <t>n/a</t>
        </is>
      </c>
      <c r="H272" s="7" t="inlineStr">
        <is>
          <t>C Propres0</t>
        </is>
      </c>
      <c r="J272" s="7" t="inlineStr">
        <is>
          <t>C Propres</t>
        </is>
      </c>
      <c r="K272" s="7" t="inlineStr">
        <is>
          <t>Subventions d'exploitation</t>
        </is>
      </c>
      <c r="L272" s="7" t="inlineStr">
        <is>
          <t>Subventions d'exploitation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0</v>
      </c>
      <c r="F273" s="9" t="n">
        <v>-12.427</v>
      </c>
      <c r="G273" s="8" t="inlineStr">
        <is>
          <t>n/a</t>
        </is>
      </c>
      <c r="H273" s="7" t="inlineStr">
        <is>
          <t>T0</t>
        </is>
      </c>
      <c r="J273" s="7" t="inlineStr">
        <is>
          <t>T</t>
        </is>
      </c>
      <c r="K273" s="7" t="inlineStr">
        <is>
          <t>Autres produits</t>
        </is>
      </c>
      <c r="L273" s="7" t="inlineStr">
        <is>
          <t>Autres produits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0</v>
      </c>
      <c r="F276" s="9" t="n">
        <v>-3.261</v>
      </c>
      <c r="G276" s="8" t="inlineStr">
        <is>
          <t>n/a</t>
        </is>
      </c>
      <c r="H276" s="7" t="inlineStr">
        <is>
          <t>F0</t>
        </is>
      </c>
      <c r="J276" s="7" t="inlineStr">
        <is>
          <t>F</t>
        </is>
      </c>
      <c r="K276" s="7" t="inlineStr">
        <is>
          <t>Différences positives de change</t>
        </is>
      </c>
      <c r="L276" s="7" t="inlineStr">
        <is>
          <t>Différences positives de change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0</v>
      </c>
      <c r="F279" s="9" t="n">
        <v>-1.978</v>
      </c>
      <c r="G279" s="8" t="inlineStr">
        <is>
          <t>n/a</t>
        </is>
      </c>
      <c r="H279" s="7" t="inlineStr">
        <is>
          <t>V0</t>
        </is>
      </c>
      <c r="J279" s="7" t="inlineStr">
        <is>
          <t>V</t>
        </is>
      </c>
      <c r="K279" s="7" t="inlineStr">
        <is>
          <t>Reprises sur provisions d'exploitation</t>
        </is>
      </c>
      <c r="L279" s="7" t="inlineStr">
        <is>
          <t>Reprises sur provisions d'exploitation</t>
        </is>
      </c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  <col width="4" customWidth="1" min="8" max="8"/>
    <col width="30" customWidth="1" min="9" max="9"/>
    <col width="4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Bilan synthétique</t>
        </is>
      </c>
    </row>
    <row r="4">
      <c r="D4" s="5" t="inlineStr">
        <is>
          <t>GILAC</t>
        </is>
      </c>
    </row>
    <row r="8">
      <c r="B8" s="6" t="inlineStr">
        <is>
          <t>ACTIF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I8" s="6" t="inlineStr">
        <is>
          <t>PASSIF</t>
        </is>
      </c>
      <c r="K8" s="6" t="inlineStr">
        <is>
          <t>31/12/2025</t>
        </is>
      </c>
      <c r="L8" s="6" t="inlineStr">
        <is>
          <t>31/12/2024</t>
        </is>
      </c>
      <c r="M8" s="6" t="inlineStr">
        <is>
          <t>Var. K€</t>
        </is>
      </c>
      <c r="N8" s="6" t="inlineStr">
        <is>
          <t>Var. %</t>
        </is>
      </c>
    </row>
    <row r="10">
      <c r="B10" s="10" t="inlineStr">
        <is>
          <t>ACTIF IMMOBILISÉ</t>
        </is>
      </c>
      <c r="I10" s="10" t="inlineStr">
        <is>
          <t>CAPITAUX PROPRES</t>
        </is>
      </c>
    </row>
    <row r="11">
      <c r="B11" s="8" t="inlineStr">
        <is>
          <t>Capital souscrit non appelé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I11" s="8" t="inlineStr">
        <is>
          <t>Capital</t>
        </is>
      </c>
      <c r="K11" s="9" t="n">
        <v>1150.001</v>
      </c>
      <c r="L11" s="9" t="n">
        <v>-0</v>
      </c>
      <c r="M11" s="9" t="n">
        <v>1150.001</v>
      </c>
      <c r="N11" s="8" t="inlineStr">
        <is>
          <t>n/a</t>
        </is>
      </c>
    </row>
    <row r="12">
      <c r="B12" s="8" t="inlineStr">
        <is>
          <t>Immobilisations incorporelles (net)</t>
        </is>
      </c>
      <c r="D12" s="9" t="n">
        <v>191.351</v>
      </c>
      <c r="E12" s="9" t="n">
        <v>0</v>
      </c>
      <c r="F12" s="9" t="n">
        <v>191.351</v>
      </c>
      <c r="G12" s="8" t="inlineStr">
        <is>
          <t>n/a</t>
        </is>
      </c>
      <c r="I12" s="8" t="inlineStr">
        <is>
          <t>Primes d'émission</t>
        </is>
      </c>
      <c r="K12" s="9" t="n">
        <v>-0</v>
      </c>
      <c r="L12" s="9" t="n">
        <v>-0</v>
      </c>
      <c r="M12" s="9" t="n">
        <v>0</v>
      </c>
      <c r="N12" s="8" t="inlineStr">
        <is>
          <t>n/a</t>
        </is>
      </c>
    </row>
    <row r="13">
      <c r="B13" s="8" t="inlineStr">
        <is>
          <t>Immobilisations corporelles (net)</t>
        </is>
      </c>
      <c r="D13" s="9" t="n">
        <v>334.049</v>
      </c>
      <c r="E13" s="9" t="n">
        <v>0</v>
      </c>
      <c r="F13" s="9" t="n">
        <v>334.049</v>
      </c>
      <c r="G13" s="8" t="inlineStr">
        <is>
          <t>n/a</t>
        </is>
      </c>
      <c r="I13" s="8" t="inlineStr">
        <is>
          <t>Réserve légale</t>
        </is>
      </c>
      <c r="K13" s="9" t="n">
        <v>115</v>
      </c>
      <c r="L13" s="9" t="n">
        <v>-0</v>
      </c>
      <c r="M13" s="9" t="n">
        <v>115</v>
      </c>
      <c r="N13" s="8" t="inlineStr">
        <is>
          <t>n/a</t>
        </is>
      </c>
    </row>
    <row r="14">
      <c r="B14" s="8" t="inlineStr">
        <is>
          <t>Immobilisations financières (net)</t>
        </is>
      </c>
      <c r="D14" s="9" t="n">
        <v>3465.412</v>
      </c>
      <c r="E14" s="9" t="n">
        <v>0</v>
      </c>
      <c r="F14" s="9" t="n">
        <v>3465.412</v>
      </c>
      <c r="G14" s="8" t="inlineStr">
        <is>
          <t>n/a</t>
        </is>
      </c>
      <c r="I14" s="8" t="inlineStr">
        <is>
          <t>Autres réserves</t>
        </is>
      </c>
      <c r="K14" s="9" t="n">
        <v>2906.777</v>
      </c>
      <c r="L14" s="9" t="n">
        <v>-0</v>
      </c>
      <c r="M14" s="9" t="n">
        <v>2906.777</v>
      </c>
      <c r="N14" s="8" t="inlineStr">
        <is>
          <t>n/a</t>
        </is>
      </c>
    </row>
    <row r="15">
      <c r="I15" s="8" t="inlineStr">
        <is>
          <t>Report à nouveau</t>
        </is>
      </c>
      <c r="K15" s="9" t="n">
        <v>-0</v>
      </c>
      <c r="L15" s="9" t="n">
        <v>-0</v>
      </c>
      <c r="M15" s="9" t="n">
        <v>0</v>
      </c>
      <c r="N15" s="8" t="inlineStr">
        <is>
          <t>n/a</t>
        </is>
      </c>
    </row>
    <row r="16">
      <c r="B16" s="10" t="inlineStr">
        <is>
          <t>ACTIF CIRCULANT</t>
        </is>
      </c>
      <c r="I16" s="8" t="inlineStr">
        <is>
          <t>Résultat de l'exercice</t>
        </is>
      </c>
      <c r="K16" s="9" t="n">
        <v>-0</v>
      </c>
      <c r="L16" s="9" t="n">
        <v>-0</v>
      </c>
      <c r="M16" s="9" t="n">
        <v>0</v>
      </c>
      <c r="N16" s="8" t="inlineStr">
        <is>
          <t>n/a</t>
        </is>
      </c>
    </row>
    <row r="17">
      <c r="B17" s="8" t="inlineStr">
        <is>
          <t>Stocks et en-cours (net)</t>
        </is>
      </c>
      <c r="D17" s="9" t="n">
        <v>3451.713</v>
      </c>
      <c r="E17" s="9" t="n">
        <v>0</v>
      </c>
      <c r="F17" s="9" t="n">
        <v>3451.713</v>
      </c>
      <c r="G17" s="8" t="inlineStr">
        <is>
          <t>n/a</t>
        </is>
      </c>
      <c r="I17" s="8" t="inlineStr">
        <is>
          <t>Subventions d'investissement</t>
        </is>
      </c>
      <c r="K17" s="9" t="n">
        <v>-0</v>
      </c>
      <c r="L17" s="9" t="n">
        <v>-0</v>
      </c>
      <c r="M17" s="9" t="n">
        <v>0</v>
      </c>
      <c r="N17" s="8" t="inlineStr">
        <is>
          <t>n/a</t>
        </is>
      </c>
    </row>
    <row r="18">
      <c r="B18" s="8" t="inlineStr">
        <is>
          <t>Avances et acomptes versés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I18" s="8" t="inlineStr">
        <is>
          <t>Provisions réglementées</t>
        </is>
      </c>
      <c r="K18" s="9" t="n">
        <v>-0</v>
      </c>
      <c r="L18" s="9" t="n">
        <v>-0</v>
      </c>
      <c r="M18" s="9" t="n">
        <v>0</v>
      </c>
      <c r="N18" s="8" t="inlineStr">
        <is>
          <t>n/a</t>
        </is>
      </c>
    </row>
    <row r="19">
      <c r="B19" s="8" t="inlineStr">
        <is>
          <t>Créances clients (net)</t>
        </is>
      </c>
      <c r="D19" s="9" t="n">
        <v>2288.525</v>
      </c>
      <c r="E19" s="9" t="n">
        <v>0</v>
      </c>
      <c r="F19" s="9" t="n">
        <v>2288.525</v>
      </c>
      <c r="G19" s="8" t="inlineStr">
        <is>
          <t>n/a</t>
        </is>
      </c>
    </row>
    <row r="20">
      <c r="B20" s="8" t="inlineStr">
        <is>
          <t>Autres créances</t>
        </is>
      </c>
      <c r="D20" s="9" t="n">
        <v>-1291.637</v>
      </c>
      <c r="E20" s="9" t="n">
        <v>0</v>
      </c>
      <c r="F20" s="9" t="n">
        <v>-1291.637</v>
      </c>
      <c r="G20" s="8" t="inlineStr">
        <is>
          <t>n/a</t>
        </is>
      </c>
      <c r="I20" s="10" t="inlineStr">
        <is>
          <t>PROVISIONS</t>
        </is>
      </c>
    </row>
    <row r="21">
      <c r="B21" s="8" t="inlineStr">
        <is>
          <t>VMP (net)</t>
        </is>
      </c>
      <c r="D21" s="9" t="n">
        <v>0</v>
      </c>
      <c r="E21" s="9" t="n">
        <v>0</v>
      </c>
      <c r="F21" s="9" t="n">
        <v>0</v>
      </c>
      <c r="G21" s="8" t="inlineStr">
        <is>
          <t>n/a</t>
        </is>
      </c>
      <c r="I21" s="8" t="inlineStr">
        <is>
          <t>Provisions pour risques</t>
        </is>
      </c>
      <c r="K21" s="9" t="n">
        <v>30</v>
      </c>
      <c r="L21" s="9" t="n">
        <v>-0</v>
      </c>
      <c r="M21" s="9" t="n">
        <v>30</v>
      </c>
      <c r="N21" s="8" t="inlineStr">
        <is>
          <t>n/a</t>
        </is>
      </c>
    </row>
    <row r="22">
      <c r="B22" s="8" t="inlineStr">
        <is>
          <t>Disponibilités</t>
        </is>
      </c>
      <c r="D22" s="9" t="n">
        <v>912.6849999999999</v>
      </c>
      <c r="E22" s="9" t="n">
        <v>0</v>
      </c>
      <c r="F22" s="9" t="n">
        <v>912.6849999999999</v>
      </c>
      <c r="G22" s="8" t="inlineStr">
        <is>
          <t>n/a</t>
        </is>
      </c>
      <c r="I22" s="8" t="inlineStr">
        <is>
          <t>Provisions pour charges</t>
        </is>
      </c>
      <c r="K22" s="9" t="n">
        <v>-0</v>
      </c>
      <c r="L22" s="9" t="n">
        <v>-0</v>
      </c>
      <c r="M22" s="9" t="n">
        <v>0</v>
      </c>
      <c r="N22" s="8" t="inlineStr">
        <is>
          <t>n/a</t>
        </is>
      </c>
    </row>
    <row r="23">
      <c r="B23" s="8" t="inlineStr">
        <is>
          <t>Charges constatées d'avance</t>
        </is>
      </c>
      <c r="D23" s="9" t="n">
        <v>144.09</v>
      </c>
      <c r="E23" s="9" t="n">
        <v>0</v>
      </c>
      <c r="F23" s="9" t="n">
        <v>144.09</v>
      </c>
      <c r="G23" s="8" t="inlineStr">
        <is>
          <t>n/a</t>
        </is>
      </c>
    </row>
    <row r="24">
      <c r="I24" s="10" t="inlineStr">
        <is>
          <t>DETTES</t>
        </is>
      </c>
    </row>
    <row r="25">
      <c r="B25" s="11" t="inlineStr">
        <is>
          <t>TOTAL ACTIF</t>
        </is>
      </c>
      <c r="D25" s="12" t="n">
        <v>9496.188</v>
      </c>
      <c r="E25" s="12" t="n">
        <v>0</v>
      </c>
      <c r="F25" s="12" t="n">
        <v>9496.188</v>
      </c>
      <c r="G25" s="11" t="inlineStr">
        <is>
          <t>n/a</t>
        </is>
      </c>
      <c r="I25" s="8" t="inlineStr">
        <is>
          <t>Emprunts et dettes financières</t>
        </is>
      </c>
      <c r="K25" s="9" t="n">
        <v>1405.077</v>
      </c>
      <c r="L25" s="9" t="n">
        <v>-0</v>
      </c>
      <c r="M25" s="9" t="n">
        <v>1405.077</v>
      </c>
      <c r="N25" s="8" t="inlineStr">
        <is>
          <t>n/a</t>
        </is>
      </c>
    </row>
    <row r="26">
      <c r="I26" s="8" t="inlineStr">
        <is>
          <t>Dettes fournisseurs</t>
        </is>
      </c>
      <c r="K26" s="9" t="n">
        <v>1351.032</v>
      </c>
      <c r="L26" s="9" t="n">
        <v>-0</v>
      </c>
      <c r="M26" s="9" t="n">
        <v>1351.032</v>
      </c>
      <c r="N26" s="8" t="inlineStr">
        <is>
          <t>n/a</t>
        </is>
      </c>
    </row>
    <row r="27">
      <c r="I27" s="8" t="inlineStr">
        <is>
          <t>Dettes fiscales et sociales</t>
        </is>
      </c>
      <c r="K27" s="9" t="n">
        <v>-369.456</v>
      </c>
      <c r="L27" s="9" t="n">
        <v>-0</v>
      </c>
      <c r="M27" s="9" t="n">
        <v>-369.456</v>
      </c>
      <c r="N27" s="8" t="inlineStr">
        <is>
          <t>n/a</t>
        </is>
      </c>
    </row>
    <row r="28">
      <c r="I28" s="8" t="inlineStr">
        <is>
          <t>Autres dettes</t>
        </is>
      </c>
      <c r="K28" s="9" t="n">
        <v>0.473</v>
      </c>
      <c r="L28" s="9" t="n">
        <v>-0</v>
      </c>
      <c r="M28" s="9" t="n">
        <v>0.473</v>
      </c>
      <c r="N28" s="8" t="inlineStr">
        <is>
          <t>n/a</t>
        </is>
      </c>
    </row>
    <row r="29">
      <c r="I29" s="8" t="inlineStr">
        <is>
          <t>Produits constatés d'avance</t>
        </is>
      </c>
      <c r="K29" s="9" t="n">
        <v>-0</v>
      </c>
      <c r="L29" s="9" t="n">
        <v>-0</v>
      </c>
      <c r="M29" s="9" t="n">
        <v>0</v>
      </c>
      <c r="N29" s="8" t="inlineStr">
        <is>
          <t>n/a</t>
        </is>
      </c>
    </row>
    <row r="31">
      <c r="I31" s="11" t="inlineStr">
        <is>
          <t>TOTAL PASSIF</t>
        </is>
      </c>
      <c r="K31" s="12" t="n">
        <v>6588.904</v>
      </c>
      <c r="L31" s="12" t="n">
        <v>-0</v>
      </c>
      <c r="M31" s="12" t="n">
        <v>6588.904</v>
      </c>
      <c r="N31" s="1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Besoin en fonds de roulement, Fonds de roulement, Trésorerie nette, Endettement net financier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0" t="inlineStr">
        <is>
          <t>FONDS DE ROULEMENT NET GLOBAL (FRNG)</t>
        </is>
      </c>
    </row>
    <row r="11">
      <c r="B11" s="10" t="inlineStr">
        <is>
          <t>Ressources stables</t>
        </is>
      </c>
    </row>
    <row r="12">
      <c r="C12" s="8" t="inlineStr">
        <is>
          <t>Capitaux propres (10–14)</t>
        </is>
      </c>
      <c r="D12" s="9" t="n">
        <v>4171.778</v>
      </c>
      <c r="E12" s="9" t="n">
        <v>-0</v>
      </c>
      <c r="F12" s="9" t="n">
        <v>4171.778</v>
      </c>
      <c r="G12" s="8" t="inlineStr">
        <is>
          <t>n/a</t>
        </is>
      </c>
    </row>
    <row r="13">
      <c r="C13" s="8" t="inlineStr">
        <is>
          <t>Amortissements et dépréciations (28, 29, 39, 49)</t>
        </is>
      </c>
      <c r="D13" s="9" t="n">
        <v>2082.768</v>
      </c>
      <c r="E13" s="9" t="n">
        <v>-0</v>
      </c>
      <c r="F13" s="9" t="n">
        <v>2082.768</v>
      </c>
      <c r="G13" s="8" t="inlineStr">
        <is>
          <t>n/a</t>
        </is>
      </c>
    </row>
    <row r="14">
      <c r="C14" s="8" t="inlineStr">
        <is>
          <t>Provisions pour risques et charges (15)</t>
        </is>
      </c>
      <c r="D14" s="9" t="n">
        <v>30</v>
      </c>
      <c r="E14" s="9" t="n">
        <v>-0</v>
      </c>
      <c r="F14" s="9" t="n">
        <v>30</v>
      </c>
      <c r="G14" s="8" t="inlineStr">
        <is>
          <t>n/a</t>
        </is>
      </c>
    </row>
    <row r="15">
      <c r="C15" s="8" t="inlineStr">
        <is>
          <t>Dettes financières MLT (16, 17)</t>
        </is>
      </c>
      <c r="D15" s="9" t="n">
        <v>1405.077</v>
      </c>
      <c r="E15" s="9" t="n">
        <v>-0</v>
      </c>
      <c r="F15" s="9" t="n">
        <v>1405.077</v>
      </c>
      <c r="G15" s="8" t="inlineStr">
        <is>
          <t>n/a</t>
        </is>
      </c>
    </row>
    <row r="16">
      <c r="B16" s="11">
        <f> Total ressources stables</f>
        <v/>
      </c>
      <c r="D16" s="12" t="n">
        <v>7689.623</v>
      </c>
      <c r="E16" s="12" t="n">
        <v>0</v>
      </c>
      <c r="F16" s="12" t="n">
        <v>7689.623</v>
      </c>
      <c r="G16" s="11" t="inlineStr">
        <is>
          <t>n/a</t>
        </is>
      </c>
    </row>
    <row r="18">
      <c r="B18" s="10" t="inlineStr">
        <is>
          <t>Emplois stables</t>
        </is>
      </c>
    </row>
    <row r="19">
      <c r="C19" s="8" t="inlineStr">
        <is>
          <t>Actif immobilisé brut (20–27)</t>
        </is>
      </c>
      <c r="D19" s="9" t="n">
        <v>6451.055</v>
      </c>
      <c r="E19" s="9" t="n">
        <v>0</v>
      </c>
      <c r="F19" s="9" t="n">
        <v>6451.055</v>
      </c>
      <c r="G19" s="8" t="inlineStr">
        <is>
          <t>n/a</t>
        </is>
      </c>
    </row>
    <row r="20">
      <c r="B20" s="11">
        <f> Total emplois stables</f>
        <v/>
      </c>
      <c r="D20" s="12" t="n">
        <v>6451.055</v>
      </c>
      <c r="E20" s="12" t="n">
        <v>0</v>
      </c>
      <c r="F20" s="12" t="n">
        <v>6451.055</v>
      </c>
      <c r="G20" s="11" t="inlineStr">
        <is>
          <t>n/a</t>
        </is>
      </c>
    </row>
    <row r="22">
      <c r="B22" s="11">
        <f> FRNG</f>
        <v/>
      </c>
      <c r="D22" s="12" t="n">
        <v>1238.568</v>
      </c>
      <c r="E22" s="12" t="n">
        <v>0</v>
      </c>
      <c r="F22" s="12" t="n">
        <v>1238.568</v>
      </c>
      <c r="G22" s="11" t="inlineStr">
        <is>
          <t>n/a</t>
        </is>
      </c>
    </row>
    <row r="24">
      <c r="B24" s="10" t="inlineStr">
        <is>
          <t>BESOIN EN FONDS DE ROULEMENT (BFR)</t>
        </is>
      </c>
    </row>
    <row r="25">
      <c r="B25" s="10" t="inlineStr">
        <is>
          <t>Actif circulant d'exploitation</t>
        </is>
      </c>
    </row>
    <row r="26">
      <c r="C26" s="8" t="inlineStr">
        <is>
          <t>Stocks bruts (31–37)</t>
        </is>
      </c>
      <c r="D26" s="9" t="n">
        <v>3495.271</v>
      </c>
      <c r="E26" s="9" t="n">
        <v>0</v>
      </c>
      <c r="F26" s="9" t="n">
        <v>3495.271</v>
      </c>
      <c r="G26" s="8" t="inlineStr">
        <is>
          <t>n/a</t>
        </is>
      </c>
    </row>
    <row r="27">
      <c r="C27" s="8" t="inlineStr">
        <is>
          <t>Créances clients (411, 413, 416, 418)</t>
        </is>
      </c>
      <c r="D27" s="9" t="n">
        <v>2302.813</v>
      </c>
      <c r="E27" s="9" t="n">
        <v>0</v>
      </c>
      <c r="F27" s="9" t="n">
        <v>2302.813</v>
      </c>
      <c r="G27" s="8" t="inlineStr">
        <is>
          <t>n/a</t>
        </is>
      </c>
    </row>
    <row r="28">
      <c r="C28" s="8" t="inlineStr">
        <is>
          <t>Autres créances d'exploitation (40, 44, 46, 47 &gt; 0)</t>
        </is>
      </c>
      <c r="D28" s="9" t="n">
        <v>778.836</v>
      </c>
      <c r="E28" s="9" t="n">
        <v>0</v>
      </c>
      <c r="F28" s="9" t="n">
        <v>778.836</v>
      </c>
      <c r="G28" s="8" t="inlineStr">
        <is>
          <t>n/a</t>
        </is>
      </c>
    </row>
    <row r="29">
      <c r="C29" s="8" t="inlineStr">
        <is>
          <t>Charges constatées d'avance — CCA (486)</t>
        </is>
      </c>
      <c r="D29" s="9" t="n">
        <v>144.09</v>
      </c>
      <c r="E29" s="9" t="n">
        <v>0</v>
      </c>
      <c r="F29" s="9" t="n">
        <v>144.09</v>
      </c>
      <c r="G29" s="8" t="inlineStr">
        <is>
          <t>n/a</t>
        </is>
      </c>
    </row>
    <row r="30">
      <c r="B30" s="11">
        <f> Total actif circulant</f>
        <v/>
      </c>
      <c r="D30" s="12" t="n">
        <v>6721.01</v>
      </c>
      <c r="E30" s="12" t="n">
        <v>0</v>
      </c>
      <c r="F30" s="12" t="n">
        <v>6721.01</v>
      </c>
      <c r="G30" s="11" t="inlineStr">
        <is>
          <t>n/a</t>
        </is>
      </c>
    </row>
    <row r="32">
      <c r="B32" s="10" t="inlineStr">
        <is>
          <t>Passif circulant d'exploitation</t>
        </is>
      </c>
    </row>
    <row r="33">
      <c r="C33" s="8" t="inlineStr">
        <is>
          <t>Dettes fournisseurs (401, 403, 408)</t>
        </is>
      </c>
      <c r="D33" s="9" t="n">
        <v>1351.032</v>
      </c>
      <c r="E33" s="9" t="n">
        <v>-0</v>
      </c>
      <c r="F33" s="9" t="n">
        <v>1351.032</v>
      </c>
      <c r="G33" s="8" t="inlineStr">
        <is>
          <t>n/a</t>
        </is>
      </c>
    </row>
    <row r="34">
      <c r="C34" s="8" t="inlineStr">
        <is>
          <t>Dettes fiscales et sociales (42, 43, 44 &lt; 0)</t>
        </is>
      </c>
      <c r="D34" s="9" t="n">
        <v>412.909</v>
      </c>
      <c r="E34" s="9" t="n">
        <v>-0</v>
      </c>
      <c r="F34" s="9" t="n">
        <v>412.909</v>
      </c>
      <c r="G34" s="8" t="inlineStr">
        <is>
          <t>n/a</t>
        </is>
      </c>
    </row>
    <row r="35">
      <c r="C35" s="8" t="inlineStr">
        <is>
          <t>Autres dettes d'exploitation (46, 47 &lt; 0)</t>
        </is>
      </c>
      <c r="D35" s="9" t="n">
        <v>0.474</v>
      </c>
      <c r="E35" s="9" t="n">
        <v>-0</v>
      </c>
      <c r="F35" s="9" t="n">
        <v>0.474</v>
      </c>
      <c r="G35" s="8" t="inlineStr">
        <is>
          <t>n/a</t>
        </is>
      </c>
    </row>
    <row r="36">
      <c r="C36" s="8" t="inlineStr">
        <is>
          <t>Produits constatés d'avance — PCA (487)</t>
        </is>
      </c>
      <c r="D36" s="9" t="n">
        <v>-0</v>
      </c>
      <c r="E36" s="9" t="n">
        <v>-0</v>
      </c>
      <c r="F36" s="9" t="n">
        <v>0</v>
      </c>
      <c r="G36" s="8" t="inlineStr">
        <is>
          <t>n/a</t>
        </is>
      </c>
    </row>
    <row r="37">
      <c r="B37" s="11">
        <f> Total passif circulant</f>
        <v/>
      </c>
      <c r="D37" s="12" t="n">
        <v>1764.415</v>
      </c>
      <c r="E37" s="12" t="n">
        <v>0</v>
      </c>
      <c r="F37" s="12" t="n">
        <v>1764.415</v>
      </c>
      <c r="G37" s="11" t="inlineStr">
        <is>
          <t>n/a</t>
        </is>
      </c>
    </row>
    <row r="39">
      <c r="B39" s="11">
        <f> BFR</f>
        <v/>
      </c>
      <c r="D39" s="12" t="n">
        <v>4956.595</v>
      </c>
      <c r="E39" s="12" t="n">
        <v>0</v>
      </c>
      <c r="F39" s="12" t="n">
        <v>4956.595</v>
      </c>
      <c r="G39" s="11" t="inlineStr">
        <is>
          <t>n/a</t>
        </is>
      </c>
    </row>
    <row r="41">
      <c r="B41" s="11">
        <f> TRÉSORERIE NETTE (TN = FRNG − BFR)</f>
        <v/>
      </c>
      <c r="D41" s="12" t="n">
        <v>-3718.027</v>
      </c>
      <c r="E41" s="12" t="n">
        <v>0</v>
      </c>
      <c r="F41" s="12" t="n">
        <v>-3718.027</v>
      </c>
      <c r="G41" s="11" t="inlineStr">
        <is>
          <t>n/a</t>
        </is>
      </c>
    </row>
    <row r="43">
      <c r="B43" s="10" t="inlineStr">
        <is>
          <t>Vérification — trésorerie directe</t>
        </is>
      </c>
    </row>
    <row r="44">
      <c r="C44" s="8" t="inlineStr">
        <is>
          <t>Trésorerie active (50, 51, 53 &gt; 0)</t>
        </is>
      </c>
      <c r="D44" s="9" t="n">
        <v>912.6849999999999</v>
      </c>
      <c r="E44" s="9" t="n">
        <v>0</v>
      </c>
      <c r="F44" s="9" t="n">
        <v>912.6849999999999</v>
      </c>
      <c r="G44" s="8" t="inlineStr">
        <is>
          <t>n/a</t>
        </is>
      </c>
    </row>
    <row r="45">
      <c r="C45" s="8" t="inlineStr">
        <is>
          <t>Trésorerie passive (519 + 512 &lt; 0)</t>
        </is>
      </c>
      <c r="D45" s="9" t="n">
        <v>-0</v>
      </c>
      <c r="E45" s="9" t="n">
        <v>-0</v>
      </c>
      <c r="F45" s="9" t="n">
        <v>0</v>
      </c>
      <c r="G45" s="8" t="inlineStr">
        <is>
          <t>n/a</t>
        </is>
      </c>
    </row>
    <row r="46">
      <c r="B46" s="11">
        <f> TN (vérification directe)</f>
        <v/>
      </c>
      <c r="D46" s="12" t="n">
        <v>912.6849999999999</v>
      </c>
      <c r="E46" s="12" t="n">
        <v>0</v>
      </c>
      <c r="F46" s="12" t="n">
        <v>912.6849999999999</v>
      </c>
      <c r="G46" s="11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Autres achats et charges externes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</row>
    <row r="10">
      <c r="B10" s="7" t="inlineStr">
        <is>
          <t>606110</t>
        </is>
      </c>
      <c r="C10" s="8" t="inlineStr">
        <is>
          <t>EDF</t>
        </is>
      </c>
      <c r="D10" s="9" t="n">
        <v>256.109</v>
      </c>
      <c r="E10" s="9" t="n">
        <v>0</v>
      </c>
      <c r="F10" s="9" t="n">
        <v>256.109</v>
      </c>
      <c r="G10" s="8" t="inlineStr">
        <is>
          <t>n/a</t>
        </is>
      </c>
      <c r="H10" s="7" t="inlineStr">
        <is>
          <t>AACE</t>
        </is>
      </c>
    </row>
    <row r="11">
      <c r="B11" s="7" t="inlineStr">
        <is>
          <t>606130</t>
        </is>
      </c>
      <c r="C11" s="8" t="inlineStr">
        <is>
          <t>CARBURANTS</t>
        </is>
      </c>
      <c r="D11" s="9" t="n">
        <v>8.127000000000001</v>
      </c>
      <c r="E11" s="9" t="n">
        <v>0</v>
      </c>
      <c r="F11" s="9" t="n">
        <v>8.127000000000001</v>
      </c>
      <c r="G11" s="8" t="inlineStr">
        <is>
          <t>n/a</t>
        </is>
      </c>
      <c r="H11" s="7" t="inlineStr">
        <is>
          <t>AACE</t>
        </is>
      </c>
    </row>
    <row r="12">
      <c r="B12" s="7" t="inlineStr">
        <is>
          <t>606300</t>
        </is>
      </c>
      <c r="C12" s="8" t="inlineStr">
        <is>
          <t>PETIT OUTILLAGE</t>
        </is>
      </c>
      <c r="D12" s="9" t="n">
        <v>6.21</v>
      </c>
      <c r="E12" s="9" t="n">
        <v>0</v>
      </c>
      <c r="F12" s="9" t="n">
        <v>6.21</v>
      </c>
      <c r="G12" s="8" t="inlineStr">
        <is>
          <t>n/a</t>
        </is>
      </c>
      <c r="H12" s="7" t="inlineStr">
        <is>
          <t>AACE</t>
        </is>
      </c>
    </row>
    <row r="13">
      <c r="B13" s="7" t="inlineStr">
        <is>
          <t>606400</t>
        </is>
      </c>
      <c r="C13" s="8" t="inlineStr">
        <is>
          <t>FOURNITURES DE BUREAU</t>
        </is>
      </c>
      <c r="D13" s="9" t="n">
        <v>11.344</v>
      </c>
      <c r="E13" s="9" t="n">
        <v>0</v>
      </c>
      <c r="F13" s="9" t="n">
        <v>11.344</v>
      </c>
      <c r="G13" s="8" t="inlineStr">
        <is>
          <t>n/a</t>
        </is>
      </c>
      <c r="H13" s="7" t="inlineStr">
        <is>
          <t>AACE</t>
        </is>
      </c>
    </row>
    <row r="14">
      <c r="B14" s="7" t="inlineStr">
        <is>
          <t>606430</t>
        </is>
      </c>
      <c r="C14" s="8" t="inlineStr">
        <is>
          <t>FRAIS IMPRESSIONS &amp; REPROGRAPHIE</t>
        </is>
      </c>
      <c r="D14" s="9" t="n">
        <v>2.98</v>
      </c>
      <c r="E14" s="9" t="n">
        <v>0</v>
      </c>
      <c r="F14" s="9" t="n">
        <v>2.98</v>
      </c>
      <c r="G14" s="8" t="inlineStr">
        <is>
          <t>n/a</t>
        </is>
      </c>
      <c r="H14" s="7" t="inlineStr">
        <is>
          <t>AACE</t>
        </is>
      </c>
    </row>
    <row r="15">
      <c r="B15" s="7" t="inlineStr">
        <is>
          <t>607000</t>
        </is>
      </c>
      <c r="C15" s="8" t="inlineStr">
        <is>
          <t>MSES NEGOCES France</t>
        </is>
      </c>
      <c r="D15" s="9" t="n">
        <v>555.276</v>
      </c>
      <c r="E15" s="9" t="n">
        <v>0</v>
      </c>
      <c r="F15" s="9" t="n">
        <v>555.276</v>
      </c>
      <c r="G15" s="8" t="inlineStr">
        <is>
          <t>n/a</t>
        </is>
      </c>
      <c r="H15" s="7" t="inlineStr">
        <is>
          <t>AACE</t>
        </is>
      </c>
    </row>
    <row r="16">
      <c r="B16" s="7" t="inlineStr">
        <is>
          <t>607010</t>
        </is>
      </c>
      <c r="C16" s="8" t="inlineStr">
        <is>
          <t>MSES NEGOCES UNION EUROPEEN</t>
        </is>
      </c>
      <c r="D16" s="9" t="n">
        <v>960.287</v>
      </c>
      <c r="E16" s="9" t="n">
        <v>0</v>
      </c>
      <c r="F16" s="9" t="n">
        <v>960.287</v>
      </c>
      <c r="G16" s="8" t="inlineStr">
        <is>
          <t>n/a</t>
        </is>
      </c>
      <c r="H16" s="7" t="inlineStr">
        <is>
          <t>AACE</t>
        </is>
      </c>
    </row>
    <row r="17">
      <c r="B17" s="7" t="inlineStr">
        <is>
          <t>607030</t>
        </is>
      </c>
      <c r="C17" s="8" t="inlineStr">
        <is>
          <t>MSES NEGOCES EXPORT</t>
        </is>
      </c>
      <c r="D17" s="9" t="n">
        <v>1.98</v>
      </c>
      <c r="E17" s="9" t="n">
        <v>0</v>
      </c>
      <c r="F17" s="9" t="n">
        <v>1.98</v>
      </c>
      <c r="G17" s="8" t="inlineStr">
        <is>
          <t>n/a</t>
        </is>
      </c>
      <c r="H17" s="7" t="inlineStr">
        <is>
          <t>AACE</t>
        </is>
      </c>
    </row>
    <row r="18">
      <c r="B18" s="7" t="inlineStr">
        <is>
          <t>608100</t>
        </is>
      </c>
      <c r="C18" s="8" t="inlineStr">
        <is>
          <t>TRSP SUR ACHATS EXPL FOURNISS HT</t>
        </is>
      </c>
      <c r="D18" s="9" t="n">
        <v>93.708</v>
      </c>
      <c r="E18" s="9" t="n">
        <v>0</v>
      </c>
      <c r="F18" s="9" t="n">
        <v>93.708</v>
      </c>
      <c r="G18" s="8" t="inlineStr">
        <is>
          <t>n/a</t>
        </is>
      </c>
      <c r="H18" s="7" t="inlineStr">
        <is>
          <t>AACE</t>
        </is>
      </c>
    </row>
    <row r="19">
      <c r="B19" s="7" t="inlineStr">
        <is>
          <t>608110</t>
        </is>
      </c>
      <c r="C19" s="8" t="inlineStr">
        <is>
          <t>TRSP SUR ACHATS UNION EUROPEENNE</t>
        </is>
      </c>
      <c r="D19" s="9" t="n">
        <v>11.114</v>
      </c>
      <c r="E19" s="9" t="n">
        <v>0</v>
      </c>
      <c r="F19" s="9" t="n">
        <v>11.114</v>
      </c>
      <c r="G19" s="8" t="inlineStr">
        <is>
          <t>n/a</t>
        </is>
      </c>
      <c r="H19" s="7" t="inlineStr">
        <is>
          <t>AACE</t>
        </is>
      </c>
    </row>
    <row r="20">
      <c r="B20" s="7" t="inlineStr">
        <is>
          <t>608140</t>
        </is>
      </c>
      <c r="C20" s="8" t="inlineStr">
        <is>
          <t>TRSP SUR ACHATS EXPL TRANSPOR</t>
        </is>
      </c>
      <c r="D20" s="9" t="n">
        <v>81.84699999999999</v>
      </c>
      <c r="E20" s="9" t="n">
        <v>0</v>
      </c>
      <c r="F20" s="9" t="n">
        <v>81.84699999999999</v>
      </c>
      <c r="G20" s="8" t="inlineStr">
        <is>
          <t>n/a</t>
        </is>
      </c>
      <c r="H20" s="7" t="inlineStr">
        <is>
          <t>AACE</t>
        </is>
      </c>
    </row>
    <row r="21">
      <c r="B21" s="7" t="inlineStr">
        <is>
          <t>608500</t>
        </is>
      </c>
      <c r="C21" s="8" t="inlineStr">
        <is>
          <t>DROITS FRAIS DOUANES SUR ACHATS</t>
        </is>
      </c>
      <c r="D21" s="9" t="n">
        <v>27.431</v>
      </c>
      <c r="E21" s="9" t="n">
        <v>0</v>
      </c>
      <c r="F21" s="9" t="n">
        <v>27.431</v>
      </c>
      <c r="G21" s="8" t="inlineStr">
        <is>
          <t>n/a</t>
        </is>
      </c>
      <c r="H21" s="7" t="inlineStr">
        <is>
          <t>AACE</t>
        </is>
      </c>
    </row>
    <row r="22">
      <c r="B22" s="7" t="inlineStr">
        <is>
          <t>608800</t>
        </is>
      </c>
      <c r="C22" s="8" t="inlineStr">
        <is>
          <t>FRAIS AUTRES</t>
        </is>
      </c>
      <c r="D22" s="9" t="n">
        <v>5.712</v>
      </c>
      <c r="E22" s="9" t="n">
        <v>0</v>
      </c>
      <c r="F22" s="9" t="n">
        <v>5.712</v>
      </c>
      <c r="G22" s="8" t="inlineStr">
        <is>
          <t>n/a</t>
        </is>
      </c>
      <c r="H22" s="7" t="inlineStr">
        <is>
          <t>AACE</t>
        </is>
      </c>
    </row>
    <row r="23">
      <c r="B23" s="7" t="inlineStr">
        <is>
          <t>609100</t>
        </is>
      </c>
      <c r="C23" s="8" t="inlineStr">
        <is>
          <t>RRR OBTENUS / ACHATS</t>
        </is>
      </c>
      <c r="D23" s="9" t="n">
        <v>-5.691</v>
      </c>
      <c r="E23" s="9" t="n">
        <v>0</v>
      </c>
      <c r="F23" s="9" t="n">
        <v>-5.691</v>
      </c>
      <c r="G23" s="8" t="inlineStr">
        <is>
          <t>n/a</t>
        </is>
      </c>
      <c r="H23" s="7" t="inlineStr">
        <is>
          <t>AACE</t>
        </is>
      </c>
    </row>
    <row r="24">
      <c r="B24" s="7" t="inlineStr">
        <is>
          <t>609130</t>
        </is>
      </c>
      <c r="C24" s="8" t="inlineStr">
        <is>
          <t>RRR OBTENUS SUR ACHATS UNIONS EUROP</t>
        </is>
      </c>
      <c r="D24" s="9" t="n">
        <v>-1.482</v>
      </c>
      <c r="E24" s="9" t="n">
        <v>0</v>
      </c>
      <c r="F24" s="9" t="n">
        <v>-1.482</v>
      </c>
      <c r="G24" s="8" t="inlineStr">
        <is>
          <t>n/a</t>
        </is>
      </c>
      <c r="H24" s="7" t="inlineStr">
        <is>
          <t>AACE</t>
        </is>
      </c>
    </row>
    <row r="25">
      <c r="B25" s="7" t="inlineStr">
        <is>
          <t>611000</t>
        </is>
      </c>
      <c r="C25" s="8" t="inlineStr">
        <is>
          <t>SOUS TRAITANCE GENERALE</t>
        </is>
      </c>
      <c r="D25" s="9" t="n">
        <v>25.272</v>
      </c>
      <c r="E25" s="9" t="n">
        <v>0</v>
      </c>
      <c r="F25" s="9" t="n">
        <v>25.272</v>
      </c>
      <c r="G25" s="8" t="inlineStr">
        <is>
          <t>n/a</t>
        </is>
      </c>
      <c r="H25" s="7" t="inlineStr">
        <is>
          <t>AACE</t>
        </is>
      </c>
    </row>
    <row r="26">
      <c r="B26" s="7" t="inlineStr">
        <is>
          <t>611010</t>
        </is>
      </c>
      <c r="C26" s="8" t="inlineStr">
        <is>
          <t>PRESTATIONS INFORMATIQUES</t>
        </is>
      </c>
      <c r="D26" s="9" t="n">
        <v>189.261</v>
      </c>
      <c r="E26" s="9" t="n">
        <v>0</v>
      </c>
      <c r="F26" s="9" t="n">
        <v>189.261</v>
      </c>
      <c r="G26" s="8" t="inlineStr">
        <is>
          <t>n/a</t>
        </is>
      </c>
      <c r="H26" s="7" t="inlineStr">
        <is>
          <t>AACE</t>
        </is>
      </c>
    </row>
    <row r="27">
      <c r="B27" s="7" t="inlineStr">
        <is>
          <t>611020</t>
        </is>
      </c>
      <c r="C27" s="8" t="inlineStr">
        <is>
          <t>PRESTATIONS ADMINISTRATIVES</t>
        </is>
      </c>
      <c r="D27" s="9" t="n">
        <v>1.01</v>
      </c>
      <c r="E27" s="9" t="n">
        <v>0</v>
      </c>
      <c r="F27" s="9" t="n">
        <v>1.01</v>
      </c>
      <c r="G27" s="8" t="inlineStr">
        <is>
          <t>n/a</t>
        </is>
      </c>
      <c r="H27" s="7" t="inlineStr">
        <is>
          <t>AACE</t>
        </is>
      </c>
    </row>
    <row r="28">
      <c r="B28" s="7" t="inlineStr">
        <is>
          <t>611030</t>
        </is>
      </c>
      <c r="C28" s="8" t="inlineStr">
        <is>
          <t>PRESTATION TECHNIQUES</t>
        </is>
      </c>
      <c r="D28" s="9" t="n">
        <v>110.991</v>
      </c>
      <c r="E28" s="9" t="n">
        <v>0</v>
      </c>
      <c r="F28" s="9" t="n">
        <v>110.991</v>
      </c>
      <c r="G28" s="8" t="inlineStr">
        <is>
          <t>n/a</t>
        </is>
      </c>
      <c r="H28" s="7" t="inlineStr">
        <is>
          <t>AACE</t>
        </is>
      </c>
    </row>
    <row r="29">
      <c r="B29" s="7" t="inlineStr">
        <is>
          <t>613200</t>
        </is>
      </c>
      <c r="C29" s="8" t="inlineStr">
        <is>
          <t>LOYER USINE ET ENTREPOT</t>
        </is>
      </c>
      <c r="D29" s="9" t="n">
        <v>5.36</v>
      </c>
      <c r="E29" s="9" t="n">
        <v>0</v>
      </c>
      <c r="F29" s="9" t="n">
        <v>5.36</v>
      </c>
      <c r="G29" s="8" t="inlineStr">
        <is>
          <t>n/a</t>
        </is>
      </c>
      <c r="H29" s="7" t="inlineStr">
        <is>
          <t>AACE</t>
        </is>
      </c>
    </row>
    <row r="30">
      <c r="B30" s="7" t="inlineStr">
        <is>
          <t>613201</t>
        </is>
      </c>
      <c r="C30" s="8" t="inlineStr">
        <is>
          <t>LOYER USINE ET ENTREPOT GROUPE</t>
        </is>
      </c>
      <c r="D30" s="9" t="n">
        <v>416.167</v>
      </c>
      <c r="E30" s="9" t="n">
        <v>0</v>
      </c>
      <c r="F30" s="9" t="n">
        <v>416.167</v>
      </c>
      <c r="G30" s="8" t="inlineStr">
        <is>
          <t>n/a</t>
        </is>
      </c>
      <c r="H30" s="7" t="inlineStr">
        <is>
          <t>AACE</t>
        </is>
      </c>
    </row>
    <row r="31">
      <c r="B31" s="7" t="inlineStr">
        <is>
          <t>613500</t>
        </is>
      </c>
      <c r="C31" s="8" t="inlineStr">
        <is>
          <t>LOCATION STANDS SALONS</t>
        </is>
      </c>
      <c r="D31" s="9" t="n">
        <v>103.74</v>
      </c>
      <c r="E31" s="9" t="n">
        <v>0</v>
      </c>
      <c r="F31" s="9" t="n">
        <v>103.74</v>
      </c>
      <c r="G31" s="8" t="inlineStr">
        <is>
          <t>n/a</t>
        </is>
      </c>
      <c r="H31" s="7" t="inlineStr">
        <is>
          <t>AACE</t>
        </is>
      </c>
    </row>
    <row r="32">
      <c r="B32" s="7" t="inlineStr">
        <is>
          <t>613580</t>
        </is>
      </c>
      <c r="C32" s="8" t="inlineStr">
        <is>
          <t>LOCATIONS DE VEHICULES TTC</t>
        </is>
      </c>
      <c r="D32" s="9" t="n">
        <v>18.122</v>
      </c>
      <c r="E32" s="9" t="n">
        <v>0</v>
      </c>
      <c r="F32" s="9" t="n">
        <v>18.122</v>
      </c>
      <c r="G32" s="8" t="inlineStr">
        <is>
          <t>n/a</t>
        </is>
      </c>
      <c r="H32" s="7" t="inlineStr">
        <is>
          <t>AACE</t>
        </is>
      </c>
    </row>
    <row r="33">
      <c r="B33" s="7" t="inlineStr">
        <is>
          <t>613585</t>
        </is>
      </c>
      <c r="C33" s="8" t="inlineStr">
        <is>
          <t>LOCATIONS MATERIELS DE BUREAU</t>
        </is>
      </c>
      <c r="D33" s="9" t="n">
        <v>11.395</v>
      </c>
      <c r="E33" s="9" t="n">
        <v>0</v>
      </c>
      <c r="F33" s="9" t="n">
        <v>11.395</v>
      </c>
      <c r="G33" s="8" t="inlineStr">
        <is>
          <t>n/a</t>
        </is>
      </c>
      <c r="H33" s="7" t="inlineStr">
        <is>
          <t>AACE</t>
        </is>
      </c>
    </row>
    <row r="34">
      <c r="B34" s="7" t="inlineStr">
        <is>
          <t>614000</t>
        </is>
      </c>
      <c r="C34" s="8" t="inlineStr">
        <is>
          <t>CHARGES LOCATIVES</t>
        </is>
      </c>
      <c r="D34" s="9" t="n">
        <v>0.099</v>
      </c>
      <c r="E34" s="9" t="n">
        <v>0</v>
      </c>
      <c r="F34" s="9" t="n">
        <v>0.099</v>
      </c>
      <c r="G34" s="8" t="inlineStr">
        <is>
          <t>n/a</t>
        </is>
      </c>
      <c r="H34" s="7" t="inlineStr">
        <is>
          <t>AACE</t>
        </is>
      </c>
    </row>
    <row r="35">
      <c r="B35" s="7" t="inlineStr">
        <is>
          <t>614001</t>
        </is>
      </c>
      <c r="C35" s="8" t="inlineStr">
        <is>
          <t>CHARGES LOCATIVES GROUPE</t>
        </is>
      </c>
      <c r="D35" s="9" t="n">
        <v>12.24</v>
      </c>
      <c r="E35" s="9" t="n">
        <v>0</v>
      </c>
      <c r="F35" s="9" t="n">
        <v>12.24</v>
      </c>
      <c r="G35" s="8" t="inlineStr">
        <is>
          <t>n/a</t>
        </is>
      </c>
      <c r="H35" s="7" t="inlineStr">
        <is>
          <t>AACE</t>
        </is>
      </c>
    </row>
    <row r="36">
      <c r="B36" s="7" t="inlineStr">
        <is>
          <t>615200</t>
        </is>
      </c>
      <c r="C36" s="8" t="inlineStr">
        <is>
          <t>FOURN ENTRETIEN LOCAUX</t>
        </is>
      </c>
      <c r="D36" s="9" t="n">
        <v>25.323</v>
      </c>
      <c r="E36" s="9" t="n">
        <v>0</v>
      </c>
      <c r="F36" s="9" t="n">
        <v>25.323</v>
      </c>
      <c r="G36" s="8" t="inlineStr">
        <is>
          <t>n/a</t>
        </is>
      </c>
      <c r="H36" s="7" t="inlineStr">
        <is>
          <t>AACE</t>
        </is>
      </c>
    </row>
    <row r="37">
      <c r="B37" s="7" t="inlineStr">
        <is>
          <t>615500</t>
        </is>
      </c>
      <c r="C37" s="8" t="inlineStr">
        <is>
          <t>ENTRETIEN ET REP MACHINES</t>
        </is>
      </c>
      <c r="D37" s="9" t="n">
        <v>0.57</v>
      </c>
      <c r="E37" s="9" t="n">
        <v>0</v>
      </c>
      <c r="F37" s="9" t="n">
        <v>0.57</v>
      </c>
      <c r="G37" s="8" t="inlineStr">
        <is>
          <t>n/a</t>
        </is>
      </c>
      <c r="H37" s="7" t="inlineStr">
        <is>
          <t>AACE</t>
        </is>
      </c>
    </row>
    <row r="38">
      <c r="B38" s="7" t="inlineStr">
        <is>
          <t>615520</t>
        </is>
      </c>
      <c r="C38" s="8" t="inlineStr">
        <is>
          <t>ENTRETIEN ET REP MOULES</t>
        </is>
      </c>
      <c r="D38" s="9" t="n">
        <v>25.18</v>
      </c>
      <c r="E38" s="9" t="n">
        <v>0</v>
      </c>
      <c r="F38" s="9" t="n">
        <v>25.18</v>
      </c>
      <c r="G38" s="8" t="inlineStr">
        <is>
          <t>n/a</t>
        </is>
      </c>
      <c r="H38" s="7" t="inlineStr">
        <is>
          <t>AACE</t>
        </is>
      </c>
    </row>
    <row r="39">
      <c r="B39" s="7" t="inlineStr">
        <is>
          <t>615580</t>
        </is>
      </c>
      <c r="C39" s="8" t="inlineStr">
        <is>
          <t>ENTRETIEN MATERIEL DE TRANSPORT HT</t>
        </is>
      </c>
      <c r="D39" s="9" t="n">
        <v>19.321</v>
      </c>
      <c r="E39" s="9" t="n">
        <v>0</v>
      </c>
      <c r="F39" s="9" t="n">
        <v>19.321</v>
      </c>
      <c r="G39" s="8" t="inlineStr">
        <is>
          <t>n/a</t>
        </is>
      </c>
      <c r="H39" s="7" t="inlineStr">
        <is>
          <t>AACE</t>
        </is>
      </c>
    </row>
    <row r="40">
      <c r="B40" s="7" t="inlineStr">
        <is>
          <t>615581</t>
        </is>
      </c>
      <c r="C40" s="8" t="inlineStr">
        <is>
          <t>ENTRETIEN MATERIEL DE TRANSPORT TTC</t>
        </is>
      </c>
      <c r="D40" s="9" t="n">
        <v>6.057</v>
      </c>
      <c r="E40" s="9" t="n">
        <v>0</v>
      </c>
      <c r="F40" s="9" t="n">
        <v>6.057</v>
      </c>
      <c r="G40" s="8" t="inlineStr">
        <is>
          <t>n/a</t>
        </is>
      </c>
      <c r="H40" s="7" t="inlineStr">
        <is>
          <t>AACE</t>
        </is>
      </c>
    </row>
    <row r="41">
      <c r="B41" s="7" t="inlineStr">
        <is>
          <t>615600</t>
        </is>
      </c>
      <c r="C41" s="8" t="inlineStr">
        <is>
          <t>MAINTENANCE MATERIEL</t>
        </is>
      </c>
      <c r="D41" s="9" t="n">
        <v>2.044</v>
      </c>
      <c r="E41" s="9" t="n">
        <v>0</v>
      </c>
      <c r="F41" s="9" t="n">
        <v>2.044</v>
      </c>
      <c r="G41" s="8" t="inlineStr">
        <is>
          <t>n/a</t>
        </is>
      </c>
      <c r="H41" s="7" t="inlineStr">
        <is>
          <t>AACE</t>
        </is>
      </c>
    </row>
    <row r="42">
      <c r="B42" s="7" t="inlineStr">
        <is>
          <t>615610</t>
        </is>
      </c>
      <c r="C42" s="8" t="inlineStr">
        <is>
          <t>MAINT/ABONNEMENT LOGICIEL</t>
        </is>
      </c>
      <c r="D42" s="9" t="n">
        <v>2.499</v>
      </c>
      <c r="E42" s="9" t="n">
        <v>0</v>
      </c>
      <c r="F42" s="9" t="n">
        <v>2.499</v>
      </c>
      <c r="G42" s="8" t="inlineStr">
        <is>
          <t>n/a</t>
        </is>
      </c>
      <c r="H42" s="7" t="inlineStr">
        <is>
          <t>AACE</t>
        </is>
      </c>
    </row>
    <row r="43">
      <c r="B43" s="7" t="inlineStr">
        <is>
          <t>616110</t>
        </is>
      </c>
      <c r="C43" s="8" t="inlineStr">
        <is>
          <t>ASSURANCE RESPONSABILITE CIVILE</t>
        </is>
      </c>
      <c r="D43" s="9" t="n">
        <v>69.854</v>
      </c>
      <c r="E43" s="9" t="n">
        <v>0</v>
      </c>
      <c r="F43" s="9" t="n">
        <v>69.854</v>
      </c>
      <c r="G43" s="8" t="inlineStr">
        <is>
          <t>n/a</t>
        </is>
      </c>
      <c r="H43" s="7" t="inlineStr">
        <is>
          <t>AACE</t>
        </is>
      </c>
    </row>
    <row r="44">
      <c r="B44" s="7" t="inlineStr">
        <is>
          <t>616120</t>
        </is>
      </c>
      <c r="C44" s="8" t="inlineStr">
        <is>
          <t>ASSURANCE HOMME CLE</t>
        </is>
      </c>
      <c r="D44" s="9" t="n">
        <v>1.733</v>
      </c>
      <c r="E44" s="9" t="n">
        <v>0</v>
      </c>
      <c r="F44" s="9" t="n">
        <v>1.733</v>
      </c>
      <c r="G44" s="8" t="inlineStr">
        <is>
          <t>n/a</t>
        </is>
      </c>
      <c r="H44" s="7" t="inlineStr">
        <is>
          <t>AACE</t>
        </is>
      </c>
    </row>
    <row r="45">
      <c r="B45" s="7" t="inlineStr">
        <is>
          <t>616160</t>
        </is>
      </c>
      <c r="C45" s="8" t="inlineStr">
        <is>
          <t>ASSURANCE CREDIT CLIENT ALLIANZ</t>
        </is>
      </c>
      <c r="D45" s="9" t="n">
        <v>25.786</v>
      </c>
      <c r="E45" s="9" t="n">
        <v>0</v>
      </c>
      <c r="F45" s="9" t="n">
        <v>25.786</v>
      </c>
      <c r="G45" s="8" t="inlineStr">
        <is>
          <t>n/a</t>
        </is>
      </c>
      <c r="H45" s="7" t="inlineStr">
        <is>
          <t>AACE</t>
        </is>
      </c>
    </row>
    <row r="46">
      <c r="B46" s="7" t="inlineStr">
        <is>
          <t>616170</t>
        </is>
      </c>
      <c r="C46" s="8" t="inlineStr">
        <is>
          <t>Assurance RCMS</t>
        </is>
      </c>
      <c r="D46" s="9" t="n">
        <v>1.098</v>
      </c>
      <c r="E46" s="9" t="n">
        <v>0</v>
      </c>
      <c r="F46" s="9" t="n">
        <v>1.098</v>
      </c>
      <c r="G46" s="8" t="inlineStr">
        <is>
          <t>n/a</t>
        </is>
      </c>
      <c r="H46" s="7" t="inlineStr">
        <is>
          <t>AACE</t>
        </is>
      </c>
    </row>
    <row r="47">
      <c r="B47" s="7" t="inlineStr">
        <is>
          <t>617100</t>
        </is>
      </c>
      <c r="C47" s="8" t="inlineStr">
        <is>
          <t>PRESTATION ORGANISME RECHERCHE</t>
        </is>
      </c>
      <c r="D47" s="9" t="n">
        <v>23.171</v>
      </c>
      <c r="E47" s="9" t="n">
        <v>0</v>
      </c>
      <c r="F47" s="9" t="n">
        <v>23.171</v>
      </c>
      <c r="G47" s="8" t="inlineStr">
        <is>
          <t>n/a</t>
        </is>
      </c>
      <c r="H47" s="7" t="inlineStr">
        <is>
          <t>AACE</t>
        </is>
      </c>
    </row>
    <row r="48">
      <c r="B48" s="7" t="inlineStr">
        <is>
          <t>617300</t>
        </is>
      </c>
      <c r="C48" s="8" t="inlineStr">
        <is>
          <t>RECHERCHE PROTOTYPE ECHANTILLON</t>
        </is>
      </c>
      <c r="D48" s="9" t="n">
        <v>1.909</v>
      </c>
      <c r="E48" s="9" t="n">
        <v>0</v>
      </c>
      <c r="F48" s="9" t="n">
        <v>1.909</v>
      </c>
      <c r="G48" s="8" t="inlineStr">
        <is>
          <t>n/a</t>
        </is>
      </c>
      <c r="H48" s="7" t="inlineStr">
        <is>
          <t>AACE</t>
        </is>
      </c>
    </row>
    <row r="49">
      <c r="B49" s="7" t="inlineStr">
        <is>
          <t>618100</t>
        </is>
      </c>
      <c r="C49" s="8" t="inlineStr">
        <is>
          <t>ABONNTS PUBLICATIONS DOCUMENTAT</t>
        </is>
      </c>
      <c r="D49" s="9" t="n">
        <v>3.871</v>
      </c>
      <c r="E49" s="9" t="n">
        <v>0</v>
      </c>
      <c r="F49" s="9" t="n">
        <v>3.871</v>
      </c>
      <c r="G49" s="8" t="inlineStr">
        <is>
          <t>n/a</t>
        </is>
      </c>
      <c r="H49" s="7" t="inlineStr">
        <is>
          <t>AACE</t>
        </is>
      </c>
    </row>
    <row r="50">
      <c r="B50" s="7" t="inlineStr">
        <is>
          <t>618200</t>
        </is>
      </c>
      <c r="C50" s="8" t="inlineStr">
        <is>
          <t>PRESTATION DE FORMATION</t>
        </is>
      </c>
      <c r="D50" s="9" t="n">
        <v>13.028</v>
      </c>
      <c r="E50" s="9" t="n">
        <v>0</v>
      </c>
      <c r="F50" s="9" t="n">
        <v>13.028</v>
      </c>
      <c r="G50" s="8" t="inlineStr">
        <is>
          <t>n/a</t>
        </is>
      </c>
      <c r="H50" s="7" t="inlineStr">
        <is>
          <t>AACE</t>
        </is>
      </c>
    </row>
    <row r="51">
      <c r="B51" s="7" t="inlineStr">
        <is>
          <t>621100</t>
        </is>
      </c>
      <c r="C51" s="8" t="inlineStr">
        <is>
          <t>PERSONNELS INTERIMAIRES</t>
        </is>
      </c>
      <c r="D51" s="9" t="n">
        <v>4.52</v>
      </c>
      <c r="E51" s="9" t="n">
        <v>0</v>
      </c>
      <c r="F51" s="9" t="n">
        <v>4.52</v>
      </c>
      <c r="G51" s="8" t="inlineStr">
        <is>
          <t>n/a</t>
        </is>
      </c>
      <c r="H51" s="7" t="inlineStr">
        <is>
          <t>AACE</t>
        </is>
      </c>
    </row>
    <row r="52">
      <c r="B52" s="7" t="inlineStr">
        <is>
          <t>621120</t>
        </is>
      </c>
      <c r="C52" s="8" t="inlineStr">
        <is>
          <t>INTERIM LOGISTIQUE</t>
        </is>
      </c>
      <c r="D52" s="9" t="n">
        <v>58.595</v>
      </c>
      <c r="E52" s="9" t="n">
        <v>0</v>
      </c>
      <c r="F52" s="9" t="n">
        <v>58.595</v>
      </c>
      <c r="G52" s="8" t="inlineStr">
        <is>
          <t>n/a</t>
        </is>
      </c>
      <c r="H52" s="7" t="inlineStr">
        <is>
          <t>AACE</t>
        </is>
      </c>
    </row>
    <row r="53">
      <c r="B53" s="7" t="inlineStr">
        <is>
          <t>622200</t>
        </is>
      </c>
      <c r="C53" s="8" t="inlineStr">
        <is>
          <t>COMMISSIONS SUR VENTES</t>
        </is>
      </c>
      <c r="D53" s="9" t="n">
        <v>147.499</v>
      </c>
      <c r="E53" s="9" t="n">
        <v>0</v>
      </c>
      <c r="F53" s="9" t="n">
        <v>147.499</v>
      </c>
      <c r="G53" s="8" t="inlineStr">
        <is>
          <t>n/a</t>
        </is>
      </c>
      <c r="H53" s="7" t="inlineStr">
        <is>
          <t>AACE</t>
        </is>
      </c>
    </row>
    <row r="54">
      <c r="B54" s="7" t="inlineStr">
        <is>
          <t>622500</t>
        </is>
      </c>
      <c r="C54" s="8" t="inlineStr">
        <is>
          <t>COMM AFFACT ET CENTR FACT CLIENTS</t>
        </is>
      </c>
      <c r="D54" s="9" t="n">
        <v>5.443</v>
      </c>
      <c r="E54" s="9" t="n">
        <v>0</v>
      </c>
      <c r="F54" s="9" t="n">
        <v>5.443</v>
      </c>
      <c r="G54" s="8" t="inlineStr">
        <is>
          <t>n/a</t>
        </is>
      </c>
      <c r="H54" s="7" t="inlineStr">
        <is>
          <t>AACE</t>
        </is>
      </c>
    </row>
    <row r="55">
      <c r="B55" s="7" t="inlineStr">
        <is>
          <t>622600</t>
        </is>
      </c>
      <c r="C55" s="8" t="inlineStr">
        <is>
          <t>HONORAIRES</t>
        </is>
      </c>
      <c r="D55" s="9" t="n">
        <v>716.516</v>
      </c>
      <c r="E55" s="9" t="n">
        <v>0</v>
      </c>
      <c r="F55" s="9" t="n">
        <v>716.516</v>
      </c>
      <c r="G55" s="8" t="inlineStr">
        <is>
          <t>n/a</t>
        </is>
      </c>
      <c r="H55" s="7" t="inlineStr">
        <is>
          <t>AACE</t>
        </is>
      </c>
    </row>
    <row r="56">
      <c r="B56" s="7" t="inlineStr">
        <is>
          <t>622601</t>
        </is>
      </c>
      <c r="C56" s="8" t="inlineStr">
        <is>
          <t>PRESTATIONS GROUPE</t>
        </is>
      </c>
      <c r="D56" s="9" t="n">
        <v>197.066</v>
      </c>
      <c r="E56" s="9" t="n">
        <v>0</v>
      </c>
      <c r="F56" s="9" t="n">
        <v>197.066</v>
      </c>
      <c r="G56" s="8" t="inlineStr">
        <is>
          <t>n/a</t>
        </is>
      </c>
      <c r="H56" s="7" t="inlineStr">
        <is>
          <t>AACE</t>
        </is>
      </c>
    </row>
    <row r="57">
      <c r="B57" s="7" t="inlineStr">
        <is>
          <t>622700</t>
        </is>
      </c>
      <c r="C57" s="8" t="inlineStr">
        <is>
          <t>HONOR CONTENTIEUX FRAIS D ACTE</t>
        </is>
      </c>
      <c r="D57" s="9" t="n">
        <v>10.39</v>
      </c>
      <c r="E57" s="9" t="n">
        <v>0</v>
      </c>
      <c r="F57" s="9" t="n">
        <v>10.39</v>
      </c>
      <c r="G57" s="8" t="inlineStr">
        <is>
          <t>n/a</t>
        </is>
      </c>
      <c r="H57" s="7" t="inlineStr">
        <is>
          <t>AACE</t>
        </is>
      </c>
    </row>
    <row r="58">
      <c r="B58" s="7" t="inlineStr">
        <is>
          <t>623100</t>
        </is>
      </c>
      <c r="C58" s="8" t="inlineStr">
        <is>
          <t>ANNONCES LEGALES</t>
        </is>
      </c>
      <c r="D58" s="9" t="n">
        <v>0.218</v>
      </c>
      <c r="E58" s="9" t="n">
        <v>0</v>
      </c>
      <c r="F58" s="9" t="n">
        <v>0.218</v>
      </c>
      <c r="G58" s="8" t="inlineStr">
        <is>
          <t>n/a</t>
        </is>
      </c>
      <c r="H58" s="7" t="inlineStr">
        <is>
          <t>AACE</t>
        </is>
      </c>
    </row>
    <row r="59">
      <c r="B59" s="7" t="inlineStr">
        <is>
          <t>623110</t>
        </is>
      </c>
      <c r="C59" s="8" t="inlineStr">
        <is>
          <t>LOCATION ESPACE PUBLICITAIRE</t>
        </is>
      </c>
      <c r="D59" s="9" t="n">
        <v>85.032</v>
      </c>
      <c r="E59" s="9" t="n">
        <v>0</v>
      </c>
      <c r="F59" s="9" t="n">
        <v>85.032</v>
      </c>
      <c r="G59" s="8" t="inlineStr">
        <is>
          <t>n/a</t>
        </is>
      </c>
      <c r="H59" s="7" t="inlineStr">
        <is>
          <t>AACE</t>
        </is>
      </c>
    </row>
    <row r="60">
      <c r="B60" s="7" t="inlineStr">
        <is>
          <t>623200</t>
        </is>
      </c>
      <c r="C60" s="8" t="inlineStr">
        <is>
          <t>FOURNITURES TECHNIQUES . PRESTATION</t>
        </is>
      </c>
      <c r="D60" s="9" t="n">
        <v>362.522</v>
      </c>
      <c r="E60" s="9" t="n">
        <v>0</v>
      </c>
      <c r="F60" s="9" t="n">
        <v>362.522</v>
      </c>
      <c r="G60" s="8" t="inlineStr">
        <is>
          <t>n/a</t>
        </is>
      </c>
      <c r="H60" s="7" t="inlineStr">
        <is>
          <t>AACE</t>
        </is>
      </c>
    </row>
    <row r="61">
      <c r="B61" s="7" t="inlineStr">
        <is>
          <t>623202</t>
        </is>
      </c>
      <c r="C61" s="8" t="inlineStr">
        <is>
          <t>COMMUNICATION OUTILS/WEB</t>
        </is>
      </c>
      <c r="D61" s="9" t="n">
        <v>3.36</v>
      </c>
      <c r="E61" s="9" t="n">
        <v>0</v>
      </c>
      <c r="F61" s="9" t="n">
        <v>3.36</v>
      </c>
      <c r="G61" s="8" t="inlineStr">
        <is>
          <t>n/a</t>
        </is>
      </c>
      <c r="H61" s="7" t="inlineStr">
        <is>
          <t>AACE</t>
        </is>
      </c>
    </row>
    <row r="62">
      <c r="B62" s="7" t="inlineStr">
        <is>
          <t>623203</t>
        </is>
      </c>
      <c r="C62" s="8" t="inlineStr">
        <is>
          <t>COMMUNICATION - SALONS</t>
        </is>
      </c>
      <c r="D62" s="9" t="n">
        <v>11.142</v>
      </c>
      <c r="E62" s="9" t="n">
        <v>0</v>
      </c>
      <c r="F62" s="9" t="n">
        <v>11.142</v>
      </c>
      <c r="G62" s="8" t="inlineStr">
        <is>
          <t>n/a</t>
        </is>
      </c>
      <c r="H62" s="7" t="inlineStr">
        <is>
          <t>AACE</t>
        </is>
      </c>
    </row>
    <row r="63">
      <c r="B63" s="7" t="inlineStr">
        <is>
          <t>623400</t>
        </is>
      </c>
      <c r="C63" s="8" t="inlineStr">
        <is>
          <t>CADEAUX CLIENTELE</t>
        </is>
      </c>
      <c r="D63" s="9" t="n">
        <v>2.687</v>
      </c>
      <c r="E63" s="9" t="n">
        <v>0</v>
      </c>
      <c r="F63" s="9" t="n">
        <v>2.687</v>
      </c>
      <c r="G63" s="8" t="inlineStr">
        <is>
          <t>n/a</t>
        </is>
      </c>
      <c r="H63" s="7" t="inlineStr">
        <is>
          <t>AACE</t>
        </is>
      </c>
    </row>
    <row r="64">
      <c r="B64" s="7" t="inlineStr">
        <is>
          <t>623500</t>
        </is>
      </c>
      <c r="C64" s="8" t="inlineStr">
        <is>
          <t>PARTICIPATION PUB CLIENT</t>
        </is>
      </c>
      <c r="D64" s="9" t="n">
        <v>143.076</v>
      </c>
      <c r="E64" s="9" t="n">
        <v>0</v>
      </c>
      <c r="F64" s="9" t="n">
        <v>143.076</v>
      </c>
      <c r="G64" s="8" t="inlineStr">
        <is>
          <t>n/a</t>
        </is>
      </c>
      <c r="H64" s="7" t="inlineStr">
        <is>
          <t>AACE</t>
        </is>
      </c>
    </row>
    <row r="65">
      <c r="B65" s="7" t="inlineStr">
        <is>
          <t>623800</t>
        </is>
      </c>
      <c r="C65" s="8" t="inlineStr">
        <is>
          <t>DONS . POURBOIRES . SPONSORING</t>
        </is>
      </c>
      <c r="D65" s="9" t="n">
        <v>5.347</v>
      </c>
      <c r="E65" s="9" t="n">
        <v>0</v>
      </c>
      <c r="F65" s="9" t="n">
        <v>5.347</v>
      </c>
      <c r="G65" s="8" t="inlineStr">
        <is>
          <t>n/a</t>
        </is>
      </c>
      <c r="H65" s="7" t="inlineStr">
        <is>
          <t>AACE</t>
        </is>
      </c>
    </row>
    <row r="66">
      <c r="B66" s="7" t="inlineStr">
        <is>
          <t>624100</t>
        </is>
      </c>
      <c r="C66" s="8" t="inlineStr">
        <is>
          <t>TRSP SUR ACHATS FRAIS GENERAUX</t>
        </is>
      </c>
      <c r="D66" s="9" t="n">
        <v>4.334</v>
      </c>
      <c r="E66" s="9" t="n">
        <v>0</v>
      </c>
      <c r="F66" s="9" t="n">
        <v>4.334</v>
      </c>
      <c r="G66" s="8" t="inlineStr">
        <is>
          <t>n/a</t>
        </is>
      </c>
      <c r="H66" s="7" t="inlineStr">
        <is>
          <t>AACE</t>
        </is>
      </c>
    </row>
    <row r="67">
      <c r="B67" s="7" t="inlineStr">
        <is>
          <t>624200</t>
        </is>
      </c>
      <c r="C67" s="8" t="inlineStr">
        <is>
          <t>TRSP SUR VENTES France</t>
        </is>
      </c>
      <c r="D67" s="9" t="n">
        <v>843.303</v>
      </c>
      <c r="E67" s="9" t="n">
        <v>0</v>
      </c>
      <c r="F67" s="9" t="n">
        <v>843.303</v>
      </c>
      <c r="G67" s="8" t="inlineStr">
        <is>
          <t>n/a</t>
        </is>
      </c>
      <c r="H67" s="7" t="inlineStr">
        <is>
          <t>AACE</t>
        </is>
      </c>
    </row>
    <row r="68">
      <c r="B68" s="7" t="inlineStr">
        <is>
          <t>624210</t>
        </is>
      </c>
      <c r="C68" s="8" t="inlineStr">
        <is>
          <t>TRSP SUR VENTES UNION EUROPEE</t>
        </is>
      </c>
      <c r="D68" s="9" t="n">
        <v>90.30800000000001</v>
      </c>
      <c r="E68" s="9" t="n">
        <v>0</v>
      </c>
      <c r="F68" s="9" t="n">
        <v>90.30800000000001</v>
      </c>
      <c r="G68" s="8" t="inlineStr">
        <is>
          <t>n/a</t>
        </is>
      </c>
      <c r="H68" s="7" t="inlineStr">
        <is>
          <t>AACE</t>
        </is>
      </c>
    </row>
    <row r="69">
      <c r="B69" s="7" t="inlineStr">
        <is>
          <t>624230</t>
        </is>
      </c>
      <c r="C69" s="8" t="inlineStr">
        <is>
          <t>TRSP SUR VENTES EXPORT</t>
        </is>
      </c>
      <c r="D69" s="9" t="n">
        <v>55.795</v>
      </c>
      <c r="E69" s="9" t="n">
        <v>0</v>
      </c>
      <c r="F69" s="9" t="n">
        <v>55.795</v>
      </c>
      <c r="G69" s="8" t="inlineStr">
        <is>
          <t>n/a</t>
        </is>
      </c>
      <c r="H69" s="7" t="inlineStr">
        <is>
          <t>AACE</t>
        </is>
      </c>
    </row>
    <row r="70">
      <c r="B70" s="7" t="inlineStr">
        <is>
          <t>625100</t>
        </is>
      </c>
      <c r="C70" s="8" t="inlineStr">
        <is>
          <t>VOYAGES &amp; DEPLACEMENTS</t>
        </is>
      </c>
      <c r="D70" s="9" t="n">
        <v>114.1</v>
      </c>
      <c r="E70" s="9" t="n">
        <v>0</v>
      </c>
      <c r="F70" s="9" t="n">
        <v>114.1</v>
      </c>
      <c r="G70" s="8" t="inlineStr">
        <is>
          <t>n/a</t>
        </is>
      </c>
      <c r="H70" s="7" t="inlineStr">
        <is>
          <t>AACE</t>
        </is>
      </c>
    </row>
    <row r="71">
      <c r="B71" s="7" t="inlineStr">
        <is>
          <t>625700</t>
        </is>
      </c>
      <c r="C71" s="8" t="inlineStr">
        <is>
          <t>FRAIS RECEPT VISITEURS FACTURES</t>
        </is>
      </c>
      <c r="D71" s="9" t="n">
        <v>34.697</v>
      </c>
      <c r="E71" s="9" t="n">
        <v>0</v>
      </c>
      <c r="F71" s="9" t="n">
        <v>34.697</v>
      </c>
      <c r="G71" s="8" t="inlineStr">
        <is>
          <t>n/a</t>
        </is>
      </c>
      <c r="H71" s="7" t="inlineStr">
        <is>
          <t>AACE</t>
        </is>
      </c>
    </row>
    <row r="72">
      <c r="B72" s="7" t="inlineStr">
        <is>
          <t>626000</t>
        </is>
      </c>
      <c r="C72" s="8" t="inlineStr">
        <is>
          <t>TIMBRES COURRIERS</t>
        </is>
      </c>
      <c r="D72" s="9" t="n">
        <v>9.617000000000001</v>
      </c>
      <c r="E72" s="9" t="n">
        <v>0</v>
      </c>
      <c r="F72" s="9" t="n">
        <v>9.617000000000001</v>
      </c>
      <c r="G72" s="8" t="inlineStr">
        <is>
          <t>n/a</t>
        </is>
      </c>
      <c r="H72" s="7" t="inlineStr">
        <is>
          <t>AACE</t>
        </is>
      </c>
    </row>
    <row r="73">
      <c r="B73" s="7" t="inlineStr">
        <is>
          <t>626100</t>
        </is>
      </c>
      <c r="C73" s="8" t="inlineStr">
        <is>
          <t>TELEPHONE PORTABLE</t>
        </is>
      </c>
      <c r="D73" s="9" t="n">
        <v>1.309</v>
      </c>
      <c r="E73" s="9" t="n">
        <v>0</v>
      </c>
      <c r="F73" s="9" t="n">
        <v>1.309</v>
      </c>
      <c r="G73" s="8" t="inlineStr">
        <is>
          <t>n/a</t>
        </is>
      </c>
      <c r="H73" s="7" t="inlineStr">
        <is>
          <t>AACE</t>
        </is>
      </c>
    </row>
    <row r="74">
      <c r="B74" s="7" t="inlineStr">
        <is>
          <t>626110</t>
        </is>
      </c>
      <c r="C74" s="8" t="inlineStr">
        <is>
          <t>TELEPHONE INTERNET</t>
        </is>
      </c>
      <c r="D74" s="9" t="n">
        <v>17.361</v>
      </c>
      <c r="E74" s="9" t="n">
        <v>0</v>
      </c>
      <c r="F74" s="9" t="n">
        <v>17.361</v>
      </c>
      <c r="G74" s="8" t="inlineStr">
        <is>
          <t>n/a</t>
        </is>
      </c>
      <c r="H74" s="7" t="inlineStr">
        <is>
          <t>AACE</t>
        </is>
      </c>
    </row>
    <row r="75">
      <c r="B75" s="7" t="inlineStr">
        <is>
          <t>627540</t>
        </is>
      </c>
      <c r="C75" s="8" t="inlineStr">
        <is>
          <t>COMMISSIONS BANCAIRES TTC</t>
        </is>
      </c>
      <c r="D75" s="9" t="n">
        <v>21.818</v>
      </c>
      <c r="E75" s="9" t="n">
        <v>0</v>
      </c>
      <c r="F75" s="9" t="n">
        <v>21.818</v>
      </c>
      <c r="G75" s="8" t="inlineStr">
        <is>
          <t>n/a</t>
        </is>
      </c>
      <c r="H75" s="7" t="inlineStr">
        <is>
          <t>AACE</t>
        </is>
      </c>
    </row>
    <row r="76">
      <c r="B76" s="7" t="inlineStr">
        <is>
          <t>628100</t>
        </is>
      </c>
      <c r="C76" s="8" t="inlineStr">
        <is>
          <t>COTISATIONS PROFESSIONNELLES</t>
        </is>
      </c>
      <c r="D76" s="9" t="n">
        <v>29.679</v>
      </c>
      <c r="E76" s="9" t="n">
        <v>0</v>
      </c>
      <c r="F76" s="9" t="n">
        <v>29.679</v>
      </c>
      <c r="G76" s="8" t="inlineStr">
        <is>
          <t>n/a</t>
        </is>
      </c>
      <c r="H76" s="7" t="inlineStr">
        <is>
          <t>AACE</t>
        </is>
      </c>
    </row>
    <row r="77">
      <c r="B77" s="7" t="inlineStr">
        <is>
          <t>628400</t>
        </is>
      </c>
      <c r="C77" s="8" t="inlineStr">
        <is>
          <t>PRESTATIONS DE RECRUTEMENT</t>
        </is>
      </c>
      <c r="D77" s="9" t="n">
        <v>80.128</v>
      </c>
      <c r="E77" s="9" t="n">
        <v>0</v>
      </c>
      <c r="F77" s="9" t="n">
        <v>80.128</v>
      </c>
      <c r="G77" s="8" t="inlineStr">
        <is>
          <t>n/a</t>
        </is>
      </c>
      <c r="H77" s="7" t="inlineStr">
        <is>
          <t>AACE</t>
        </is>
      </c>
    </row>
    <row r="79">
      <c r="B79" s="11" t="inlineStr">
        <is>
          <t>TOTAL AACE</t>
        </is>
      </c>
      <c r="D79" s="12" t="n">
        <v>6185.915</v>
      </c>
      <c r="E79" s="12" t="n">
        <v>0</v>
      </c>
      <c r="F79" s="12" t="n">
        <v>6185.915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-0</v>
      </c>
      <c r="F11" s="9" t="n">
        <v>1150.001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-0</v>
      </c>
      <c r="F12" s="9" t="n">
        <v>115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-0</v>
      </c>
      <c r="F13" s="9" t="n">
        <v>2866.188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0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-0</v>
      </c>
      <c r="F18" s="9" t="n">
        <v>34.5</v>
      </c>
      <c r="G18" s="8" t="inlineStr">
        <is>
          <t>n/a</t>
        </is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-0</v>
      </c>
      <c r="F11" s="9" t="n">
        <v>30</v>
      </c>
      <c r="G11" s="8" t="inlineStr">
        <is>
          <t>n/a</t>
        </is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0</v>
      </c>
      <c r="F11" s="9" t="n">
        <v>330.084</v>
      </c>
      <c r="G11" s="8" t="inlineStr">
        <is>
          <t>n/a</t>
        </is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0</v>
      </c>
      <c r="F12" s="9" t="n">
        <v>401.728</v>
      </c>
      <c r="G12" s="8" t="inlineStr">
        <is>
          <t>n/a</t>
        </is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0</v>
      </c>
      <c r="F14" s="9" t="n">
        <v>154.195</v>
      </c>
      <c r="G14" s="8" t="inlineStr">
        <is>
          <t>n/a</t>
        </is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</v>
      </c>
      <c r="F15" s="9" t="n">
        <v>92.181</v>
      </c>
      <c r="G15" s="8" t="inlineStr">
        <is>
          <t>n/a</t>
        </is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0</v>
      </c>
      <c r="F17" s="9" t="n">
        <v>141.961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</v>
      </c>
      <c r="F18" s="9" t="n">
        <v>11.525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0</v>
      </c>
      <c r="F20" s="9" t="n">
        <v>0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0</v>
      </c>
      <c r="F21" s="9" t="n">
        <v>6.685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0</v>
      </c>
      <c r="F24" s="9" t="n">
        <v>8.086</v>
      </c>
      <c r="G24" s="8" t="inlineStr">
        <is>
          <t>n/a</t>
        </is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0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-0</v>
      </c>
      <c r="F28" s="9" t="n">
        <v>0</v>
      </c>
      <c r="G28" s="8" t="inlineStr">
        <is>
          <t>n/a</t>
        </is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-0</v>
      </c>
      <c r="F29" s="9" t="n">
        <v>1106.052</v>
      </c>
      <c r="G29" s="8" t="inlineStr">
        <is>
          <t>n/a</t>
        </is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-0</v>
      </c>
      <c r="F30" s="9" t="n">
        <v>299.025</v>
      </c>
      <c r="G30" s="8" t="inlineStr">
        <is>
          <t>n/a</t>
        </is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-0</v>
      </c>
      <c r="F31" s="9" t="n">
        <v>0</v>
      </c>
      <c r="G31" s="8" t="inlineStr">
        <is>
          <t>n/a</t>
        </is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-0</v>
      </c>
      <c r="F32" s="9" t="n">
        <v>0</v>
      </c>
      <c r="G32" s="8" t="inlineStr">
        <is>
          <t>n/a</t>
        </is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-0</v>
      </c>
      <c r="F33" s="9" t="n">
        <v>0</v>
      </c>
      <c r="G33" s="8" t="inlineStr">
        <is>
          <t>n/a</t>
        </is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-0</v>
      </c>
      <c r="F34" s="9" t="n">
        <v>3172.836</v>
      </c>
      <c r="G34" s="8" t="inlineStr">
        <is>
          <t>n/a</t>
        </is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-0</v>
      </c>
      <c r="F35" s="9" t="n">
        <v>-160.81</v>
      </c>
      <c r="G35" s="8" t="inlineStr">
        <is>
          <t>n/a</t>
        </is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-0</v>
      </c>
      <c r="F36" s="9" t="n">
        <v>-71.73999999999999</v>
      </c>
      <c r="G36" s="8" t="inlineStr">
        <is>
          <t>n/a</t>
        </is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-0</v>
      </c>
      <c r="F37" s="9" t="n">
        <v>-183.088</v>
      </c>
      <c r="G37" s="8" t="inlineStr">
        <is>
          <t>n/a</t>
        </is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-0</v>
      </c>
      <c r="F38" s="9" t="n">
        <v>3.643</v>
      </c>
      <c r="G38" s="8" t="inlineStr">
        <is>
          <t>n/a</t>
        </is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-0</v>
      </c>
      <c r="F40" s="9" t="n">
        <v>42.255</v>
      </c>
      <c r="G40" s="8" t="inlineStr">
        <is>
          <t>n/a</t>
        </is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-0</v>
      </c>
      <c r="F41" s="9" t="n">
        <v>-3.791</v>
      </c>
      <c r="G41" s="8" t="inlineStr">
        <is>
          <t>n/a</t>
        </is>
      </c>
      <c r="H41" s="7" t="inlineStr">
        <is>
          <t>F0</t>
        </is>
      </c>
      <c r="J41" s="7" t="inlineStr">
        <is>
          <t>F</t>
        </is>
      </c>
    </row>
    <row r="43">
      <c r="B43" s="10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0</v>
      </c>
      <c r="F44" s="9" t="n">
        <v>79.471</v>
      </c>
      <c r="G44" s="8" t="inlineStr">
        <is>
          <t>n/a</t>
        </is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0</v>
      </c>
      <c r="F45" s="9" t="n">
        <v>0.001</v>
      </c>
      <c r="G45" s="8" t="inlineStr">
        <is>
          <t>n/a</t>
        </is>
      </c>
      <c r="H45" s="7" t="inlineStr">
        <is>
          <t>F0</t>
        </is>
      </c>
      <c r="J45" s="7" t="inlineStr">
        <is>
          <t>F</t>
        </is>
      </c>
    </row>
    <row r="47">
      <c r="B47" s="10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-0</v>
      </c>
      <c r="F49" s="9" t="n">
        <v>3.261</v>
      </c>
      <c r="G49" s="8" t="inlineStr">
        <is>
          <t>n/a</t>
        </is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0</v>
      </c>
      <c r="F11" s="9" t="n">
        <v>186.351</v>
      </c>
      <c r="G11" s="8" t="inlineStr">
        <is>
          <t>n/a</t>
        </is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0</v>
      </c>
      <c r="F12" s="9" t="n">
        <v>-29.207</v>
      </c>
      <c r="G12" s="8" t="inlineStr">
        <is>
          <t>n/a</t>
        </is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0</v>
      </c>
      <c r="F11" s="9" t="n">
        <v>5</v>
      </c>
      <c r="G11" s="8" t="inlineStr">
        <is>
          <t>n/a</t>
        </is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0</v>
      </c>
      <c r="F12" s="9" t="n">
        <v>29.207</v>
      </c>
      <c r="G12" s="8" t="inlineStr">
        <is>
          <t>n/a</t>
        </is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0</v>
      </c>
      <c r="F13" s="9" t="n">
        <v>21</v>
      </c>
      <c r="G13" s="8" t="inlineStr">
        <is>
          <t>n/a</t>
        </is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0</v>
      </c>
      <c r="F14" s="9" t="n">
        <v>22.983</v>
      </c>
      <c r="G14" s="8" t="inlineStr">
        <is>
          <t>n/a</t>
        </is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0</v>
      </c>
      <c r="F15" s="9" t="n">
        <v>318.631</v>
      </c>
      <c r="G15" s="8" t="inlineStr">
        <is>
          <t>n/a</t>
        </is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0</v>
      </c>
      <c r="F16" s="9" t="n">
        <v>1487.441</v>
      </c>
      <c r="G16" s="8" t="inlineStr">
        <is>
          <t>n/a</t>
        </is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0</v>
      </c>
      <c r="F17" s="9" t="n">
        <v>25.537</v>
      </c>
      <c r="G17" s="8" t="inlineStr">
        <is>
          <t>n/a</t>
        </is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0</v>
      </c>
      <c r="F18" s="9" t="n">
        <v>14.266</v>
      </c>
      <c r="G18" s="8" t="inlineStr">
        <is>
          <t>n/a</t>
        </is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0</v>
      </c>
      <c r="F19" s="9" t="n">
        <v>272.022</v>
      </c>
      <c r="G19" s="8" t="inlineStr">
        <is>
          <t>n/a</t>
        </is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0</v>
      </c>
      <c r="F20" s="9" t="n">
        <v>17.576</v>
      </c>
      <c r="G20" s="8" t="inlineStr">
        <is>
          <t>n/a</t>
        </is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0</v>
      </c>
      <c r="F21" s="9" t="n">
        <v>115.469</v>
      </c>
      <c r="G21" s="8" t="inlineStr">
        <is>
          <t>n/a</t>
        </is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0</v>
      </c>
      <c r="F22" s="9" t="n">
        <v>18.893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0</v>
      </c>
      <c r="F25" s="9" t="n">
        <v>-21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0</v>
      </c>
      <c r="F26" s="9" t="n">
        <v>-22.983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0</v>
      </c>
      <c r="F27" s="9" t="n">
        <v>-228.078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0</v>
      </c>
      <c r="F28" s="9" t="n">
        <v>-1430.907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0</v>
      </c>
      <c r="F29" s="9" t="n">
        <v>-20.177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0</v>
      </c>
      <c r="F30" s="9" t="n">
        <v>-10.467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0</v>
      </c>
      <c r="F31" s="9" t="n">
        <v>-153.942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0</v>
      </c>
      <c r="F32" s="9" t="n">
        <v>-15.348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0</v>
      </c>
      <c r="F33" s="9" t="n">
        <v>-81.373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0</v>
      </c>
      <c r="F34" s="9" t="n">
        <v>-11.44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</row>
    <row r="36">
      <c r="B36" s="10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0</v>
      </c>
      <c r="F37" s="9" t="n">
        <v>298.308</v>
      </c>
      <c r="G37" s="8" t="inlineStr">
        <is>
          <t>n/a</t>
        </is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0</v>
      </c>
      <c r="F11" s="9" t="n">
        <v>3284.904</v>
      </c>
      <c r="G11" s="8" t="inlineStr">
        <is>
          <t>n/a</t>
        </is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0</v>
      </c>
      <c r="F12" s="9" t="n">
        <v>75.611</v>
      </c>
      <c r="G12" s="8" t="inlineStr">
        <is>
          <t>n/a</t>
        </is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0</v>
      </c>
      <c r="F13" s="9" t="n">
        <v>104.093</v>
      </c>
      <c r="G13" s="8" t="inlineStr">
        <is>
          <t>n/a</t>
        </is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0</v>
      </c>
      <c r="F14" s="9" t="n">
        <v>0.804</v>
      </c>
      <c r="G14" s="8" t="inlineStr">
        <is>
          <t>n/a</t>
        </is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0</v>
      </c>
      <c r="F15" s="9" t="n">
        <v>435.321</v>
      </c>
      <c r="G15" s="8" t="inlineStr">
        <is>
          <t>n/a</t>
        </is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0</v>
      </c>
      <c r="F11" s="9" t="n">
        <v>1061.277</v>
      </c>
      <c r="G11" s="8" t="inlineStr">
        <is>
          <t>n/a</t>
        </is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0</v>
      </c>
      <c r="F12" s="9" t="n">
        <v>387.649</v>
      </c>
      <c r="G12" s="8" t="inlineStr">
        <is>
          <t>n/a</t>
        </is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0</v>
      </c>
      <c r="F13" s="9" t="n">
        <v>160.986</v>
      </c>
      <c r="G13" s="8" t="inlineStr">
        <is>
          <t>n/a</t>
        </is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0</v>
      </c>
      <c r="F14" s="9" t="n">
        <v>167.044</v>
      </c>
      <c r="G14" s="8" t="inlineStr">
        <is>
          <t>n/a</t>
        </is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0</v>
      </c>
      <c r="F15" s="9" t="n">
        <v>1178.005</v>
      </c>
      <c r="G15" s="8" t="inlineStr">
        <is>
          <t>n/a</t>
        </is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0</v>
      </c>
      <c r="F16" s="9" t="n">
        <v>540.3099999999999</v>
      </c>
      <c r="G16" s="8" t="inlineStr">
        <is>
          <t>n/a</t>
        </is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0</v>
      </c>
      <c r="F17" s="9" t="n">
        <v>-7.074</v>
      </c>
      <c r="G17" s="8" t="inlineStr">
        <is>
          <t>n/a</t>
        </is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0</v>
      </c>
      <c r="F18" s="9" t="n">
        <v>-17.653</v>
      </c>
      <c r="G18" s="8" t="inlineStr">
        <is>
          <t>n/a</t>
        </is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0</v>
      </c>
      <c r="F19" s="9" t="n">
        <v>-2.589</v>
      </c>
      <c r="G19" s="8" t="inlineStr">
        <is>
          <t>n/a</t>
        </is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0</v>
      </c>
      <c r="F20" s="9" t="n">
        <v>-2.412</v>
      </c>
      <c r="G20" s="8" t="inlineStr">
        <is>
          <t>n/a</t>
        </is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0</v>
      </c>
      <c r="F21" s="9" t="n">
        <v>-6.887</v>
      </c>
      <c r="G21" s="8" t="inlineStr">
        <is>
          <t>n/a</t>
        </is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0</v>
      </c>
      <c r="F22" s="9" t="n">
        <v>-6.943</v>
      </c>
      <c r="G22" s="8" t="inlineStr">
        <is>
          <t>n/a</t>
        </is>
      </c>
      <c r="H22" s="7" t="inlineStr">
        <is>
          <t>S0</t>
        </is>
      </c>
      <c r="J22" s="7" t="inlineStr">
        <is>
          <t>S</t>
        </is>
      </c>
    </row>
    <row r="24">
      <c r="B24" s="10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0</v>
      </c>
      <c r="F25" s="9" t="n">
        <v>-501.417</v>
      </c>
      <c r="G25" s="8" t="inlineStr">
        <is>
          <t>n/a</t>
        </is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0</v>
      </c>
      <c r="F26" s="9" t="n">
        <v>-38.19</v>
      </c>
      <c r="G26" s="8" t="inlineStr">
        <is>
          <t>n/a</t>
        </is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0</v>
      </c>
      <c r="F27" s="9" t="n">
        <v>-99.37</v>
      </c>
      <c r="G27" s="8" t="inlineStr">
        <is>
          <t>n/a</t>
        </is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0</v>
      </c>
      <c r="F28" s="9" t="n">
        <v>13.228</v>
      </c>
      <c r="G28" s="8" t="inlineStr">
        <is>
          <t>n/a</t>
        </is>
      </c>
      <c r="H28" s="7" t="inlineStr">
        <is>
          <t>S0</t>
        </is>
      </c>
      <c r="J28" s="7" t="inlineStr">
        <is>
          <t>S</t>
        </is>
      </c>
    </row>
    <row r="30">
      <c r="B30" s="10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-0</v>
      </c>
      <c r="F31" s="9" t="n">
        <v>-149.922</v>
      </c>
      <c r="G31" s="8" t="inlineStr">
        <is>
          <t>n/a</t>
        </is>
      </c>
      <c r="H31" s="7" t="inlineStr">
        <is>
          <t>S0</t>
        </is>
      </c>
      <c r="J31" s="7" t="inlineStr">
        <is>
          <t>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0</v>
      </c>
      <c r="F12" s="9" t="n">
        <v>144.09</v>
      </c>
      <c r="G12" s="8" t="inlineStr">
        <is>
          <t>n/a</t>
        </is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0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-0</v>
      </c>
      <c r="F16" s="9" t="n">
        <v>512.977</v>
      </c>
      <c r="G16" s="8" t="inlineStr">
        <is>
          <t>n/a</t>
        </is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-0</v>
      </c>
      <c r="F19" s="9" t="n">
        <v>533.696</v>
      </c>
      <c r="G19" s="8" t="inlineStr">
        <is>
          <t>n/a</t>
        </is>
      </c>
      <c r="H19" s="7" t="inlineStr">
        <is>
          <t>A0</t>
        </is>
      </c>
      <c r="J19" s="7" t="inlineStr">
        <is>
          <t>A</t>
        </is>
      </c>
    </row>
    <row r="21">
      <c r="B21" s="10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0</v>
      </c>
      <c r="F22" s="9" t="n">
        <v>910.128</v>
      </c>
      <c r="G22" s="8" t="inlineStr">
        <is>
          <t>n/a</t>
        </is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0</v>
      </c>
      <c r="F23" s="9" t="n">
        <v>403.396</v>
      </c>
      <c r="G23" s="8" t="inlineStr">
        <is>
          <t>n/a</t>
        </is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0</v>
      </c>
      <c r="F24" s="9" t="n">
        <v>1037.085</v>
      </c>
      <c r="G24" s="8" t="inlineStr">
        <is>
          <t>n/a</t>
        </is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0</v>
      </c>
      <c r="F25" s="9" t="n">
        <v>359.768</v>
      </c>
      <c r="G25" s="8" t="inlineStr">
        <is>
          <t>n/a</t>
        </is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0</v>
      </c>
      <c r="F26" s="9" t="n">
        <v>180.103</v>
      </c>
      <c r="G26" s="8" t="inlineStr">
        <is>
          <t>n/a</t>
        </is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0</v>
      </c>
      <c r="F27" s="9" t="n">
        <v>21.69</v>
      </c>
      <c r="G27" s="8" t="inlineStr">
        <is>
          <t>n/a</t>
        </is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0</v>
      </c>
      <c r="F28" s="9" t="n">
        <v>274.75</v>
      </c>
      <c r="G28" s="8" t="inlineStr">
        <is>
          <t>n/a</t>
        </is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0</v>
      </c>
      <c r="F30" s="9" t="n">
        <v>2266.391</v>
      </c>
      <c r="G30" s="8" t="inlineStr">
        <is>
          <t>n/a</t>
        </is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0</v>
      </c>
      <c r="F31" s="9" t="n">
        <v>2673.238</v>
      </c>
      <c r="G31" s="8" t="inlineStr">
        <is>
          <t>n/a</t>
        </is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0</v>
      </c>
      <c r="F32" s="9" t="n">
        <v>256.109</v>
      </c>
      <c r="G32" s="8" t="inlineStr">
        <is>
          <t>n/a</t>
        </is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0</v>
      </c>
      <c r="F33" s="9" t="n">
        <v>8.127000000000001</v>
      </c>
      <c r="G33" s="8" t="inlineStr">
        <is>
          <t>n/a</t>
        </is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0</v>
      </c>
      <c r="F34" s="9" t="n">
        <v>6.21</v>
      </c>
      <c r="G34" s="8" t="inlineStr">
        <is>
          <t>n/a</t>
        </is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0</v>
      </c>
      <c r="F35" s="9" t="n">
        <v>11.344</v>
      </c>
      <c r="G35" s="8" t="inlineStr">
        <is>
          <t>n/a</t>
        </is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0</v>
      </c>
      <c r="F36" s="9" t="n">
        <v>2.98</v>
      </c>
      <c r="G36" s="8" t="inlineStr">
        <is>
          <t>n/a</t>
        </is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0</v>
      </c>
      <c r="F37" s="9" t="n">
        <v>555.276</v>
      </c>
      <c r="G37" s="8" t="inlineStr">
        <is>
          <t>n/a</t>
        </is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0</v>
      </c>
      <c r="F38" s="9" t="n">
        <v>960.287</v>
      </c>
      <c r="G38" s="8" t="inlineStr">
        <is>
          <t>n/a</t>
        </is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0</v>
      </c>
      <c r="F40" s="9" t="n">
        <v>93.708</v>
      </c>
      <c r="G40" s="8" t="inlineStr">
        <is>
          <t>n/a</t>
        </is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0</v>
      </c>
      <c r="F41" s="9" t="n">
        <v>11.114</v>
      </c>
      <c r="G41" s="8" t="inlineStr">
        <is>
          <t>n/a</t>
        </is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0</v>
      </c>
      <c r="F42" s="9" t="n">
        <v>81.84699999999999</v>
      </c>
      <c r="G42" s="8" t="inlineStr">
        <is>
          <t>n/a</t>
        </is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0</v>
      </c>
      <c r="F43" s="9" t="n">
        <v>27.431</v>
      </c>
      <c r="G43" s="8" t="inlineStr">
        <is>
          <t>n/a</t>
        </is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0</v>
      </c>
      <c r="F44" s="9" t="n">
        <v>5.712</v>
      </c>
      <c r="G44" s="8" t="inlineStr">
        <is>
          <t>n/a</t>
        </is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0</v>
      </c>
      <c r="F45" s="9" t="n">
        <v>-5.691</v>
      </c>
      <c r="G45" s="8" t="inlineStr">
        <is>
          <t>n/a</t>
        </is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0</v>
      </c>
      <c r="F46" s="9" t="n">
        <v>-1.482</v>
      </c>
      <c r="G46" s="8" t="inlineStr">
        <is>
          <t>n/a</t>
        </is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0</v>
      </c>
      <c r="F47" s="9" t="n">
        <v>25.272</v>
      </c>
      <c r="G47" s="8" t="inlineStr">
        <is>
          <t>n/a</t>
        </is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0</v>
      </c>
      <c r="F48" s="9" t="n">
        <v>189.261</v>
      </c>
      <c r="G48" s="8" t="inlineStr">
        <is>
          <t>n/a</t>
        </is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0</v>
      </c>
      <c r="F50" s="9" t="n">
        <v>110.991</v>
      </c>
      <c r="G50" s="8" t="inlineStr">
        <is>
          <t>n/a</t>
        </is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0</v>
      </c>
      <c r="F51" s="9" t="n">
        <v>5.36</v>
      </c>
      <c r="G51" s="8" t="inlineStr">
        <is>
          <t>n/a</t>
        </is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0</v>
      </c>
      <c r="F52" s="9" t="n">
        <v>416.167</v>
      </c>
      <c r="G52" s="8" t="inlineStr">
        <is>
          <t>n/a</t>
        </is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0</v>
      </c>
      <c r="F53" s="9" t="n">
        <v>103.74</v>
      </c>
      <c r="G53" s="8" t="inlineStr">
        <is>
          <t>n/a</t>
        </is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0</v>
      </c>
      <c r="F54" s="9" t="n">
        <v>18.122</v>
      </c>
      <c r="G54" s="8" t="inlineStr">
        <is>
          <t>n/a</t>
        </is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0</v>
      </c>
      <c r="F55" s="9" t="n">
        <v>11.395</v>
      </c>
      <c r="G55" s="8" t="inlineStr">
        <is>
          <t>n/a</t>
        </is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0</v>
      </c>
      <c r="F56" s="9" t="n">
        <v>0.099</v>
      </c>
      <c r="G56" s="8" t="inlineStr">
        <is>
          <t>n/a</t>
        </is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0</v>
      </c>
      <c r="F57" s="9" t="n">
        <v>12.24</v>
      </c>
      <c r="G57" s="8" t="inlineStr">
        <is>
          <t>n/a</t>
        </is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0</v>
      </c>
      <c r="F58" s="9" t="n">
        <v>25.323</v>
      </c>
      <c r="G58" s="8" t="inlineStr">
        <is>
          <t>n/a</t>
        </is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0</v>
      </c>
      <c r="F59" s="9" t="n">
        <v>0.57</v>
      </c>
      <c r="G59" s="8" t="inlineStr">
        <is>
          <t>n/a</t>
        </is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0</v>
      </c>
      <c r="F60" s="9" t="n">
        <v>25.18</v>
      </c>
      <c r="G60" s="8" t="inlineStr">
        <is>
          <t>n/a</t>
        </is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0</v>
      </c>
      <c r="F61" s="9" t="n">
        <v>19.321</v>
      </c>
      <c r="G61" s="8" t="inlineStr">
        <is>
          <t>n/a</t>
        </is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0</v>
      </c>
      <c r="F62" s="9" t="n">
        <v>6.057</v>
      </c>
      <c r="G62" s="8" t="inlineStr">
        <is>
          <t>n/a</t>
        </is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0</v>
      </c>
      <c r="F63" s="9" t="n">
        <v>2.044</v>
      </c>
      <c r="G63" s="8" t="inlineStr">
        <is>
          <t>n/a</t>
        </is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0</v>
      </c>
      <c r="F64" s="9" t="n">
        <v>2.499</v>
      </c>
      <c r="G64" s="8" t="inlineStr">
        <is>
          <t>n/a</t>
        </is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0</v>
      </c>
      <c r="F65" s="9" t="n">
        <v>69.854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</v>
      </c>
      <c r="F66" s="9" t="n">
        <v>1.733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0</v>
      </c>
      <c r="F67" s="9" t="n">
        <v>25.786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0</v>
      </c>
      <c r="F69" s="9" t="n">
        <v>23.171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0</v>
      </c>
      <c r="F70" s="9" t="n">
        <v>1.909</v>
      </c>
      <c r="G70" s="8" t="inlineStr">
        <is>
          <t>n/a</t>
        </is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0</v>
      </c>
      <c r="F71" s="9" t="n">
        <v>3.871</v>
      </c>
      <c r="G71" s="8" t="inlineStr">
        <is>
          <t>n/a</t>
        </is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0</v>
      </c>
      <c r="F72" s="9" t="n">
        <v>13.028</v>
      </c>
      <c r="G72" s="8" t="inlineStr">
        <is>
          <t>n/a</t>
        </is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0</v>
      </c>
      <c r="F74" s="9" t="n">
        <v>58.595</v>
      </c>
      <c r="G74" s="8" t="inlineStr">
        <is>
          <t>n/a</t>
        </is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0</v>
      </c>
      <c r="F75" s="9" t="n">
        <v>147.499</v>
      </c>
      <c r="G75" s="8" t="inlineStr">
        <is>
          <t>n/a</t>
        </is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0</v>
      </c>
      <c r="F76" s="9" t="n">
        <v>5.443</v>
      </c>
      <c r="G76" s="8" t="inlineStr">
        <is>
          <t>n/a</t>
        </is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0</v>
      </c>
      <c r="F77" s="9" t="n">
        <v>716.516</v>
      </c>
      <c r="G77" s="8" t="inlineStr">
        <is>
          <t>n/a</t>
        </is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</v>
      </c>
      <c r="F79" s="9" t="n">
        <v>10.39</v>
      </c>
      <c r="G79" s="8" t="inlineStr">
        <is>
          <t>n/a</t>
        </is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</v>
      </c>
      <c r="F80" s="9" t="n">
        <v>0.218</v>
      </c>
      <c r="G80" s="8" t="inlineStr">
        <is>
          <t>n/a</t>
        </is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0</v>
      </c>
      <c r="F81" s="9" t="n">
        <v>85.032</v>
      </c>
      <c r="G81" s="8" t="inlineStr">
        <is>
          <t>n/a</t>
        </is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0</v>
      </c>
      <c r="F82" s="9" t="n">
        <v>362.522</v>
      </c>
      <c r="G82" s="8" t="inlineStr">
        <is>
          <t>n/a</t>
        </is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</v>
      </c>
      <c r="F85" s="9" t="n">
        <v>2.687</v>
      </c>
      <c r="G85" s="8" t="inlineStr">
        <is>
          <t>n/a</t>
        </is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0</v>
      </c>
      <c r="F86" s="9" t="n">
        <v>143.076</v>
      </c>
      <c r="G86" s="8" t="inlineStr">
        <is>
          <t>n/a</t>
        </is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0</v>
      </c>
      <c r="F87" s="9" t="n">
        <v>5.347</v>
      </c>
      <c r="G87" s="8" t="inlineStr">
        <is>
          <t>n/a</t>
        </is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</v>
      </c>
      <c r="F88" s="9" t="n">
        <v>4.334</v>
      </c>
      <c r="G88" s="8" t="inlineStr">
        <is>
          <t>n/a</t>
        </is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0</v>
      </c>
      <c r="F89" s="9" t="n">
        <v>843.303</v>
      </c>
      <c r="G89" s="8" t="inlineStr">
        <is>
          <t>n/a</t>
        </is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0</v>
      </c>
      <c r="F90" s="9" t="n">
        <v>90.30800000000001</v>
      </c>
      <c r="G90" s="8" t="inlineStr">
        <is>
          <t>n/a</t>
        </is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0</v>
      </c>
      <c r="F91" s="9" t="n">
        <v>55.795</v>
      </c>
      <c r="G91" s="8" t="inlineStr">
        <is>
          <t>n/a</t>
        </is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0</v>
      </c>
      <c r="F92" s="9" t="n">
        <v>114.1</v>
      </c>
      <c r="G92" s="8" t="inlineStr">
        <is>
          <t>n/a</t>
        </is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0</v>
      </c>
      <c r="F93" s="9" t="n">
        <v>34.697</v>
      </c>
      <c r="G93" s="8" t="inlineStr">
        <is>
          <t>n/a</t>
        </is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0</v>
      </c>
      <c r="F94" s="9" t="n">
        <v>9.617000000000001</v>
      </c>
      <c r="G94" s="8" t="inlineStr">
        <is>
          <t>n/a</t>
        </is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0</v>
      </c>
      <c r="F95" s="9" t="n">
        <v>1.309</v>
      </c>
      <c r="G95" s="8" t="inlineStr">
        <is>
          <t>n/a</t>
        </is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0</v>
      </c>
      <c r="F96" s="9" t="n">
        <v>17.361</v>
      </c>
      <c r="G96" s="8" t="inlineStr">
        <is>
          <t>n/a</t>
        </is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0</v>
      </c>
      <c r="F97" s="9" t="n">
        <v>21.818</v>
      </c>
      <c r="G97" s="8" t="inlineStr">
        <is>
          <t>n/a</t>
        </is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0</v>
      </c>
      <c r="F98" s="9" t="n">
        <v>29.679</v>
      </c>
      <c r="G98" s="8" t="inlineStr">
        <is>
          <t>n/a</t>
        </is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0</v>
      </c>
      <c r="F99" s="9" t="n">
        <v>80.128</v>
      </c>
      <c r="G99" s="8" t="inlineStr">
        <is>
          <t>n/a</t>
        </is>
      </c>
      <c r="H99" s="7" t="inlineStr">
        <is>
          <t>A0</t>
        </is>
      </c>
      <c r="J99" s="7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0</v>
      </c>
      <c r="F11" s="9" t="n">
        <v>1700.429</v>
      </c>
      <c r="G11" s="8" t="inlineStr">
        <is>
          <t>n/a</t>
        </is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0</v>
      </c>
      <c r="F14" s="9" t="n">
        <v>2.131</v>
      </c>
      <c r="G14" s="8" t="inlineStr">
        <is>
          <t>n/a</t>
        </is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0</v>
      </c>
      <c r="F15" s="9" t="n">
        <v>15.295</v>
      </c>
      <c r="G15" s="8" t="inlineStr">
        <is>
          <t>n/a</t>
        </is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0</v>
      </c>
      <c r="F16" s="9" t="n">
        <v>492.794</v>
      </c>
      <c r="G16" s="8" t="inlineStr">
        <is>
          <t>n/a</t>
        </is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0</v>
      </c>
      <c r="F17" s="9" t="n">
        <v>-14.288</v>
      </c>
      <c r="G17" s="8" t="inlineStr">
        <is>
          <t>n/a</t>
        </is>
      </c>
      <c r="H17" s="7" t="inlineStr">
        <is>
          <t>V0</t>
        </is>
      </c>
      <c r="J17" s="7" t="inlineStr">
        <is>
          <t>V</t>
        </is>
      </c>
    </row>
    <row r="19">
      <c r="B19" s="10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0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-0</v>
      </c>
      <c r="F23" s="9" t="n">
        <v>12454.427</v>
      </c>
      <c r="G23" s="8" t="inlineStr">
        <is>
          <t>n/a</t>
        </is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-0</v>
      </c>
      <c r="F24" s="9" t="n">
        <v>1795.792</v>
      </c>
      <c r="G24" s="8" t="inlineStr">
        <is>
          <t>n/a</t>
        </is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-0</v>
      </c>
      <c r="F25" s="9" t="n">
        <v>87.102</v>
      </c>
      <c r="G25" s="8" t="inlineStr">
        <is>
          <t>n/a</t>
        </is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-0</v>
      </c>
      <c r="F26" s="9" t="n">
        <v>802.322</v>
      </c>
      <c r="G26" s="8" t="inlineStr">
        <is>
          <t>n/a</t>
        </is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-0</v>
      </c>
      <c r="F27" s="9" t="n">
        <v>15.388</v>
      </c>
      <c r="G27" s="8" t="inlineStr">
        <is>
          <t>n/a</t>
        </is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-0</v>
      </c>
      <c r="F28" s="9" t="n">
        <v>2433.986</v>
      </c>
      <c r="G28" s="8" t="inlineStr">
        <is>
          <t>n/a</t>
        </is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-0</v>
      </c>
      <c r="F29" s="9" t="n">
        <v>493.132</v>
      </c>
      <c r="G29" s="8" t="inlineStr">
        <is>
          <t>n/a</t>
        </is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-0</v>
      </c>
      <c r="F30" s="9" t="n">
        <v>44.564</v>
      </c>
      <c r="G30" s="8" t="inlineStr">
        <is>
          <t>n/a</t>
        </is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-0</v>
      </c>
      <c r="F31" s="9" t="n">
        <v>209.102</v>
      </c>
      <c r="G31" s="8" t="inlineStr">
        <is>
          <t>n/a</t>
        </is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-0</v>
      </c>
      <c r="F32" s="9" t="n">
        <v>9.601000000000001</v>
      </c>
      <c r="G32" s="8" t="inlineStr">
        <is>
          <t>n/a</t>
        </is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-0</v>
      </c>
      <c r="F33" s="9" t="n">
        <v>1.24</v>
      </c>
      <c r="G33" s="8" t="inlineStr">
        <is>
          <t>n/a</t>
        </is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-0</v>
      </c>
      <c r="F34" s="9" t="n">
        <v>0.16</v>
      </c>
      <c r="G34" s="8" t="inlineStr">
        <is>
          <t>n/a</t>
        </is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-0</v>
      </c>
      <c r="F35" s="9" t="n">
        <v>0.3</v>
      </c>
      <c r="G35" s="8" t="inlineStr">
        <is>
          <t>n/a</t>
        </is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-0</v>
      </c>
      <c r="F36" s="9" t="n">
        <v>142.382</v>
      </c>
      <c r="G36" s="8" t="inlineStr">
        <is>
          <t>n/a</t>
        </is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-0</v>
      </c>
      <c r="F37" s="9" t="n">
        <v>115.953</v>
      </c>
      <c r="G37" s="8" t="inlineStr">
        <is>
          <t>n/a</t>
        </is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-0</v>
      </c>
      <c r="F38" s="9" t="n">
        <v>1.773</v>
      </c>
      <c r="G38" s="8" t="inlineStr">
        <is>
          <t>n/a</t>
        </is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-0</v>
      </c>
      <c r="F39" s="9" t="n">
        <v>74.572</v>
      </c>
      <c r="G39" s="8" t="inlineStr">
        <is>
          <t>n/a</t>
        </is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-0</v>
      </c>
      <c r="F40" s="9" t="n">
        <v>12.442</v>
      </c>
      <c r="G40" s="8" t="inlineStr">
        <is>
          <t>n/a</t>
        </is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-0</v>
      </c>
      <c r="F41" s="9" t="n">
        <v>513.054</v>
      </c>
      <c r="G41" s="8" t="inlineStr">
        <is>
          <t>n/a</t>
        </is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-0</v>
      </c>
      <c r="F42" s="9" t="n">
        <v>-80.702</v>
      </c>
      <c r="G42" s="8" t="inlineStr">
        <is>
          <t>n/a</t>
        </is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781740</t>
        </is>
      </c>
      <c r="C43" s="8" t="inlineStr">
        <is>
          <t>REPRISE PROVISION DEPRECIATION CREA</t>
        </is>
      </c>
      <c r="D43" s="9" t="n">
        <v>1.978</v>
      </c>
      <c r="E43" s="9" t="n">
        <v>-0</v>
      </c>
      <c r="F43" s="9" t="n">
        <v>1.978</v>
      </c>
      <c r="G43" s="8" t="inlineStr">
        <is>
          <t>n/a</t>
        </is>
      </c>
      <c r="H43" s="7" t="inlineStr">
        <is>
          <t>V0</t>
        </is>
      </c>
      <c r="J43" s="7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0</v>
      </c>
      <c r="F12" s="9" t="n">
        <v>1.643</v>
      </c>
      <c r="G12" s="8" t="inlineStr">
        <is>
          <t>n/a</t>
        </is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0</v>
      </c>
      <c r="F13" s="9" t="n">
        <v>8.638</v>
      </c>
      <c r="G13" s="8" t="inlineStr">
        <is>
          <t>n/a</t>
        </is>
      </c>
      <c r="H13" s="7" t="inlineStr">
        <is>
          <t>P0</t>
        </is>
      </c>
      <c r="J13" s="7" t="inlineStr">
        <is>
          <t>P</t>
        </is>
      </c>
    </row>
    <row r="15">
      <c r="B15" s="10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-0</v>
      </c>
      <c r="F16" s="9" t="n">
        <v>2.404</v>
      </c>
      <c r="G16" s="8" t="inlineStr">
        <is>
          <t>n/a</t>
        </is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-0</v>
      </c>
      <c r="F17" s="9" t="n">
        <v>7.691</v>
      </c>
      <c r="G17" s="8" t="inlineStr">
        <is>
          <t>n/a</t>
        </is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-0</v>
      </c>
      <c r="F18" s="9" t="n">
        <v>88.017</v>
      </c>
      <c r="G18" s="8" t="inlineStr">
        <is>
          <t>n/a</t>
        </is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-0</v>
      </c>
      <c r="F19" s="9" t="n">
        <v>0</v>
      </c>
      <c r="G19" s="8" t="inlineStr">
        <is>
          <t>n/a</t>
        </is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-0</v>
      </c>
      <c r="F20" s="9" t="n">
        <v>77.672</v>
      </c>
      <c r="G20" s="8" t="inlineStr">
        <is>
          <t>n/a</t>
        </is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-0</v>
      </c>
      <c r="F21" s="9" t="n">
        <v>21.909</v>
      </c>
      <c r="G21" s="8" t="inlineStr">
        <is>
          <t>n/a</t>
        </is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-0</v>
      </c>
      <c r="F22" s="9" t="n">
        <v>5.791</v>
      </c>
      <c r="G22" s="8" t="inlineStr">
        <is>
          <t>n/a</t>
        </is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-0</v>
      </c>
      <c r="F23" s="9" t="n">
        <v>13.866</v>
      </c>
      <c r="G23" s="8" t="inlineStr">
        <is>
          <t>n/a</t>
        </is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-0</v>
      </c>
      <c r="F24" s="9" t="n">
        <v>11.224</v>
      </c>
      <c r="G24" s="8" t="inlineStr">
        <is>
          <t>n/a</t>
        </is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-0</v>
      </c>
      <c r="F25" s="9" t="n">
        <v>23.04</v>
      </c>
      <c r="G25" s="8" t="inlineStr">
        <is>
          <t>n/a</t>
        </is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-0</v>
      </c>
      <c r="F26" s="9" t="n">
        <v>8.351000000000001</v>
      </c>
      <c r="G26" s="8" t="inlineStr">
        <is>
          <t>n/a</t>
        </is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-0</v>
      </c>
      <c r="F27" s="9" t="n">
        <v>39.956</v>
      </c>
      <c r="G27" s="8" t="inlineStr">
        <is>
          <t>n/a</t>
        </is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-0</v>
      </c>
      <c r="F28" s="9" t="n">
        <v>0</v>
      </c>
      <c r="G28" s="8" t="inlineStr">
        <is>
          <t>n/a</t>
        </is>
      </c>
      <c r="H28" s="7" t="inlineStr">
        <is>
          <t>P0</t>
        </is>
      </c>
      <c r="J28" s="7" t="inlineStr">
        <is>
          <t>P</t>
        </is>
      </c>
    </row>
    <row r="30">
      <c r="B30" s="10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0</v>
      </c>
      <c r="F31" s="9" t="n">
        <v>1370.156</v>
      </c>
      <c r="G31" s="8" t="inlineStr">
        <is>
          <t>n/a</t>
        </is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0</v>
      </c>
      <c r="F32" s="9" t="n">
        <v>16.613</v>
      </c>
      <c r="G32" s="8" t="inlineStr">
        <is>
          <t>n/a</t>
        </is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0</v>
      </c>
      <c r="F33" s="9" t="n">
        <v>174.904</v>
      </c>
      <c r="G33" s="8" t="inlineStr">
        <is>
          <t>n/a</t>
        </is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0</v>
      </c>
      <c r="F34" s="9" t="n">
        <v>44.269</v>
      </c>
      <c r="G34" s="8" t="inlineStr">
        <is>
          <t>n/a</t>
        </is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0</v>
      </c>
      <c r="F36" s="9" t="n">
        <v>15.087</v>
      </c>
      <c r="G36" s="8" t="inlineStr">
        <is>
          <t>n/a</t>
        </is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0</v>
      </c>
      <c r="F37" s="9" t="n">
        <v>1.592</v>
      </c>
      <c r="G37" s="8" t="inlineStr">
        <is>
          <t>n/a</t>
        </is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0</v>
      </c>
      <c r="F38" s="9" t="n">
        <v>438.273</v>
      </c>
      <c r="G38" s="8" t="inlineStr">
        <is>
          <t>n/a</t>
        </is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0</v>
      </c>
      <c r="F39" s="9" t="n">
        <v>62.986</v>
      </c>
      <c r="G39" s="8" t="inlineStr">
        <is>
          <t>n/a</t>
        </is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0</v>
      </c>
      <c r="F40" s="9" t="n">
        <v>112.544</v>
      </c>
      <c r="G40" s="8" t="inlineStr">
        <is>
          <t>n/a</t>
        </is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0</v>
      </c>
      <c r="F41" s="9" t="n">
        <v>23.076</v>
      </c>
      <c r="G41" s="8" t="inlineStr">
        <is>
          <t>n/a</t>
        </is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0</v>
      </c>
      <c r="F42" s="9" t="n">
        <v>29.859</v>
      </c>
      <c r="G42" s="8" t="inlineStr">
        <is>
          <t>n/a</t>
        </is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</v>
      </c>
      <c r="F43" s="9" t="n">
        <v>0.776</v>
      </c>
      <c r="G43" s="8" t="inlineStr">
        <is>
          <t>n/a</t>
        </is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0</v>
      </c>
      <c r="F44" s="9" t="n">
        <v>-1.4</v>
      </c>
      <c r="G44" s="8" t="inlineStr">
        <is>
          <t>n/a</t>
        </is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0</v>
      </c>
      <c r="F45" s="9" t="n">
        <v>8.83</v>
      </c>
      <c r="G45" s="8" t="inlineStr">
        <is>
          <t>n/a</t>
        </is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0</v>
      </c>
      <c r="F46" s="9" t="n">
        <v>4.869</v>
      </c>
      <c r="G46" s="8" t="inlineStr">
        <is>
          <t>n/a</t>
        </is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0</v>
      </c>
      <c r="F11" s="9" t="n">
        <v>761.204</v>
      </c>
      <c r="G11" s="8" t="inlineStr">
        <is>
          <t>n/a</t>
        </is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</v>
      </c>
      <c r="F14" s="9" t="n">
        <v>0.054</v>
      </c>
      <c r="G14" s="8" t="inlineStr">
        <is>
          <t>n/a</t>
        </is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0</v>
      </c>
      <c r="F16" s="9" t="n">
        <v>15.862</v>
      </c>
      <c r="G16" s="8" t="inlineStr">
        <is>
          <t>n/a</t>
        </is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0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-0</v>
      </c>
      <c r="F23" s="9" t="n">
        <v>9.851000000000001</v>
      </c>
      <c r="G23" s="8" t="inlineStr">
        <is>
          <t>n/a</t>
        </is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-0</v>
      </c>
      <c r="F24" s="9" t="n">
        <v>62.769</v>
      </c>
      <c r="G24" s="8" t="inlineStr">
        <is>
          <t>n/a</t>
        </is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-0</v>
      </c>
      <c r="F25" s="9" t="n">
        <v>0</v>
      </c>
      <c r="G25" s="8" t="inlineStr">
        <is>
          <t>n/a</t>
        </is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-0</v>
      </c>
      <c r="F27" s="9" t="n">
        <v>2</v>
      </c>
      <c r="G27" s="8" t="inlineStr">
        <is>
          <t>n/a</t>
        </is>
      </c>
      <c r="H27" s="7" t="inlineStr">
        <is>
          <t>E0</t>
        </is>
      </c>
      <c r="J27" s="7" t="inlineStr">
        <is>
          <t>E</t>
        </is>
      </c>
    </row>
    <row r="29">
      <c r="B29" s="10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0</v>
      </c>
      <c r="F30" s="9" t="n">
        <v>19.385</v>
      </c>
      <c r="G30" s="8" t="inlineStr">
        <is>
          <t>n/a</t>
        </is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0</v>
      </c>
      <c r="F31" s="9" t="n">
        <v>11.743</v>
      </c>
      <c r="G31" s="8" t="inlineStr">
        <is>
          <t>n/a</t>
        </is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0</v>
      </c>
      <c r="F32" s="9" t="n">
        <v>2</v>
      </c>
      <c r="G32" s="8" t="inlineStr">
        <is>
          <t>n/a</t>
        </is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0</v>
      </c>
      <c r="F33" s="9" t="n">
        <v>25.648</v>
      </c>
      <c r="G33" s="8" t="inlineStr">
        <is>
          <t>n/a</t>
        </is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0</v>
      </c>
      <c r="F34" s="9" t="n">
        <v>20.829</v>
      </c>
      <c r="G34" s="8" t="inlineStr">
        <is>
          <t>n/a</t>
        </is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0</v>
      </c>
      <c r="F35" s="9" t="n">
        <v>3.404</v>
      </c>
      <c r="G35" s="8" t="inlineStr">
        <is>
          <t>n/a</t>
        </is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637800</t>
        </is>
      </c>
      <c r="C36" s="8" t="inlineStr">
        <is>
          <t>TAXE ECO</t>
        </is>
      </c>
      <c r="D36" s="9" t="n">
        <v>0.23</v>
      </c>
      <c r="E36" s="9" t="n">
        <v>0</v>
      </c>
      <c r="F36" s="9" t="n">
        <v>0.23</v>
      </c>
      <c r="G36" s="8" t="inlineStr">
        <is>
          <t>n/a</t>
        </is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637810</t>
        </is>
      </c>
      <c r="C37" s="8" t="inlineStr">
        <is>
          <t>INSUF OBL EMP TRAV HANDICAPES</t>
        </is>
      </c>
      <c r="D37" s="9" t="n">
        <v>6.13</v>
      </c>
      <c r="E37" s="9" t="n">
        <v>0</v>
      </c>
      <c r="F37" s="9" t="n">
        <v>6.13</v>
      </c>
      <c r="G37" s="8" t="inlineStr">
        <is>
          <t>n/a</t>
        </is>
      </c>
      <c r="H37" s="7" t="inlineStr">
        <is>
          <t>E0</t>
        </is>
      </c>
      <c r="J37" s="7" t="inlineStr">
        <is>
          <t>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</v>
      </c>
      <c r="F11" s="9" t="n">
        <v>0.001</v>
      </c>
      <c r="G11" s="8" t="inlineStr">
        <is>
          <t>n/a</t>
        </is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0</v>
      </c>
      <c r="F12" s="9" t="n">
        <v>1.715</v>
      </c>
      <c r="G12" s="8" t="inlineStr">
        <is>
          <t>n/a</t>
        </is>
      </c>
      <c r="H12" s="7" t="inlineStr">
        <is>
          <t>T0</t>
        </is>
      </c>
      <c r="J12" s="7" t="inlineStr">
        <is>
          <t>T</t>
        </is>
      </c>
    </row>
    <row r="14">
      <c r="B14" s="10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-0</v>
      </c>
      <c r="F15" s="9" t="n">
        <v>0.474</v>
      </c>
      <c r="G15" s="8" t="inlineStr">
        <is>
          <t>n/a</t>
        </is>
      </c>
      <c r="H15" s="7" t="inlineStr">
        <is>
          <t>T0</t>
        </is>
      </c>
      <c r="J15" s="7" t="inlineStr">
        <is>
          <t>T</t>
        </is>
      </c>
    </row>
    <row r="17">
      <c r="B17" s="10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0</v>
      </c>
      <c r="F18" s="9" t="n">
        <v>18.225</v>
      </c>
      <c r="G18" s="8" t="inlineStr">
        <is>
          <t>n/a</t>
        </is>
      </c>
      <c r="H18" s="7" t="inlineStr">
        <is>
          <t>T0</t>
        </is>
      </c>
      <c r="J18" s="7" t="inlineStr">
        <is>
          <t>T</t>
        </is>
      </c>
    </row>
    <row r="20">
      <c r="B20" s="10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-0</v>
      </c>
      <c r="F21" s="9" t="n">
        <v>12.427</v>
      </c>
      <c r="G21" s="8" t="inlineStr">
        <is>
          <t>n/a</t>
        </is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2026-03-31T20:25:43Z</dcterms:created>
  <dcterms:modified xsi:type="dcterms:W3CDTF">2026-03-31T20:25:43Z</dcterms:modified>
</cp:coreProperties>
</file>