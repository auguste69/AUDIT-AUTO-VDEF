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Bilan" sheetId="3" state="visible" r:id="rId3"/>
    <sheet name="EBIT" sheetId="4" state="visible" r:id="rId4"/>
    <sheet name="Actif détaillé" sheetId="5" state="visible" r:id="rId5"/>
    <sheet name="Passif détaillé" sheetId="6" state="visible" r:id="rId6"/>
    <sheet name="P&amp;L détaillé" sheetId="7" state="visible" r:id="rId7"/>
    <sheet name="Tréso" sheetId="8" state="visible" r:id="rId8"/>
    <sheet name="AACE" sheetId="9" state="visible" r:id="rId9"/>
    <sheet name="C Propres0" sheetId="10" state="visible" r:id="rId10"/>
    <sheet name="C PRC0" sheetId="11" state="visible" r:id="rId11"/>
    <sheet name="F0" sheetId="12" state="visible" r:id="rId12"/>
    <sheet name="I Incorp0" sheetId="13" state="visible" r:id="rId13"/>
    <sheet name="I Corp0" sheetId="14" state="visible" r:id="rId14"/>
    <sheet name="I Fi0" sheetId="15" state="visible" r:id="rId15"/>
    <sheet name="S0" sheetId="16" state="visible" r:id="rId16"/>
    <sheet name="A0" sheetId="17" state="visible" r:id="rId17"/>
    <sheet name="V0" sheetId="18" state="visible" r:id="rId18"/>
    <sheet name="P0" sheetId="19" state="visible" r:id="rId19"/>
    <sheet name="E0" sheetId="20" state="visible" r:id="rId20"/>
    <sheet name="T0" sheetId="21" state="visible" r:id="rId21"/>
    <sheet name="X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9" fontId="3" fillId="0" borderId="2" pivotButton="0" quotePrefix="0" xfId="0"/>
    <xf numFmtId="0" fontId="7" fillId="0" borderId="0" pivotButton="0" quotePrefix="0" xfId="0"/>
    <xf numFmtId="0" fontId="1" fillId="0" borderId="3" pivotButton="0" quotePrefix="0" xfId="0"/>
    <xf numFmtId="164" fontId="1" fillId="0" borderId="3" pivotButton="0" quotePrefix="0" xfId="0"/>
    <xf numFmtId="9" fontId="1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DEMO</t>
        </is>
      </c>
    </row>
    <row r="6">
      <c r="B6" s="3" t="inlineStr">
        <is>
          <t>Dossier : DEMO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Bilan</t>
        </is>
      </c>
    </row>
    <row r="13">
      <c r="C13" s="3" t="inlineStr">
        <is>
          <t>Tréso</t>
        </is>
      </c>
    </row>
    <row r="14">
      <c r="C14" s="3" t="inlineStr">
        <is>
          <t>AACE</t>
        </is>
      </c>
    </row>
    <row r="15">
      <c r="C15" s="3" t="inlineStr">
        <is>
          <t>Cycle C Propres</t>
        </is>
      </c>
    </row>
    <row r="16">
      <c r="C16" s="3" t="inlineStr">
        <is>
          <t>Cycle C PRC</t>
        </is>
      </c>
    </row>
    <row r="17">
      <c r="C17" s="3" t="inlineStr">
        <is>
          <t>Cycle F</t>
        </is>
      </c>
    </row>
    <row r="18">
      <c r="C18" s="3" t="inlineStr">
        <is>
          <t>Cycle I Incorp</t>
        </is>
      </c>
    </row>
    <row r="19">
      <c r="C19" s="3" t="inlineStr">
        <is>
          <t>Cycle I Corp</t>
        </is>
      </c>
    </row>
    <row r="20">
      <c r="C20" s="3" t="inlineStr">
        <is>
          <t>Cycle I Fi</t>
        </is>
      </c>
    </row>
    <row r="21">
      <c r="C21" s="3" t="inlineStr">
        <is>
          <t>Cycle S</t>
        </is>
      </c>
    </row>
    <row r="22">
      <c r="C22" s="3" t="inlineStr">
        <is>
          <t>Cycle A</t>
        </is>
      </c>
    </row>
    <row r="23">
      <c r="C23" s="3" t="inlineStr">
        <is>
          <t>Cycle V</t>
        </is>
      </c>
    </row>
    <row r="24">
      <c r="C24" s="3" t="inlineStr">
        <is>
          <t>Cycle P</t>
        </is>
      </c>
    </row>
    <row r="25">
      <c r="C25" s="3" t="inlineStr">
        <is>
          <t>Cycle E</t>
        </is>
      </c>
    </row>
    <row r="26">
      <c r="C26" s="3" t="inlineStr">
        <is>
          <t>Cycle T</t>
        </is>
      </c>
    </row>
    <row r="27">
      <c r="C27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101000</t>
        </is>
      </c>
      <c r="C10" s="8" t="inlineStr">
        <is>
          <t>Capital social</t>
        </is>
      </c>
      <c r="D10" s="9" t="n">
        <v>-300</v>
      </c>
      <c r="E10" s="9" t="n">
        <v>-300</v>
      </c>
      <c r="F10" s="9" t="n">
        <v>0</v>
      </c>
      <c r="G10" s="10" t="n">
        <v>0</v>
      </c>
      <c r="H10" s="7" t="inlineStr">
        <is>
          <t>C Propres0</t>
        </is>
      </c>
      <c r="J10" s="7" t="inlineStr">
        <is>
          <t>C Propres</t>
        </is>
      </c>
      <c r="K10" s="7" t="inlineStr"/>
      <c r="L10" s="7" t="inlineStr"/>
      <c r="M10" s="7" t="inlineStr">
        <is>
          <t>Passif</t>
        </is>
      </c>
      <c r="N10" s="7" t="inlineStr"/>
    </row>
    <row r="11">
      <c r="B11" s="7" t="inlineStr">
        <is>
          <t>106100</t>
        </is>
      </c>
      <c r="C11" s="8" t="inlineStr">
        <is>
          <t>Réserve légale</t>
        </is>
      </c>
      <c r="D11" s="9" t="n">
        <v>-30</v>
      </c>
      <c r="E11" s="9" t="n">
        <v>-30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  <c r="K11" s="7" t="inlineStr"/>
      <c r="L11" s="7" t="inlineStr"/>
      <c r="M11" s="7" t="inlineStr">
        <is>
          <t>Passif</t>
        </is>
      </c>
      <c r="N11" s="7" t="inlineStr"/>
    </row>
    <row r="12">
      <c r="B12" s="7" t="inlineStr">
        <is>
          <t>110000</t>
        </is>
      </c>
      <c r="C12" s="8" t="inlineStr">
        <is>
          <t>Report à nouveau</t>
        </is>
      </c>
      <c r="D12" s="9" t="n">
        <v>-45</v>
      </c>
      <c r="E12" s="9" t="n">
        <v>235</v>
      </c>
      <c r="F12" s="9" t="n">
        <v>-280</v>
      </c>
      <c r="G12" s="10" t="n">
        <v>-1.1915</v>
      </c>
      <c r="H12" s="7" t="inlineStr">
        <is>
          <t>C Propres0</t>
        </is>
      </c>
      <c r="J12" s="7" t="inlineStr">
        <is>
          <t>C Propres</t>
        </is>
      </c>
      <c r="K12" s="7" t="inlineStr"/>
      <c r="L12" s="7" t="inlineStr"/>
      <c r="M12" s="7" t="inlineStr">
        <is>
          <t>Passif</t>
        </is>
      </c>
      <c r="N12" s="7" t="inlineStr"/>
    </row>
    <row r="13">
      <c r="B13" s="7" t="inlineStr">
        <is>
          <t>151000</t>
        </is>
      </c>
      <c r="C13" s="8" t="inlineStr">
        <is>
          <t>Provisions pour risques</t>
        </is>
      </c>
      <c r="D13" s="9" t="n">
        <v>-20</v>
      </c>
      <c r="E13" s="9" t="n">
        <v>-20</v>
      </c>
      <c r="F13" s="9" t="n">
        <v>0</v>
      </c>
      <c r="G13" s="10" t="n">
        <v>0</v>
      </c>
      <c r="H13" s="7" t="inlineStr">
        <is>
          <t>C PRC0</t>
        </is>
      </c>
      <c r="J13" s="7" t="inlineStr">
        <is>
          <t>C PRC</t>
        </is>
      </c>
      <c r="K13" s="7" t="inlineStr"/>
      <c r="L13" s="7" t="inlineStr"/>
      <c r="M13" s="7" t="inlineStr">
        <is>
          <t>Passif</t>
        </is>
      </c>
      <c r="N13" s="7" t="inlineStr"/>
    </row>
    <row r="14">
      <c r="B14" s="7" t="inlineStr">
        <is>
          <t>164000</t>
        </is>
      </c>
      <c r="C14" s="8" t="inlineStr">
        <is>
          <t>Emprunts auprès des établissements de crédit</t>
        </is>
      </c>
      <c r="D14" s="9" t="n">
        <v>-160</v>
      </c>
      <c r="E14" s="9" t="n">
        <v>-200</v>
      </c>
      <c r="F14" s="9" t="n">
        <v>40</v>
      </c>
      <c r="G14" s="10" t="n">
        <v>0.2</v>
      </c>
      <c r="H14" s="7" t="inlineStr">
        <is>
          <t>F0</t>
        </is>
      </c>
      <c r="J14" s="7" t="inlineStr">
        <is>
          <t>F</t>
        </is>
      </c>
      <c r="K14" s="7" t="inlineStr"/>
      <c r="L14" s="7" t="inlineStr"/>
      <c r="M14" s="7" t="inlineStr">
        <is>
          <t>Passif</t>
        </is>
      </c>
      <c r="N14" s="7" t="inlineStr"/>
    </row>
    <row r="15">
      <c r="B15" s="7" t="inlineStr">
        <is>
          <t>168800</t>
        </is>
      </c>
      <c r="C15" s="8" t="inlineStr">
        <is>
          <t>Intérêts courus sur emprunts</t>
        </is>
      </c>
      <c r="D15" s="9" t="n">
        <v>0</v>
      </c>
      <c r="E15" s="9" t="n">
        <v>-8</v>
      </c>
      <c r="F15" s="9" t="n">
        <v>8</v>
      </c>
      <c r="G15" s="10" t="n">
        <v>1</v>
      </c>
      <c r="H15" s="7" t="inlineStr">
        <is>
          <t>F0</t>
        </is>
      </c>
      <c r="J15" s="7" t="inlineStr">
        <is>
          <t>F</t>
        </is>
      </c>
      <c r="K15" s="7" t="inlineStr"/>
      <c r="L15" s="7" t="inlineStr"/>
      <c r="M15" s="7" t="inlineStr">
        <is>
          <t>Passif</t>
        </is>
      </c>
      <c r="N15" s="7" t="inlineStr"/>
    </row>
    <row r="16">
      <c r="B16" s="7" t="inlineStr">
        <is>
          <t>205000</t>
        </is>
      </c>
      <c r="C16" s="8" t="inlineStr">
        <is>
          <t>Logiciels et licences</t>
        </is>
      </c>
      <c r="D16" s="9" t="n">
        <v>60</v>
      </c>
      <c r="E16" s="9" t="n">
        <v>60</v>
      </c>
      <c r="F16" s="9" t="n">
        <v>0</v>
      </c>
      <c r="G16" s="10" t="n">
        <v>0</v>
      </c>
      <c r="H16" s="7" t="inlineStr">
        <is>
          <t>I Corp0</t>
        </is>
      </c>
      <c r="J16" s="7" t="inlineStr">
        <is>
          <t>I Corp</t>
        </is>
      </c>
      <c r="K16" s="7" t="inlineStr"/>
      <c r="L16" s="7" t="inlineStr"/>
      <c r="M16" s="7" t="inlineStr">
        <is>
          <t>Actif</t>
        </is>
      </c>
      <c r="N16" s="7" t="inlineStr"/>
    </row>
    <row r="17">
      <c r="B17" s="7" t="inlineStr">
        <is>
          <t>213500</t>
        </is>
      </c>
      <c r="C17" s="8" t="inlineStr">
        <is>
          <t>Bâtiments industriels</t>
        </is>
      </c>
      <c r="D17" s="9" t="n">
        <v>300</v>
      </c>
      <c r="E17" s="9" t="n">
        <v>300</v>
      </c>
      <c r="F17" s="9" t="n">
        <v>0</v>
      </c>
      <c r="G17" s="10" t="n">
        <v>0</v>
      </c>
      <c r="H17" s="7" t="inlineStr">
        <is>
          <t>I Corp0</t>
        </is>
      </c>
      <c r="J17" s="7" t="inlineStr">
        <is>
          <t>I Corp</t>
        </is>
      </c>
      <c r="K17" s="7" t="inlineStr"/>
      <c r="L17" s="7" t="inlineStr"/>
      <c r="M17" s="7" t="inlineStr">
        <is>
          <t>Actif</t>
        </is>
      </c>
      <c r="N17" s="7" t="inlineStr"/>
    </row>
    <row r="18">
      <c r="B18" s="7" t="inlineStr">
        <is>
          <t>215400</t>
        </is>
      </c>
      <c r="C18" s="8" t="inlineStr">
        <is>
          <t>Matériel industriel</t>
        </is>
      </c>
      <c r="D18" s="9" t="n">
        <v>160</v>
      </c>
      <c r="E18" s="9" t="n">
        <v>140</v>
      </c>
      <c r="F18" s="9" t="n">
        <v>20</v>
      </c>
      <c r="G18" s="10" t="n">
        <v>0.1429</v>
      </c>
      <c r="H18" s="7" t="inlineStr">
        <is>
          <t>I Corp0</t>
        </is>
      </c>
      <c r="J18" s="7" t="inlineStr">
        <is>
          <t>I Corp</t>
        </is>
      </c>
      <c r="K18" s="7" t="inlineStr"/>
      <c r="L18" s="7" t="inlineStr"/>
      <c r="M18" s="7" t="inlineStr">
        <is>
          <t>Actif</t>
        </is>
      </c>
      <c r="N18" s="7" t="inlineStr"/>
    </row>
    <row r="19">
      <c r="B19" s="7" t="inlineStr">
        <is>
          <t>261000</t>
        </is>
      </c>
      <c r="C19" s="8" t="inlineStr">
        <is>
          <t>Titres de participation</t>
        </is>
      </c>
      <c r="D19" s="9" t="n">
        <v>50</v>
      </c>
      <c r="E19" s="9" t="n">
        <v>50</v>
      </c>
      <c r="F19" s="9" t="n">
        <v>0</v>
      </c>
      <c r="G19" s="10" t="n">
        <v>0</v>
      </c>
      <c r="H19" s="7" t="inlineStr">
        <is>
          <t>I Fi0</t>
        </is>
      </c>
      <c r="J19" s="7" t="inlineStr">
        <is>
          <t>I Fi</t>
        </is>
      </c>
      <c r="K19" s="7" t="inlineStr"/>
      <c r="L19" s="7" t="inlineStr"/>
      <c r="M19" s="7" t="inlineStr">
        <is>
          <t>Actif</t>
        </is>
      </c>
      <c r="N19" s="7" t="inlineStr"/>
    </row>
    <row r="20">
      <c r="B20" s="7" t="inlineStr">
        <is>
          <t>274000</t>
        </is>
      </c>
      <c r="C20" s="8" t="inlineStr">
        <is>
          <t>Prêts au personnel</t>
        </is>
      </c>
      <c r="D20" s="9" t="n">
        <v>0</v>
      </c>
      <c r="E20" s="9" t="n">
        <v>13</v>
      </c>
      <c r="F20" s="9" t="n">
        <v>-13</v>
      </c>
      <c r="G20" s="10" t="n">
        <v>-1</v>
      </c>
      <c r="H20" s="7" t="inlineStr">
        <is>
          <t>I Fi0</t>
        </is>
      </c>
      <c r="J20" s="7" t="inlineStr">
        <is>
          <t>I Fi</t>
        </is>
      </c>
      <c r="K20" s="7" t="inlineStr"/>
      <c r="L20" s="7" t="inlineStr"/>
      <c r="M20" s="7" t="inlineStr">
        <is>
          <t>Actif</t>
        </is>
      </c>
      <c r="N20" s="7" t="inlineStr"/>
    </row>
    <row r="21">
      <c r="B21" s="7" t="inlineStr">
        <is>
          <t>275000</t>
        </is>
      </c>
      <c r="C21" s="8" t="inlineStr">
        <is>
          <t>Dépôts et cautionnements versés</t>
        </is>
      </c>
      <c r="D21" s="9" t="n">
        <v>8</v>
      </c>
      <c r="E21" s="9" t="n">
        <v>8</v>
      </c>
      <c r="F21" s="9" t="n">
        <v>0</v>
      </c>
      <c r="G21" s="10" t="n">
        <v>0</v>
      </c>
      <c r="H21" s="7" t="inlineStr">
        <is>
          <t>I Fi0</t>
        </is>
      </c>
      <c r="J21" s="7" t="inlineStr">
        <is>
          <t>I Fi</t>
        </is>
      </c>
      <c r="K21" s="7" t="inlineStr"/>
      <c r="L21" s="7" t="inlineStr"/>
      <c r="M21" s="7" t="inlineStr">
        <is>
          <t>Actif</t>
        </is>
      </c>
      <c r="N21" s="7" t="inlineStr"/>
    </row>
    <row r="22">
      <c r="B22" s="7" t="inlineStr">
        <is>
          <t>280500</t>
        </is>
      </c>
      <c r="C22" s="8" t="inlineStr">
        <is>
          <t>Amortissements logiciels</t>
        </is>
      </c>
      <c r="D22" s="9" t="n">
        <v>-26</v>
      </c>
      <c r="E22" s="9" t="n">
        <v>-22</v>
      </c>
      <c r="F22" s="9" t="n">
        <v>-4</v>
      </c>
      <c r="G22" s="10" t="n">
        <v>-0.1818</v>
      </c>
      <c r="H22" s="7" t="inlineStr">
        <is>
          <t>I Incorp0</t>
        </is>
      </c>
      <c r="J22" s="7" t="inlineStr">
        <is>
          <t>I Incorp</t>
        </is>
      </c>
      <c r="K22" s="7" t="inlineStr"/>
      <c r="L22" s="7" t="inlineStr"/>
      <c r="M22" s="7" t="inlineStr">
        <is>
          <t>Actif</t>
        </is>
      </c>
      <c r="N22" s="7" t="inlineStr"/>
    </row>
    <row r="23">
      <c r="B23" s="7" t="inlineStr">
        <is>
          <t>281350</t>
        </is>
      </c>
      <c r="C23" s="8" t="inlineStr">
        <is>
          <t>Amortissements bâtiments</t>
        </is>
      </c>
      <c r="D23" s="9" t="n">
        <v>-105</v>
      </c>
      <c r="E23" s="9" t="n">
        <v>-75</v>
      </c>
      <c r="F23" s="9" t="n">
        <v>-30</v>
      </c>
      <c r="G23" s="10" t="n">
        <v>-0.4</v>
      </c>
      <c r="H23" s="7" t="inlineStr">
        <is>
          <t>I Corp0</t>
        </is>
      </c>
      <c r="J23" s="7" t="inlineStr">
        <is>
          <t>I Corp</t>
        </is>
      </c>
      <c r="K23" s="7" t="inlineStr"/>
      <c r="L23" s="7" t="inlineStr"/>
      <c r="M23" s="7" t="inlineStr">
        <is>
          <t>Actif</t>
        </is>
      </c>
      <c r="N23" s="7" t="inlineStr"/>
    </row>
    <row r="24">
      <c r="B24" s="7" t="inlineStr">
        <is>
          <t>281540</t>
        </is>
      </c>
      <c r="C24" s="8" t="inlineStr">
        <is>
          <t>Amortissements matériel</t>
        </is>
      </c>
      <c r="D24" s="9" t="n">
        <v>-72</v>
      </c>
      <c r="E24" s="9" t="n">
        <v>-56</v>
      </c>
      <c r="F24" s="9" t="n">
        <v>-16</v>
      </c>
      <c r="G24" s="10" t="n">
        <v>-0.2857</v>
      </c>
      <c r="H24" s="7" t="inlineStr">
        <is>
          <t>I Corp0</t>
        </is>
      </c>
      <c r="J24" s="7" t="inlineStr">
        <is>
          <t>I Corp</t>
        </is>
      </c>
      <c r="K24" s="7" t="inlineStr"/>
      <c r="L24" s="7" t="inlineStr"/>
      <c r="M24" s="7" t="inlineStr">
        <is>
          <t>Actif</t>
        </is>
      </c>
      <c r="N24" s="7" t="inlineStr"/>
    </row>
    <row r="25">
      <c r="B25" s="7" t="inlineStr">
        <is>
          <t>310000</t>
        </is>
      </c>
      <c r="C25" s="8" t="inlineStr">
        <is>
          <t>Stocks de matières premières</t>
        </is>
      </c>
      <c r="D25" s="9" t="n">
        <v>64</v>
      </c>
      <c r="E25" s="9" t="n">
        <v>64</v>
      </c>
      <c r="F25" s="9" t="n">
        <v>0</v>
      </c>
      <c r="G25" s="10" t="n">
        <v>0</v>
      </c>
      <c r="H25" s="7" t="inlineStr">
        <is>
          <t>S0</t>
        </is>
      </c>
      <c r="J25" s="7" t="inlineStr">
        <is>
          <t>S</t>
        </is>
      </c>
      <c r="K25" s="7" t="inlineStr"/>
      <c r="L25" s="7" t="inlineStr"/>
      <c r="M25" s="7" t="inlineStr">
        <is>
          <t>Actif</t>
        </is>
      </c>
      <c r="N25" s="7" t="inlineStr"/>
    </row>
    <row r="26">
      <c r="B26" s="7" t="inlineStr">
        <is>
          <t>370000</t>
        </is>
      </c>
      <c r="C26" s="8" t="inlineStr">
        <is>
          <t>Stocks de marchandises</t>
        </is>
      </c>
      <c r="D26" s="9" t="n">
        <v>39</v>
      </c>
      <c r="E26" s="9" t="n">
        <v>31</v>
      </c>
      <c r="F26" s="9" t="n">
        <v>8</v>
      </c>
      <c r="G26" s="10" t="n">
        <v>0.2581</v>
      </c>
      <c r="H26" s="7" t="inlineStr">
        <is>
          <t>S0</t>
        </is>
      </c>
      <c r="J26" s="7" t="inlineStr">
        <is>
          <t>S</t>
        </is>
      </c>
      <c r="K26" s="7" t="inlineStr"/>
      <c r="L26" s="7" t="inlineStr"/>
      <c r="M26" s="7" t="inlineStr">
        <is>
          <t>Actif</t>
        </is>
      </c>
      <c r="N26" s="7" t="inlineStr"/>
    </row>
    <row r="27">
      <c r="B27" s="7" t="inlineStr">
        <is>
          <t>391000</t>
        </is>
      </c>
      <c r="C27" s="8" t="inlineStr">
        <is>
          <t>Dépréciation stocks matières</t>
        </is>
      </c>
      <c r="D27" s="9" t="n">
        <v>-4</v>
      </c>
      <c r="E27" s="9" t="n">
        <v>-4</v>
      </c>
      <c r="F27" s="9" t="n">
        <v>0</v>
      </c>
      <c r="G27" s="10" t="n">
        <v>0</v>
      </c>
      <c r="H27" s="7" t="inlineStr">
        <is>
          <t>S0</t>
        </is>
      </c>
      <c r="J27" s="7" t="inlineStr">
        <is>
          <t>S</t>
        </is>
      </c>
      <c r="K27" s="7" t="inlineStr"/>
      <c r="L27" s="7" t="inlineStr"/>
      <c r="M27" s="7" t="inlineStr">
        <is>
          <t>Actif</t>
        </is>
      </c>
      <c r="N27" s="7" t="inlineStr"/>
    </row>
    <row r="28">
      <c r="B28" s="7" t="inlineStr">
        <is>
          <t>401100</t>
        </is>
      </c>
      <c r="C28" s="8" t="inlineStr">
        <is>
          <t>Fournisseurs</t>
        </is>
      </c>
      <c r="D28" s="9" t="n">
        <v>-80.8</v>
      </c>
      <c r="E28" s="9" t="n">
        <v>-48</v>
      </c>
      <c r="F28" s="9" t="n">
        <v>-32.8</v>
      </c>
      <c r="G28" s="10" t="n">
        <v>-0.6833</v>
      </c>
      <c r="H28" s="7" t="inlineStr">
        <is>
          <t>A0</t>
        </is>
      </c>
      <c r="J28" s="7" t="inlineStr">
        <is>
          <t>A</t>
        </is>
      </c>
      <c r="K28" s="7" t="inlineStr"/>
      <c r="L28" s="7" t="inlineStr"/>
      <c r="M28" s="7" t="inlineStr">
        <is>
          <t>Passif</t>
        </is>
      </c>
      <c r="N28" s="7" t="inlineStr"/>
    </row>
    <row r="29">
      <c r="B29" s="7" t="inlineStr">
        <is>
          <t>409100</t>
        </is>
      </c>
      <c r="C29" s="8" t="inlineStr">
        <is>
          <t>Fournisseurs - avances versées</t>
        </is>
      </c>
      <c r="D29" s="9" t="n">
        <v>9</v>
      </c>
      <c r="E29" s="9" t="n">
        <v>0</v>
      </c>
      <c r="F29" s="9" t="n">
        <v>9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  <c r="K29" s="7" t="inlineStr"/>
      <c r="L29" s="7" t="inlineStr"/>
      <c r="M29" s="7" t="inlineStr">
        <is>
          <t>Actif</t>
        </is>
      </c>
      <c r="N29" s="7" t="inlineStr"/>
    </row>
    <row r="30">
      <c r="B30" s="7" t="inlineStr">
        <is>
          <t>411100</t>
        </is>
      </c>
      <c r="C30" s="8" t="inlineStr">
        <is>
          <t>Clients</t>
        </is>
      </c>
      <c r="D30" s="9" t="n">
        <v>122</v>
      </c>
      <c r="E30" s="9" t="n">
        <v>69</v>
      </c>
      <c r="F30" s="9" t="n">
        <v>53</v>
      </c>
      <c r="G30" s="10" t="n">
        <v>0.7681</v>
      </c>
      <c r="H30" s="7" t="inlineStr">
        <is>
          <t>V0</t>
        </is>
      </c>
      <c r="J30" s="7" t="inlineStr">
        <is>
          <t>V</t>
        </is>
      </c>
      <c r="K30" s="7" t="inlineStr"/>
      <c r="L30" s="7" t="inlineStr"/>
      <c r="M30" s="7" t="inlineStr">
        <is>
          <t>Actif</t>
        </is>
      </c>
      <c r="N30" s="7" t="inlineStr"/>
    </row>
    <row r="31">
      <c r="B31" s="7" t="inlineStr">
        <is>
          <t>419100</t>
        </is>
      </c>
      <c r="C31" s="8" t="inlineStr">
        <is>
          <t>Clients - avances reçues</t>
        </is>
      </c>
      <c r="D31" s="9" t="n">
        <v>-12</v>
      </c>
      <c r="E31" s="9" t="n">
        <v>0</v>
      </c>
      <c r="F31" s="9" t="n">
        <v>-12</v>
      </c>
      <c r="G31" s="8" t="inlineStr">
        <is>
          <t>n/a</t>
        </is>
      </c>
      <c r="H31" s="7" t="inlineStr">
        <is>
          <t>V0</t>
        </is>
      </c>
      <c r="J31" s="7" t="inlineStr">
        <is>
          <t>V</t>
        </is>
      </c>
      <c r="K31" s="7" t="inlineStr"/>
      <c r="L31" s="7" t="inlineStr"/>
      <c r="M31" s="7" t="inlineStr">
        <is>
          <t>Passif</t>
        </is>
      </c>
      <c r="N31" s="7" t="inlineStr"/>
    </row>
    <row r="32">
      <c r="B32" s="7" t="inlineStr">
        <is>
          <t>421000</t>
        </is>
      </c>
      <c r="C32" s="8" t="inlineStr">
        <is>
          <t>Personnel - rémunérations dues</t>
        </is>
      </c>
      <c r="D32" s="9" t="n">
        <v>0</v>
      </c>
      <c r="E32" s="9" t="n">
        <v>0</v>
      </c>
      <c r="F32" s="9" t="n">
        <v>0</v>
      </c>
      <c r="G32" s="8" t="inlineStr">
        <is>
          <t>n/a</t>
        </is>
      </c>
      <c r="H32" s="7" t="inlineStr">
        <is>
          <t>P0</t>
        </is>
      </c>
      <c r="J32" s="7" t="inlineStr">
        <is>
          <t>P</t>
        </is>
      </c>
      <c r="K32" s="7" t="inlineStr"/>
      <c r="L32" s="7" t="inlineStr"/>
      <c r="M32" s="7" t="inlineStr">
        <is>
          <t>Passif</t>
        </is>
      </c>
      <c r="N32" s="7" t="inlineStr"/>
    </row>
    <row r="33">
      <c r="B33" s="7" t="inlineStr">
        <is>
          <t>431000</t>
        </is>
      </c>
      <c r="C33" s="8" t="inlineStr">
        <is>
          <t>Sécurité sociale</t>
        </is>
      </c>
      <c r="D33" s="9" t="n">
        <v>0</v>
      </c>
      <c r="E33" s="9" t="n">
        <v>0</v>
      </c>
      <c r="F33" s="9" t="n">
        <v>0</v>
      </c>
      <c r="G33" s="8" t="inlineStr">
        <is>
          <t>n/a</t>
        </is>
      </c>
      <c r="H33" s="7" t="inlineStr">
        <is>
          <t>P0</t>
        </is>
      </c>
      <c r="J33" s="7" t="inlineStr">
        <is>
          <t>P</t>
        </is>
      </c>
      <c r="K33" s="7" t="inlineStr"/>
      <c r="L33" s="7" t="inlineStr"/>
      <c r="M33" s="7" t="inlineStr">
        <is>
          <t>Passif</t>
        </is>
      </c>
      <c r="N33" s="7" t="inlineStr"/>
    </row>
    <row r="34">
      <c r="B34" s="7" t="inlineStr">
        <is>
          <t>444000</t>
        </is>
      </c>
      <c r="C34" s="8" t="inlineStr">
        <is>
          <t>État - impôt sur les bénéfices</t>
        </is>
      </c>
      <c r="D34" s="9" t="n">
        <v>-8</v>
      </c>
      <c r="E34" s="9" t="n">
        <v>0</v>
      </c>
      <c r="F34" s="9" t="n">
        <v>-8</v>
      </c>
      <c r="G34" s="8" t="inlineStr">
        <is>
          <t>n/a</t>
        </is>
      </c>
      <c r="H34" s="7" t="inlineStr">
        <is>
          <t>E0</t>
        </is>
      </c>
      <c r="J34" s="7" t="inlineStr">
        <is>
          <t>E</t>
        </is>
      </c>
      <c r="K34" s="7" t="inlineStr"/>
      <c r="L34" s="7" t="inlineStr"/>
      <c r="M34" s="7" t="inlineStr">
        <is>
          <t>Passif</t>
        </is>
      </c>
      <c r="N34" s="7" t="inlineStr"/>
    </row>
    <row r="35">
      <c r="B35" s="7" t="inlineStr">
        <is>
          <t>445660</t>
        </is>
      </c>
      <c r="C35" s="8" t="inlineStr">
        <is>
          <t>TVA déductible</t>
        </is>
      </c>
      <c r="D35" s="9" t="n">
        <v>160.8</v>
      </c>
      <c r="E35" s="9" t="n">
        <v>0</v>
      </c>
      <c r="F35" s="9" t="n">
        <v>160.8</v>
      </c>
      <c r="G35" s="8" t="inlineStr">
        <is>
          <t>n/a</t>
        </is>
      </c>
      <c r="H35" s="7" t="inlineStr">
        <is>
          <t>E0</t>
        </is>
      </c>
      <c r="J35" s="7" t="inlineStr">
        <is>
          <t>E</t>
        </is>
      </c>
      <c r="K35" s="7" t="inlineStr"/>
      <c r="L35" s="7" t="inlineStr"/>
      <c r="M35" s="7" t="inlineStr">
        <is>
          <t>Passif</t>
        </is>
      </c>
      <c r="N35" s="7" t="inlineStr"/>
    </row>
    <row r="36">
      <c r="B36" s="7" t="inlineStr">
        <is>
          <t>445710</t>
        </is>
      </c>
      <c r="C36" s="8" t="inlineStr">
        <is>
          <t>TVA collectée</t>
        </is>
      </c>
      <c r="D36" s="9" t="n">
        <v>-288</v>
      </c>
      <c r="E36" s="9" t="n">
        <v>0</v>
      </c>
      <c r="F36" s="9" t="n">
        <v>-288</v>
      </c>
      <c r="G36" s="8" t="inlineStr">
        <is>
          <t>n/a</t>
        </is>
      </c>
      <c r="H36" s="7" t="inlineStr">
        <is>
          <t>E0</t>
        </is>
      </c>
      <c r="J36" s="7" t="inlineStr">
        <is>
          <t>E</t>
        </is>
      </c>
      <c r="K36" s="7" t="inlineStr"/>
      <c r="L36" s="7" t="inlineStr"/>
      <c r="M36" s="7" t="inlineStr">
        <is>
          <t>Passif</t>
        </is>
      </c>
      <c r="N36" s="7" t="inlineStr"/>
    </row>
    <row r="37">
      <c r="B37" s="7" t="inlineStr">
        <is>
          <t>455100</t>
        </is>
      </c>
      <c r="C37" s="8" t="inlineStr">
        <is>
          <t>Associés - comptes courants</t>
        </is>
      </c>
      <c r="D37" s="9" t="n">
        <v>-60</v>
      </c>
      <c r="E37" s="9" t="n">
        <v>-55</v>
      </c>
      <c r="F37" s="9" t="n">
        <v>-5</v>
      </c>
      <c r="G37" s="10" t="n">
        <v>-0.09089999999999999</v>
      </c>
      <c r="H37" s="7" t="inlineStr">
        <is>
          <t>F0</t>
        </is>
      </c>
      <c r="J37" s="7" t="inlineStr">
        <is>
          <t>F</t>
        </is>
      </c>
      <c r="K37" s="7" t="inlineStr"/>
      <c r="L37" s="7" t="inlineStr"/>
      <c r="M37" s="7" t="inlineStr">
        <is>
          <t>Passif</t>
        </is>
      </c>
      <c r="N37" s="7" t="inlineStr"/>
    </row>
    <row r="38">
      <c r="B38" s="7" t="inlineStr">
        <is>
          <t>467000</t>
        </is>
      </c>
      <c r="C38" s="8" t="inlineStr">
        <is>
          <t>Autres comptes débiteurs ou créditeurs</t>
        </is>
      </c>
      <c r="D38" s="9" t="n">
        <v>-63</v>
      </c>
      <c r="E38" s="9" t="n">
        <v>-65.8</v>
      </c>
      <c r="F38" s="9" t="n">
        <v>2.8</v>
      </c>
      <c r="G38" s="10" t="n">
        <v>0.0426</v>
      </c>
      <c r="H38" s="7" t="inlineStr">
        <is>
          <t>T0</t>
        </is>
      </c>
      <c r="J38" s="7" t="inlineStr">
        <is>
          <t>T</t>
        </is>
      </c>
      <c r="K38" s="7" t="inlineStr"/>
      <c r="L38" s="7" t="inlineStr"/>
      <c r="M38" s="7" t="inlineStr">
        <is>
          <t>Passif</t>
        </is>
      </c>
      <c r="N38" s="7" t="inlineStr"/>
    </row>
    <row r="39">
      <c r="B39" s="7" t="inlineStr">
        <is>
          <t>486000</t>
        </is>
      </c>
      <c r="C39" s="8" t="inlineStr">
        <is>
          <t>Charges constatées d'avance</t>
        </is>
      </c>
      <c r="D39" s="9" t="n">
        <v>17</v>
      </c>
      <c r="E39" s="9" t="n">
        <v>11</v>
      </c>
      <c r="F39" s="9" t="n">
        <v>6</v>
      </c>
      <c r="G39" s="10" t="n">
        <v>0.5455</v>
      </c>
      <c r="H39" s="7" t="inlineStr">
        <is>
          <t>A0</t>
        </is>
      </c>
      <c r="J39" s="7" t="inlineStr">
        <is>
          <t>A</t>
        </is>
      </c>
      <c r="K39" s="7" t="inlineStr"/>
      <c r="L39" s="7" t="inlineStr"/>
      <c r="M39" s="7" t="inlineStr">
        <is>
          <t>Actif</t>
        </is>
      </c>
      <c r="N39" s="7" t="inlineStr"/>
    </row>
    <row r="40">
      <c r="B40" s="7" t="inlineStr">
        <is>
          <t>487000</t>
        </is>
      </c>
      <c r="C40" s="8" t="inlineStr">
        <is>
          <t>Produits constatés d'avance</t>
        </is>
      </c>
      <c r="D40" s="9" t="n">
        <v>-8.5</v>
      </c>
      <c r="E40" s="9" t="n">
        <v>-5</v>
      </c>
      <c r="F40" s="9" t="n">
        <v>-3.5</v>
      </c>
      <c r="G40" s="10" t="n">
        <v>-0.7</v>
      </c>
      <c r="H40" s="7" t="inlineStr">
        <is>
          <t>V0</t>
        </is>
      </c>
      <c r="J40" s="7" t="inlineStr">
        <is>
          <t>V</t>
        </is>
      </c>
      <c r="K40" s="7" t="inlineStr"/>
      <c r="L40" s="7" t="inlineStr"/>
      <c r="M40" s="7" t="inlineStr">
        <is>
          <t>Passif</t>
        </is>
      </c>
      <c r="N40" s="7" t="inlineStr"/>
    </row>
    <row r="41">
      <c r="B41" s="7" t="inlineStr">
        <is>
          <t>491100</t>
        </is>
      </c>
      <c r="C41" s="8" t="inlineStr">
        <is>
          <t>Dépréciation des comptes clients</t>
        </is>
      </c>
      <c r="D41" s="9" t="n">
        <v>-5</v>
      </c>
      <c r="E41" s="9" t="n">
        <v>-3</v>
      </c>
      <c r="F41" s="9" t="n">
        <v>-2</v>
      </c>
      <c r="G41" s="10" t="n">
        <v>-0.6667</v>
      </c>
      <c r="H41" s="7" t="inlineStr">
        <is>
          <t>V0</t>
        </is>
      </c>
      <c r="J41" s="7" t="inlineStr">
        <is>
          <t>V</t>
        </is>
      </c>
      <c r="K41" s="7" t="inlineStr"/>
      <c r="L41" s="7" t="inlineStr"/>
      <c r="M41" s="7" t="inlineStr">
        <is>
          <t>Actif</t>
        </is>
      </c>
      <c r="N41" s="7" t="inlineStr"/>
    </row>
    <row r="42">
      <c r="B42" s="7" t="inlineStr">
        <is>
          <t>512100</t>
        </is>
      </c>
      <c r="C42" s="8" t="inlineStr">
        <is>
          <t>Banque principale</t>
        </is>
      </c>
      <c r="D42" s="9" t="n">
        <v>500.5</v>
      </c>
      <c r="E42" s="9" t="n">
        <v>90</v>
      </c>
      <c r="F42" s="9" t="n">
        <v>410.5</v>
      </c>
      <c r="G42" s="10" t="n">
        <v>4.5611</v>
      </c>
      <c r="H42" s="7" t="inlineStr">
        <is>
          <t>F0</t>
        </is>
      </c>
      <c r="J42" s="7" t="inlineStr">
        <is>
          <t>F</t>
        </is>
      </c>
      <c r="K42" s="7" t="inlineStr"/>
      <c r="L42" s="7" t="inlineStr"/>
      <c r="M42" s="7" t="inlineStr">
        <is>
          <t>Actif</t>
        </is>
      </c>
      <c r="N42" s="7" t="inlineStr"/>
    </row>
    <row r="43">
      <c r="B43" s="7" t="inlineStr">
        <is>
          <t>512200</t>
        </is>
      </c>
      <c r="C43" s="8" t="inlineStr">
        <is>
          <t>Banque secondaire</t>
        </is>
      </c>
      <c r="D43" s="9" t="n">
        <v>14.6</v>
      </c>
      <c r="E43" s="9" t="n">
        <v>0</v>
      </c>
      <c r="F43" s="9" t="n">
        <v>14.6</v>
      </c>
      <c r="G43" s="8" t="inlineStr">
        <is>
          <t>n/a</t>
        </is>
      </c>
      <c r="H43" s="7" t="inlineStr">
        <is>
          <t>F0</t>
        </is>
      </c>
      <c r="J43" s="7" t="inlineStr">
        <is>
          <t>F</t>
        </is>
      </c>
      <c r="K43" s="7" t="inlineStr"/>
      <c r="L43" s="7" t="inlineStr"/>
      <c r="M43" s="7" t="inlineStr">
        <is>
          <t>Actif</t>
        </is>
      </c>
      <c r="N43" s="7" t="inlineStr"/>
    </row>
    <row r="44">
      <c r="B44" s="7" t="inlineStr">
        <is>
          <t>519000</t>
        </is>
      </c>
      <c r="C44" s="8" t="inlineStr">
        <is>
          <t>Concours bancaires courants</t>
        </is>
      </c>
      <c r="D44" s="9" t="n">
        <v>-36</v>
      </c>
      <c r="E44" s="9" t="n">
        <v>-28</v>
      </c>
      <c r="F44" s="9" t="n">
        <v>-8</v>
      </c>
      <c r="G44" s="10" t="n">
        <v>-0.2857</v>
      </c>
      <c r="H44" s="7" t="inlineStr">
        <is>
          <t>F0</t>
        </is>
      </c>
      <c r="J44" s="7" t="inlineStr">
        <is>
          <t>F</t>
        </is>
      </c>
      <c r="K44" s="7" t="inlineStr"/>
      <c r="L44" s="7" t="inlineStr"/>
      <c r="M44" s="7" t="inlineStr">
        <is>
          <t>Actif</t>
        </is>
      </c>
      <c r="N44" s="7" t="inlineStr"/>
    </row>
    <row r="45">
      <c r="B45" s="7" t="inlineStr">
        <is>
          <t>530000</t>
        </is>
      </c>
      <c r="C45" s="8" t="inlineStr">
        <is>
          <t>Caisse</t>
        </is>
      </c>
      <c r="D45" s="9" t="n">
        <v>1</v>
      </c>
      <c r="E45" s="9" t="n">
        <v>0.8</v>
      </c>
      <c r="F45" s="9" t="n">
        <v>0.2</v>
      </c>
      <c r="G45" s="10" t="n">
        <v>0.25</v>
      </c>
      <c r="H45" s="7" t="inlineStr">
        <is>
          <t>F0</t>
        </is>
      </c>
      <c r="J45" s="7" t="inlineStr">
        <is>
          <t>F</t>
        </is>
      </c>
      <c r="K45" s="7" t="inlineStr"/>
      <c r="L45" s="7" t="inlineStr"/>
      <c r="M45" s="7" t="inlineStr">
        <is>
          <t>Actif</t>
        </is>
      </c>
      <c r="N45" s="7" t="inlineStr"/>
    </row>
    <row r="46">
      <c r="B46" s="7" t="inlineStr">
        <is>
          <t>601000</t>
        </is>
      </c>
      <c r="C46" s="8" t="inlineStr">
        <is>
          <t>Achats de matières premières</t>
        </is>
      </c>
      <c r="D46" s="9" t="n">
        <v>600</v>
      </c>
      <c r="E46" s="9" t="n">
        <v>550</v>
      </c>
      <c r="F46" s="9" t="n">
        <v>50</v>
      </c>
      <c r="G46" s="10" t="n">
        <v>0.09089999999999999</v>
      </c>
      <c r="H46" s="7" t="inlineStr">
        <is>
          <t>A0</t>
        </is>
      </c>
      <c r="J46" s="7" t="inlineStr">
        <is>
          <t>A</t>
        </is>
      </c>
      <c r="K46" s="7" t="inlineStr"/>
      <c r="L46" s="7" t="inlineStr"/>
      <c r="M46" s="7" t="inlineStr">
        <is>
          <t>Charges</t>
        </is>
      </c>
      <c r="N46" s="7" t="inlineStr"/>
    </row>
    <row r="47">
      <c r="B47" s="7" t="inlineStr">
        <is>
          <t>603100</t>
        </is>
      </c>
      <c r="C47" s="8" t="inlineStr">
        <is>
          <t>Variation des stocks de matières</t>
        </is>
      </c>
      <c r="D47" s="9" t="n">
        <v>6</v>
      </c>
      <c r="E47" s="9" t="n">
        <v>0</v>
      </c>
      <c r="F47" s="9" t="n">
        <v>6</v>
      </c>
      <c r="G47" s="8" t="inlineStr">
        <is>
          <t>n/a</t>
        </is>
      </c>
      <c r="H47" s="7" t="inlineStr">
        <is>
          <t>S0</t>
        </is>
      </c>
      <c r="J47" s="7" t="inlineStr">
        <is>
          <t>S</t>
        </is>
      </c>
      <c r="K47" s="7" t="inlineStr"/>
      <c r="L47" s="7" t="inlineStr"/>
      <c r="M47" s="7" t="inlineStr">
        <is>
          <t>Charges</t>
        </is>
      </c>
      <c r="N47" s="7" t="inlineStr"/>
    </row>
    <row r="48">
      <c r="B48" s="7" t="inlineStr">
        <is>
          <t>604000</t>
        </is>
      </c>
      <c r="C48" s="8" t="inlineStr">
        <is>
          <t>Achats d'études et prestations</t>
        </is>
      </c>
      <c r="D48" s="9" t="n">
        <v>96</v>
      </c>
      <c r="E48" s="9" t="n">
        <v>0</v>
      </c>
      <c r="F48" s="9" t="n">
        <v>96</v>
      </c>
      <c r="G48" s="8" t="inlineStr">
        <is>
          <t>n/a</t>
        </is>
      </c>
      <c r="H48" s="7" t="inlineStr">
        <is>
          <t>A0</t>
        </is>
      </c>
      <c r="J48" s="7" t="inlineStr">
        <is>
          <t>A</t>
        </is>
      </c>
      <c r="K48" s="7" t="inlineStr"/>
      <c r="L48" s="7" t="inlineStr"/>
      <c r="M48" s="7" t="inlineStr">
        <is>
          <t>Charges</t>
        </is>
      </c>
      <c r="N48" s="7" t="inlineStr"/>
    </row>
    <row r="49">
      <c r="B49" s="7" t="inlineStr">
        <is>
          <t>613500</t>
        </is>
      </c>
      <c r="C49" s="8" t="inlineStr">
        <is>
          <t>Locations mobilières</t>
        </is>
      </c>
      <c r="D49" s="9" t="n">
        <v>57</v>
      </c>
      <c r="E49" s="9" t="n">
        <v>0</v>
      </c>
      <c r="F49" s="9" t="n">
        <v>57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  <c r="K49" s="7" t="inlineStr"/>
      <c r="L49" s="7" t="inlineStr"/>
      <c r="M49" s="7" t="inlineStr">
        <is>
          <t>Charges</t>
        </is>
      </c>
      <c r="N49" s="7" t="inlineStr"/>
    </row>
    <row r="50">
      <c r="B50" s="7" t="inlineStr">
        <is>
          <t>622600</t>
        </is>
      </c>
      <c r="C50" s="8" t="inlineStr">
        <is>
          <t>Honoraires</t>
        </is>
      </c>
      <c r="D50" s="9" t="n">
        <v>48</v>
      </c>
      <c r="E50" s="9" t="n">
        <v>0</v>
      </c>
      <c r="F50" s="9" t="n">
        <v>48</v>
      </c>
      <c r="G50" s="8" t="inlineStr">
        <is>
          <t>n/a</t>
        </is>
      </c>
      <c r="H50" s="7" t="inlineStr">
        <is>
          <t>A0</t>
        </is>
      </c>
      <c r="J50" s="7" t="inlineStr">
        <is>
          <t>A</t>
        </is>
      </c>
      <c r="K50" s="7" t="inlineStr"/>
      <c r="L50" s="7" t="inlineStr"/>
      <c r="M50" s="7" t="inlineStr">
        <is>
          <t>Charges</t>
        </is>
      </c>
      <c r="N50" s="7" t="inlineStr"/>
    </row>
    <row r="51">
      <c r="B51" s="7" t="inlineStr">
        <is>
          <t>641000</t>
        </is>
      </c>
      <c r="C51" s="8" t="inlineStr">
        <is>
          <t>Rémunérations du personnel</t>
        </is>
      </c>
      <c r="D51" s="9" t="n">
        <v>300</v>
      </c>
      <c r="E51" s="9" t="n">
        <v>270</v>
      </c>
      <c r="F51" s="9" t="n">
        <v>30</v>
      </c>
      <c r="G51" s="10" t="n">
        <v>0.1111</v>
      </c>
      <c r="H51" s="7" t="inlineStr">
        <is>
          <t>P0</t>
        </is>
      </c>
      <c r="J51" s="7" t="inlineStr">
        <is>
          <t>P</t>
        </is>
      </c>
      <c r="K51" s="7" t="inlineStr"/>
      <c r="L51" s="7" t="inlineStr"/>
      <c r="M51" s="7" t="inlineStr">
        <is>
          <t>Charges</t>
        </is>
      </c>
      <c r="N51" s="7" t="inlineStr"/>
    </row>
    <row r="52">
      <c r="B52" s="7" t="inlineStr">
        <is>
          <t>645000</t>
        </is>
      </c>
      <c r="C52" s="8" t="inlineStr">
        <is>
          <t>Charges de sécurité sociale</t>
        </is>
      </c>
      <c r="D52" s="9" t="n">
        <v>120</v>
      </c>
      <c r="E52" s="9" t="n">
        <v>0</v>
      </c>
      <c r="F52" s="9" t="n">
        <v>120</v>
      </c>
      <c r="G52" s="8" t="inlineStr">
        <is>
          <t>n/a</t>
        </is>
      </c>
      <c r="H52" s="7" t="inlineStr">
        <is>
          <t>P0</t>
        </is>
      </c>
      <c r="J52" s="7" t="inlineStr">
        <is>
          <t>P</t>
        </is>
      </c>
      <c r="K52" s="7" t="inlineStr"/>
      <c r="L52" s="7" t="inlineStr"/>
      <c r="M52" s="7" t="inlineStr">
        <is>
          <t>Charges</t>
        </is>
      </c>
      <c r="N52" s="7" t="inlineStr"/>
    </row>
    <row r="53">
      <c r="B53" s="7" t="inlineStr">
        <is>
          <t>661100</t>
        </is>
      </c>
      <c r="C53" s="8" t="inlineStr">
        <is>
          <t>Intérêts des emprunts</t>
        </is>
      </c>
      <c r="D53" s="9" t="n">
        <v>4.5</v>
      </c>
      <c r="E53" s="9" t="n">
        <v>3</v>
      </c>
      <c r="F53" s="9" t="n">
        <v>1.5</v>
      </c>
      <c r="G53" s="10" t="n">
        <v>0.5</v>
      </c>
      <c r="H53" s="7" t="inlineStr">
        <is>
          <t>F0</t>
        </is>
      </c>
      <c r="J53" s="7" t="inlineStr">
        <is>
          <t>F</t>
        </is>
      </c>
      <c r="K53" s="7" t="inlineStr"/>
      <c r="L53" s="7" t="inlineStr"/>
      <c r="M53" s="7" t="inlineStr">
        <is>
          <t>Charges</t>
        </is>
      </c>
      <c r="N53" s="7" t="inlineStr"/>
    </row>
    <row r="54">
      <c r="B54" s="7" t="inlineStr">
        <is>
          <t>671200</t>
        </is>
      </c>
      <c r="C54" s="8" t="inlineStr">
        <is>
          <t>Pénalités et amendes</t>
        </is>
      </c>
      <c r="D54" s="9" t="n">
        <v>1.2</v>
      </c>
      <c r="E54" s="9" t="n">
        <v>0</v>
      </c>
      <c r="F54" s="9" t="n">
        <v>1.2</v>
      </c>
      <c r="G54" s="8" t="inlineStr">
        <is>
          <t>n/a</t>
        </is>
      </c>
      <c r="H54" s="7" t="inlineStr">
        <is>
          <t>X0</t>
        </is>
      </c>
      <c r="J54" s="7" t="inlineStr">
        <is>
          <t>X</t>
        </is>
      </c>
      <c r="K54" s="7" t="inlineStr"/>
      <c r="L54" s="7" t="inlineStr"/>
      <c r="M54" s="7" t="inlineStr">
        <is>
          <t>Charges</t>
        </is>
      </c>
      <c r="N54" s="7" t="inlineStr"/>
    </row>
    <row r="55">
      <c r="B55" s="7" t="inlineStr">
        <is>
          <t>681120</t>
        </is>
      </c>
      <c r="C55" s="8" t="inlineStr">
        <is>
          <t>Dotations amortissements immobilisations</t>
        </is>
      </c>
      <c r="D55" s="9" t="n">
        <v>25</v>
      </c>
      <c r="E55" s="9" t="n">
        <v>0</v>
      </c>
      <c r="F55" s="9" t="n">
        <v>25</v>
      </c>
      <c r="G55" s="8" t="inlineStr">
        <is>
          <t>n/a</t>
        </is>
      </c>
      <c r="H55" s="7" t="inlineStr">
        <is>
          <t>A0</t>
        </is>
      </c>
      <c r="J55" s="7" t="inlineStr">
        <is>
          <t>A</t>
        </is>
      </c>
      <c r="K55" s="7" t="inlineStr"/>
      <c r="L55" s="7" t="inlineStr"/>
      <c r="M55" s="7" t="inlineStr">
        <is>
          <t>Charges</t>
        </is>
      </c>
      <c r="N55" s="7" t="inlineStr"/>
    </row>
    <row r="56">
      <c r="B56" s="7" t="inlineStr">
        <is>
          <t>681740</t>
        </is>
      </c>
      <c r="C56" s="8" t="inlineStr">
        <is>
          <t>Dotations dépréciations créances clients</t>
        </is>
      </c>
      <c r="D56" s="9" t="n">
        <v>2</v>
      </c>
      <c r="E56" s="9" t="n">
        <v>0</v>
      </c>
      <c r="F56" s="9" t="n">
        <v>2</v>
      </c>
      <c r="G56" s="8" t="inlineStr">
        <is>
          <t>n/a</t>
        </is>
      </c>
      <c r="H56" s="7" t="inlineStr">
        <is>
          <t>A0</t>
        </is>
      </c>
      <c r="J56" s="7" t="inlineStr">
        <is>
          <t>A</t>
        </is>
      </c>
      <c r="K56" s="7" t="inlineStr"/>
      <c r="L56" s="7" t="inlineStr"/>
      <c r="M56" s="7" t="inlineStr">
        <is>
          <t>Charges</t>
        </is>
      </c>
      <c r="N56" s="7" t="inlineStr"/>
    </row>
    <row r="57">
      <c r="B57" s="7" t="inlineStr">
        <is>
          <t>695000</t>
        </is>
      </c>
      <c r="C57" s="8" t="inlineStr">
        <is>
          <t>Impôt sur les bénéfices</t>
        </is>
      </c>
      <c r="D57" s="9" t="n">
        <v>8</v>
      </c>
      <c r="E57" s="9" t="n">
        <v>10</v>
      </c>
      <c r="F57" s="9" t="n">
        <v>-2</v>
      </c>
      <c r="G57" s="10" t="n">
        <v>-0.2</v>
      </c>
      <c r="H57" s="7" t="inlineStr">
        <is>
          <t>E0</t>
        </is>
      </c>
      <c r="J57" s="7" t="inlineStr">
        <is>
          <t>E</t>
        </is>
      </c>
      <c r="K57" s="7" t="inlineStr"/>
      <c r="L57" s="7" t="inlineStr"/>
      <c r="M57" s="7" t="inlineStr">
        <is>
          <t>Charges</t>
        </is>
      </c>
      <c r="N57" s="7" t="inlineStr"/>
    </row>
    <row r="58">
      <c r="B58" s="7" t="inlineStr">
        <is>
          <t>701000</t>
        </is>
      </c>
      <c r="C58" s="8" t="inlineStr">
        <is>
          <t>Ventes de produits finis</t>
        </is>
      </c>
      <c r="D58" s="9" t="n">
        <v>-1200</v>
      </c>
      <c r="E58" s="9" t="n">
        <v>-980</v>
      </c>
      <c r="F58" s="9" t="n">
        <v>-220</v>
      </c>
      <c r="G58" s="10" t="n">
        <v>-0.2245</v>
      </c>
      <c r="H58" s="7" t="inlineStr">
        <is>
          <t>V0</t>
        </is>
      </c>
      <c r="J58" s="7" t="inlineStr">
        <is>
          <t>V</t>
        </is>
      </c>
      <c r="K58" s="7" t="inlineStr"/>
      <c r="L58" s="7" t="inlineStr"/>
      <c r="M58" s="7" t="inlineStr">
        <is>
          <t>Produits</t>
        </is>
      </c>
      <c r="N58" s="7" t="inlineStr"/>
    </row>
    <row r="59">
      <c r="B59" s="7" t="inlineStr">
        <is>
          <t>706000</t>
        </is>
      </c>
      <c r="C59" s="8" t="inlineStr">
        <is>
          <t>Prestations de services</t>
        </is>
      </c>
      <c r="D59" s="9" t="n">
        <v>-237.5</v>
      </c>
      <c r="E59" s="9" t="n">
        <v>0</v>
      </c>
      <c r="F59" s="9" t="n">
        <v>-237.5</v>
      </c>
      <c r="G59" s="8" t="inlineStr">
        <is>
          <t>n/a</t>
        </is>
      </c>
      <c r="H59" s="7" t="inlineStr">
        <is>
          <t>V0</t>
        </is>
      </c>
      <c r="J59" s="7" t="inlineStr">
        <is>
          <t>V</t>
        </is>
      </c>
      <c r="K59" s="7" t="inlineStr"/>
      <c r="L59" s="7" t="inlineStr"/>
      <c r="M59" s="7" t="inlineStr">
        <is>
          <t>Produits</t>
        </is>
      </c>
      <c r="N59" s="7" t="inlineStr"/>
    </row>
    <row r="60">
      <c r="B60" s="7" t="inlineStr">
        <is>
          <t>713500</t>
        </is>
      </c>
      <c r="C60" s="8" t="inlineStr">
        <is>
          <t>Variation des stocks de produits</t>
        </is>
      </c>
      <c r="D60" s="9" t="n">
        <v>-4</v>
      </c>
      <c r="E60" s="9" t="n">
        <v>0</v>
      </c>
      <c r="F60" s="9" t="n">
        <v>-4</v>
      </c>
      <c r="G60" s="8" t="inlineStr">
        <is>
          <t>n/a</t>
        </is>
      </c>
      <c r="H60" s="7" t="inlineStr">
        <is>
          <t>S0</t>
        </is>
      </c>
      <c r="J60" s="7" t="inlineStr">
        <is>
          <t>S</t>
        </is>
      </c>
      <c r="K60" s="7" t="inlineStr"/>
      <c r="L60" s="7" t="inlineStr"/>
      <c r="M60" s="7" t="inlineStr">
        <is>
          <t>Produits</t>
        </is>
      </c>
      <c r="N60" s="7" t="inlineStr"/>
    </row>
    <row r="61">
      <c r="B61" s="7" t="inlineStr">
        <is>
          <t>758000</t>
        </is>
      </c>
      <c r="C61" s="8" t="inlineStr">
        <is>
          <t>Produits divers de gestion courante</t>
        </is>
      </c>
      <c r="D61" s="9" t="n">
        <v>-2.8</v>
      </c>
      <c r="E61" s="9" t="n">
        <v>0</v>
      </c>
      <c r="F61" s="9" t="n">
        <v>-2.8</v>
      </c>
      <c r="G61" s="8" t="inlineStr">
        <is>
          <t>n/a</t>
        </is>
      </c>
      <c r="H61" s="7" t="inlineStr">
        <is>
          <t>T0</t>
        </is>
      </c>
      <c r="J61" s="7" t="inlineStr">
        <is>
          <t>T</t>
        </is>
      </c>
      <c r="K61" s="7" t="inlineStr"/>
      <c r="L61" s="7" t="inlineStr"/>
      <c r="M61" s="7" t="inlineStr">
        <is>
          <t>Produits</t>
        </is>
      </c>
      <c r="N61" s="7" t="inlineStr"/>
    </row>
    <row r="62">
      <c r="B62" s="7" t="inlineStr">
        <is>
          <t>761000</t>
        </is>
      </c>
      <c r="C62" s="8" t="inlineStr">
        <is>
          <t>Produits de participations</t>
        </is>
      </c>
      <c r="D62" s="9" t="n">
        <v>-3.8</v>
      </c>
      <c r="E62" s="9" t="n">
        <v>0</v>
      </c>
      <c r="F62" s="9" t="n">
        <v>-3.8</v>
      </c>
      <c r="G62" s="8" t="inlineStr">
        <is>
          <t>n/a</t>
        </is>
      </c>
      <c r="H62" s="7" t="inlineStr">
        <is>
          <t>F0</t>
        </is>
      </c>
      <c r="J62" s="7" t="inlineStr">
        <is>
          <t>F</t>
        </is>
      </c>
      <c r="K62" s="7" t="inlineStr"/>
      <c r="L62" s="7" t="inlineStr"/>
      <c r="M62" s="7" t="inlineStr">
        <is>
          <t>Produits</t>
        </is>
      </c>
      <c r="N62" s="7" t="inlineStr"/>
    </row>
    <row r="63">
      <c r="B63" s="7" t="inlineStr">
        <is>
          <t>771800</t>
        </is>
      </c>
      <c r="C63" s="8" t="inlineStr">
        <is>
          <t>Autres produits exceptionnels</t>
        </is>
      </c>
      <c r="D63" s="9" t="n">
        <v>-2.2</v>
      </c>
      <c r="E63" s="9" t="n">
        <v>-5</v>
      </c>
      <c r="F63" s="9" t="n">
        <v>2.8</v>
      </c>
      <c r="G63" s="10" t="n">
        <v>0.5600000000000001</v>
      </c>
      <c r="H63" s="7" t="inlineStr">
        <is>
          <t>X0</t>
        </is>
      </c>
      <c r="J63" s="7" t="inlineStr">
        <is>
          <t>X</t>
        </is>
      </c>
      <c r="K63" s="7" t="inlineStr"/>
      <c r="L63" s="7" t="inlineStr"/>
      <c r="M63" s="7" t="inlineStr">
        <is>
          <t>Produits</t>
        </is>
      </c>
      <c r="N6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  <col width="4" customWidth="1" min="8" max="8"/>
    <col width="30" customWidth="1" min="9" max="9"/>
    <col width="4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Bilan synthétique</t>
        </is>
      </c>
    </row>
    <row r="4">
      <c r="D4" s="5" t="inlineStr">
        <is>
          <t>DEMO</t>
        </is>
      </c>
    </row>
    <row r="8">
      <c r="B8" s="6" t="inlineStr">
        <is>
          <t>ACTIF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I8" s="6" t="inlineStr">
        <is>
          <t>PASSIF</t>
        </is>
      </c>
      <c r="K8" s="6" t="inlineStr">
        <is>
          <t>31/12/2025</t>
        </is>
      </c>
      <c r="L8" s="6" t="inlineStr">
        <is>
          <t>31/12/2024</t>
        </is>
      </c>
      <c r="M8" s="6" t="inlineStr">
        <is>
          <t>Var. K€</t>
        </is>
      </c>
      <c r="N8" s="6" t="inlineStr">
        <is>
          <t>Var. %</t>
        </is>
      </c>
    </row>
    <row r="10">
      <c r="B10" s="11" t="inlineStr">
        <is>
          <t>ACTIF IMMOBILISÉ</t>
        </is>
      </c>
      <c r="I10" s="11" t="inlineStr">
        <is>
          <t>CAPITAUX PROPRES</t>
        </is>
      </c>
    </row>
    <row r="11">
      <c r="B11" s="8" t="inlineStr">
        <is>
          <t>Capital souscrit non appelé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I11" s="8" t="inlineStr">
        <is>
          <t>Capital</t>
        </is>
      </c>
      <c r="K11" s="9" t="n">
        <v>300</v>
      </c>
      <c r="L11" s="9" t="n">
        <v>300</v>
      </c>
      <c r="M11" s="9" t="n">
        <v>0</v>
      </c>
      <c r="N11" s="10" t="n">
        <v>0</v>
      </c>
    </row>
    <row r="12">
      <c r="B12" s="8" t="inlineStr">
        <is>
          <t>Immobilisations incorporelles (net)</t>
        </is>
      </c>
      <c r="D12" s="9" t="n">
        <v>34</v>
      </c>
      <c r="E12" s="9" t="n">
        <v>38</v>
      </c>
      <c r="F12" s="9" t="n">
        <v>-4</v>
      </c>
      <c r="G12" s="10" t="n">
        <v>-0.1053</v>
      </c>
      <c r="I12" s="8" t="inlineStr">
        <is>
          <t>Primes d'émission</t>
        </is>
      </c>
      <c r="K12" s="9" t="n">
        <v>-0</v>
      </c>
      <c r="L12" s="9" t="n">
        <v>-0</v>
      </c>
      <c r="M12" s="9" t="n">
        <v>0</v>
      </c>
      <c r="N12" s="8" t="inlineStr">
        <is>
          <t>n/a</t>
        </is>
      </c>
    </row>
    <row r="13">
      <c r="B13" s="8" t="inlineStr">
        <is>
          <t>Immobilisations corporelles (net)</t>
        </is>
      </c>
      <c r="D13" s="9" t="n">
        <v>283</v>
      </c>
      <c r="E13" s="9" t="n">
        <v>309</v>
      </c>
      <c r="F13" s="9" t="n">
        <v>-26</v>
      </c>
      <c r="G13" s="10" t="n">
        <v>-0.08409999999999999</v>
      </c>
      <c r="I13" s="8" t="inlineStr">
        <is>
          <t>Réserve légale</t>
        </is>
      </c>
      <c r="K13" s="9" t="n">
        <v>30</v>
      </c>
      <c r="L13" s="9" t="n">
        <v>30</v>
      </c>
      <c r="M13" s="9" t="n">
        <v>0</v>
      </c>
      <c r="N13" s="10" t="n">
        <v>0</v>
      </c>
    </row>
    <row r="14">
      <c r="B14" s="8" t="inlineStr">
        <is>
          <t>Immobilisations financières (net)</t>
        </is>
      </c>
      <c r="D14" s="9" t="n">
        <v>58</v>
      </c>
      <c r="E14" s="9" t="n">
        <v>71</v>
      </c>
      <c r="F14" s="9" t="n">
        <v>-13</v>
      </c>
      <c r="G14" s="10" t="n">
        <v>-0.1831</v>
      </c>
      <c r="I14" s="8" t="inlineStr">
        <is>
          <t>Autres réserves</t>
        </is>
      </c>
      <c r="K14" s="9" t="n">
        <v>-0</v>
      </c>
      <c r="L14" s="9" t="n">
        <v>-0</v>
      </c>
      <c r="M14" s="9" t="n">
        <v>0</v>
      </c>
      <c r="N14" s="8" t="inlineStr">
        <is>
          <t>n/a</t>
        </is>
      </c>
    </row>
    <row r="15">
      <c r="I15" s="8" t="inlineStr">
        <is>
          <t>Report à nouveau</t>
        </is>
      </c>
      <c r="K15" s="9" t="n">
        <v>45</v>
      </c>
      <c r="L15" s="9" t="n">
        <v>-235</v>
      </c>
      <c r="M15" s="9" t="n">
        <v>280</v>
      </c>
      <c r="N15" s="10" t="n">
        <v>1.1915</v>
      </c>
    </row>
    <row r="16">
      <c r="B16" s="11" t="inlineStr">
        <is>
          <t>ACTIF CIRCULANT</t>
        </is>
      </c>
      <c r="I16" s="8" t="inlineStr">
        <is>
          <t>Résultat de l'exercice</t>
        </is>
      </c>
      <c r="K16" s="9" t="n">
        <v>-0</v>
      </c>
      <c r="L16" s="9" t="n">
        <v>-0</v>
      </c>
      <c r="M16" s="9" t="n">
        <v>0</v>
      </c>
      <c r="N16" s="8" t="inlineStr">
        <is>
          <t>n/a</t>
        </is>
      </c>
    </row>
    <row r="17">
      <c r="B17" s="8" t="inlineStr">
        <is>
          <t>Stocks et en-cours (net)</t>
        </is>
      </c>
      <c r="D17" s="9" t="n">
        <v>99</v>
      </c>
      <c r="E17" s="9" t="n">
        <v>91</v>
      </c>
      <c r="F17" s="9" t="n">
        <v>8</v>
      </c>
      <c r="G17" s="10" t="n">
        <v>0.08790000000000001</v>
      </c>
      <c r="I17" s="8" t="inlineStr">
        <is>
          <t>Résultat en cours (6/7)</t>
        </is>
      </c>
      <c r="K17" s="9" t="n">
        <v>182.6</v>
      </c>
      <c r="L17" s="9" t="n">
        <v>152</v>
      </c>
      <c r="M17" s="9" t="n">
        <v>30.6</v>
      </c>
      <c r="N17" s="10" t="n">
        <v>0.2013</v>
      </c>
    </row>
    <row r="18">
      <c r="B18" s="8" t="inlineStr">
        <is>
          <t>Avances et acomptes versés</t>
        </is>
      </c>
      <c r="D18" s="9" t="n">
        <v>9</v>
      </c>
      <c r="E18" s="9" t="n">
        <v>0</v>
      </c>
      <c r="F18" s="9" t="n">
        <v>9</v>
      </c>
      <c r="G18" s="8" t="inlineStr">
        <is>
          <t>n/a</t>
        </is>
      </c>
      <c r="I18" s="8" t="inlineStr">
        <is>
          <t>Subventions d'investissement</t>
        </is>
      </c>
      <c r="K18" s="9" t="n">
        <v>-0</v>
      </c>
      <c r="L18" s="9" t="n">
        <v>-0</v>
      </c>
      <c r="M18" s="9" t="n">
        <v>0</v>
      </c>
      <c r="N18" s="8" t="inlineStr">
        <is>
          <t>n/a</t>
        </is>
      </c>
    </row>
    <row r="19">
      <c r="B19" s="8" t="inlineStr">
        <is>
          <t>Créances clients (net)</t>
        </is>
      </c>
      <c r="D19" s="9" t="n">
        <v>117</v>
      </c>
      <c r="E19" s="9" t="n">
        <v>66</v>
      </c>
      <c r="F19" s="9" t="n">
        <v>51</v>
      </c>
      <c r="G19" s="10" t="n">
        <v>0.7727000000000001</v>
      </c>
      <c r="I19" s="8" t="inlineStr">
        <is>
          <t>Provisions réglementées</t>
        </is>
      </c>
      <c r="K19" s="9" t="n">
        <v>-0</v>
      </c>
      <c r="L19" s="9" t="n">
        <v>-0</v>
      </c>
      <c r="M19" s="9" t="n">
        <v>0</v>
      </c>
      <c r="N19" s="8" t="inlineStr">
        <is>
          <t>n/a</t>
        </is>
      </c>
    </row>
    <row r="20">
      <c r="B20" s="8" t="inlineStr">
        <is>
          <t>Autres créances</t>
        </is>
      </c>
      <c r="D20" s="9" t="n">
        <v>160.8</v>
      </c>
      <c r="E20" s="9" t="n">
        <v>0</v>
      </c>
      <c r="F20" s="9" t="n">
        <v>160.8</v>
      </c>
      <c r="G20" s="8" t="inlineStr">
        <is>
          <t>n/a</t>
        </is>
      </c>
    </row>
    <row r="21">
      <c r="B21" s="8" t="inlineStr">
        <is>
          <t>Créances interco (451, 455 débiteurs)</t>
        </is>
      </c>
      <c r="D21" s="9" t="n">
        <v>0</v>
      </c>
      <c r="E21" s="9" t="n">
        <v>0</v>
      </c>
      <c r="F21" s="9" t="n">
        <v>0</v>
      </c>
      <c r="G21" s="8" t="inlineStr">
        <is>
          <t>n/a</t>
        </is>
      </c>
      <c r="I21" s="11" t="inlineStr">
        <is>
          <t>PROVISIONS</t>
        </is>
      </c>
    </row>
    <row r="22">
      <c r="B22" s="8" t="inlineStr">
        <is>
          <t>Comptes bascule reclassés (actif)</t>
        </is>
      </c>
      <c r="D22" s="9" t="n">
        <v>17</v>
      </c>
      <c r="E22" s="9" t="n">
        <v>11</v>
      </c>
      <c r="F22" s="9" t="n">
        <v>6</v>
      </c>
      <c r="G22" s="10" t="n">
        <v>0.5455</v>
      </c>
      <c r="I22" s="8" t="inlineStr">
        <is>
          <t>Provisions pour risques</t>
        </is>
      </c>
      <c r="K22" s="9" t="n">
        <v>20</v>
      </c>
      <c r="L22" s="9" t="n">
        <v>20</v>
      </c>
      <c r="M22" s="9" t="n">
        <v>0</v>
      </c>
      <c r="N22" s="10" t="n">
        <v>0</v>
      </c>
    </row>
    <row r="23">
      <c r="B23" s="8" t="inlineStr">
        <is>
          <t>VMP (net)</t>
        </is>
      </c>
      <c r="D23" s="9" t="n">
        <v>0</v>
      </c>
      <c r="E23" s="9" t="n">
        <v>0</v>
      </c>
      <c r="F23" s="9" t="n">
        <v>0</v>
      </c>
      <c r="G23" s="8" t="inlineStr">
        <is>
          <t>n/a</t>
        </is>
      </c>
      <c r="I23" s="8" t="inlineStr">
        <is>
          <t>Provisions pour charges</t>
        </is>
      </c>
      <c r="K23" s="9" t="n">
        <v>-0</v>
      </c>
      <c r="L23" s="9" t="n">
        <v>-0</v>
      </c>
      <c r="M23" s="9" t="n">
        <v>0</v>
      </c>
      <c r="N23" s="8" t="inlineStr">
        <is>
          <t>n/a</t>
        </is>
      </c>
    </row>
    <row r="24">
      <c r="B24" s="8" t="inlineStr">
        <is>
          <t>Disponibilités</t>
        </is>
      </c>
      <c r="D24" s="9" t="n">
        <v>516.1</v>
      </c>
      <c r="E24" s="9" t="n">
        <v>90.8</v>
      </c>
      <c r="F24" s="9" t="n">
        <v>425.3</v>
      </c>
      <c r="G24" s="10" t="n">
        <v>4.6839</v>
      </c>
    </row>
    <row r="25">
      <c r="I25" s="11" t="inlineStr">
        <is>
          <t>DETTES</t>
        </is>
      </c>
    </row>
    <row r="26">
      <c r="B26" s="12" t="inlineStr">
        <is>
          <t>TOTAL ACTIF</t>
        </is>
      </c>
      <c r="D26" s="13" t="n">
        <v>1293.9</v>
      </c>
      <c r="E26" s="13" t="n">
        <v>676.8</v>
      </c>
      <c r="F26" s="13" t="n">
        <v>617.1</v>
      </c>
      <c r="G26" s="14" t="n">
        <v>0.9118000000000001</v>
      </c>
      <c r="I26" s="8" t="inlineStr">
        <is>
          <t>Emprunts et dettes financières</t>
        </is>
      </c>
      <c r="K26" s="9" t="n">
        <v>196</v>
      </c>
      <c r="L26" s="9" t="n">
        <v>236</v>
      </c>
      <c r="M26" s="9" t="n">
        <v>-40</v>
      </c>
      <c r="N26" s="10" t="n">
        <v>-0.1695</v>
      </c>
    </row>
    <row r="27">
      <c r="I27" s="8" t="inlineStr">
        <is>
          <t>Dettes fournisseurs</t>
        </is>
      </c>
      <c r="K27" s="9" t="n">
        <v>80.8</v>
      </c>
      <c r="L27" s="9" t="n">
        <v>48</v>
      </c>
      <c r="M27" s="9" t="n">
        <v>32.8</v>
      </c>
      <c r="N27" s="10" t="n">
        <v>0.6833</v>
      </c>
    </row>
    <row r="28">
      <c r="I28" s="8" t="inlineStr">
        <is>
          <t>Dettes fiscales et sociales</t>
        </is>
      </c>
      <c r="K28" s="9" t="n">
        <v>288</v>
      </c>
      <c r="L28" s="9" t="n">
        <v>-0</v>
      </c>
      <c r="M28" s="9" t="n">
        <v>288</v>
      </c>
      <c r="N28" s="8" t="inlineStr">
        <is>
          <t>n/a</t>
        </is>
      </c>
    </row>
    <row r="29">
      <c r="I29" s="8" t="inlineStr">
        <is>
          <t>Autres dettes</t>
        </is>
      </c>
      <c r="K29" s="9" t="n">
        <v>12</v>
      </c>
      <c r="L29" s="9" t="n">
        <v>-0</v>
      </c>
      <c r="M29" s="9" t="n">
        <v>12</v>
      </c>
      <c r="N29" s="8" t="inlineStr">
        <is>
          <t>n/a</t>
        </is>
      </c>
    </row>
    <row r="30">
      <c r="I30" s="8" t="inlineStr">
        <is>
          <t>Dettes interco (451, 455 créditeurs)</t>
        </is>
      </c>
      <c r="K30" s="9" t="n">
        <v>60</v>
      </c>
      <c r="L30" s="9" t="n">
        <v>55</v>
      </c>
      <c r="M30" s="9" t="n">
        <v>5</v>
      </c>
      <c r="N30" s="10" t="n">
        <v>0.09089999999999999</v>
      </c>
    </row>
    <row r="31">
      <c r="I31" s="8" t="inlineStr">
        <is>
          <t>Comptes bascule reclassés (passif)</t>
        </is>
      </c>
      <c r="K31" s="9" t="n">
        <v>79.5</v>
      </c>
      <c r="L31" s="9" t="n">
        <v>70.8</v>
      </c>
      <c r="M31" s="9" t="n">
        <v>8.699999999999999</v>
      </c>
      <c r="N31" s="10" t="n">
        <v>0.1229</v>
      </c>
    </row>
    <row r="33">
      <c r="I33" s="12" t="inlineStr">
        <is>
          <t>TOTAL PASSIF</t>
        </is>
      </c>
      <c r="K33" s="13" t="n">
        <v>1293.9</v>
      </c>
      <c r="L33" s="13" t="n">
        <v>676.8</v>
      </c>
      <c r="M33" s="13" t="n">
        <v>617.1</v>
      </c>
      <c r="N33" s="14" t="n">
        <v>0.9118000000000001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EBIT</t>
        </is>
      </c>
    </row>
    <row r="4">
      <c r="D4" s="5" t="inlineStr">
        <is>
          <t>DEMO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PRODUITS D'EXPLOITATION</t>
        </is>
      </c>
    </row>
    <row r="11">
      <c r="B11" s="8" t="inlineStr">
        <is>
          <t>Ventes de marchandises</t>
        </is>
      </c>
      <c r="D11" s="9" t="n">
        <v>-0</v>
      </c>
      <c r="E11" s="9" t="n">
        <v>-0</v>
      </c>
      <c r="F11" s="9" t="n">
        <v>0</v>
      </c>
      <c r="G11" s="8" t="inlineStr">
        <is>
          <t>n/a</t>
        </is>
      </c>
    </row>
    <row r="12">
      <c r="B12" s="8" t="inlineStr">
        <is>
          <t>Production vendue (Biens et Services)</t>
        </is>
      </c>
      <c r="D12" s="9" t="n">
        <v>1437.5</v>
      </c>
      <c r="E12" s="9" t="n">
        <v>980</v>
      </c>
      <c r="F12" s="9" t="n">
        <v>457.5</v>
      </c>
      <c r="G12" s="10" t="n">
        <v>0.4668</v>
      </c>
    </row>
    <row r="13">
      <c r="B13" s="12">
        <f> Chiffre d'affaires</f>
        <v/>
      </c>
      <c r="D13" s="13" t="n">
        <v>1437.5</v>
      </c>
      <c r="E13" s="13" t="n">
        <v>980</v>
      </c>
      <c r="F13" s="13" t="n">
        <v>457.5</v>
      </c>
      <c r="G13" s="14" t="n">
        <v>0.4668</v>
      </c>
    </row>
    <row r="15">
      <c r="B15" s="8" t="inlineStr">
        <is>
          <t>Production stockée</t>
        </is>
      </c>
      <c r="D15" s="9" t="n">
        <v>4</v>
      </c>
      <c r="E15" s="9" t="n">
        <v>-0</v>
      </c>
      <c r="F15" s="9" t="n">
        <v>4</v>
      </c>
      <c r="G15" s="8" t="inlineStr">
        <is>
          <t>n/a</t>
        </is>
      </c>
    </row>
    <row r="16">
      <c r="B16" s="8" t="inlineStr">
        <is>
          <t>Production immobilisée</t>
        </is>
      </c>
      <c r="D16" s="9" t="n">
        <v>-0</v>
      </c>
      <c r="E16" s="9" t="n">
        <v>-0</v>
      </c>
      <c r="F16" s="9" t="n">
        <v>0</v>
      </c>
      <c r="G16" s="8" t="inlineStr">
        <is>
          <t>n/a</t>
        </is>
      </c>
    </row>
    <row r="17">
      <c r="B17" s="8" t="inlineStr">
        <is>
          <t>Subventions d'exploitation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</row>
    <row r="18">
      <c r="B18" s="8" t="inlineStr">
        <is>
          <t>Reprises amort./prov., transferts de charges</t>
        </is>
      </c>
      <c r="D18" s="9" t="n">
        <v>-0</v>
      </c>
      <c r="E18" s="9" t="n">
        <v>-0</v>
      </c>
      <c r="F18" s="9" t="n">
        <v>0</v>
      </c>
      <c r="G18" s="8" t="inlineStr">
        <is>
          <t>n/a</t>
        </is>
      </c>
    </row>
    <row r="19">
      <c r="B19" s="8" t="inlineStr">
        <is>
          <t>Autres produits</t>
        </is>
      </c>
      <c r="D19" s="9" t="n">
        <v>2.8</v>
      </c>
      <c r="E19" s="9" t="n">
        <v>-0</v>
      </c>
      <c r="F19" s="9" t="n">
        <v>2.8</v>
      </c>
      <c r="G19" s="8" t="inlineStr">
        <is>
          <t>n/a</t>
        </is>
      </c>
    </row>
    <row r="20">
      <c r="B20" s="12">
        <f> Total produits d'exploitation</f>
        <v/>
      </c>
      <c r="D20" s="13" t="n">
        <v>1444.3</v>
      </c>
      <c r="E20" s="13" t="n">
        <v>980</v>
      </c>
      <c r="F20" s="13" t="n">
        <v>464.3</v>
      </c>
      <c r="G20" s="14" t="n">
        <v>0.4738</v>
      </c>
    </row>
    <row r="22">
      <c r="B22" s="11" t="inlineStr">
        <is>
          <t>CHARGES D'EXPLOITATION</t>
        </is>
      </c>
    </row>
    <row r="23">
      <c r="B23" s="8" t="inlineStr">
        <is>
          <t>Achats de marchandises</t>
        </is>
      </c>
      <c r="D23" s="9" t="n">
        <v>0</v>
      </c>
      <c r="E23" s="9" t="n">
        <v>0</v>
      </c>
      <c r="F23" s="9" t="n">
        <v>0</v>
      </c>
      <c r="G23" s="8" t="inlineStr">
        <is>
          <t>n/a</t>
        </is>
      </c>
    </row>
    <row r="24">
      <c r="B24" s="8" t="inlineStr">
        <is>
          <t>Variation de stocks de marchandises</t>
        </is>
      </c>
      <c r="D24" s="9" t="n">
        <v>0</v>
      </c>
      <c r="E24" s="9" t="n">
        <v>0</v>
      </c>
      <c r="F24" s="9" t="n">
        <v>0</v>
      </c>
      <c r="G24" s="8" t="inlineStr">
        <is>
          <t>n/a</t>
        </is>
      </c>
    </row>
    <row r="25">
      <c r="B25" s="8" t="inlineStr">
        <is>
          <t>Achats de matières premières et autres appro.</t>
        </is>
      </c>
      <c r="D25" s="9" t="n">
        <v>600</v>
      </c>
      <c r="E25" s="9" t="n">
        <v>550</v>
      </c>
      <c r="F25" s="9" t="n">
        <v>50</v>
      </c>
      <c r="G25" s="10" t="n">
        <v>0.09089999999999999</v>
      </c>
    </row>
    <row r="26">
      <c r="B26" s="8" t="inlineStr">
        <is>
          <t>Variation de stocks de matières</t>
        </is>
      </c>
      <c r="D26" s="9" t="n">
        <v>6</v>
      </c>
      <c r="E26" s="9" t="n">
        <v>0</v>
      </c>
      <c r="F26" s="9" t="n">
        <v>6</v>
      </c>
      <c r="G26" s="8" t="inlineStr">
        <is>
          <t>n/a</t>
        </is>
      </c>
    </row>
    <row r="27">
      <c r="B27" s="8" t="inlineStr">
        <is>
          <t>Autres achats et charges externes</t>
        </is>
      </c>
      <c r="D27" s="9" t="n">
        <v>201</v>
      </c>
      <c r="E27" s="9" t="n">
        <v>0</v>
      </c>
      <c r="F27" s="9" t="n">
        <v>201</v>
      </c>
      <c r="G27" s="8" t="inlineStr">
        <is>
          <t>n/a</t>
        </is>
      </c>
    </row>
    <row r="28">
      <c r="B28" s="8" t="inlineStr">
        <is>
          <t>Impôts, taxes et versements assimilés</t>
        </is>
      </c>
      <c r="D28" s="9" t="n">
        <v>0</v>
      </c>
      <c r="E28" s="9" t="n">
        <v>0</v>
      </c>
      <c r="F28" s="9" t="n">
        <v>0</v>
      </c>
      <c r="G28" s="8" t="inlineStr">
        <is>
          <t>n/a</t>
        </is>
      </c>
    </row>
    <row r="29">
      <c r="B29" s="8" t="inlineStr">
        <is>
          <t>Salaires et traitements</t>
        </is>
      </c>
      <c r="D29" s="9" t="n">
        <v>300</v>
      </c>
      <c r="E29" s="9" t="n">
        <v>270</v>
      </c>
      <c r="F29" s="9" t="n">
        <v>30</v>
      </c>
      <c r="G29" s="10" t="n">
        <v>0.1111</v>
      </c>
    </row>
    <row r="30">
      <c r="B30" s="8" t="inlineStr">
        <is>
          <t>Charges sociales</t>
        </is>
      </c>
      <c r="D30" s="9" t="n">
        <v>120</v>
      </c>
      <c r="E30" s="9" t="n">
        <v>0</v>
      </c>
      <c r="F30" s="9" t="n">
        <v>120</v>
      </c>
      <c r="G30" s="8" t="inlineStr">
        <is>
          <t>n/a</t>
        </is>
      </c>
    </row>
    <row r="31">
      <c r="B31" s="8" t="inlineStr">
        <is>
          <t>Dotations aux amortissements sur immobilisations</t>
        </is>
      </c>
      <c r="D31" s="9" t="n">
        <v>25</v>
      </c>
      <c r="E31" s="9" t="n">
        <v>0</v>
      </c>
      <c r="F31" s="9" t="n">
        <v>25</v>
      </c>
      <c r="G31" s="8" t="inlineStr">
        <is>
          <t>n/a</t>
        </is>
      </c>
    </row>
    <row r="32">
      <c r="B32" s="8" t="inlineStr">
        <is>
          <t>Dotations aux dépréciations sur immobilisations</t>
        </is>
      </c>
      <c r="D32" s="9" t="n">
        <v>0</v>
      </c>
      <c r="E32" s="9" t="n">
        <v>0</v>
      </c>
      <c r="F32" s="9" t="n">
        <v>0</v>
      </c>
      <c r="G32" s="8" t="inlineStr">
        <is>
          <t>n/a</t>
        </is>
      </c>
    </row>
    <row r="33">
      <c r="B33" s="8" t="inlineStr">
        <is>
          <t>Dotations aux dépréciations sur actif circulant</t>
        </is>
      </c>
      <c r="D33" s="9" t="n">
        <v>2</v>
      </c>
      <c r="E33" s="9" t="n">
        <v>0</v>
      </c>
      <c r="F33" s="9" t="n">
        <v>2</v>
      </c>
      <c r="G33" s="8" t="inlineStr">
        <is>
          <t>n/a</t>
        </is>
      </c>
    </row>
    <row r="34">
      <c r="B34" s="8" t="inlineStr">
        <is>
          <t>Dotations aux provisions</t>
        </is>
      </c>
      <c r="D34" s="9" t="n">
        <v>0</v>
      </c>
      <c r="E34" s="9" t="n">
        <v>0</v>
      </c>
      <c r="F34" s="9" t="n">
        <v>0</v>
      </c>
      <c r="G34" s="8" t="inlineStr">
        <is>
          <t>n/a</t>
        </is>
      </c>
    </row>
    <row r="35">
      <c r="B35" s="8" t="inlineStr">
        <is>
          <t>Autres charges</t>
        </is>
      </c>
      <c r="D35" s="9" t="n">
        <v>0</v>
      </c>
      <c r="E35" s="9" t="n">
        <v>0</v>
      </c>
      <c r="F35" s="9" t="n">
        <v>0</v>
      </c>
      <c r="G35" s="8" t="inlineStr">
        <is>
          <t>n/a</t>
        </is>
      </c>
    </row>
    <row r="36">
      <c r="B36" s="12">
        <f> Total charges d'exploitation</f>
        <v/>
      </c>
      <c r="D36" s="13" t="n">
        <v>1254</v>
      </c>
      <c r="E36" s="13" t="n">
        <v>820</v>
      </c>
      <c r="F36" s="13" t="n">
        <v>434</v>
      </c>
      <c r="G36" s="14" t="n">
        <v>0.5293</v>
      </c>
    </row>
    <row r="38">
      <c r="B38" s="12">
        <f> RÉSULTAT D'EXPLOITATION (EBIT)</f>
        <v/>
      </c>
      <c r="D38" s="13" t="n">
        <v>190.3</v>
      </c>
      <c r="E38" s="13" t="n">
        <v>160</v>
      </c>
      <c r="F38" s="13" t="n">
        <v>30.3</v>
      </c>
      <c r="G38" s="14" t="n">
        <v>0.1894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Actif détaillé</t>
        </is>
      </c>
    </row>
    <row r="4">
      <c r="D4" s="5" t="inlineStr">
        <is>
          <t>DEMO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8" t="inlineStr">
        <is>
          <t>Capital souscrit non appelé</t>
        </is>
      </c>
      <c r="D10" s="9" t="n">
        <v>0</v>
      </c>
      <c r="E10" s="9" t="n">
        <v>0</v>
      </c>
      <c r="F10" s="9" t="n">
        <v>0</v>
      </c>
      <c r="G10" s="8" t="inlineStr">
        <is>
          <t>n/a</t>
        </is>
      </c>
    </row>
    <row r="12">
      <c r="B12" s="8" t="inlineStr">
        <is>
          <t>Frais d'établissement</t>
        </is>
      </c>
      <c r="D12" s="9" t="n">
        <v>0</v>
      </c>
      <c r="E12" s="9" t="n">
        <v>0</v>
      </c>
      <c r="F12" s="9" t="n">
        <v>0</v>
      </c>
      <c r="G12" s="8" t="inlineStr">
        <is>
          <t>n/a</t>
        </is>
      </c>
    </row>
    <row r="13">
      <c r="B13" s="8" t="inlineStr">
        <is>
          <t>Frais de recherche et développement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</row>
    <row r="14">
      <c r="B14" s="8" t="inlineStr">
        <is>
          <t>Concessions, brevets, licences, logiciels et droits similaires</t>
        </is>
      </c>
      <c r="D14" s="9" t="n">
        <v>34</v>
      </c>
      <c r="E14" s="9" t="n">
        <v>38</v>
      </c>
      <c r="F14" s="9" t="n">
        <v>-4</v>
      </c>
      <c r="G14" s="10" t="n">
        <v>-0.1053</v>
      </c>
    </row>
    <row r="15">
      <c r="B15" s="8" t="inlineStr">
        <is>
          <t>Droit au bail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</row>
    <row r="16">
      <c r="B16" s="8" t="inlineStr">
        <is>
          <t>Fonds commercial</t>
        </is>
      </c>
      <c r="D16" s="9" t="n">
        <v>0</v>
      </c>
      <c r="E16" s="9" t="n">
        <v>0</v>
      </c>
      <c r="F16" s="9" t="n">
        <v>0</v>
      </c>
      <c r="G16" s="8" t="inlineStr">
        <is>
          <t>n/a</t>
        </is>
      </c>
    </row>
    <row r="17">
      <c r="B17" s="8" t="inlineStr">
        <is>
          <t>Autres immobilisations incorporelles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</row>
    <row r="18">
      <c r="B18" s="8" t="inlineStr">
        <is>
          <t>Immobilisations incorporelles en cours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</row>
    <row r="19">
      <c r="B19" s="8" t="inlineStr">
        <is>
          <t>Avances et acomptes sur immobilisations incorporelles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</row>
    <row r="20">
      <c r="B20" s="12" t="inlineStr">
        <is>
          <t>Immobilisations incorporelles</t>
        </is>
      </c>
      <c r="D20" s="13" t="n">
        <v>34</v>
      </c>
      <c r="E20" s="13" t="n">
        <v>38</v>
      </c>
      <c r="F20" s="13" t="n">
        <v>-4</v>
      </c>
      <c r="G20" s="14" t="n">
        <v>-0.1053</v>
      </c>
    </row>
    <row r="22">
      <c r="B22" s="8" t="inlineStr">
        <is>
          <t>Terrains</t>
        </is>
      </c>
      <c r="D22" s="9" t="n">
        <v>0</v>
      </c>
      <c r="E22" s="9" t="n">
        <v>0</v>
      </c>
      <c r="F22" s="9" t="n">
        <v>0</v>
      </c>
      <c r="G22" s="8" t="inlineStr">
        <is>
          <t>n/a</t>
        </is>
      </c>
    </row>
    <row r="23">
      <c r="B23" s="8" t="inlineStr">
        <is>
          <t>Constructions</t>
        </is>
      </c>
      <c r="D23" s="9" t="n">
        <v>195</v>
      </c>
      <c r="E23" s="9" t="n">
        <v>225</v>
      </c>
      <c r="F23" s="9" t="n">
        <v>-30</v>
      </c>
      <c r="G23" s="10" t="n">
        <v>-0.1333</v>
      </c>
    </row>
    <row r="24">
      <c r="B24" s="8" t="inlineStr">
        <is>
          <t>Installations techniques, matériel et outillage industriels</t>
        </is>
      </c>
      <c r="D24" s="9" t="n">
        <v>88</v>
      </c>
      <c r="E24" s="9" t="n">
        <v>84</v>
      </c>
      <c r="F24" s="9" t="n">
        <v>4</v>
      </c>
      <c r="G24" s="10" t="n">
        <v>0.0476</v>
      </c>
    </row>
    <row r="25">
      <c r="B25" s="8" t="inlineStr">
        <is>
          <t>Autres immobilisations corporelles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</row>
    <row r="26">
      <c r="B26" s="8" t="inlineStr">
        <is>
          <t>Immobilisations corporelles en cours</t>
        </is>
      </c>
      <c r="D26" s="9" t="n">
        <v>0</v>
      </c>
      <c r="E26" s="9" t="n">
        <v>0</v>
      </c>
      <c r="F26" s="9" t="n">
        <v>0</v>
      </c>
      <c r="G26" s="8" t="inlineStr">
        <is>
          <t>n/a</t>
        </is>
      </c>
    </row>
    <row r="27">
      <c r="B27" s="8" t="inlineStr">
        <is>
          <t>Avances et acomptes sur immobilisations corporelles</t>
        </is>
      </c>
      <c r="D27" s="9" t="n">
        <v>0</v>
      </c>
      <c r="E27" s="9" t="n">
        <v>0</v>
      </c>
      <c r="F27" s="9" t="n">
        <v>0</v>
      </c>
      <c r="G27" s="8" t="inlineStr">
        <is>
          <t>n/a</t>
        </is>
      </c>
    </row>
    <row r="28">
      <c r="B28" s="12" t="inlineStr">
        <is>
          <t>Immobilisations corporelles</t>
        </is>
      </c>
      <c r="D28" s="13" t="n">
        <v>283</v>
      </c>
      <c r="E28" s="13" t="n">
        <v>309</v>
      </c>
      <c r="F28" s="13" t="n">
        <v>-26</v>
      </c>
      <c r="G28" s="14" t="n">
        <v>-0.08409999999999999</v>
      </c>
    </row>
    <row r="30">
      <c r="B30" s="8" t="inlineStr">
        <is>
          <t>Participations</t>
        </is>
      </c>
      <c r="D30" s="9" t="n">
        <v>50</v>
      </c>
      <c r="E30" s="9" t="n">
        <v>50</v>
      </c>
      <c r="F30" s="9" t="n">
        <v>0</v>
      </c>
      <c r="G30" s="10" t="n">
        <v>0</v>
      </c>
    </row>
    <row r="31">
      <c r="B31" s="8" t="inlineStr">
        <is>
          <t>Créances rattachées à des participations</t>
        </is>
      </c>
      <c r="D31" s="9" t="n">
        <v>0</v>
      </c>
      <c r="E31" s="9" t="n">
        <v>0</v>
      </c>
      <c r="F31" s="9" t="n">
        <v>0</v>
      </c>
      <c r="G31" s="8" t="inlineStr">
        <is>
          <t>n/a</t>
        </is>
      </c>
    </row>
    <row r="32">
      <c r="B32" s="8" t="inlineStr">
        <is>
          <t>Autres titres immobilisés</t>
        </is>
      </c>
      <c r="D32" s="9" t="n">
        <v>0</v>
      </c>
      <c r="E32" s="9" t="n">
        <v>0</v>
      </c>
      <c r="F32" s="9" t="n">
        <v>0</v>
      </c>
      <c r="G32" s="8" t="inlineStr">
        <is>
          <t>n/a</t>
        </is>
      </c>
    </row>
    <row r="33">
      <c r="B33" s="8" t="inlineStr">
        <is>
          <t>Prêts</t>
        </is>
      </c>
      <c r="D33" s="9" t="n">
        <v>0</v>
      </c>
      <c r="E33" s="9" t="n">
        <v>13</v>
      </c>
      <c r="F33" s="9" t="n">
        <v>-13</v>
      </c>
      <c r="G33" s="10" t="n">
        <v>-1</v>
      </c>
    </row>
    <row r="34">
      <c r="B34" s="8" t="inlineStr">
        <is>
          <t>Dépôts et cautionnements versés</t>
        </is>
      </c>
      <c r="D34" s="9" t="n">
        <v>8</v>
      </c>
      <c r="E34" s="9" t="n">
        <v>8</v>
      </c>
      <c r="F34" s="9" t="n">
        <v>0</v>
      </c>
      <c r="G34" s="10" t="n">
        <v>0</v>
      </c>
    </row>
    <row r="35">
      <c r="B35" s="8" t="inlineStr">
        <is>
          <t>Autres créances immobilisées</t>
        </is>
      </c>
      <c r="D35" s="9" t="n">
        <v>0</v>
      </c>
      <c r="E35" s="9" t="n">
        <v>0</v>
      </c>
      <c r="F35" s="9" t="n">
        <v>0</v>
      </c>
      <c r="G35" s="8" t="inlineStr">
        <is>
          <t>n/a</t>
        </is>
      </c>
    </row>
    <row r="36">
      <c r="B36" s="12" t="inlineStr">
        <is>
          <t>Immobilisations financières</t>
        </is>
      </c>
      <c r="D36" s="13" t="n">
        <v>58</v>
      </c>
      <c r="E36" s="13" t="n">
        <v>71</v>
      </c>
      <c r="F36" s="13" t="n">
        <v>-13</v>
      </c>
      <c r="G36" s="14" t="n">
        <v>-0.1831</v>
      </c>
    </row>
    <row r="38">
      <c r="B38" s="12" t="inlineStr">
        <is>
          <t>Actif immobilisé net</t>
        </is>
      </c>
      <c r="D38" s="13" t="n">
        <v>375</v>
      </c>
      <c r="E38" s="13" t="n">
        <v>418</v>
      </c>
      <c r="F38" s="13" t="n">
        <v>-43</v>
      </c>
      <c r="G38" s="14" t="n">
        <v>-0.1029</v>
      </c>
    </row>
    <row r="40">
      <c r="B40" s="8" t="inlineStr">
        <is>
          <t>Matières premières et autres approvisionnements</t>
        </is>
      </c>
      <c r="D40" s="9" t="n">
        <v>60</v>
      </c>
      <c r="E40" s="9" t="n">
        <v>60</v>
      </c>
      <c r="F40" s="9" t="n">
        <v>0</v>
      </c>
      <c r="G40" s="10" t="n">
        <v>0</v>
      </c>
    </row>
    <row r="41">
      <c r="B41" s="8" t="inlineStr">
        <is>
          <t>En-cours de production (biens et services)</t>
        </is>
      </c>
      <c r="D41" s="9" t="n">
        <v>0</v>
      </c>
      <c r="E41" s="9" t="n">
        <v>0</v>
      </c>
      <c r="F41" s="9" t="n">
        <v>0</v>
      </c>
      <c r="G41" s="8" t="inlineStr">
        <is>
          <t>n/a</t>
        </is>
      </c>
    </row>
    <row r="42">
      <c r="B42" s="8" t="inlineStr">
        <is>
          <t>Produits intermédiaires et finis</t>
        </is>
      </c>
      <c r="D42" s="9" t="n">
        <v>0</v>
      </c>
      <c r="E42" s="9" t="n">
        <v>0</v>
      </c>
      <c r="F42" s="9" t="n">
        <v>0</v>
      </c>
      <c r="G42" s="8" t="inlineStr">
        <is>
          <t>n/a</t>
        </is>
      </c>
    </row>
    <row r="43">
      <c r="B43" s="8" t="inlineStr">
        <is>
          <t>Marchandises</t>
        </is>
      </c>
      <c r="D43" s="9" t="n">
        <v>39</v>
      </c>
      <c r="E43" s="9" t="n">
        <v>31</v>
      </c>
      <c r="F43" s="9" t="n">
        <v>8</v>
      </c>
      <c r="G43" s="10" t="n">
        <v>0.2581</v>
      </c>
    </row>
    <row r="44">
      <c r="B44" s="8" t="inlineStr">
        <is>
          <t>Autres stocks et en-cours</t>
        </is>
      </c>
      <c r="D44" s="9" t="n">
        <v>0</v>
      </c>
      <c r="E44" s="9" t="n">
        <v>0</v>
      </c>
      <c r="F44" s="9" t="n">
        <v>0</v>
      </c>
      <c r="G44" s="8" t="inlineStr">
        <is>
          <t>n/a</t>
        </is>
      </c>
    </row>
    <row r="45">
      <c r="B45" s="12" t="inlineStr">
        <is>
          <t>Stocks et en-cours</t>
        </is>
      </c>
      <c r="D45" s="13" t="n">
        <v>99</v>
      </c>
      <c r="E45" s="13" t="n">
        <v>91</v>
      </c>
      <c r="F45" s="13" t="n">
        <v>8</v>
      </c>
      <c r="G45" s="14" t="n">
        <v>0.08790000000000001</v>
      </c>
    </row>
    <row r="47">
      <c r="B47" s="8" t="inlineStr">
        <is>
          <t>Avances et acomptes versés sur commandes</t>
        </is>
      </c>
      <c r="D47" s="9" t="n">
        <v>9</v>
      </c>
      <c r="E47" s="9" t="n">
        <v>0</v>
      </c>
      <c r="F47" s="9" t="n">
        <v>9</v>
      </c>
      <c r="G47" s="8" t="inlineStr">
        <is>
          <t>n/a</t>
        </is>
      </c>
    </row>
    <row r="49">
      <c r="B49" s="8" t="inlineStr">
        <is>
          <t>Clients et comptes rattachés</t>
        </is>
      </c>
      <c r="D49" s="9" t="n">
        <v>117</v>
      </c>
      <c r="E49" s="9" t="n">
        <v>66</v>
      </c>
      <c r="F49" s="9" t="n">
        <v>51</v>
      </c>
      <c r="G49" s="10" t="n">
        <v>0.7727000000000001</v>
      </c>
    </row>
    <row r="50">
      <c r="B50" s="8" t="inlineStr">
        <is>
          <t>Fournisseurs débiteurs</t>
        </is>
      </c>
      <c r="D50" s="9" t="n">
        <v>0</v>
      </c>
      <c r="E50" s="9" t="n">
        <v>0</v>
      </c>
      <c r="F50" s="9" t="n">
        <v>0</v>
      </c>
      <c r="G50" s="8" t="inlineStr">
        <is>
          <t>n/a</t>
        </is>
      </c>
    </row>
    <row r="51">
      <c r="B51" s="8" t="inlineStr">
        <is>
          <t>Créances sociales</t>
        </is>
      </c>
      <c r="D51" s="9" t="n">
        <v>0</v>
      </c>
      <c r="E51" s="9" t="n">
        <v>0</v>
      </c>
      <c r="F51" s="9" t="n">
        <v>0</v>
      </c>
      <c r="G51" s="8" t="inlineStr">
        <is>
          <t>n/a</t>
        </is>
      </c>
    </row>
    <row r="52">
      <c r="B52" s="8" t="inlineStr">
        <is>
          <t>Créances fiscales</t>
        </is>
      </c>
      <c r="D52" s="9" t="n">
        <v>160.8</v>
      </c>
      <c r="E52" s="9" t="n">
        <v>0</v>
      </c>
      <c r="F52" s="9" t="n">
        <v>160.8</v>
      </c>
      <c r="G52" s="8" t="inlineStr">
        <is>
          <t>n/a</t>
        </is>
      </c>
    </row>
    <row r="53">
      <c r="B53" s="8" t="inlineStr">
        <is>
          <t>Comptes courants débiteurs</t>
        </is>
      </c>
      <c r="D53" s="9" t="n">
        <v>0</v>
      </c>
      <c r="E53" s="9" t="n">
        <v>0</v>
      </c>
      <c r="F53" s="9" t="n">
        <v>0</v>
      </c>
      <c r="G53" s="8" t="inlineStr">
        <is>
          <t>n/a</t>
        </is>
      </c>
    </row>
    <row r="54">
      <c r="B54" s="8" t="inlineStr">
        <is>
          <t>Créances diverses</t>
        </is>
      </c>
      <c r="D54" s="9" t="n">
        <v>0</v>
      </c>
      <c r="E54" s="9" t="n">
        <v>0</v>
      </c>
      <c r="F54" s="9" t="n">
        <v>0</v>
      </c>
      <c r="G54" s="8" t="inlineStr">
        <is>
          <t>n/a</t>
        </is>
      </c>
    </row>
    <row r="55">
      <c r="B55" s="8" t="inlineStr">
        <is>
          <t>Capital souscrit - appelé, non versé</t>
        </is>
      </c>
      <c r="D55" s="9" t="n">
        <v>0</v>
      </c>
      <c r="E55" s="9" t="n">
        <v>0</v>
      </c>
      <c r="F55" s="9" t="n">
        <v>0</v>
      </c>
      <c r="G55" s="8" t="inlineStr">
        <is>
          <t>n/a</t>
        </is>
      </c>
    </row>
    <row r="56">
      <c r="B56" s="12" t="inlineStr">
        <is>
          <t>Créances</t>
        </is>
      </c>
      <c r="D56" s="13" t="n">
        <v>277.8</v>
      </c>
      <c r="E56" s="13" t="n">
        <v>66</v>
      </c>
      <c r="F56" s="13" t="n">
        <v>211.8</v>
      </c>
      <c r="G56" s="14" t="n">
        <v>3.2091</v>
      </c>
    </row>
    <row r="58">
      <c r="B58" s="8" t="inlineStr">
        <is>
          <t>Valeurs mobilières de placement</t>
        </is>
      </c>
      <c r="D58" s="9" t="n">
        <v>0</v>
      </c>
      <c r="E58" s="9" t="n">
        <v>0</v>
      </c>
      <c r="F58" s="9" t="n">
        <v>0</v>
      </c>
      <c r="G58" s="8" t="inlineStr">
        <is>
          <t>n/a</t>
        </is>
      </c>
    </row>
    <row r="59">
      <c r="B59" s="8" t="inlineStr">
        <is>
          <t>Disponibilités</t>
        </is>
      </c>
      <c r="D59" s="9" t="n">
        <v>516.1</v>
      </c>
      <c r="E59" s="9" t="n">
        <v>90.8</v>
      </c>
      <c r="F59" s="9" t="n">
        <v>425.3</v>
      </c>
      <c r="G59" s="10" t="n">
        <v>4.6839</v>
      </c>
    </row>
    <row r="60">
      <c r="B60" s="12" t="inlineStr">
        <is>
          <t>Trésorerie</t>
        </is>
      </c>
      <c r="D60" s="13" t="n">
        <v>516.1</v>
      </c>
      <c r="E60" s="13" t="n">
        <v>90.8</v>
      </c>
      <c r="F60" s="13" t="n">
        <v>425.3</v>
      </c>
      <c r="G60" s="14" t="n">
        <v>4.6839</v>
      </c>
    </row>
    <row r="62">
      <c r="B62" s="12" t="inlineStr">
        <is>
          <t>Actif circulant</t>
        </is>
      </c>
      <c r="D62" s="13" t="n">
        <v>901.9</v>
      </c>
      <c r="E62" s="13" t="n">
        <v>247.8</v>
      </c>
      <c r="F62" s="13" t="n">
        <v>654.1</v>
      </c>
      <c r="G62" s="14" t="n">
        <v>2.6396</v>
      </c>
    </row>
    <row r="64">
      <c r="B64" s="8" t="inlineStr">
        <is>
          <t>Charges constatées d'avance</t>
        </is>
      </c>
      <c r="D64" s="9" t="n">
        <v>17</v>
      </c>
      <c r="E64" s="9" t="n">
        <v>11</v>
      </c>
      <c r="F64" s="9" t="n">
        <v>6</v>
      </c>
      <c r="G64" s="10" t="n">
        <v>0.5455</v>
      </c>
    </row>
    <row r="65">
      <c r="B65" s="12" t="inlineStr">
        <is>
          <t>Comptes de régularisation</t>
        </is>
      </c>
      <c r="D65" s="13" t="n">
        <v>17</v>
      </c>
      <c r="E65" s="13" t="n">
        <v>11</v>
      </c>
      <c r="F65" s="13" t="n">
        <v>6</v>
      </c>
      <c r="G65" s="14" t="n">
        <v>0.5455</v>
      </c>
    </row>
    <row r="67">
      <c r="B67" s="12" t="inlineStr">
        <is>
          <t>TOTAL ACTIF</t>
        </is>
      </c>
      <c r="D67" s="13" t="n">
        <v>1293.9</v>
      </c>
      <c r="E67" s="13" t="n">
        <v>676.8</v>
      </c>
      <c r="F67" s="13" t="n">
        <v>617.1</v>
      </c>
      <c r="G67" s="14" t="n">
        <v>0.9118000000000001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Passif détaillé</t>
        </is>
      </c>
    </row>
    <row r="4">
      <c r="D4" s="5" t="inlineStr">
        <is>
          <t>DEMO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8" t="inlineStr">
        <is>
          <t>Capital social</t>
        </is>
      </c>
      <c r="D10" s="9" t="n">
        <v>300</v>
      </c>
      <c r="E10" s="9" t="n">
        <v>300</v>
      </c>
      <c r="F10" s="9" t="n">
        <v>0</v>
      </c>
      <c r="G10" s="10" t="n">
        <v>0</v>
      </c>
    </row>
    <row r="11">
      <c r="B11" s="8" t="inlineStr">
        <is>
          <t>Primes d'émission, de fusion, d'apport</t>
        </is>
      </c>
      <c r="D11" s="9" t="n">
        <v>-0</v>
      </c>
      <c r="E11" s="9" t="n">
        <v>-0</v>
      </c>
      <c r="F11" s="9" t="n">
        <v>0</v>
      </c>
      <c r="G11" s="8" t="inlineStr">
        <is>
          <t>n/a</t>
        </is>
      </c>
    </row>
    <row r="12">
      <c r="B12" s="8" t="inlineStr">
        <is>
          <t>Réserve légale</t>
        </is>
      </c>
      <c r="D12" s="9" t="n">
        <v>30</v>
      </c>
      <c r="E12" s="9" t="n">
        <v>30</v>
      </c>
      <c r="F12" s="9" t="n">
        <v>0</v>
      </c>
      <c r="G12" s="10" t="n">
        <v>0</v>
      </c>
    </row>
    <row r="13">
      <c r="B13" s="8" t="inlineStr">
        <is>
          <t>Réserves statutaires</t>
        </is>
      </c>
      <c r="D13" s="9" t="n">
        <v>-0</v>
      </c>
      <c r="E13" s="9" t="n">
        <v>-0</v>
      </c>
      <c r="F13" s="9" t="n">
        <v>0</v>
      </c>
      <c r="G13" s="8" t="inlineStr">
        <is>
          <t>n/a</t>
        </is>
      </c>
    </row>
    <row r="14">
      <c r="B14" s="8" t="inlineStr">
        <is>
          <t>Réserves réglementées</t>
        </is>
      </c>
      <c r="D14" s="9" t="n">
        <v>-0</v>
      </c>
      <c r="E14" s="9" t="n">
        <v>-0</v>
      </c>
      <c r="F14" s="9" t="n">
        <v>0</v>
      </c>
      <c r="G14" s="8" t="inlineStr">
        <is>
          <t>n/a</t>
        </is>
      </c>
    </row>
    <row r="15">
      <c r="B15" s="8" t="inlineStr">
        <is>
          <t>Autres réserves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</row>
    <row r="16">
      <c r="B16" s="8" t="inlineStr">
        <is>
          <t>Report à nouveau</t>
        </is>
      </c>
      <c r="D16" s="9" t="n">
        <v>45</v>
      </c>
      <c r="E16" s="9" t="n">
        <v>-235</v>
      </c>
      <c r="F16" s="9" t="n">
        <v>280</v>
      </c>
      <c r="G16" s="10" t="n">
        <v>1.1915</v>
      </c>
    </row>
    <row r="17">
      <c r="B17" s="8" t="inlineStr">
        <is>
          <t>Résultat de l'exercice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</row>
    <row r="18">
      <c r="B18" s="8" t="inlineStr">
        <is>
          <t>Résultat en cours (classes 6 et 7)</t>
        </is>
      </c>
      <c r="D18" s="9" t="n">
        <v>182.6</v>
      </c>
      <c r="E18" s="9" t="n">
        <v>152</v>
      </c>
      <c r="F18" s="9" t="n">
        <v>30.6</v>
      </c>
      <c r="G18" s="10" t="n">
        <v>0.2013</v>
      </c>
    </row>
    <row r="19">
      <c r="B19" s="8" t="inlineStr">
        <is>
          <t>Subventions d'investissement</t>
        </is>
      </c>
      <c r="D19" s="9" t="n">
        <v>-0</v>
      </c>
      <c r="E19" s="9" t="n">
        <v>-0</v>
      </c>
      <c r="F19" s="9" t="n">
        <v>0</v>
      </c>
      <c r="G19" s="8" t="inlineStr">
        <is>
          <t>n/a</t>
        </is>
      </c>
    </row>
    <row r="20">
      <c r="B20" s="8" t="inlineStr">
        <is>
          <t>Provisions réglementées</t>
        </is>
      </c>
      <c r="D20" s="9" t="n">
        <v>-0</v>
      </c>
      <c r="E20" s="9" t="n">
        <v>-0</v>
      </c>
      <c r="F20" s="9" t="n">
        <v>0</v>
      </c>
      <c r="G20" s="8" t="inlineStr">
        <is>
          <t>n/a</t>
        </is>
      </c>
    </row>
    <row r="21">
      <c r="B21" s="12" t="inlineStr">
        <is>
          <t>Capitaux propres</t>
        </is>
      </c>
      <c r="D21" s="13" t="n">
        <v>557.6</v>
      </c>
      <c r="E21" s="13" t="n">
        <v>247</v>
      </c>
      <c r="F21" s="13" t="n">
        <v>310.6</v>
      </c>
      <c r="G21" s="14" t="n">
        <v>1.2575</v>
      </c>
    </row>
    <row r="23">
      <c r="B23" s="8" t="inlineStr">
        <is>
          <t>Provisions pour risques</t>
        </is>
      </c>
      <c r="D23" s="9" t="n">
        <v>20</v>
      </c>
      <c r="E23" s="9" t="n">
        <v>20</v>
      </c>
      <c r="F23" s="9" t="n">
        <v>0</v>
      </c>
      <c r="G23" s="10" t="n">
        <v>0</v>
      </c>
    </row>
    <row r="24">
      <c r="B24" s="8" t="inlineStr">
        <is>
          <t>Provisions pour charges</t>
        </is>
      </c>
      <c r="D24" s="9" t="n">
        <v>-0</v>
      </c>
      <c r="E24" s="9" t="n">
        <v>-0</v>
      </c>
      <c r="F24" s="9" t="n">
        <v>0</v>
      </c>
      <c r="G24" s="8" t="inlineStr">
        <is>
          <t>n/a</t>
        </is>
      </c>
    </row>
    <row r="25">
      <c r="B25" s="12" t="inlineStr">
        <is>
          <t>Provisions pour risques et charges</t>
        </is>
      </c>
      <c r="D25" s="13" t="n">
        <v>20</v>
      </c>
      <c r="E25" s="13" t="n">
        <v>20</v>
      </c>
      <c r="F25" s="13" t="n">
        <v>0</v>
      </c>
      <c r="G25" s="14" t="n">
        <v>0</v>
      </c>
    </row>
    <row r="27">
      <c r="B27" s="8" t="inlineStr">
        <is>
          <t>Emprunts et dettes financières</t>
        </is>
      </c>
      <c r="D27" s="9" t="n">
        <v>196</v>
      </c>
      <c r="E27" s="9" t="n">
        <v>236</v>
      </c>
      <c r="F27" s="9" t="n">
        <v>-40</v>
      </c>
      <c r="G27" s="10" t="n">
        <v>-0.1695</v>
      </c>
    </row>
    <row r="28">
      <c r="B28" s="8" t="inlineStr">
        <is>
          <t>Avances et acomptes reçus sur commandes en cours</t>
        </is>
      </c>
      <c r="D28" s="9" t="n">
        <v>12</v>
      </c>
      <c r="E28" s="9" t="n">
        <v>-0</v>
      </c>
      <c r="F28" s="9" t="n">
        <v>12</v>
      </c>
      <c r="G28" s="8" t="inlineStr">
        <is>
          <t>n/a</t>
        </is>
      </c>
    </row>
    <row r="29">
      <c r="B29" s="8" t="inlineStr">
        <is>
          <t>Fournisseurs et comptes rattachés</t>
        </is>
      </c>
      <c r="D29" s="9" t="n">
        <v>80.8</v>
      </c>
      <c r="E29" s="9" t="n">
        <v>48</v>
      </c>
      <c r="F29" s="9" t="n">
        <v>32.8</v>
      </c>
      <c r="G29" s="10" t="n">
        <v>0.6833</v>
      </c>
    </row>
    <row r="30">
      <c r="B30" s="8" t="inlineStr">
        <is>
          <t>Dettes fiscales et sociales</t>
        </is>
      </c>
      <c r="D30" s="9" t="n">
        <v>296</v>
      </c>
      <c r="E30" s="9" t="n">
        <v>-0</v>
      </c>
      <c r="F30" s="9" t="n">
        <v>296</v>
      </c>
      <c r="G30" s="8" t="inlineStr">
        <is>
          <t>n/a</t>
        </is>
      </c>
    </row>
    <row r="31">
      <c r="B31" s="8" t="inlineStr">
        <is>
          <t>Dettes sur immobilisations et comptes rattachés</t>
        </is>
      </c>
      <c r="D31" s="9" t="n">
        <v>-0</v>
      </c>
      <c r="E31" s="9" t="n">
        <v>-0</v>
      </c>
      <c r="F31" s="9" t="n">
        <v>0</v>
      </c>
      <c r="G31" s="8" t="inlineStr">
        <is>
          <t>n/a</t>
        </is>
      </c>
    </row>
    <row r="32">
      <c r="B32" s="8" t="inlineStr">
        <is>
          <t>Comptes courants créditeurs</t>
        </is>
      </c>
      <c r="D32" s="9" t="n">
        <v>60</v>
      </c>
      <c r="E32" s="9" t="n">
        <v>55</v>
      </c>
      <c r="F32" s="9" t="n">
        <v>5</v>
      </c>
      <c r="G32" s="10" t="n">
        <v>0.09089999999999999</v>
      </c>
    </row>
    <row r="33">
      <c r="B33" s="8" t="inlineStr">
        <is>
          <t>Autres dettes</t>
        </is>
      </c>
      <c r="D33" s="9" t="n">
        <v>63</v>
      </c>
      <c r="E33" s="9" t="n">
        <v>65.8</v>
      </c>
      <c r="F33" s="9" t="n">
        <v>-2.8</v>
      </c>
      <c r="G33" s="10" t="n">
        <v>-0.0426</v>
      </c>
    </row>
    <row r="34">
      <c r="B34" s="12" t="inlineStr">
        <is>
          <t>Dettes</t>
        </is>
      </c>
      <c r="D34" s="13" t="n">
        <v>707.8</v>
      </c>
      <c r="E34" s="13" t="n">
        <v>404.8</v>
      </c>
      <c r="F34" s="13" t="n">
        <v>303</v>
      </c>
      <c r="G34" s="14" t="n">
        <v>0.7485000000000001</v>
      </c>
    </row>
    <row r="36">
      <c r="B36" s="8" t="inlineStr">
        <is>
          <t>Produits constatés d'avance</t>
        </is>
      </c>
      <c r="D36" s="9" t="n">
        <v>8.5</v>
      </c>
      <c r="E36" s="9" t="n">
        <v>5</v>
      </c>
      <c r="F36" s="9" t="n">
        <v>3.5</v>
      </c>
      <c r="G36" s="10" t="n">
        <v>0.7</v>
      </c>
    </row>
    <row r="37">
      <c r="B37" s="12" t="inlineStr">
        <is>
          <t>Comptes de régularisation</t>
        </is>
      </c>
      <c r="D37" s="13" t="n">
        <v>8.5</v>
      </c>
      <c r="E37" s="13" t="n">
        <v>5</v>
      </c>
      <c r="F37" s="13" t="n">
        <v>3.5</v>
      </c>
      <c r="G37" s="14" t="n">
        <v>0.7</v>
      </c>
    </row>
    <row r="39">
      <c r="B39" s="12" t="inlineStr">
        <is>
          <t>TOTAL PASSIF</t>
        </is>
      </c>
      <c r="D39" s="13" t="n">
        <v>1293.9</v>
      </c>
      <c r="E39" s="13" t="n">
        <v>676.8</v>
      </c>
      <c r="F39" s="13" t="n">
        <v>617.1</v>
      </c>
      <c r="G39" s="14" t="n">
        <v>0.9118000000000001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Compte de résultat détaillé</t>
        </is>
      </c>
    </row>
    <row r="4">
      <c r="D4" s="5" t="inlineStr">
        <is>
          <t>DEMO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PRODUITS D'EXPLOITATION</t>
        </is>
      </c>
    </row>
    <row r="11">
      <c r="B11" s="8" t="inlineStr">
        <is>
          <t>Ventes de marchandises</t>
        </is>
      </c>
      <c r="D11" s="9" t="n">
        <v>-0</v>
      </c>
      <c r="E11" s="9" t="n">
        <v>-0</v>
      </c>
      <c r="F11" s="9" t="n">
        <v>0</v>
      </c>
      <c r="G11" s="8" t="inlineStr">
        <is>
          <t>n/a</t>
        </is>
      </c>
    </row>
    <row r="12">
      <c r="B12" s="8" t="inlineStr">
        <is>
          <t>Production vendue (Biens et Services)</t>
        </is>
      </c>
      <c r="D12" s="9" t="n">
        <v>1437.5</v>
      </c>
      <c r="E12" s="9" t="n">
        <v>980</v>
      </c>
      <c r="F12" s="9" t="n">
        <v>457.5</v>
      </c>
      <c r="G12" s="10" t="n">
        <v>0.4668</v>
      </c>
    </row>
    <row r="13">
      <c r="B13" s="12">
        <f> Chiffre d'affaires</f>
        <v/>
      </c>
      <c r="D13" s="13" t="n">
        <v>1437.5</v>
      </c>
      <c r="E13" s="13" t="n">
        <v>980</v>
      </c>
      <c r="F13" s="13" t="n">
        <v>457.5</v>
      </c>
      <c r="G13" s="14" t="n">
        <v>0.4668</v>
      </c>
    </row>
    <row r="14">
      <c r="B14" s="8" t="inlineStr">
        <is>
          <t>Production stockée</t>
        </is>
      </c>
      <c r="D14" s="9" t="n">
        <v>4</v>
      </c>
      <c r="E14" s="9" t="n">
        <v>-0</v>
      </c>
      <c r="F14" s="9" t="n">
        <v>4</v>
      </c>
      <c r="G14" s="8" t="inlineStr">
        <is>
          <t>n/a</t>
        </is>
      </c>
    </row>
    <row r="15">
      <c r="B15" s="8" t="inlineStr">
        <is>
          <t>Production immobilisée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</row>
    <row r="16">
      <c r="B16" s="8" t="inlineStr">
        <is>
          <t>Subventions d'exploitation</t>
        </is>
      </c>
      <c r="D16" s="9" t="n">
        <v>-0</v>
      </c>
      <c r="E16" s="9" t="n">
        <v>-0</v>
      </c>
      <c r="F16" s="9" t="n">
        <v>0</v>
      </c>
      <c r="G16" s="8" t="inlineStr">
        <is>
          <t>n/a</t>
        </is>
      </c>
    </row>
    <row r="17">
      <c r="B17" s="8" t="inlineStr">
        <is>
          <t>Reprises amort./prov., transferts de charges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</row>
    <row r="18">
      <c r="B18" s="8" t="inlineStr">
        <is>
          <t>Autres produits</t>
        </is>
      </c>
      <c r="D18" s="9" t="n">
        <v>2.8</v>
      </c>
      <c r="E18" s="9" t="n">
        <v>-0</v>
      </c>
      <c r="F18" s="9" t="n">
        <v>2.8</v>
      </c>
      <c r="G18" s="8" t="inlineStr">
        <is>
          <t>n/a</t>
        </is>
      </c>
    </row>
    <row r="19">
      <c r="B19" s="8" t="inlineStr">
        <is>
          <t>Autres produits d'exploitation (divers)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</row>
    <row r="20">
      <c r="B20" s="12">
        <f> Total produits d'exploitation</f>
        <v/>
      </c>
      <c r="D20" s="13" t="n">
        <v>1444.3</v>
      </c>
      <c r="E20" s="13" t="n">
        <v>980</v>
      </c>
      <c r="F20" s="13" t="n">
        <v>464.3</v>
      </c>
      <c r="G20" s="14" t="n">
        <v>0.4738</v>
      </c>
    </row>
    <row r="22">
      <c r="B22" s="11" t="inlineStr">
        <is>
          <t>CHARGES D'EXPLOITATION</t>
        </is>
      </c>
    </row>
    <row r="23">
      <c r="B23" s="8" t="inlineStr">
        <is>
          <t>Achats de marchandises</t>
        </is>
      </c>
      <c r="D23" s="9" t="n">
        <v>-0</v>
      </c>
      <c r="E23" s="9" t="n">
        <v>-0</v>
      </c>
      <c r="F23" s="9" t="n">
        <v>0</v>
      </c>
      <c r="G23" s="8" t="inlineStr">
        <is>
          <t>n/a</t>
        </is>
      </c>
    </row>
    <row r="24">
      <c r="B24" s="8" t="inlineStr">
        <is>
          <t>Variation de stocks de marchandises</t>
        </is>
      </c>
      <c r="D24" s="9" t="n">
        <v>-0</v>
      </c>
      <c r="E24" s="9" t="n">
        <v>-0</v>
      </c>
      <c r="F24" s="9" t="n">
        <v>0</v>
      </c>
      <c r="G24" s="8" t="inlineStr">
        <is>
          <t>n/a</t>
        </is>
      </c>
    </row>
    <row r="25">
      <c r="B25" s="8" t="inlineStr">
        <is>
          <t>Achats de matières premières et autres appro.</t>
        </is>
      </c>
      <c r="D25" s="9" t="n">
        <v>-600</v>
      </c>
      <c r="E25" s="9" t="n">
        <v>-550</v>
      </c>
      <c r="F25" s="9" t="n">
        <v>-50</v>
      </c>
      <c r="G25" s="10" t="n">
        <v>-0.09089999999999999</v>
      </c>
    </row>
    <row r="26">
      <c r="B26" s="8" t="inlineStr">
        <is>
          <t>Variation de stocks de matières</t>
        </is>
      </c>
      <c r="D26" s="9" t="n">
        <v>-6</v>
      </c>
      <c r="E26" s="9" t="n">
        <v>-0</v>
      </c>
      <c r="F26" s="9" t="n">
        <v>-6</v>
      </c>
      <c r="G26" s="8" t="inlineStr">
        <is>
          <t>n/a</t>
        </is>
      </c>
    </row>
    <row r="27">
      <c r="B27" s="8" t="inlineStr">
        <is>
          <t>Autres achats et charges externes</t>
        </is>
      </c>
      <c r="D27" s="9" t="n">
        <v>-201</v>
      </c>
      <c r="E27" s="9" t="n">
        <v>-0</v>
      </c>
      <c r="F27" s="9" t="n">
        <v>-201</v>
      </c>
      <c r="G27" s="8" t="inlineStr">
        <is>
          <t>n/a</t>
        </is>
      </c>
    </row>
    <row r="28">
      <c r="B28" s="8" t="inlineStr">
        <is>
          <t>Impôts, taxes et versements assimilés</t>
        </is>
      </c>
      <c r="D28" s="9" t="n">
        <v>-0</v>
      </c>
      <c r="E28" s="9" t="n">
        <v>-0</v>
      </c>
      <c r="F28" s="9" t="n">
        <v>0</v>
      </c>
      <c r="G28" s="8" t="inlineStr">
        <is>
          <t>n/a</t>
        </is>
      </c>
    </row>
    <row r="29">
      <c r="B29" s="8" t="inlineStr">
        <is>
          <t>Salaires et traitements</t>
        </is>
      </c>
      <c r="D29" s="9" t="n">
        <v>-300</v>
      </c>
      <c r="E29" s="9" t="n">
        <v>-270</v>
      </c>
      <c r="F29" s="9" t="n">
        <v>-30</v>
      </c>
      <c r="G29" s="10" t="n">
        <v>-0.1111</v>
      </c>
    </row>
    <row r="30">
      <c r="B30" s="8" t="inlineStr">
        <is>
          <t>Charges sociales</t>
        </is>
      </c>
      <c r="D30" s="9" t="n">
        <v>-120</v>
      </c>
      <c r="E30" s="9" t="n">
        <v>-0</v>
      </c>
      <c r="F30" s="9" t="n">
        <v>-120</v>
      </c>
      <c r="G30" s="8" t="inlineStr">
        <is>
          <t>n/a</t>
        </is>
      </c>
    </row>
    <row r="31">
      <c r="B31" s="8" t="inlineStr">
        <is>
          <t>Dotations aux amortissements sur immobilisations</t>
        </is>
      </c>
      <c r="D31" s="9" t="n">
        <v>-25</v>
      </c>
      <c r="E31" s="9" t="n">
        <v>-0</v>
      </c>
      <c r="F31" s="9" t="n">
        <v>-25</v>
      </c>
      <c r="G31" s="8" t="inlineStr">
        <is>
          <t>n/a</t>
        </is>
      </c>
    </row>
    <row r="32">
      <c r="B32" s="8" t="inlineStr">
        <is>
          <t>Dotations aux dépréciations sur immobilisations</t>
        </is>
      </c>
      <c r="D32" s="9" t="n">
        <v>-0</v>
      </c>
      <c r="E32" s="9" t="n">
        <v>-0</v>
      </c>
      <c r="F32" s="9" t="n">
        <v>0</v>
      </c>
      <c r="G32" s="8" t="inlineStr">
        <is>
          <t>n/a</t>
        </is>
      </c>
    </row>
    <row r="33">
      <c r="B33" s="8" t="inlineStr">
        <is>
          <t>Dotations aux dépréciations sur actif circulant</t>
        </is>
      </c>
      <c r="D33" s="9" t="n">
        <v>-2</v>
      </c>
      <c r="E33" s="9" t="n">
        <v>-0</v>
      </c>
      <c r="F33" s="9" t="n">
        <v>-2</v>
      </c>
      <c r="G33" s="8" t="inlineStr">
        <is>
          <t>n/a</t>
        </is>
      </c>
    </row>
    <row r="34">
      <c r="B34" s="8" t="inlineStr">
        <is>
          <t>Dotations aux provisions</t>
        </is>
      </c>
      <c r="D34" s="9" t="n">
        <v>-0</v>
      </c>
      <c r="E34" s="9" t="n">
        <v>-0</v>
      </c>
      <c r="F34" s="9" t="n">
        <v>0</v>
      </c>
      <c r="G34" s="8" t="inlineStr">
        <is>
          <t>n/a</t>
        </is>
      </c>
    </row>
    <row r="35">
      <c r="B35" s="8" t="inlineStr">
        <is>
          <t>Autres charges</t>
        </is>
      </c>
      <c r="D35" s="9" t="n">
        <v>-0</v>
      </c>
      <c r="E35" s="9" t="n">
        <v>-0</v>
      </c>
      <c r="F35" s="9" t="n">
        <v>0</v>
      </c>
      <c r="G35" s="8" t="inlineStr">
        <is>
          <t>n/a</t>
        </is>
      </c>
    </row>
    <row r="36">
      <c r="B36" s="8" t="inlineStr">
        <is>
          <t>Autres charges d'exploitation (divers)</t>
        </is>
      </c>
      <c r="D36" s="9" t="n">
        <v>0</v>
      </c>
      <c r="E36" s="9" t="n">
        <v>0</v>
      </c>
      <c r="F36" s="9" t="n">
        <v>0</v>
      </c>
      <c r="G36" s="8" t="inlineStr">
        <is>
          <t>n/a</t>
        </is>
      </c>
    </row>
    <row r="37">
      <c r="B37" s="12">
        <f> Total charges d'exploitation</f>
        <v/>
      </c>
      <c r="D37" s="13" t="n">
        <v>-1254</v>
      </c>
      <c r="E37" s="13" t="n">
        <v>-820</v>
      </c>
      <c r="F37" s="13" t="n">
        <v>-434</v>
      </c>
      <c r="G37" s="14" t="n">
        <v>-0.5293</v>
      </c>
    </row>
    <row r="39">
      <c r="B39" s="12">
        <f> RÉSULTAT D'EXPLOITATION</f>
        <v/>
      </c>
      <c r="D39" s="13" t="n">
        <v>190.3</v>
      </c>
      <c r="E39" s="13" t="n">
        <v>160</v>
      </c>
      <c r="F39" s="13" t="n">
        <v>30.3</v>
      </c>
      <c r="G39" s="14" t="n">
        <v>0.1894</v>
      </c>
    </row>
    <row r="41">
      <c r="B41" s="8" t="inlineStr">
        <is>
          <t>Quotes-parts de résultat sur opérations faites en commun</t>
        </is>
      </c>
      <c r="D41" s="9" t="n">
        <v>-0</v>
      </c>
      <c r="E41" s="9" t="n">
        <v>-0</v>
      </c>
      <c r="F41" s="9" t="n">
        <v>0</v>
      </c>
      <c r="G41" s="8" t="inlineStr">
        <is>
          <t>n/a</t>
        </is>
      </c>
    </row>
    <row r="43">
      <c r="B43" s="11" t="inlineStr">
        <is>
          <t>RÉSULTAT FINANCIER</t>
        </is>
      </c>
    </row>
    <row r="44">
      <c r="B44" s="8" t="inlineStr">
        <is>
          <t>Produits financiers</t>
        </is>
      </c>
      <c r="D44" s="9" t="n">
        <v>3.8</v>
      </c>
      <c r="E44" s="9" t="n">
        <v>-0</v>
      </c>
      <c r="F44" s="9" t="n">
        <v>3.8</v>
      </c>
      <c r="G44" s="8" t="inlineStr">
        <is>
          <t>n/a</t>
        </is>
      </c>
    </row>
    <row r="45">
      <c r="B45" s="8" t="inlineStr">
        <is>
          <t>Charges financières</t>
        </is>
      </c>
      <c r="D45" s="9" t="n">
        <v>-4.5</v>
      </c>
      <c r="E45" s="9" t="n">
        <v>-3</v>
      </c>
      <c r="F45" s="9" t="n">
        <v>-1.5</v>
      </c>
      <c r="G45" s="10" t="n">
        <v>-0.5</v>
      </c>
    </row>
    <row r="46">
      <c r="B46" s="12">
        <f> Résultat financier</f>
        <v/>
      </c>
      <c r="D46" s="13" t="n">
        <v>-0.7</v>
      </c>
      <c r="E46" s="13" t="n">
        <v>-3</v>
      </c>
      <c r="F46" s="13" t="n">
        <v>2.3</v>
      </c>
      <c r="G46" s="14" t="n">
        <v>0.7667</v>
      </c>
    </row>
    <row r="48">
      <c r="B48" s="12">
        <f> RÉSULTAT COURANT AVANT IMPÔTS</f>
        <v/>
      </c>
      <c r="D48" s="13" t="n">
        <v>189.6</v>
      </c>
      <c r="E48" s="13" t="n">
        <v>157</v>
      </c>
      <c r="F48" s="13" t="n">
        <v>32.6</v>
      </c>
      <c r="G48" s="14" t="n">
        <v>0.2076</v>
      </c>
    </row>
    <row r="50">
      <c r="B50" s="11" t="inlineStr">
        <is>
          <t>RÉSULTAT EXCEPTIONNEL</t>
        </is>
      </c>
    </row>
    <row r="51">
      <c r="B51" s="8" t="inlineStr">
        <is>
          <t>Produits exceptionnels</t>
        </is>
      </c>
      <c r="D51" s="9" t="n">
        <v>2.2</v>
      </c>
      <c r="E51" s="9" t="n">
        <v>5</v>
      </c>
      <c r="F51" s="9" t="n">
        <v>-2.8</v>
      </c>
      <c r="G51" s="10" t="n">
        <v>-0.5600000000000001</v>
      </c>
    </row>
    <row r="52">
      <c r="B52" s="8" t="inlineStr">
        <is>
          <t>Charges exceptionnelles</t>
        </is>
      </c>
      <c r="D52" s="9" t="n">
        <v>-1.2</v>
      </c>
      <c r="E52" s="9" t="n">
        <v>-0</v>
      </c>
      <c r="F52" s="9" t="n">
        <v>-1.2</v>
      </c>
      <c r="G52" s="8" t="inlineStr">
        <is>
          <t>n/a</t>
        </is>
      </c>
    </row>
    <row r="53">
      <c r="B53" s="12">
        <f> Résultat exceptionnel</f>
        <v/>
      </c>
      <c r="D53" s="13" t="n">
        <v>1</v>
      </c>
      <c r="E53" s="13" t="n">
        <v>5</v>
      </c>
      <c r="F53" s="13" t="n">
        <v>-4</v>
      </c>
      <c r="G53" s="14" t="n">
        <v>-0.8</v>
      </c>
    </row>
    <row r="55">
      <c r="B55" s="8" t="inlineStr">
        <is>
          <t>Participation des salariés aux résultats</t>
        </is>
      </c>
      <c r="D55" s="9" t="n">
        <v>-0</v>
      </c>
      <c r="E55" s="9" t="n">
        <v>-0</v>
      </c>
      <c r="F55" s="9" t="n">
        <v>0</v>
      </c>
      <c r="G55" s="8" t="inlineStr">
        <is>
          <t>n/a</t>
        </is>
      </c>
    </row>
    <row r="56">
      <c r="B56" s="8" t="inlineStr">
        <is>
          <t>Impôts sur les bénéfices</t>
        </is>
      </c>
      <c r="D56" s="9" t="n">
        <v>-8</v>
      </c>
      <c r="E56" s="9" t="n">
        <v>-10</v>
      </c>
      <c r="F56" s="9" t="n">
        <v>2</v>
      </c>
      <c r="G56" s="10" t="n">
        <v>0.2</v>
      </c>
    </row>
    <row r="58">
      <c r="B58" s="12">
        <f> RÉSULTAT NET COMPTABLE</f>
        <v/>
      </c>
      <c r="D58" s="13" t="n">
        <v>182.6</v>
      </c>
      <c r="E58" s="13" t="n">
        <v>152</v>
      </c>
      <c r="F58" s="13" t="n">
        <v>30.6</v>
      </c>
      <c r="G58" s="14" t="n">
        <v>0.2013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Besoin en fonds de roulement, Fonds de roulement, Trésorerie nette, Endettement net financier</t>
        </is>
      </c>
    </row>
    <row r="4">
      <c r="D4" s="5" t="inlineStr">
        <is>
          <t>DEMO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FONDS DE ROULEMENT NET GLOBAL (FRNG)</t>
        </is>
      </c>
    </row>
    <row r="11">
      <c r="B11" s="11" t="inlineStr">
        <is>
          <t>Ressources stables</t>
        </is>
      </c>
    </row>
    <row r="12">
      <c r="C12" s="8" t="inlineStr">
        <is>
          <t>Capitaux propres (10–14)</t>
        </is>
      </c>
      <c r="D12" s="9" t="n">
        <v>375</v>
      </c>
      <c r="E12" s="9" t="n">
        <v>95</v>
      </c>
      <c r="F12" s="9" t="n">
        <v>280</v>
      </c>
      <c r="G12" s="10" t="n">
        <v>2.9474</v>
      </c>
    </row>
    <row r="13">
      <c r="C13" s="8" t="inlineStr">
        <is>
          <t>Résultat de l'exercice en cours (classes 6–7)</t>
        </is>
      </c>
      <c r="D13" s="9" t="n">
        <v>182.6</v>
      </c>
      <c r="E13" s="9" t="n">
        <v>152</v>
      </c>
      <c r="F13" s="9" t="n">
        <v>30.6</v>
      </c>
      <c r="G13" s="10" t="n">
        <v>0.2013</v>
      </c>
    </row>
    <row r="14">
      <c r="C14" s="8" t="inlineStr">
        <is>
          <t>Amortissements et dépréciations (28, 29, 39, 49)</t>
        </is>
      </c>
      <c r="D14" s="9" t="n">
        <v>212</v>
      </c>
      <c r="E14" s="9" t="n">
        <v>160</v>
      </c>
      <c r="F14" s="9" t="n">
        <v>52</v>
      </c>
      <c r="G14" s="10" t="n">
        <v>0.325</v>
      </c>
    </row>
    <row r="15">
      <c r="C15" s="8" t="inlineStr">
        <is>
          <t>Provisions pour risques et charges (15)</t>
        </is>
      </c>
      <c r="D15" s="9" t="n">
        <v>20</v>
      </c>
      <c r="E15" s="9" t="n">
        <v>20</v>
      </c>
      <c r="F15" s="9" t="n">
        <v>0</v>
      </c>
      <c r="G15" s="10" t="n">
        <v>0</v>
      </c>
    </row>
    <row r="16">
      <c r="C16" s="8" t="inlineStr">
        <is>
          <t>Dettes financières MLT (16, 17)</t>
        </is>
      </c>
      <c r="D16" s="9" t="n">
        <v>160</v>
      </c>
      <c r="E16" s="9" t="n">
        <v>208</v>
      </c>
      <c r="F16" s="9" t="n">
        <v>-48</v>
      </c>
      <c r="G16" s="10" t="n">
        <v>-0.2308</v>
      </c>
    </row>
    <row r="17">
      <c r="B17" s="12">
        <f> Total ressources stables</f>
        <v/>
      </c>
      <c r="D17" s="13" t="n">
        <v>949.6</v>
      </c>
      <c r="E17" s="13" t="n">
        <v>635</v>
      </c>
      <c r="F17" s="13" t="n">
        <v>314.6</v>
      </c>
      <c r="G17" s="14" t="n">
        <v>0.4954</v>
      </c>
    </row>
    <row r="19">
      <c r="B19" s="11" t="inlineStr">
        <is>
          <t>Emplois stables</t>
        </is>
      </c>
    </row>
    <row r="20">
      <c r="C20" s="8" t="inlineStr">
        <is>
          <t>Actif immobilisé brut (20–27)</t>
        </is>
      </c>
      <c r="D20" s="9" t="n">
        <v>578</v>
      </c>
      <c r="E20" s="9" t="n">
        <v>571</v>
      </c>
      <c r="F20" s="9" t="n">
        <v>7</v>
      </c>
      <c r="G20" s="10" t="n">
        <v>0.0123</v>
      </c>
    </row>
    <row r="21">
      <c r="B21" s="12">
        <f> Total emplois stables</f>
        <v/>
      </c>
      <c r="D21" s="13" t="n">
        <v>578</v>
      </c>
      <c r="E21" s="13" t="n">
        <v>571</v>
      </c>
      <c r="F21" s="13" t="n">
        <v>7</v>
      </c>
      <c r="G21" s="14" t="n">
        <v>0.0123</v>
      </c>
    </row>
    <row r="23">
      <c r="B23" s="12">
        <f> FRNG</f>
        <v/>
      </c>
      <c r="D23" s="13" t="n">
        <v>371.6</v>
      </c>
      <c r="E23" s="13" t="n">
        <v>64</v>
      </c>
      <c r="F23" s="13" t="n">
        <v>307.6</v>
      </c>
      <c r="G23" s="14" t="n">
        <v>4.8063</v>
      </c>
    </row>
    <row r="25">
      <c r="B25" s="11" t="inlineStr">
        <is>
          <t>BESOIN EN FONDS DE ROULEMENT (BFR)</t>
        </is>
      </c>
    </row>
    <row r="26">
      <c r="B26" s="11" t="inlineStr">
        <is>
          <t>Actif circulant</t>
        </is>
      </c>
    </row>
    <row r="27">
      <c r="C27" s="8" t="inlineStr">
        <is>
          <t>Stocks bruts (30–38)</t>
        </is>
      </c>
      <c r="D27" s="9" t="n">
        <v>103</v>
      </c>
      <c r="E27" s="9" t="n">
        <v>95</v>
      </c>
      <c r="F27" s="9" t="n">
        <v>8</v>
      </c>
      <c r="G27" s="10" t="n">
        <v>0.0842</v>
      </c>
    </row>
    <row r="28">
      <c r="C28" s="8" t="inlineStr">
        <is>
          <t>Créances clients (41 &gt; 0)</t>
        </is>
      </c>
      <c r="D28" s="9" t="n">
        <v>122</v>
      </c>
      <c r="E28" s="9" t="n">
        <v>69</v>
      </c>
      <c r="F28" s="9" t="n">
        <v>53</v>
      </c>
      <c r="G28" s="10" t="n">
        <v>0.7681</v>
      </c>
    </row>
    <row r="29">
      <c r="C29" s="8" t="inlineStr">
        <is>
          <t>Autres créances (40, 42–47 &gt; 0)</t>
        </is>
      </c>
      <c r="D29" s="9" t="n">
        <v>169.8</v>
      </c>
      <c r="E29" s="9" t="n">
        <v>0</v>
      </c>
      <c r="F29" s="9" t="n">
        <v>169.8</v>
      </c>
      <c r="G29" s="8" t="inlineStr">
        <is>
          <t>n/a</t>
        </is>
      </c>
    </row>
    <row r="30">
      <c r="C30" s="8" t="inlineStr">
        <is>
          <t>Comptes de régularisation actif — CCA (48 &gt; 0)</t>
        </is>
      </c>
      <c r="D30" s="9" t="n">
        <v>17</v>
      </c>
      <c r="E30" s="9" t="n">
        <v>11</v>
      </c>
      <c r="F30" s="9" t="n">
        <v>6</v>
      </c>
      <c r="G30" s="10" t="n">
        <v>0.5455</v>
      </c>
    </row>
    <row r="31">
      <c r="B31" s="12">
        <f> Total actif circulant</f>
        <v/>
      </c>
      <c r="D31" s="13" t="n">
        <v>411.8</v>
      </c>
      <c r="E31" s="13" t="n">
        <v>175</v>
      </c>
      <c r="F31" s="13" t="n">
        <v>236.8</v>
      </c>
      <c r="G31" s="14" t="n">
        <v>1.3531</v>
      </c>
    </row>
    <row r="33">
      <c r="B33" s="11" t="inlineStr">
        <is>
          <t>Passif circulant</t>
        </is>
      </c>
    </row>
    <row r="34">
      <c r="C34" s="8" t="inlineStr">
        <is>
          <t>Dettes fournisseurs (40 &lt; 0)</t>
        </is>
      </c>
      <c r="D34" s="9" t="n">
        <v>80.8</v>
      </c>
      <c r="E34" s="9" t="n">
        <v>48</v>
      </c>
      <c r="F34" s="9" t="n">
        <v>32.8</v>
      </c>
      <c r="G34" s="10" t="n">
        <v>0.6833</v>
      </c>
    </row>
    <row r="35">
      <c r="C35" s="8" t="inlineStr">
        <is>
          <t>Dettes fiscales et sociales (42, 43, 44 &lt; 0)</t>
        </is>
      </c>
      <c r="D35" s="9" t="n">
        <v>296</v>
      </c>
      <c r="E35" s="9" t="n">
        <v>-0</v>
      </c>
      <c r="F35" s="9" t="n">
        <v>296</v>
      </c>
      <c r="G35" s="8" t="inlineStr">
        <is>
          <t>n/a</t>
        </is>
      </c>
    </row>
    <row r="36">
      <c r="C36" s="8" t="inlineStr">
        <is>
          <t>Autres dettes (41, 45, 46, 47 &lt; 0)</t>
        </is>
      </c>
      <c r="D36" s="9" t="n">
        <v>135</v>
      </c>
      <c r="E36" s="9" t="n">
        <v>120.8</v>
      </c>
      <c r="F36" s="9" t="n">
        <v>14.2</v>
      </c>
      <c r="G36" s="10" t="n">
        <v>0.1175</v>
      </c>
    </row>
    <row r="37">
      <c r="C37" s="8" t="inlineStr">
        <is>
          <t>Comptes de régularisation passif — PCA (48 &lt; 0)</t>
        </is>
      </c>
      <c r="D37" s="9" t="n">
        <v>8.5</v>
      </c>
      <c r="E37" s="9" t="n">
        <v>5</v>
      </c>
      <c r="F37" s="9" t="n">
        <v>3.5</v>
      </c>
      <c r="G37" s="10" t="n">
        <v>0.7</v>
      </c>
    </row>
    <row r="38">
      <c r="B38" s="12">
        <f> Total passif circulant</f>
        <v/>
      </c>
      <c r="D38" s="13" t="n">
        <v>520.3</v>
      </c>
      <c r="E38" s="13" t="n">
        <v>173.8</v>
      </c>
      <c r="F38" s="13" t="n">
        <v>346.5</v>
      </c>
      <c r="G38" s="14" t="n">
        <v>1.9937</v>
      </c>
    </row>
    <row r="40">
      <c r="B40" s="12">
        <f> BFR</f>
        <v/>
      </c>
      <c r="D40" s="13" t="n">
        <v>-108.5</v>
      </c>
      <c r="E40" s="13" t="n">
        <v>1.2</v>
      </c>
      <c r="F40" s="13" t="n">
        <v>-109.7</v>
      </c>
      <c r="G40" s="14" t="n">
        <v>-91.41670000000001</v>
      </c>
    </row>
    <row r="42">
      <c r="B42" s="12">
        <f> TRÉSORERIE NETTE (TN = FRNG − BFR)</f>
        <v/>
      </c>
      <c r="D42" s="13" t="n">
        <v>480.1</v>
      </c>
      <c r="E42" s="13" t="n">
        <v>62.8</v>
      </c>
      <c r="F42" s="13" t="n">
        <v>417.3</v>
      </c>
      <c r="G42" s="14" t="n">
        <v>6.6449</v>
      </c>
    </row>
    <row r="44">
      <c r="B44" s="11" t="inlineStr">
        <is>
          <t>Vérification — trésorerie directe</t>
        </is>
      </c>
    </row>
    <row r="45">
      <c r="C45" s="8" t="inlineStr">
        <is>
          <t>Trésorerie active (classe 5 &gt; 0)</t>
        </is>
      </c>
      <c r="D45" s="9" t="n">
        <v>516.1</v>
      </c>
      <c r="E45" s="9" t="n">
        <v>90.8</v>
      </c>
      <c r="F45" s="9" t="n">
        <v>425.3</v>
      </c>
      <c r="G45" s="10" t="n">
        <v>4.6839</v>
      </c>
    </row>
    <row r="46">
      <c r="C46" s="8" t="inlineStr">
        <is>
          <t>Trésorerie passive (classe 5 &lt; 0)</t>
        </is>
      </c>
      <c r="D46" s="9" t="n">
        <v>36</v>
      </c>
      <c r="E46" s="9" t="n">
        <v>28</v>
      </c>
      <c r="F46" s="9" t="n">
        <v>8</v>
      </c>
      <c r="G46" s="10" t="n">
        <v>0.2857</v>
      </c>
    </row>
    <row r="47">
      <c r="B47" s="12">
        <f> TN (vérification directe)</f>
        <v/>
      </c>
      <c r="D47" s="13" t="n">
        <v>480.1</v>
      </c>
      <c r="E47" s="13" t="n">
        <v>62.8</v>
      </c>
      <c r="F47" s="13" t="n">
        <v>417.3</v>
      </c>
      <c r="G47" s="14" t="n">
        <v>6.6449</v>
      </c>
    </row>
    <row r="48">
      <c r="C48" s="8" t="inlineStr">
        <is>
          <t>Écart de cohérence (TN − vérification)</t>
        </is>
      </c>
      <c r="D48" s="9" t="n">
        <v>0</v>
      </c>
      <c r="E48" s="9" t="n">
        <v>0</v>
      </c>
      <c r="F48" s="9" t="n">
        <v>0</v>
      </c>
      <c r="G48" s="8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Autres achats et charges externes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</row>
    <row r="10">
      <c r="B10" s="7" t="inlineStr">
        <is>
          <t>613500</t>
        </is>
      </c>
      <c r="C10" s="8" t="inlineStr">
        <is>
          <t>Locations mobilières</t>
        </is>
      </c>
      <c r="D10" s="9" t="n">
        <v>57</v>
      </c>
      <c r="E10" s="9" t="n">
        <v>0</v>
      </c>
      <c r="F10" s="9" t="n">
        <v>57</v>
      </c>
      <c r="G10" s="8" t="inlineStr">
        <is>
          <t>n/a</t>
        </is>
      </c>
      <c r="H10" s="7" t="inlineStr">
        <is>
          <t>AACE</t>
        </is>
      </c>
    </row>
    <row r="11">
      <c r="B11" s="7" t="inlineStr">
        <is>
          <t>622600</t>
        </is>
      </c>
      <c r="C11" s="8" t="inlineStr">
        <is>
          <t>Honoraires</t>
        </is>
      </c>
      <c r="D11" s="9" t="n">
        <v>48</v>
      </c>
      <c r="E11" s="9" t="n">
        <v>0</v>
      </c>
      <c r="F11" s="9" t="n">
        <v>48</v>
      </c>
      <c r="G11" s="8" t="inlineStr">
        <is>
          <t>n/a</t>
        </is>
      </c>
      <c r="H11" s="7" t="inlineStr">
        <is>
          <t>AACE</t>
        </is>
      </c>
    </row>
    <row r="13">
      <c r="B13" s="12" t="inlineStr">
        <is>
          <t>TOTAL AACE</t>
        </is>
      </c>
      <c r="D13" s="13" t="n">
        <v>105</v>
      </c>
      <c r="E13" s="13" t="n">
        <v>0</v>
      </c>
      <c r="F13" s="13" t="n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101000</t>
        </is>
      </c>
      <c r="C11" s="8" t="inlineStr">
        <is>
          <t>Capital social</t>
        </is>
      </c>
      <c r="D11" s="9" t="n">
        <v>300</v>
      </c>
      <c r="E11" s="9" t="n">
        <v>300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Réserve légale</t>
        </is>
      </c>
      <c r="D12" s="9" t="n">
        <v>30</v>
      </c>
      <c r="E12" s="9" t="n">
        <v>30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110000</t>
        </is>
      </c>
      <c r="C13" s="8" t="inlineStr">
        <is>
          <t>Report à nouveau</t>
        </is>
      </c>
      <c r="D13" s="9" t="n">
        <v>45</v>
      </c>
      <c r="E13" s="9" t="n">
        <v>-235</v>
      </c>
      <c r="F13" s="9" t="n">
        <v>280</v>
      </c>
      <c r="G13" s="10" t="n">
        <v>1.1915</v>
      </c>
      <c r="H13" s="7" t="inlineStr">
        <is>
          <t>C Propres0</t>
        </is>
      </c>
      <c r="J13" s="7" t="inlineStr">
        <is>
          <t>C Propres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151000</t>
        </is>
      </c>
      <c r="C11" s="8" t="inlineStr">
        <is>
          <t>Provisions pour risques</t>
        </is>
      </c>
      <c r="D11" s="9" t="n">
        <v>20</v>
      </c>
      <c r="E11" s="9" t="n">
        <v>20</v>
      </c>
      <c r="F11" s="9" t="n">
        <v>0</v>
      </c>
      <c r="G11" s="10" t="n">
        <v>0</v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512100</t>
        </is>
      </c>
      <c r="C11" s="8" t="inlineStr">
        <is>
          <t>Banque principale</t>
        </is>
      </c>
      <c r="D11" s="9" t="n">
        <v>500.5</v>
      </c>
      <c r="E11" s="9" t="n">
        <v>90</v>
      </c>
      <c r="F11" s="9" t="n">
        <v>410.5</v>
      </c>
      <c r="G11" s="10" t="n">
        <v>4.5611</v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512200</t>
        </is>
      </c>
      <c r="C12" s="8" t="inlineStr">
        <is>
          <t>Banque secondaire</t>
        </is>
      </c>
      <c r="D12" s="9" t="n">
        <v>14.6</v>
      </c>
      <c r="E12" s="9" t="n">
        <v>0</v>
      </c>
      <c r="F12" s="9" t="n">
        <v>14.6</v>
      </c>
      <c r="G12" s="8" t="inlineStr">
        <is>
          <t>n/a</t>
        </is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519000</t>
        </is>
      </c>
      <c r="C13" s="8" t="inlineStr">
        <is>
          <t>Concours bancaires courants</t>
        </is>
      </c>
      <c r="D13" s="9" t="n">
        <v>-36</v>
      </c>
      <c r="E13" s="9" t="n">
        <v>-28</v>
      </c>
      <c r="F13" s="9" t="n">
        <v>-8</v>
      </c>
      <c r="G13" s="10" t="n">
        <v>-0.2857</v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530000</t>
        </is>
      </c>
      <c r="C14" s="8" t="inlineStr">
        <is>
          <t>Caisse</t>
        </is>
      </c>
      <c r="D14" s="9" t="n">
        <v>1</v>
      </c>
      <c r="E14" s="9" t="n">
        <v>0.8</v>
      </c>
      <c r="F14" s="9" t="n">
        <v>0.2</v>
      </c>
      <c r="G14" s="10" t="n">
        <v>0.25</v>
      </c>
      <c r="H14" s="7" t="inlineStr">
        <is>
          <t>F0</t>
        </is>
      </c>
      <c r="J14" s="7" t="inlineStr">
        <is>
          <t>F</t>
        </is>
      </c>
    </row>
    <row r="16">
      <c r="B16" s="11" t="inlineStr">
        <is>
          <t>PASSIF</t>
        </is>
      </c>
    </row>
    <row r="17">
      <c r="B17" s="7" t="inlineStr">
        <is>
          <t>164000</t>
        </is>
      </c>
      <c r="C17" s="8" t="inlineStr">
        <is>
          <t>Emprunts auprès des établissements de crédit</t>
        </is>
      </c>
      <c r="D17" s="9" t="n">
        <v>160</v>
      </c>
      <c r="E17" s="9" t="n">
        <v>200</v>
      </c>
      <c r="F17" s="9" t="n">
        <v>-40</v>
      </c>
      <c r="G17" s="10" t="n">
        <v>-0.2</v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168800</t>
        </is>
      </c>
      <c r="C18" s="8" t="inlineStr">
        <is>
          <t>Intérêts courus sur emprunts</t>
        </is>
      </c>
      <c r="D18" s="9" t="n">
        <v>-0</v>
      </c>
      <c r="E18" s="9" t="n">
        <v>8</v>
      </c>
      <c r="F18" s="9" t="n">
        <v>-8</v>
      </c>
      <c r="G18" s="10" t="n">
        <v>-1</v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455100</t>
        </is>
      </c>
      <c r="C19" s="8" t="inlineStr">
        <is>
          <t>Associés - comptes courants</t>
        </is>
      </c>
      <c r="D19" s="9" t="n">
        <v>60</v>
      </c>
      <c r="E19" s="9" t="n">
        <v>55</v>
      </c>
      <c r="F19" s="9" t="n">
        <v>5</v>
      </c>
      <c r="G19" s="10" t="n">
        <v>0.09089999999999999</v>
      </c>
      <c r="H19" s="7" t="inlineStr">
        <is>
          <t>F0</t>
        </is>
      </c>
      <c r="J19" s="7" t="inlineStr">
        <is>
          <t>F</t>
        </is>
      </c>
    </row>
    <row r="21">
      <c r="B21" s="11" t="inlineStr">
        <is>
          <t>CHARGES</t>
        </is>
      </c>
    </row>
    <row r="22">
      <c r="B22" s="7" t="inlineStr">
        <is>
          <t>661100</t>
        </is>
      </c>
      <c r="C22" s="8" t="inlineStr">
        <is>
          <t>Intérêts des emprunts</t>
        </is>
      </c>
      <c r="D22" s="9" t="n">
        <v>4.5</v>
      </c>
      <c r="E22" s="9" t="n">
        <v>3</v>
      </c>
      <c r="F22" s="9" t="n">
        <v>1.5</v>
      </c>
      <c r="G22" s="10" t="n">
        <v>0.5</v>
      </c>
      <c r="H22" s="7" t="inlineStr">
        <is>
          <t>F0</t>
        </is>
      </c>
      <c r="J22" s="7" t="inlineStr">
        <is>
          <t>F</t>
        </is>
      </c>
    </row>
    <row r="24">
      <c r="B24" s="11" t="inlineStr">
        <is>
          <t>PRODUITS</t>
        </is>
      </c>
    </row>
    <row r="25">
      <c r="B25" s="7" t="inlineStr">
        <is>
          <t>761000</t>
        </is>
      </c>
      <c r="C25" s="8" t="inlineStr">
        <is>
          <t>Produits de participations</t>
        </is>
      </c>
      <c r="D25" s="9" t="n">
        <v>3.8</v>
      </c>
      <c r="E25" s="9" t="n">
        <v>-0</v>
      </c>
      <c r="F25" s="9" t="n">
        <v>3.8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280500</t>
        </is>
      </c>
      <c r="C11" s="8" t="inlineStr">
        <is>
          <t>Amortissements logiciels</t>
        </is>
      </c>
      <c r="D11" s="9" t="n">
        <v>-26</v>
      </c>
      <c r="E11" s="9" t="n">
        <v>-22</v>
      </c>
      <c r="F11" s="9" t="n">
        <v>-4</v>
      </c>
      <c r="G11" s="10" t="n">
        <v>-0.1818</v>
      </c>
      <c r="H11" s="7" t="inlineStr">
        <is>
          <t>I Incorp0</t>
        </is>
      </c>
      <c r="J11" s="7" t="inlineStr">
        <is>
          <t>I Incorp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205000</t>
        </is>
      </c>
      <c r="C11" s="8" t="inlineStr">
        <is>
          <t>Logiciels et licences</t>
        </is>
      </c>
      <c r="D11" s="9" t="n">
        <v>60</v>
      </c>
      <c r="E11" s="9" t="n">
        <v>60</v>
      </c>
      <c r="F11" s="9" t="n">
        <v>0</v>
      </c>
      <c r="G11" s="10" t="n">
        <v>0</v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213500</t>
        </is>
      </c>
      <c r="C12" s="8" t="inlineStr">
        <is>
          <t>Bâtiments industriels</t>
        </is>
      </c>
      <c r="D12" s="9" t="n">
        <v>300</v>
      </c>
      <c r="E12" s="9" t="n">
        <v>300</v>
      </c>
      <c r="F12" s="9" t="n">
        <v>0</v>
      </c>
      <c r="G12" s="10" t="n">
        <v>0</v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215400</t>
        </is>
      </c>
      <c r="C13" s="8" t="inlineStr">
        <is>
          <t>Matériel industriel</t>
        </is>
      </c>
      <c r="D13" s="9" t="n">
        <v>160</v>
      </c>
      <c r="E13" s="9" t="n">
        <v>140</v>
      </c>
      <c r="F13" s="9" t="n">
        <v>20</v>
      </c>
      <c r="G13" s="10" t="n">
        <v>0.1429</v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281350</t>
        </is>
      </c>
      <c r="C14" s="8" t="inlineStr">
        <is>
          <t>Amortissements bâtiments</t>
        </is>
      </c>
      <c r="D14" s="9" t="n">
        <v>-105</v>
      </c>
      <c r="E14" s="9" t="n">
        <v>-75</v>
      </c>
      <c r="F14" s="9" t="n">
        <v>-30</v>
      </c>
      <c r="G14" s="10" t="n">
        <v>-0.4</v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281540</t>
        </is>
      </c>
      <c r="C15" s="8" t="inlineStr">
        <is>
          <t>Amortissements matériel</t>
        </is>
      </c>
      <c r="D15" s="9" t="n">
        <v>-72</v>
      </c>
      <c r="E15" s="9" t="n">
        <v>-56</v>
      </c>
      <c r="F15" s="9" t="n">
        <v>-16</v>
      </c>
      <c r="G15" s="10" t="n">
        <v>-0.2857</v>
      </c>
      <c r="H15" s="7" t="inlineStr">
        <is>
          <t>I Corp0</t>
        </is>
      </c>
      <c r="J15" s="7" t="inlineStr">
        <is>
          <t>I Corp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</t>
        </is>
      </c>
      <c r="D11" s="9" t="n">
        <v>50</v>
      </c>
      <c r="E11" s="9" t="n">
        <v>50</v>
      </c>
      <c r="F11" s="9" t="n">
        <v>0</v>
      </c>
      <c r="G11" s="10" t="n">
        <v>0</v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274000</t>
        </is>
      </c>
      <c r="C12" s="8" t="inlineStr">
        <is>
          <t>Prêts au personnel</t>
        </is>
      </c>
      <c r="D12" s="9" t="n">
        <v>0</v>
      </c>
      <c r="E12" s="9" t="n">
        <v>13</v>
      </c>
      <c r="F12" s="9" t="n">
        <v>-13</v>
      </c>
      <c r="G12" s="10" t="n">
        <v>-1</v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275000</t>
        </is>
      </c>
      <c r="C13" s="8" t="inlineStr">
        <is>
          <t>Dépôts et cautionnements versés</t>
        </is>
      </c>
      <c r="D13" s="9" t="n">
        <v>8</v>
      </c>
      <c r="E13" s="9" t="n">
        <v>8</v>
      </c>
      <c r="F13" s="9" t="n">
        <v>0</v>
      </c>
      <c r="G13" s="10" t="n">
        <v>0</v>
      </c>
      <c r="H13" s="7" t="inlineStr">
        <is>
          <t>I Fi0</t>
        </is>
      </c>
      <c r="J13" s="7" t="inlineStr">
        <is>
          <t>I Fi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310000</t>
        </is>
      </c>
      <c r="C11" s="8" t="inlineStr">
        <is>
          <t>Stocks de matières premières</t>
        </is>
      </c>
      <c r="D11" s="9" t="n">
        <v>64</v>
      </c>
      <c r="E11" s="9" t="n">
        <v>64</v>
      </c>
      <c r="F11" s="9" t="n">
        <v>0</v>
      </c>
      <c r="G11" s="10" t="n">
        <v>0</v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370000</t>
        </is>
      </c>
      <c r="C12" s="8" t="inlineStr">
        <is>
          <t>Stocks de marchandises</t>
        </is>
      </c>
      <c r="D12" s="9" t="n">
        <v>39</v>
      </c>
      <c r="E12" s="9" t="n">
        <v>31</v>
      </c>
      <c r="F12" s="9" t="n">
        <v>8</v>
      </c>
      <c r="G12" s="10" t="n">
        <v>0.2581</v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391000</t>
        </is>
      </c>
      <c r="C13" s="8" t="inlineStr">
        <is>
          <t>Dépréciation stocks matières</t>
        </is>
      </c>
      <c r="D13" s="9" t="n">
        <v>-4</v>
      </c>
      <c r="E13" s="9" t="n">
        <v>-4</v>
      </c>
      <c r="F13" s="9" t="n">
        <v>0</v>
      </c>
      <c r="G13" s="10" t="n">
        <v>0</v>
      </c>
      <c r="H13" s="7" t="inlineStr">
        <is>
          <t>S0</t>
        </is>
      </c>
      <c r="J13" s="7" t="inlineStr">
        <is>
          <t>S</t>
        </is>
      </c>
    </row>
    <row r="15">
      <c r="B15" s="11" t="inlineStr">
        <is>
          <t>CHARGES</t>
        </is>
      </c>
    </row>
    <row r="16">
      <c r="B16" s="7" t="inlineStr">
        <is>
          <t>603100</t>
        </is>
      </c>
      <c r="C16" s="8" t="inlineStr">
        <is>
          <t>Variation des stocks de matières</t>
        </is>
      </c>
      <c r="D16" s="9" t="n">
        <v>6</v>
      </c>
      <c r="E16" s="9" t="n">
        <v>0</v>
      </c>
      <c r="F16" s="9" t="n">
        <v>6</v>
      </c>
      <c r="G16" s="8" t="inlineStr">
        <is>
          <t>n/a</t>
        </is>
      </c>
      <c r="H16" s="7" t="inlineStr">
        <is>
          <t>S0</t>
        </is>
      </c>
      <c r="J16" s="7" t="inlineStr">
        <is>
          <t>S</t>
        </is>
      </c>
    </row>
    <row r="18">
      <c r="B18" s="11" t="inlineStr">
        <is>
          <t>PRODUITS</t>
        </is>
      </c>
    </row>
    <row r="19">
      <c r="B19" s="7" t="inlineStr">
        <is>
          <t>713500</t>
        </is>
      </c>
      <c r="C19" s="8" t="inlineStr">
        <is>
          <t>Variation des stocks de produits</t>
        </is>
      </c>
      <c r="D19" s="9" t="n">
        <v>4</v>
      </c>
      <c r="E19" s="9" t="n">
        <v>-0</v>
      </c>
      <c r="F19" s="9" t="n">
        <v>4</v>
      </c>
      <c r="G19" s="8" t="inlineStr">
        <is>
          <t>n/a</t>
        </is>
      </c>
      <c r="H19" s="7" t="inlineStr">
        <is>
          <t>S0</t>
        </is>
      </c>
      <c r="J19" s="7" t="inlineStr">
        <is>
          <t>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- avances versées</t>
        </is>
      </c>
      <c r="D11" s="9" t="n">
        <v>9</v>
      </c>
      <c r="E11" s="9" t="n">
        <v>0</v>
      </c>
      <c r="F11" s="9" t="n">
        <v>9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Charges constatées d'avance</t>
        </is>
      </c>
      <c r="D12" s="9" t="n">
        <v>17</v>
      </c>
      <c r="E12" s="9" t="n">
        <v>11</v>
      </c>
      <c r="F12" s="9" t="n">
        <v>6</v>
      </c>
      <c r="G12" s="10" t="n">
        <v>0.5455</v>
      </c>
      <c r="H12" s="7" t="inlineStr">
        <is>
          <t>A0</t>
        </is>
      </c>
      <c r="J12" s="7" t="inlineStr">
        <is>
          <t>A</t>
        </is>
      </c>
    </row>
    <row r="14">
      <c r="B14" s="11" t="inlineStr">
        <is>
          <t>PASSIF</t>
        </is>
      </c>
    </row>
    <row r="15">
      <c r="B15" s="7" t="inlineStr">
        <is>
          <t>401100</t>
        </is>
      </c>
      <c r="C15" s="8" t="inlineStr">
        <is>
          <t>Fournisseurs</t>
        </is>
      </c>
      <c r="D15" s="9" t="n">
        <v>80.8</v>
      </c>
      <c r="E15" s="9" t="n">
        <v>48</v>
      </c>
      <c r="F15" s="9" t="n">
        <v>32.8</v>
      </c>
      <c r="G15" s="10" t="n">
        <v>0.6833</v>
      </c>
      <c r="H15" s="7" t="inlineStr">
        <is>
          <t>A0</t>
        </is>
      </c>
      <c r="J15" s="7" t="inlineStr">
        <is>
          <t>A</t>
        </is>
      </c>
    </row>
    <row r="17">
      <c r="B17" s="11" t="inlineStr">
        <is>
          <t>CHARGES</t>
        </is>
      </c>
    </row>
    <row r="18">
      <c r="B18" s="7" t="inlineStr">
        <is>
          <t>601000</t>
        </is>
      </c>
      <c r="C18" s="8" t="inlineStr">
        <is>
          <t>Achats de matières premières</t>
        </is>
      </c>
      <c r="D18" s="9" t="n">
        <v>600</v>
      </c>
      <c r="E18" s="9" t="n">
        <v>550</v>
      </c>
      <c r="F18" s="9" t="n">
        <v>50</v>
      </c>
      <c r="G18" s="10" t="n">
        <v>0.09089999999999999</v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604000</t>
        </is>
      </c>
      <c r="C19" s="8" t="inlineStr">
        <is>
          <t>Achats d'études et prestations</t>
        </is>
      </c>
      <c r="D19" s="9" t="n">
        <v>96</v>
      </c>
      <c r="E19" s="9" t="n">
        <v>0</v>
      </c>
      <c r="F19" s="9" t="n">
        <v>96</v>
      </c>
      <c r="G19" s="8" t="inlineStr">
        <is>
          <t>n/a</t>
        </is>
      </c>
      <c r="H19" s="7" t="inlineStr">
        <is>
          <t>A0</t>
        </is>
      </c>
      <c r="J19" s="7" t="inlineStr">
        <is>
          <t>A</t>
        </is>
      </c>
    </row>
    <row r="20">
      <c r="B20" s="7" t="inlineStr">
        <is>
          <t>613500</t>
        </is>
      </c>
      <c r="C20" s="8" t="inlineStr">
        <is>
          <t>Locations mobilières</t>
        </is>
      </c>
      <c r="D20" s="9" t="n">
        <v>57</v>
      </c>
      <c r="E20" s="9" t="n">
        <v>0</v>
      </c>
      <c r="F20" s="9" t="n">
        <v>57</v>
      </c>
      <c r="G20" s="8" t="inlineStr">
        <is>
          <t>n/a</t>
        </is>
      </c>
      <c r="H20" s="7" t="inlineStr">
        <is>
          <t>A0</t>
        </is>
      </c>
      <c r="J20" s="7" t="inlineStr">
        <is>
          <t>A</t>
        </is>
      </c>
    </row>
    <row r="21">
      <c r="B21" s="7" t="inlineStr">
        <is>
          <t>622600</t>
        </is>
      </c>
      <c r="C21" s="8" t="inlineStr">
        <is>
          <t>Honoraires</t>
        </is>
      </c>
      <c r="D21" s="9" t="n">
        <v>48</v>
      </c>
      <c r="E21" s="9" t="n">
        <v>0</v>
      </c>
      <c r="F21" s="9" t="n">
        <v>48</v>
      </c>
      <c r="G21" s="8" t="inlineStr">
        <is>
          <t>n/a</t>
        </is>
      </c>
      <c r="H21" s="7" t="inlineStr">
        <is>
          <t>A0</t>
        </is>
      </c>
      <c r="J21" s="7" t="inlineStr">
        <is>
          <t>A</t>
        </is>
      </c>
    </row>
    <row r="22">
      <c r="B22" s="7" t="inlineStr">
        <is>
          <t>681120</t>
        </is>
      </c>
      <c r="C22" s="8" t="inlineStr">
        <is>
          <t>Dotations amortissements immobilisations</t>
        </is>
      </c>
      <c r="D22" s="9" t="n">
        <v>25</v>
      </c>
      <c r="E22" s="9" t="n">
        <v>0</v>
      </c>
      <c r="F22" s="9" t="n">
        <v>25</v>
      </c>
      <c r="G22" s="8" t="inlineStr">
        <is>
          <t>n/a</t>
        </is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681740</t>
        </is>
      </c>
      <c r="C23" s="8" t="inlineStr">
        <is>
          <t>Dotations dépréciations créances clients</t>
        </is>
      </c>
      <c r="D23" s="9" t="n">
        <v>2</v>
      </c>
      <c r="E23" s="9" t="n">
        <v>0</v>
      </c>
      <c r="F23" s="9" t="n">
        <v>2</v>
      </c>
      <c r="G23" s="8" t="inlineStr">
        <is>
          <t>n/a</t>
        </is>
      </c>
      <c r="H23" s="7" t="inlineStr">
        <is>
          <t>A0</t>
        </is>
      </c>
      <c r="J23" s="7" t="inlineStr">
        <is>
          <t>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411100</t>
        </is>
      </c>
      <c r="C11" s="8" t="inlineStr">
        <is>
          <t>Clients</t>
        </is>
      </c>
      <c r="D11" s="9" t="n">
        <v>122</v>
      </c>
      <c r="E11" s="9" t="n">
        <v>69</v>
      </c>
      <c r="F11" s="9" t="n">
        <v>53</v>
      </c>
      <c r="G11" s="10" t="n">
        <v>0.7681</v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491100</t>
        </is>
      </c>
      <c r="C12" s="8" t="inlineStr">
        <is>
          <t>Dépréciation des comptes clients</t>
        </is>
      </c>
      <c r="D12" s="9" t="n">
        <v>-5</v>
      </c>
      <c r="E12" s="9" t="n">
        <v>-3</v>
      </c>
      <c r="F12" s="9" t="n">
        <v>-2</v>
      </c>
      <c r="G12" s="10" t="n">
        <v>-0.6667</v>
      </c>
      <c r="H12" s="7" t="inlineStr">
        <is>
          <t>V0</t>
        </is>
      </c>
      <c r="J12" s="7" t="inlineStr">
        <is>
          <t>V</t>
        </is>
      </c>
    </row>
    <row r="14">
      <c r="B14" s="11" t="inlineStr">
        <is>
          <t>PASSIF</t>
        </is>
      </c>
    </row>
    <row r="15">
      <c r="B15" s="7" t="inlineStr">
        <is>
          <t>419100</t>
        </is>
      </c>
      <c r="C15" s="8" t="inlineStr">
        <is>
          <t>Clients - avances reçues</t>
        </is>
      </c>
      <c r="D15" s="9" t="n">
        <v>12</v>
      </c>
      <c r="E15" s="9" t="n">
        <v>-0</v>
      </c>
      <c r="F15" s="9" t="n">
        <v>12</v>
      </c>
      <c r="G15" s="8" t="inlineStr">
        <is>
          <t>n/a</t>
        </is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487000</t>
        </is>
      </c>
      <c r="C16" s="8" t="inlineStr">
        <is>
          <t>Produits constatés d'avance</t>
        </is>
      </c>
      <c r="D16" s="9" t="n">
        <v>8.5</v>
      </c>
      <c r="E16" s="9" t="n">
        <v>5</v>
      </c>
      <c r="F16" s="9" t="n">
        <v>3.5</v>
      </c>
      <c r="G16" s="10" t="n">
        <v>0.7</v>
      </c>
      <c r="H16" s="7" t="inlineStr">
        <is>
          <t>V0</t>
        </is>
      </c>
      <c r="J16" s="7" t="inlineStr">
        <is>
          <t>V</t>
        </is>
      </c>
    </row>
    <row r="18">
      <c r="B18" s="11" t="inlineStr">
        <is>
          <t>PRODUITS</t>
        </is>
      </c>
    </row>
    <row r="19">
      <c r="B19" s="7" t="inlineStr">
        <is>
          <t>701000</t>
        </is>
      </c>
      <c r="C19" s="8" t="inlineStr">
        <is>
          <t>Ventes de produits finis</t>
        </is>
      </c>
      <c r="D19" s="9" t="n">
        <v>1200</v>
      </c>
      <c r="E19" s="9" t="n">
        <v>980</v>
      </c>
      <c r="F19" s="9" t="n">
        <v>220</v>
      </c>
      <c r="G19" s="10" t="n">
        <v>0.2245</v>
      </c>
      <c r="H19" s="7" t="inlineStr">
        <is>
          <t>V0</t>
        </is>
      </c>
      <c r="J19" s="7" t="inlineStr">
        <is>
          <t>V</t>
        </is>
      </c>
    </row>
    <row r="20">
      <c r="B20" s="7" t="inlineStr">
        <is>
          <t>706000</t>
        </is>
      </c>
      <c r="C20" s="8" t="inlineStr">
        <is>
          <t>Prestations de services</t>
        </is>
      </c>
      <c r="D20" s="9" t="n">
        <v>237.5</v>
      </c>
      <c r="E20" s="9" t="n">
        <v>-0</v>
      </c>
      <c r="F20" s="9" t="n">
        <v>237.5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421000</t>
        </is>
      </c>
      <c r="C11" s="8" t="inlineStr">
        <is>
          <t>Personnel - rémunérations dues</t>
        </is>
      </c>
      <c r="D11" s="9" t="n">
        <v>-0</v>
      </c>
      <c r="E11" s="9" t="n">
        <v>-0</v>
      </c>
      <c r="F11" s="9" t="n">
        <v>0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431000</t>
        </is>
      </c>
      <c r="C12" s="8" t="inlineStr">
        <is>
          <t>Sécurité sociale</t>
        </is>
      </c>
      <c r="D12" s="9" t="n">
        <v>-0</v>
      </c>
      <c r="E12" s="9" t="n">
        <v>-0</v>
      </c>
      <c r="F12" s="9" t="n">
        <v>0</v>
      </c>
      <c r="G12" s="8" t="inlineStr">
        <is>
          <t>n/a</t>
        </is>
      </c>
      <c r="H12" s="7" t="inlineStr">
        <is>
          <t>P0</t>
        </is>
      </c>
      <c r="J12" s="7" t="inlineStr">
        <is>
          <t>P</t>
        </is>
      </c>
    </row>
    <row r="14">
      <c r="B14" s="11" t="inlineStr">
        <is>
          <t>CHARGES</t>
        </is>
      </c>
    </row>
    <row r="15">
      <c r="B15" s="7" t="inlineStr">
        <is>
          <t>641000</t>
        </is>
      </c>
      <c r="C15" s="8" t="inlineStr">
        <is>
          <t>Rémunérations du personnel</t>
        </is>
      </c>
      <c r="D15" s="9" t="n">
        <v>300</v>
      </c>
      <c r="E15" s="9" t="n">
        <v>270</v>
      </c>
      <c r="F15" s="9" t="n">
        <v>30</v>
      </c>
      <c r="G15" s="10" t="n">
        <v>0.1111</v>
      </c>
      <c r="H15" s="7" t="inlineStr">
        <is>
          <t>P0</t>
        </is>
      </c>
      <c r="J15" s="7" t="inlineStr">
        <is>
          <t>P</t>
        </is>
      </c>
    </row>
    <row r="16">
      <c r="B16" s="7" t="inlineStr">
        <is>
          <t>645000</t>
        </is>
      </c>
      <c r="C16" s="8" t="inlineStr">
        <is>
          <t>Charges de sécurité sociale</t>
        </is>
      </c>
      <c r="D16" s="9" t="n">
        <v>120</v>
      </c>
      <c r="E16" s="9" t="n">
        <v>0</v>
      </c>
      <c r="F16" s="9" t="n">
        <v>120</v>
      </c>
      <c r="G16" s="8" t="inlineStr">
        <is>
          <t>n/a</t>
        </is>
      </c>
      <c r="H16" s="7" t="inlineStr">
        <is>
          <t>P0</t>
        </is>
      </c>
      <c r="J16" s="7" t="inlineStr">
        <is>
          <t>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444000</t>
        </is>
      </c>
      <c r="C11" s="8" t="inlineStr">
        <is>
          <t>État - impôt sur les bénéfices</t>
        </is>
      </c>
      <c r="D11" s="9" t="n">
        <v>8</v>
      </c>
      <c r="E11" s="9" t="n">
        <v>-0</v>
      </c>
      <c r="F11" s="9" t="n">
        <v>8</v>
      </c>
      <c r="G11" s="8" t="inlineStr">
        <is>
          <t>n/a</t>
        </is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445660</t>
        </is>
      </c>
      <c r="C12" s="8" t="inlineStr">
        <is>
          <t>TVA déductible</t>
        </is>
      </c>
      <c r="D12" s="9" t="n">
        <v>-160.8</v>
      </c>
      <c r="E12" s="9" t="n">
        <v>-0</v>
      </c>
      <c r="F12" s="9" t="n">
        <v>-160.8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445710</t>
        </is>
      </c>
      <c r="C13" s="8" t="inlineStr">
        <is>
          <t>TVA collectée</t>
        </is>
      </c>
      <c r="D13" s="9" t="n">
        <v>288</v>
      </c>
      <c r="E13" s="9" t="n">
        <v>-0</v>
      </c>
      <c r="F13" s="9" t="n">
        <v>288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5">
      <c r="B15" s="11" t="inlineStr">
        <is>
          <t>CHARGES</t>
        </is>
      </c>
    </row>
    <row r="16">
      <c r="B16" s="7" t="inlineStr">
        <is>
          <t>695000</t>
        </is>
      </c>
      <c r="C16" s="8" t="inlineStr">
        <is>
          <t>Impôt sur les bénéfices</t>
        </is>
      </c>
      <c r="D16" s="9" t="n">
        <v>8</v>
      </c>
      <c r="E16" s="9" t="n">
        <v>10</v>
      </c>
      <c r="F16" s="9" t="n">
        <v>-2</v>
      </c>
      <c r="G16" s="10" t="n">
        <v>-0.2</v>
      </c>
      <c r="H16" s="7" t="inlineStr">
        <is>
          <t>E0</t>
        </is>
      </c>
      <c r="J16" s="7" t="inlineStr">
        <is>
          <t>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467000</t>
        </is>
      </c>
      <c r="C11" s="8" t="inlineStr">
        <is>
          <t>Autres comptes débiteurs ou créditeurs</t>
        </is>
      </c>
      <c r="D11" s="9" t="n">
        <v>63</v>
      </c>
      <c r="E11" s="9" t="n">
        <v>65.8</v>
      </c>
      <c r="F11" s="9" t="n">
        <v>-2.8</v>
      </c>
      <c r="G11" s="10" t="n">
        <v>-0.0426</v>
      </c>
      <c r="H11" s="7" t="inlineStr">
        <is>
          <t>T0</t>
        </is>
      </c>
      <c r="J11" s="7" t="inlineStr">
        <is>
          <t>T</t>
        </is>
      </c>
    </row>
    <row r="13">
      <c r="B13" s="11" t="inlineStr">
        <is>
          <t>PRODUITS</t>
        </is>
      </c>
    </row>
    <row r="14">
      <c r="B14" s="7" t="inlineStr">
        <is>
          <t>758000</t>
        </is>
      </c>
      <c r="C14" s="8" t="inlineStr">
        <is>
          <t>Produits divers de gestion courante</t>
        </is>
      </c>
      <c r="D14" s="9" t="n">
        <v>2.8</v>
      </c>
      <c r="E14" s="9" t="n">
        <v>-0</v>
      </c>
      <c r="F14" s="9" t="n">
        <v>2.8</v>
      </c>
      <c r="G14" s="8" t="inlineStr">
        <is>
          <t>n/a</t>
        </is>
      </c>
      <c r="H14" s="7" t="inlineStr">
        <is>
          <t>T0</t>
        </is>
      </c>
      <c r="J14" s="7" t="inlineStr">
        <is>
          <t>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DEMO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CHARGES</t>
        </is>
      </c>
    </row>
    <row r="11">
      <c r="B11" s="7" t="inlineStr">
        <is>
          <t>671200</t>
        </is>
      </c>
      <c r="C11" s="8" t="inlineStr">
        <is>
          <t>Pénalités et amendes</t>
        </is>
      </c>
      <c r="D11" s="9" t="n">
        <v>1.2</v>
      </c>
      <c r="E11" s="9" t="n">
        <v>0</v>
      </c>
      <c r="F11" s="9" t="n">
        <v>1.2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  <row r="13">
      <c r="B13" s="11" t="inlineStr">
        <is>
          <t>PRODUITS</t>
        </is>
      </c>
    </row>
    <row r="14">
      <c r="B14" s="7" t="inlineStr">
        <is>
          <t>771800</t>
        </is>
      </c>
      <c r="C14" s="8" t="inlineStr">
        <is>
          <t>Autres produits exceptionnels</t>
        </is>
      </c>
      <c r="D14" s="9" t="n">
        <v>2.2</v>
      </c>
      <c r="E14" s="9" t="n">
        <v>5</v>
      </c>
      <c r="F14" s="9" t="n">
        <v>-2.8</v>
      </c>
      <c r="G14" s="10" t="n">
        <v>-0.5600000000000001</v>
      </c>
      <c r="H14" s="7" t="inlineStr">
        <is>
          <t>X0</t>
        </is>
      </c>
      <c r="J14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2026-06-12T09:06:58Z</dcterms:created>
  <dcterms:modified xsi:type="dcterms:W3CDTF">2026-06-12T09:06:59Z</dcterms:modified>
</cp:coreProperties>
</file>