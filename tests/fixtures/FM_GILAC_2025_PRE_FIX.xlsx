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mmaire" sheetId="1" state="visible" r:id="rId1"/>
    <sheet name="Balance N Vs N-1" sheetId="2" state="visible" r:id="rId2"/>
    <sheet name="Bilan" sheetId="3" state="visible" r:id="rId3"/>
    <sheet name="Tréso" sheetId="4" state="visible" r:id="rId4"/>
    <sheet name="AACE" sheetId="5" state="visible" r:id="rId5"/>
    <sheet name="C Propres0" sheetId="6" state="visible" r:id="rId6"/>
    <sheet name="C PRC0" sheetId="7" state="visible" r:id="rId7"/>
    <sheet name="F0" sheetId="8" state="visible" r:id="rId8"/>
    <sheet name="I Incorp0" sheetId="9" state="visible" r:id="rId9"/>
    <sheet name="I Corp0" sheetId="10" state="visible" r:id="rId10"/>
    <sheet name="I Fi0" sheetId="11" state="visible" r:id="rId11"/>
    <sheet name="S0" sheetId="12" state="visible" r:id="rId12"/>
    <sheet name="A0" sheetId="13" state="visible" r:id="rId13"/>
    <sheet name="V0" sheetId="14" state="visible" r:id="rId14"/>
    <sheet name="P0" sheetId="15" state="visible" r:id="rId15"/>
    <sheet name="E0" sheetId="16" state="visible" r:id="rId16"/>
    <sheet name="T0" sheetId="17" state="visible" r:id="rId17"/>
    <sheet name="X0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AAAAAA"/>
      <sz val="9"/>
    </font>
    <font>
      <name val="Arial"/>
      <sz val="10"/>
    </font>
    <font>
      <name val="Arial"/>
      <b val="1"/>
      <sz val="16"/>
    </font>
    <font>
      <name val="Arial"/>
      <i val="1"/>
      <color rgb="00808080"/>
      <sz val="11"/>
    </font>
    <font>
      <name val="Arial"/>
      <b val="1"/>
      <color rgb="00808080"/>
      <sz val="10"/>
    </font>
    <font>
      <name val="Arial"/>
      <b val="1"/>
      <color rgb="00999999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medium">
        <color rgb="00000000"/>
      </bottom>
    </border>
    <border>
      <bottom style="hair">
        <color rgb="00C0C0C0"/>
      </bottom>
    </border>
    <border>
      <top style="thin">
        <color rgb="0000000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2" fillId="0" borderId="2" pivotButton="0" quotePrefix="0" xfId="0"/>
    <xf numFmtId="0" fontId="3" fillId="0" borderId="2" pivotButton="0" quotePrefix="0" xfId="0"/>
    <xf numFmtId="164" fontId="3" fillId="0" borderId="2" pivotButton="0" quotePrefix="0" xfId="0"/>
    <xf numFmtId="9" fontId="3" fillId="0" borderId="2" pivotButton="0" quotePrefix="0" xfId="0"/>
    <xf numFmtId="0" fontId="7" fillId="0" borderId="0" pivotButton="0" quotePrefix="0" xfId="0"/>
    <xf numFmtId="0" fontId="1" fillId="0" borderId="3" pivotButton="0" quotePrefix="0" xfId="0"/>
    <xf numFmtId="164" fontId="1" fillId="0" borderId="3" pivotButton="0" quotePrefix="0" xfId="0"/>
    <xf numFmtId="9" fontId="1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0" customWidth="1" min="3" max="3"/>
  </cols>
  <sheetData>
    <row r="3">
      <c r="C3" s="1" t="inlineStr">
        <is>
          <t>Sommaire</t>
        </is>
      </c>
    </row>
    <row r="4">
      <c r="C4" s="2" t="inlineStr">
        <is>
          <t>GILAC</t>
        </is>
      </c>
    </row>
    <row r="6">
      <c r="B6" s="3" t="inlineStr">
        <is>
          <t>Dossier : GILAC — 31/12/2025</t>
        </is>
      </c>
    </row>
    <row r="8">
      <c r="B8" s="1" t="inlineStr">
        <is>
          <t>Balance générale auditée</t>
        </is>
      </c>
    </row>
    <row r="9">
      <c r="C9" s="3" t="inlineStr">
        <is>
          <t>Balance N Vs N-1</t>
        </is>
      </c>
    </row>
    <row r="11">
      <c r="B11" s="1" t="inlineStr">
        <is>
          <t>Feuilles maîtresses</t>
        </is>
      </c>
    </row>
    <row r="12">
      <c r="C12" s="3" t="inlineStr">
        <is>
          <t>Bilan</t>
        </is>
      </c>
    </row>
    <row r="13">
      <c r="C13" s="3" t="inlineStr">
        <is>
          <t>Tréso</t>
        </is>
      </c>
    </row>
    <row r="14">
      <c r="C14" s="3" t="inlineStr">
        <is>
          <t>AACE</t>
        </is>
      </c>
    </row>
    <row r="15">
      <c r="C15" s="3" t="inlineStr">
        <is>
          <t>Cycle C Propres</t>
        </is>
      </c>
    </row>
    <row r="16">
      <c r="C16" s="3" t="inlineStr">
        <is>
          <t>Cycle C PRC</t>
        </is>
      </c>
    </row>
    <row r="17">
      <c r="C17" s="3" t="inlineStr">
        <is>
          <t>Cycle F</t>
        </is>
      </c>
    </row>
    <row r="18">
      <c r="C18" s="3" t="inlineStr">
        <is>
          <t>Cycle I Incorp</t>
        </is>
      </c>
    </row>
    <row r="19">
      <c r="C19" s="3" t="inlineStr">
        <is>
          <t>Cycle I Corp</t>
        </is>
      </c>
    </row>
    <row r="20">
      <c r="C20" s="3" t="inlineStr">
        <is>
          <t>Cycle I Fi</t>
        </is>
      </c>
    </row>
    <row r="21">
      <c r="C21" s="3" t="inlineStr">
        <is>
          <t>Cycle S</t>
        </is>
      </c>
    </row>
    <row r="22">
      <c r="C22" s="3" t="inlineStr">
        <is>
          <t>Cycle A</t>
        </is>
      </c>
    </row>
    <row r="23">
      <c r="C23" s="3" t="inlineStr">
        <is>
          <t>Cycle V</t>
        </is>
      </c>
    </row>
    <row r="24">
      <c r="C24" s="3" t="inlineStr">
        <is>
          <t>Cycle P</t>
        </is>
      </c>
    </row>
    <row r="25">
      <c r="C25" s="3" t="inlineStr">
        <is>
          <t>Cycle E</t>
        </is>
      </c>
    </row>
    <row r="26">
      <c r="C26" s="3" t="inlineStr">
        <is>
          <t>Cycle T</t>
        </is>
      </c>
    </row>
    <row r="27">
      <c r="C27" s="3" t="inlineStr">
        <is>
          <t>Cycle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  <col width="28" customWidth="1" min="11" max="11"/>
    <col width="28" customWidth="1" min="12" max="12"/>
    <col width="10" customWidth="1" min="13" max="13"/>
    <col width="10" customWidth="1" min="14" max="14"/>
  </cols>
  <sheetData>
    <row r="1">
      <c r="A1" s="2" t="inlineStr">
        <is>
          <t>Retour sommaire</t>
        </is>
      </c>
    </row>
    <row r="3">
      <c r="D3" s="4" t="inlineStr">
        <is>
          <t>Balances générales auditées : 31/12/2025 Vs 31/12/2024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  <c r="K8" s="6" t="inlineStr">
        <is>
          <t>EtatFi N</t>
        </is>
      </c>
      <c r="L8" s="6" t="inlineStr">
        <is>
          <t>EtatFi N-1</t>
        </is>
      </c>
      <c r="M8" s="6" t="inlineStr">
        <is>
          <t>ComptaN</t>
        </is>
      </c>
      <c r="N8" s="6" t="inlineStr">
        <is>
          <t>ComptaN-1</t>
        </is>
      </c>
    </row>
    <row r="10">
      <c r="B10" s="7" t="inlineStr">
        <is>
          <t>101300</t>
        </is>
      </c>
      <c r="C10" s="8" t="inlineStr">
        <is>
          <t>CAPITAL</t>
        </is>
      </c>
      <c r="D10" s="9" t="n">
        <v>-1150.001</v>
      </c>
      <c r="E10" s="9" t="n">
        <v>-1150.001</v>
      </c>
      <c r="F10" s="9" t="n">
        <v>0</v>
      </c>
      <c r="G10" s="10" t="n">
        <v>0</v>
      </c>
      <c r="H10" s="7" t="inlineStr">
        <is>
          <t>C Propres0</t>
        </is>
      </c>
      <c r="J10" s="7" t="inlineStr">
        <is>
          <t>C Propres</t>
        </is>
      </c>
      <c r="K10" s="7" t="inlineStr">
        <is>
          <t>Capital social</t>
        </is>
      </c>
      <c r="L10" s="7" t="inlineStr">
        <is>
          <t>Capital social</t>
        </is>
      </c>
      <c r="M10" s="7" t="inlineStr">
        <is>
          <t>Passif</t>
        </is>
      </c>
      <c r="N10" s="7" t="inlineStr">
        <is>
          <t>Passif</t>
        </is>
      </c>
    </row>
    <row r="11">
      <c r="B11" s="7" t="inlineStr">
        <is>
          <t>106100</t>
        </is>
      </c>
      <c r="C11" s="8" t="inlineStr">
        <is>
          <t>RESERVE LEGALE</t>
        </is>
      </c>
      <c r="D11" s="9" t="n">
        <v>-115</v>
      </c>
      <c r="E11" s="9" t="n">
        <v>-115</v>
      </c>
      <c r="F11" s="9" t="n">
        <v>0</v>
      </c>
      <c r="G11" s="10" t="n">
        <v>0</v>
      </c>
      <c r="H11" s="7" t="inlineStr">
        <is>
          <t>C Propres0</t>
        </is>
      </c>
      <c r="J11" s="7" t="inlineStr">
        <is>
          <t>C Propres</t>
        </is>
      </c>
      <c r="K11" s="7" t="inlineStr">
        <is>
          <t>Réserves</t>
        </is>
      </c>
      <c r="L11" s="7" t="inlineStr">
        <is>
          <t>Réserves</t>
        </is>
      </c>
      <c r="M11" s="7" t="inlineStr">
        <is>
          <t>Passif</t>
        </is>
      </c>
      <c r="N11" s="7" t="inlineStr">
        <is>
          <t>Passif</t>
        </is>
      </c>
    </row>
    <row r="12">
      <c r="B12" s="7" t="inlineStr">
        <is>
          <t>106800</t>
        </is>
      </c>
      <c r="C12" s="8" t="inlineStr">
        <is>
          <t>AUTRES RESERVES</t>
        </is>
      </c>
      <c r="D12" s="9" t="n">
        <v>-2866.188</v>
      </c>
      <c r="E12" s="9" t="n">
        <v>-1851.193</v>
      </c>
      <c r="F12" s="9" t="n">
        <v>-1014.995</v>
      </c>
      <c r="G12" s="10" t="n">
        <v>-0.5483</v>
      </c>
      <c r="H12" s="7" t="inlineStr">
        <is>
          <t>C Propres0</t>
        </is>
      </c>
      <c r="J12" s="7" t="inlineStr">
        <is>
          <t>C Propres</t>
        </is>
      </c>
      <c r="K12" s="7" t="inlineStr">
        <is>
          <t>Réserves</t>
        </is>
      </c>
      <c r="L12" s="7" t="inlineStr">
        <is>
          <t>Réserves</t>
        </is>
      </c>
      <c r="M12" s="7" t="inlineStr">
        <is>
          <t>Passif</t>
        </is>
      </c>
      <c r="N12" s="7" t="inlineStr">
        <is>
          <t>Passif</t>
        </is>
      </c>
    </row>
    <row r="13">
      <c r="B13" s="7" t="inlineStr">
        <is>
          <t>106810</t>
        </is>
      </c>
      <c r="C13" s="8" t="inlineStr">
        <is>
          <t>Dividendes / actions propres</t>
        </is>
      </c>
      <c r="D13" s="9" t="n">
        <v>-40.589</v>
      </c>
      <c r="E13" s="9" t="n">
        <v>0</v>
      </c>
      <c r="F13" s="9" t="n">
        <v>-40.589</v>
      </c>
      <c r="G13" s="8" t="inlineStr">
        <is>
          <t>n/a</t>
        </is>
      </c>
      <c r="H13" s="7" t="inlineStr">
        <is>
          <t>C Propres0</t>
        </is>
      </c>
      <c r="J13" s="7" t="inlineStr">
        <is>
          <t>C Propres</t>
        </is>
      </c>
      <c r="K13" s="7" t="inlineStr"/>
      <c r="L13" s="7" t="inlineStr"/>
      <c r="M13" s="7" t="inlineStr">
        <is>
          <t>Passif</t>
        </is>
      </c>
      <c r="N13" s="7" t="inlineStr">
        <is>
          <t>Passif</t>
        </is>
      </c>
    </row>
    <row r="14">
      <c r="B14" s="7" t="inlineStr">
        <is>
          <t>120000</t>
        </is>
      </c>
      <c r="C14" s="8" t="inlineStr">
        <is>
          <t>COMPTE DE RESULTAT BENEFICE</t>
        </is>
      </c>
      <c r="D14" s="9" t="n">
        <v>0</v>
      </c>
      <c r="E14" s="9" t="n">
        <v>0</v>
      </c>
      <c r="F14" s="9" t="n">
        <v>0</v>
      </c>
      <c r="G14" s="8" t="inlineStr">
        <is>
          <t>n/a</t>
        </is>
      </c>
      <c r="H14" s="7" t="inlineStr">
        <is>
          <t>C Propres0</t>
        </is>
      </c>
      <c r="J14" s="7" t="inlineStr">
        <is>
          <t>C Propres</t>
        </is>
      </c>
      <c r="K14" s="7" t="inlineStr">
        <is>
          <t>Résultat de l'exercice</t>
        </is>
      </c>
      <c r="L14" s="7" t="inlineStr">
        <is>
          <t>Résultat de l'exercice</t>
        </is>
      </c>
      <c r="M14" s="7" t="inlineStr">
        <is>
          <t>Passif</t>
        </is>
      </c>
      <c r="N14" s="7" t="inlineStr">
        <is>
          <t>Passif</t>
        </is>
      </c>
    </row>
    <row r="15">
      <c r="B15" s="7" t="inlineStr">
        <is>
          <t>151100</t>
        </is>
      </c>
      <c r="C15" s="8" t="inlineStr">
        <is>
          <t>PROVISION POUR LITIGE</t>
        </is>
      </c>
      <c r="D15" s="9" t="n">
        <v>-30</v>
      </c>
      <c r="E15" s="9" t="n">
        <v>-30</v>
      </c>
      <c r="F15" s="9" t="n">
        <v>0</v>
      </c>
      <c r="G15" s="10" t="n">
        <v>0</v>
      </c>
      <c r="H15" s="7" t="inlineStr">
        <is>
          <t>C PRC0</t>
        </is>
      </c>
      <c r="J15" s="7" t="inlineStr">
        <is>
          <t>C PRC</t>
        </is>
      </c>
      <c r="K15" s="7" t="inlineStr">
        <is>
          <t>Provisions pour risques</t>
        </is>
      </c>
      <c r="L15" s="7" t="inlineStr">
        <is>
          <t>Provisions pour risques</t>
        </is>
      </c>
      <c r="M15" s="7" t="inlineStr">
        <is>
          <t>Passif</t>
        </is>
      </c>
      <c r="N15" s="7" t="inlineStr">
        <is>
          <t>Passif</t>
        </is>
      </c>
    </row>
    <row r="16">
      <c r="B16" s="7" t="inlineStr">
        <is>
          <t>164130</t>
        </is>
      </c>
      <c r="C16" s="8" t="inlineStr">
        <is>
          <t>EMPRUNT CA PGE2</t>
        </is>
      </c>
      <c r="D16" s="9" t="n">
        <v>-0</v>
      </c>
      <c r="E16" s="9" t="n">
        <v>-69.015</v>
      </c>
      <c r="F16" s="9" t="n">
        <v>69.015</v>
      </c>
      <c r="G16" s="10" t="n">
        <v>1</v>
      </c>
      <c r="H16" s="7" t="inlineStr">
        <is>
          <t>F0</t>
        </is>
      </c>
      <c r="J16" s="7" t="inlineStr">
        <is>
          <t>F</t>
        </is>
      </c>
      <c r="K16" s="7" t="inlineStr">
        <is>
          <t>Emprunts et dettes auprès d'établissements de crédit</t>
        </is>
      </c>
      <c r="L16" s="7" t="inlineStr">
        <is>
          <t>Emprunts et dettes auprès d'établissements de crédit</t>
        </is>
      </c>
      <c r="M16" s="7" t="inlineStr">
        <is>
          <t>Passif</t>
        </is>
      </c>
      <c r="N16" s="7" t="inlineStr">
        <is>
          <t>Passif</t>
        </is>
      </c>
    </row>
    <row r="17">
      <c r="B17" s="7" t="inlineStr">
        <is>
          <t>164150</t>
        </is>
      </c>
      <c r="C17" s="8" t="inlineStr">
        <is>
          <t>EMPRUNT LCL 1500 60M</t>
        </is>
      </c>
      <c r="D17" s="9" t="n">
        <v>-1106.052</v>
      </c>
      <c r="E17" s="9" t="n">
        <v>-1386.523</v>
      </c>
      <c r="F17" s="9" t="n">
        <v>280.471</v>
      </c>
      <c r="G17" s="10" t="n">
        <v>0.2023</v>
      </c>
      <c r="H17" s="7" t="inlineStr">
        <is>
          <t>F0</t>
        </is>
      </c>
      <c r="J17" s="7" t="inlineStr">
        <is>
          <t>F</t>
        </is>
      </c>
      <c r="K17" s="7" t="inlineStr">
        <is>
          <t>Emprunts et dettes auprès d'établissements de crédit</t>
        </is>
      </c>
      <c r="L17" s="7" t="inlineStr">
        <is>
          <t>Emprunts et dettes auprès d'établissements de crédit</t>
        </is>
      </c>
      <c r="M17" s="7" t="inlineStr">
        <is>
          <t>Passif</t>
        </is>
      </c>
      <c r="N17" s="7" t="inlineStr">
        <is>
          <t>Passif</t>
        </is>
      </c>
    </row>
    <row r="18">
      <c r="B18" s="7" t="inlineStr">
        <is>
          <t>164160</t>
        </is>
      </c>
      <c r="C18" s="8" t="inlineStr">
        <is>
          <t>EMPRUNT LCL 1000 24M</t>
        </is>
      </c>
      <c r="D18" s="9" t="n">
        <v>-299.025</v>
      </c>
      <c r="E18" s="9" t="n">
        <v>-797.472</v>
      </c>
      <c r="F18" s="9" t="n">
        <v>498.447</v>
      </c>
      <c r="G18" s="10" t="n">
        <v>0.625</v>
      </c>
      <c r="H18" s="7" t="inlineStr">
        <is>
          <t>F0</t>
        </is>
      </c>
      <c r="J18" s="7" t="inlineStr">
        <is>
          <t>F</t>
        </is>
      </c>
      <c r="K18" s="7" t="inlineStr">
        <is>
          <t>Emprunts et dettes auprès d'établissements de crédit</t>
        </is>
      </c>
      <c r="L18" s="7" t="inlineStr">
        <is>
          <t>Emprunts et dettes auprès d'établissements de crédit</t>
        </is>
      </c>
      <c r="M18" s="7" t="inlineStr">
        <is>
          <t>Passif</t>
        </is>
      </c>
      <c r="N18" s="7" t="inlineStr">
        <is>
          <t>Passif</t>
        </is>
      </c>
    </row>
    <row r="19">
      <c r="B19" s="7" t="inlineStr">
        <is>
          <t>164241</t>
        </is>
      </c>
      <c r="C19" s="8" t="inlineStr">
        <is>
          <t>EMPRUNT BP PGE2</t>
        </is>
      </c>
      <c r="D19" s="9" t="n">
        <v>0</v>
      </c>
      <c r="E19" s="9" t="n">
        <v>-68.991</v>
      </c>
      <c r="F19" s="9" t="n">
        <v>68.991</v>
      </c>
      <c r="G19" s="10" t="n">
        <v>1</v>
      </c>
      <c r="H19" s="7" t="inlineStr">
        <is>
          <t>F0</t>
        </is>
      </c>
      <c r="J19" s="7" t="inlineStr">
        <is>
          <t>F</t>
        </is>
      </c>
      <c r="K19" s="7" t="inlineStr">
        <is>
          <t>Emprunts et dettes auprès d'établissements de crédit</t>
        </is>
      </c>
      <c r="L19" s="7" t="inlineStr">
        <is>
          <t>Emprunts et dettes auprès d'établissements de crédit</t>
        </is>
      </c>
      <c r="M19" s="7" t="inlineStr">
        <is>
          <t>Passif</t>
        </is>
      </c>
      <c r="N19" s="7" t="inlineStr">
        <is>
          <t>Passif</t>
        </is>
      </c>
    </row>
    <row r="20">
      <c r="B20" s="7" t="inlineStr">
        <is>
          <t>164250</t>
        </is>
      </c>
      <c r="C20" s="8" t="inlineStr">
        <is>
          <t>EMPRUNT BP HA DUBOIS</t>
        </is>
      </c>
      <c r="D20" s="9" t="n">
        <v>0</v>
      </c>
      <c r="E20" s="9" t="n">
        <v>-192.018</v>
      </c>
      <c r="F20" s="9" t="n">
        <v>192.018</v>
      </c>
      <c r="G20" s="10" t="n">
        <v>1</v>
      </c>
      <c r="H20" s="7" t="inlineStr">
        <is>
          <t>F0</t>
        </is>
      </c>
      <c r="J20" s="7" t="inlineStr">
        <is>
          <t>F</t>
        </is>
      </c>
      <c r="K20" s="7" t="inlineStr">
        <is>
          <t>Emprunts et dettes auprès d'établissements de crédit</t>
        </is>
      </c>
      <c r="L20" s="7" t="inlineStr">
        <is>
          <t>Emprunts et dettes auprès d'établissements de crédit</t>
        </is>
      </c>
      <c r="M20" s="7" t="inlineStr">
        <is>
          <t>Passif</t>
        </is>
      </c>
      <c r="N20" s="7" t="inlineStr">
        <is>
          <t>Passif</t>
        </is>
      </c>
    </row>
    <row r="21">
      <c r="B21" s="7" t="inlineStr">
        <is>
          <t>168100</t>
        </is>
      </c>
      <c r="C21" s="8" t="inlineStr">
        <is>
          <t>CREDIT VENDEUR</t>
        </is>
      </c>
      <c r="D21" s="9" t="n">
        <v>-0</v>
      </c>
      <c r="E21" s="9" t="n">
        <v>-101.2</v>
      </c>
      <c r="F21" s="9" t="n">
        <v>101.2</v>
      </c>
      <c r="G21" s="10" t="n">
        <v>1</v>
      </c>
      <c r="H21" s="7" t="inlineStr">
        <is>
          <t>F0</t>
        </is>
      </c>
      <c r="J21" s="7" t="inlineStr">
        <is>
          <t>F</t>
        </is>
      </c>
      <c r="K21" s="7" t="inlineStr">
        <is>
          <t>Emprunts et dettes financières</t>
        </is>
      </c>
      <c r="L21" s="7" t="inlineStr">
        <is>
          <t>Emprunts et dettes financières</t>
        </is>
      </c>
      <c r="M21" s="7" t="inlineStr">
        <is>
          <t>Passif</t>
        </is>
      </c>
      <c r="N21" s="7" t="inlineStr">
        <is>
          <t>Passif</t>
        </is>
      </c>
    </row>
    <row r="22">
      <c r="B22" s="7" t="inlineStr">
        <is>
          <t>205000</t>
        </is>
      </c>
      <c r="C22" s="8" t="inlineStr">
        <is>
          <t>BREVETS ET LICENCES</t>
        </is>
      </c>
      <c r="D22" s="9" t="n">
        <v>5</v>
      </c>
      <c r="E22" s="9" t="n">
        <v>5</v>
      </c>
      <c r="F22" s="9" t="n">
        <v>0</v>
      </c>
      <c r="G22" s="10" t="n">
        <v>0</v>
      </c>
      <c r="H22" s="7" t="inlineStr">
        <is>
          <t>I Corp0</t>
        </is>
      </c>
      <c r="J22" s="7" t="inlineStr">
        <is>
          <t>I Corp</t>
        </is>
      </c>
      <c r="K22" s="7" t="inlineStr">
        <is>
          <t>Concessions, brvts, licences, logiciels, drts &amp; val. similaire</t>
        </is>
      </c>
      <c r="L22" s="7" t="inlineStr">
        <is>
          <t>Concessions, brvts, licences, logiciels, drts &amp; val. similaire</t>
        </is>
      </c>
      <c r="M22" s="7" t="inlineStr">
        <is>
          <t>Actif</t>
        </is>
      </c>
      <c r="N22" s="7" t="inlineStr">
        <is>
          <t>Actif</t>
        </is>
      </c>
    </row>
    <row r="23">
      <c r="B23" s="7" t="inlineStr">
        <is>
          <t>207000</t>
        </is>
      </c>
      <c r="C23" s="8" t="inlineStr">
        <is>
          <t>FONDS DE COMMERCE</t>
        </is>
      </c>
      <c r="D23" s="9" t="n">
        <v>186.351</v>
      </c>
      <c r="E23" s="9" t="n">
        <v>186.351</v>
      </c>
      <c r="F23" s="9" t="n">
        <v>0</v>
      </c>
      <c r="G23" s="10" t="n">
        <v>0</v>
      </c>
      <c r="H23" s="7" t="inlineStr">
        <is>
          <t>I Incorp0</t>
        </is>
      </c>
      <c r="J23" s="7" t="inlineStr">
        <is>
          <t>I Incorp</t>
        </is>
      </c>
      <c r="K23" s="7" t="inlineStr">
        <is>
          <t>Fonds commercial</t>
        </is>
      </c>
      <c r="L23" s="7" t="inlineStr">
        <is>
          <t>Fonds commercial</t>
        </is>
      </c>
      <c r="M23" s="7" t="inlineStr">
        <is>
          <t>Actif</t>
        </is>
      </c>
      <c r="N23" s="7" t="inlineStr">
        <is>
          <t>Actif</t>
        </is>
      </c>
    </row>
    <row r="24">
      <c r="B24" s="7" t="inlineStr">
        <is>
          <t>208000</t>
        </is>
      </c>
      <c r="C24" s="8" t="inlineStr">
        <is>
          <t>LOGICIELS INFORMATIQUES</t>
        </is>
      </c>
      <c r="D24" s="9" t="n">
        <v>29.207</v>
      </c>
      <c r="E24" s="9" t="n">
        <v>29.207</v>
      </c>
      <c r="F24" s="9" t="n">
        <v>0</v>
      </c>
      <c r="G24" s="10" t="n">
        <v>0</v>
      </c>
      <c r="H24" s="7" t="inlineStr">
        <is>
          <t>I Corp0</t>
        </is>
      </c>
      <c r="J24" s="7" t="inlineStr">
        <is>
          <t>I Corp</t>
        </is>
      </c>
      <c r="K24" s="7" t="inlineStr">
        <is>
          <t>Autres immobilisations incorporelles</t>
        </is>
      </c>
      <c r="L24" s="7" t="inlineStr">
        <is>
          <t>Autres immobilisations incorporelles</t>
        </is>
      </c>
      <c r="M24" s="7" t="inlineStr">
        <is>
          <t>Actif</t>
        </is>
      </c>
      <c r="N24" s="7" t="inlineStr">
        <is>
          <t>Actif</t>
        </is>
      </c>
    </row>
    <row r="25">
      <c r="B25" s="7" t="inlineStr">
        <is>
          <t>213500</t>
        </is>
      </c>
      <c r="C25" s="8" t="inlineStr">
        <is>
          <t>AGENCEMENT DES CONSTRUCTIONS</t>
        </is>
      </c>
      <c r="D25" s="9" t="n">
        <v>21</v>
      </c>
      <c r="E25" s="9" t="n">
        <v>21</v>
      </c>
      <c r="F25" s="9" t="n">
        <v>0</v>
      </c>
      <c r="G25" s="10" t="n">
        <v>0</v>
      </c>
      <c r="H25" s="7" t="inlineStr">
        <is>
          <t>I Corp0</t>
        </is>
      </c>
      <c r="J25" s="7" t="inlineStr">
        <is>
          <t>I Corp</t>
        </is>
      </c>
      <c r="K25" s="7" t="inlineStr">
        <is>
          <t>Constructions</t>
        </is>
      </c>
      <c r="L25" s="7" t="inlineStr">
        <is>
          <t>Constructions</t>
        </is>
      </c>
      <c r="M25" s="7" t="inlineStr">
        <is>
          <t>Actif</t>
        </is>
      </c>
      <c r="N25" s="7" t="inlineStr">
        <is>
          <t>Actif</t>
        </is>
      </c>
    </row>
    <row r="26">
      <c r="B26" s="7" t="inlineStr">
        <is>
          <t>214500</t>
        </is>
      </c>
      <c r="C26" s="8" t="inlineStr">
        <is>
          <t>I.G.A.A. SUR SOL D' AUTRUI</t>
        </is>
      </c>
      <c r="D26" s="9" t="n">
        <v>22.983</v>
      </c>
      <c r="E26" s="9" t="n">
        <v>22.983</v>
      </c>
      <c r="F26" s="9" t="n">
        <v>-0</v>
      </c>
      <c r="G26" s="10" t="n">
        <v>-0</v>
      </c>
      <c r="H26" s="7" t="inlineStr">
        <is>
          <t>I Corp0</t>
        </is>
      </c>
      <c r="J26" s="7" t="inlineStr">
        <is>
          <t>I Corp</t>
        </is>
      </c>
      <c r="K26" s="7" t="inlineStr">
        <is>
          <t>Constructions</t>
        </is>
      </c>
      <c r="L26" s="7" t="inlineStr">
        <is>
          <t>Constructions</t>
        </is>
      </c>
      <c r="M26" s="7" t="inlineStr">
        <is>
          <t>Actif</t>
        </is>
      </c>
      <c r="N26" s="7" t="inlineStr">
        <is>
          <t>Actif</t>
        </is>
      </c>
    </row>
    <row r="27">
      <c r="B27" s="7" t="inlineStr">
        <is>
          <t>215400</t>
        </is>
      </c>
      <c r="C27" s="8" t="inlineStr">
        <is>
          <t>MATERIEL INDUSTRIEL</t>
        </is>
      </c>
      <c r="D27" s="9" t="n">
        <v>318.631</v>
      </c>
      <c r="E27" s="9" t="n">
        <v>283.814</v>
      </c>
      <c r="F27" s="9" t="n">
        <v>34.817</v>
      </c>
      <c r="G27" s="10" t="n">
        <v>0.1227</v>
      </c>
      <c r="H27" s="7" t="inlineStr">
        <is>
          <t>I Corp0</t>
        </is>
      </c>
      <c r="J27" s="7" t="inlineStr">
        <is>
          <t>I Corp</t>
        </is>
      </c>
      <c r="K27" s="7" t="inlineStr">
        <is>
          <t>Installations techniques, matériel et outillage industriels</t>
        </is>
      </c>
      <c r="L27" s="7" t="inlineStr">
        <is>
          <t>Installations techniques, matériel et outillage industriels</t>
        </is>
      </c>
      <c r="M27" s="7" t="inlineStr">
        <is>
          <t>Actif</t>
        </is>
      </c>
      <c r="N27" s="7" t="inlineStr">
        <is>
          <t>Actif</t>
        </is>
      </c>
    </row>
    <row r="28">
      <c r="B28" s="7" t="inlineStr">
        <is>
          <t>215500</t>
        </is>
      </c>
      <c r="C28" s="8" t="inlineStr">
        <is>
          <t>MOULES</t>
        </is>
      </c>
      <c r="D28" s="9" t="n">
        <v>1487.441</v>
      </c>
      <c r="E28" s="9" t="n">
        <v>1455.241</v>
      </c>
      <c r="F28" s="9" t="n">
        <v>32.2</v>
      </c>
      <c r="G28" s="10" t="n">
        <v>0.0221</v>
      </c>
      <c r="H28" s="7" t="inlineStr">
        <is>
          <t>I Corp0</t>
        </is>
      </c>
      <c r="J28" s="7" t="inlineStr">
        <is>
          <t>I Corp</t>
        </is>
      </c>
      <c r="K28" s="7" t="inlineStr">
        <is>
          <t>Installations techniques, matériel et outillage industriels</t>
        </is>
      </c>
      <c r="L28" s="7" t="inlineStr">
        <is>
          <t>Installations techniques, matériel et outillage industriels</t>
        </is>
      </c>
      <c r="M28" s="7" t="inlineStr">
        <is>
          <t>Actif</t>
        </is>
      </c>
      <c r="N28" s="7" t="inlineStr">
        <is>
          <t>Actif</t>
        </is>
      </c>
    </row>
    <row r="29">
      <c r="B29" s="7" t="inlineStr">
        <is>
          <t>215700</t>
        </is>
      </c>
      <c r="C29" s="8" t="inlineStr">
        <is>
          <t>A A I MATERIEL OUTILLAGE</t>
        </is>
      </c>
      <c r="D29" s="9" t="n">
        <v>25.537</v>
      </c>
      <c r="E29" s="9" t="n">
        <v>20.177</v>
      </c>
      <c r="F29" s="9" t="n">
        <v>5.36</v>
      </c>
      <c r="G29" s="10" t="n">
        <v>0.2656</v>
      </c>
      <c r="H29" s="7" t="inlineStr">
        <is>
          <t>I Corp0</t>
        </is>
      </c>
      <c r="J29" s="7" t="inlineStr">
        <is>
          <t>I Corp</t>
        </is>
      </c>
      <c r="K29" s="7" t="inlineStr">
        <is>
          <t>Installations techniques, matériel et outillage industriels</t>
        </is>
      </c>
      <c r="L29" s="7" t="inlineStr">
        <is>
          <t>Installations techniques, matériel et outillage industriels</t>
        </is>
      </c>
      <c r="M29" s="7" t="inlineStr">
        <is>
          <t>Actif</t>
        </is>
      </c>
      <c r="N29" s="7" t="inlineStr">
        <is>
          <t>Actif</t>
        </is>
      </c>
    </row>
    <row r="30">
      <c r="B30" s="7" t="inlineStr">
        <is>
          <t>218100</t>
        </is>
      </c>
      <c r="C30" s="8" t="inlineStr">
        <is>
          <t>AGENCEMENT AMENAGEMENT DIVERS</t>
        </is>
      </c>
      <c r="D30" s="9" t="n">
        <v>14.266</v>
      </c>
      <c r="E30" s="9" t="n">
        <v>14.266</v>
      </c>
      <c r="F30" s="9" t="n">
        <v>-0</v>
      </c>
      <c r="G30" s="10" t="n">
        <v>-0</v>
      </c>
      <c r="H30" s="7" t="inlineStr">
        <is>
          <t>I Corp0</t>
        </is>
      </c>
      <c r="J30" s="7" t="inlineStr">
        <is>
          <t>I Corp</t>
        </is>
      </c>
      <c r="K30" s="7" t="inlineStr">
        <is>
          <t>Autres immobilisations corporelles</t>
        </is>
      </c>
      <c r="L30" s="7" t="inlineStr">
        <is>
          <t>Autres immobilisations corporelles</t>
        </is>
      </c>
      <c r="M30" s="7" t="inlineStr">
        <is>
          <t>Actif</t>
        </is>
      </c>
      <c r="N30" s="7" t="inlineStr">
        <is>
          <t>Actif</t>
        </is>
      </c>
    </row>
    <row r="31">
      <c r="B31" s="7" t="inlineStr">
        <is>
          <t>218200</t>
        </is>
      </c>
      <c r="C31" s="8" t="inlineStr">
        <is>
          <t>MATERIEL MANUTENTION, TRANSPORT</t>
        </is>
      </c>
      <c r="D31" s="9" t="n">
        <v>272.022</v>
      </c>
      <c r="E31" s="9" t="n">
        <v>270.533</v>
      </c>
      <c r="F31" s="9" t="n">
        <v>1.489</v>
      </c>
      <c r="G31" s="10" t="n">
        <v>0.0055</v>
      </c>
      <c r="H31" s="7" t="inlineStr">
        <is>
          <t>I Corp0</t>
        </is>
      </c>
      <c r="J31" s="7" t="inlineStr">
        <is>
          <t>I Corp</t>
        </is>
      </c>
      <c r="K31" s="7" t="inlineStr">
        <is>
          <t>Autres immobilisations corporelles</t>
        </is>
      </c>
      <c r="L31" s="7" t="inlineStr">
        <is>
          <t>Autres immobilisations corporelles</t>
        </is>
      </c>
      <c r="M31" s="7" t="inlineStr">
        <is>
          <t>Actif</t>
        </is>
      </c>
      <c r="N31" s="7" t="inlineStr">
        <is>
          <t>Actif</t>
        </is>
      </c>
    </row>
    <row r="32">
      <c r="B32" s="7" t="inlineStr">
        <is>
          <t>218300</t>
        </is>
      </c>
      <c r="C32" s="8" t="inlineStr">
        <is>
          <t>MATERIEL BUREAU</t>
        </is>
      </c>
      <c r="D32" s="9" t="n">
        <v>17.576</v>
      </c>
      <c r="E32" s="9" t="n">
        <v>15.348</v>
      </c>
      <c r="F32" s="9" t="n">
        <v>2.228</v>
      </c>
      <c r="G32" s="10" t="n">
        <v>0.1452</v>
      </c>
      <c r="H32" s="7" t="inlineStr">
        <is>
          <t>I Corp0</t>
        </is>
      </c>
      <c r="J32" s="7" t="inlineStr">
        <is>
          <t>I Corp</t>
        </is>
      </c>
      <c r="K32" s="7" t="inlineStr">
        <is>
          <t>Autres immobilisations corporelles</t>
        </is>
      </c>
      <c r="L32" s="7" t="inlineStr">
        <is>
          <t>Autres immobilisations corporelles</t>
        </is>
      </c>
      <c r="M32" s="7" t="inlineStr">
        <is>
          <t>Actif</t>
        </is>
      </c>
      <c r="N32" s="7" t="inlineStr">
        <is>
          <t>Actif</t>
        </is>
      </c>
    </row>
    <row r="33">
      <c r="B33" s="7" t="inlineStr">
        <is>
          <t>218320</t>
        </is>
      </c>
      <c r="C33" s="8" t="inlineStr">
        <is>
          <t>MATERIEL INFORMATIQUE</t>
        </is>
      </c>
      <c r="D33" s="9" t="n">
        <v>115.469</v>
      </c>
      <c r="E33" s="9" t="n">
        <v>95.164</v>
      </c>
      <c r="F33" s="9" t="n">
        <v>20.305</v>
      </c>
      <c r="G33" s="10" t="n">
        <v>0.2134</v>
      </c>
      <c r="H33" s="7" t="inlineStr">
        <is>
          <t>I Corp0</t>
        </is>
      </c>
      <c r="J33" s="7" t="inlineStr">
        <is>
          <t>I Corp</t>
        </is>
      </c>
      <c r="K33" s="7" t="inlineStr">
        <is>
          <t>Autres immobilisations corporelles</t>
        </is>
      </c>
      <c r="L33" s="7" t="inlineStr">
        <is>
          <t>Autres immobilisations corporelles</t>
        </is>
      </c>
      <c r="M33" s="7" t="inlineStr">
        <is>
          <t>Actif</t>
        </is>
      </c>
      <c r="N33" s="7" t="inlineStr">
        <is>
          <t>Actif</t>
        </is>
      </c>
    </row>
    <row r="34">
      <c r="B34" s="7" t="inlineStr">
        <is>
          <t>218400</t>
        </is>
      </c>
      <c r="C34" s="8" t="inlineStr">
        <is>
          <t>MOBILIER DE BUREAU</t>
        </is>
      </c>
      <c r="D34" s="9" t="n">
        <v>18.893</v>
      </c>
      <c r="E34" s="9" t="n">
        <v>18.893</v>
      </c>
      <c r="F34" s="9" t="n">
        <v>0</v>
      </c>
      <c r="G34" s="10" t="n">
        <v>0</v>
      </c>
      <c r="H34" s="7" t="inlineStr">
        <is>
          <t>I Corp0</t>
        </is>
      </c>
      <c r="J34" s="7" t="inlineStr">
        <is>
          <t>I Corp</t>
        </is>
      </c>
      <c r="K34" s="7" t="inlineStr">
        <is>
          <t>Autres immobilisations corporelles</t>
        </is>
      </c>
      <c r="L34" s="7" t="inlineStr">
        <is>
          <t>Autres immobilisations corporelles</t>
        </is>
      </c>
      <c r="M34" s="7" t="inlineStr">
        <is>
          <t>Actif</t>
        </is>
      </c>
      <c r="N34" s="7" t="inlineStr">
        <is>
          <t>Actif</t>
        </is>
      </c>
    </row>
    <row r="35">
      <c r="B35" s="7" t="inlineStr">
        <is>
          <t>231500</t>
        </is>
      </c>
      <c r="C35" s="8" t="inlineStr">
        <is>
          <t>IMMOBILISATION EN COURS</t>
        </is>
      </c>
      <c r="D35" s="9" t="n">
        <v>6.358</v>
      </c>
      <c r="E35" s="9" t="n">
        <v>0</v>
      </c>
      <c r="F35" s="9" t="n">
        <v>6.358</v>
      </c>
      <c r="G35" s="8" t="inlineStr">
        <is>
          <t>n/a</t>
        </is>
      </c>
      <c r="H35" s="7" t="inlineStr">
        <is>
          <t>I Corp0</t>
        </is>
      </c>
      <c r="J35" s="7" t="inlineStr">
        <is>
          <t>I Corp</t>
        </is>
      </c>
      <c r="K35" s="7" t="inlineStr"/>
      <c r="L35" s="7" t="inlineStr"/>
      <c r="M35" s="7" t="inlineStr">
        <is>
          <t>Actif</t>
        </is>
      </c>
      <c r="N35" s="7" t="inlineStr">
        <is>
          <t>Actif</t>
        </is>
      </c>
    </row>
    <row r="36">
      <c r="B36" s="7" t="inlineStr">
        <is>
          <t>238500</t>
        </is>
      </c>
      <c r="C36" s="8" t="inlineStr">
        <is>
          <t>ACOMPTE SUR IMMOBILISATION</t>
        </is>
      </c>
      <c r="D36" s="9" t="n">
        <v>9.587999999999999</v>
      </c>
      <c r="E36" s="9" t="n">
        <v>0</v>
      </c>
      <c r="F36" s="9" t="n">
        <v>9.587999999999999</v>
      </c>
      <c r="G36" s="8" t="inlineStr">
        <is>
          <t>n/a</t>
        </is>
      </c>
      <c r="H36" s="7" t="inlineStr">
        <is>
          <t>I Corp0</t>
        </is>
      </c>
      <c r="J36" s="7" t="inlineStr">
        <is>
          <t>I Corp</t>
        </is>
      </c>
      <c r="K36" s="7" t="inlineStr">
        <is>
          <t>Avances et acomptes sur immobilisations corporelles</t>
        </is>
      </c>
      <c r="L36" s="7" t="inlineStr">
        <is>
          <t>Avances et acomptes sur immobilisations corporelles</t>
        </is>
      </c>
      <c r="M36" s="7" t="inlineStr">
        <is>
          <t>Actif</t>
        </is>
      </c>
      <c r="N36" s="7" t="inlineStr">
        <is>
          <t>Actif</t>
        </is>
      </c>
    </row>
    <row r="37">
      <c r="B37" s="7" t="inlineStr">
        <is>
          <t>261000</t>
        </is>
      </c>
      <c r="C37" s="8" t="inlineStr">
        <is>
          <t>TITRES DE PARTICIPATIONS</t>
        </is>
      </c>
      <c r="D37" s="9" t="n">
        <v>3284.904</v>
      </c>
      <c r="E37" s="9" t="n">
        <v>3283.904</v>
      </c>
      <c r="F37" s="9" t="n">
        <v>1</v>
      </c>
      <c r="G37" s="10" t="n">
        <v>0.0003</v>
      </c>
      <c r="H37" s="7" t="inlineStr">
        <is>
          <t>I Fi0</t>
        </is>
      </c>
      <c r="J37" s="7" t="inlineStr">
        <is>
          <t>I Fi</t>
        </is>
      </c>
      <c r="K37" s="7" t="inlineStr">
        <is>
          <t>Participations</t>
        </is>
      </c>
      <c r="L37" s="7" t="inlineStr">
        <is>
          <t>Participations</t>
        </is>
      </c>
      <c r="M37" s="7" t="inlineStr">
        <is>
          <t>Actif</t>
        </is>
      </c>
      <c r="N37" s="7" t="inlineStr">
        <is>
          <t>Actif</t>
        </is>
      </c>
    </row>
    <row r="38">
      <c r="B38" s="7" t="inlineStr">
        <is>
          <t>274303</t>
        </is>
      </c>
      <c r="C38" s="8" t="inlineStr">
        <is>
          <t>PRET VINCENT ASSOCIE</t>
        </is>
      </c>
      <c r="D38" s="9" t="n">
        <v>75.611</v>
      </c>
      <c r="E38" s="9" t="n">
        <v>72.59399999999999</v>
      </c>
      <c r="F38" s="9" t="n">
        <v>3.017</v>
      </c>
      <c r="G38" s="10" t="n">
        <v>0.0416</v>
      </c>
      <c r="H38" s="7" t="inlineStr">
        <is>
          <t>I Fi0</t>
        </is>
      </c>
      <c r="J38" s="7" t="inlineStr">
        <is>
          <t>I Fi</t>
        </is>
      </c>
      <c r="K38" s="7" t="inlineStr">
        <is>
          <t>Prêts</t>
        </is>
      </c>
      <c r="L38" s="7" t="inlineStr">
        <is>
          <t>Prêts</t>
        </is>
      </c>
      <c r="M38" s="7" t="inlineStr">
        <is>
          <t>Actif</t>
        </is>
      </c>
      <c r="N38" s="7" t="inlineStr">
        <is>
          <t>Actif</t>
        </is>
      </c>
    </row>
    <row r="39">
      <c r="B39" s="7" t="inlineStr">
        <is>
          <t>274800</t>
        </is>
      </c>
      <c r="C39" s="8" t="inlineStr">
        <is>
          <t>PRET CILOR</t>
        </is>
      </c>
      <c r="D39" s="9" t="n">
        <v>104.093</v>
      </c>
      <c r="E39" s="9" t="n">
        <v>104.093</v>
      </c>
      <c r="F39" s="9" t="n">
        <v>-0</v>
      </c>
      <c r="G39" s="10" t="n">
        <v>-0</v>
      </c>
      <c r="H39" s="7" t="inlineStr">
        <is>
          <t>I Fi0</t>
        </is>
      </c>
      <c r="J39" s="7" t="inlineStr">
        <is>
          <t>I Fi</t>
        </is>
      </c>
      <c r="K39" s="7" t="inlineStr">
        <is>
          <t>Prêts</t>
        </is>
      </c>
      <c r="L39" s="7" t="inlineStr">
        <is>
          <t>Prêts</t>
        </is>
      </c>
      <c r="M39" s="7" t="inlineStr">
        <is>
          <t>Actif</t>
        </is>
      </c>
      <c r="N39" s="7" t="inlineStr">
        <is>
          <t>Actif</t>
        </is>
      </c>
    </row>
    <row r="40">
      <c r="B40" s="7" t="inlineStr">
        <is>
          <t>275000</t>
        </is>
      </c>
      <c r="C40" s="8" t="inlineStr">
        <is>
          <t>DEPOTS ET CAUTIONNEMENTS</t>
        </is>
      </c>
      <c r="D40" s="9" t="n">
        <v>0.804</v>
      </c>
      <c r="E40" s="9" t="n">
        <v>36.684</v>
      </c>
      <c r="F40" s="9" t="n">
        <v>-35.88</v>
      </c>
      <c r="G40" s="10" t="n">
        <v>-0.9781</v>
      </c>
      <c r="H40" s="7" t="inlineStr">
        <is>
          <t>I Fi0</t>
        </is>
      </c>
      <c r="J40" s="7" t="inlineStr">
        <is>
          <t>I Fi</t>
        </is>
      </c>
      <c r="K40" s="7" t="inlineStr">
        <is>
          <t>Dépôts et cautionnements versés</t>
        </is>
      </c>
      <c r="L40" s="7" t="inlineStr">
        <is>
          <t>Dépôts et cautionnements versés</t>
        </is>
      </c>
      <c r="M40" s="7" t="inlineStr">
        <is>
          <t>Actif</t>
        </is>
      </c>
      <c r="N40" s="7" t="inlineStr">
        <is>
          <t>Actif</t>
        </is>
      </c>
    </row>
    <row r="41">
      <c r="B41" s="7" t="inlineStr">
        <is>
          <t>277100</t>
        </is>
      </c>
      <c r="C41" s="8" t="inlineStr">
        <is>
          <t>ACTIONS PROPRES</t>
        </is>
      </c>
      <c r="D41" s="9" t="n">
        <v>435.321</v>
      </c>
      <c r="E41" s="9" t="n">
        <v>435.321</v>
      </c>
      <c r="F41" s="9" t="n">
        <v>0</v>
      </c>
      <c r="G41" s="10" t="n">
        <v>0</v>
      </c>
      <c r="H41" s="7" t="inlineStr">
        <is>
          <t>I Fi0</t>
        </is>
      </c>
      <c r="J41" s="7" t="inlineStr">
        <is>
          <t>I Fi</t>
        </is>
      </c>
      <c r="K41" s="7" t="inlineStr">
        <is>
          <t>Autres créances immobilisées</t>
        </is>
      </c>
      <c r="L41" s="7" t="inlineStr">
        <is>
          <t>Autres créances immobilisées</t>
        </is>
      </c>
      <c r="M41" s="7" t="inlineStr">
        <is>
          <t>Actif</t>
        </is>
      </c>
      <c r="N41" s="7" t="inlineStr">
        <is>
          <t>Actif</t>
        </is>
      </c>
    </row>
    <row r="42">
      <c r="B42" s="7" t="inlineStr">
        <is>
          <t>280800</t>
        </is>
      </c>
      <c r="C42" s="8" t="inlineStr">
        <is>
          <t>AMORTISSEMENTS LOGICIELS INFORMATIQ</t>
        </is>
      </c>
      <c r="D42" s="9" t="n">
        <v>-29.207</v>
      </c>
      <c r="E42" s="9" t="n">
        <v>-29.207</v>
      </c>
      <c r="F42" s="9" t="n">
        <v>-0</v>
      </c>
      <c r="G42" s="10" t="n">
        <v>-0</v>
      </c>
      <c r="H42" s="7" t="inlineStr">
        <is>
          <t>I Incorp0</t>
        </is>
      </c>
      <c r="J42" s="7" t="inlineStr">
        <is>
          <t>I Incorp</t>
        </is>
      </c>
      <c r="K42" s="7" t="inlineStr">
        <is>
          <t>Autres immobilisations incorporelles</t>
        </is>
      </c>
      <c r="L42" s="7" t="inlineStr">
        <is>
          <t>Autres immobilisations incorporelles</t>
        </is>
      </c>
      <c r="M42" s="7" t="inlineStr">
        <is>
          <t>Actif</t>
        </is>
      </c>
      <c r="N42" s="7" t="inlineStr">
        <is>
          <t>Actif</t>
        </is>
      </c>
    </row>
    <row r="43">
      <c r="B43" s="7" t="inlineStr">
        <is>
          <t>281350</t>
        </is>
      </c>
      <c r="C43" s="8" t="inlineStr">
        <is>
          <t>AMORTIS AGENCEMENTS DES CONSTRUCTIO</t>
        </is>
      </c>
      <c r="D43" s="9" t="n">
        <v>-21</v>
      </c>
      <c r="E43" s="9" t="n">
        <v>-21</v>
      </c>
      <c r="F43" s="9" t="n">
        <v>0</v>
      </c>
      <c r="G43" s="10" t="n">
        <v>0</v>
      </c>
      <c r="H43" s="7" t="inlineStr">
        <is>
          <t>I Corp0</t>
        </is>
      </c>
      <c r="J43" s="7" t="inlineStr">
        <is>
          <t>I Corp</t>
        </is>
      </c>
      <c r="K43" s="7" t="inlineStr">
        <is>
          <t>Constructions</t>
        </is>
      </c>
      <c r="L43" s="7" t="inlineStr">
        <is>
          <t>Constructions</t>
        </is>
      </c>
      <c r="M43" s="7" t="inlineStr">
        <is>
          <t>Actif</t>
        </is>
      </c>
      <c r="N43" s="7" t="inlineStr">
        <is>
          <t>Actif</t>
        </is>
      </c>
    </row>
    <row r="44">
      <c r="B44" s="7" t="inlineStr">
        <is>
          <t>281450</t>
        </is>
      </c>
      <c r="C44" s="8" t="inlineStr">
        <is>
          <t>AMORTIS IGAA SUR SOL D' AUTRUI</t>
        </is>
      </c>
      <c r="D44" s="9" t="n">
        <v>-22.983</v>
      </c>
      <c r="E44" s="9" t="n">
        <v>-22.906</v>
      </c>
      <c r="F44" s="9" t="n">
        <v>-0.077</v>
      </c>
      <c r="G44" s="10" t="n">
        <v>-0.0034</v>
      </c>
      <c r="H44" s="7" t="inlineStr">
        <is>
          <t>I Corp0</t>
        </is>
      </c>
      <c r="J44" s="7" t="inlineStr">
        <is>
          <t>I Corp</t>
        </is>
      </c>
      <c r="K44" s="7" t="inlineStr">
        <is>
          <t>Constructions</t>
        </is>
      </c>
      <c r="L44" s="7" t="inlineStr">
        <is>
          <t>Constructions</t>
        </is>
      </c>
      <c r="M44" s="7" t="inlineStr">
        <is>
          <t>Actif</t>
        </is>
      </c>
      <c r="N44" s="7" t="inlineStr">
        <is>
          <t>Actif</t>
        </is>
      </c>
    </row>
    <row r="45">
      <c r="B45" s="7" t="inlineStr">
        <is>
          <t>281540</t>
        </is>
      </c>
      <c r="C45" s="8" t="inlineStr">
        <is>
          <t>AMORTIS DU MATERIEL INDUSTRIEL</t>
        </is>
      </c>
      <c r="D45" s="9" t="n">
        <v>-228.078</v>
      </c>
      <c r="E45" s="9" t="n">
        <v>-143.831</v>
      </c>
      <c r="F45" s="9" t="n">
        <v>-84.247</v>
      </c>
      <c r="G45" s="10" t="n">
        <v>-0.5857</v>
      </c>
      <c r="H45" s="7" t="inlineStr">
        <is>
          <t>I Corp0</t>
        </is>
      </c>
      <c r="J45" s="7" t="inlineStr">
        <is>
          <t>I Corp</t>
        </is>
      </c>
      <c r="K45" s="7" t="inlineStr">
        <is>
          <t>Installations techniques, matériel et outillage industriels</t>
        </is>
      </c>
      <c r="L45" s="7" t="inlineStr">
        <is>
          <t>Installations techniques, matériel et outillage industriels</t>
        </is>
      </c>
      <c r="M45" s="7" t="inlineStr">
        <is>
          <t>Actif</t>
        </is>
      </c>
      <c r="N45" s="7" t="inlineStr">
        <is>
          <t>Actif</t>
        </is>
      </c>
    </row>
    <row r="46">
      <c r="B46" s="7" t="inlineStr">
        <is>
          <t>281550</t>
        </is>
      </c>
      <c r="C46" s="8" t="inlineStr">
        <is>
          <t>AMORTISSEMENTS MOULES ET OUTILLAGES</t>
        </is>
      </c>
      <c r="D46" s="9" t="n">
        <v>-1430.907</v>
      </c>
      <c r="E46" s="9" t="n">
        <v>-1282.462</v>
      </c>
      <c r="F46" s="9" t="n">
        <v>-148.445</v>
      </c>
      <c r="G46" s="10" t="n">
        <v>-0.1158</v>
      </c>
      <c r="H46" s="7" t="inlineStr">
        <is>
          <t>I Corp0</t>
        </is>
      </c>
      <c r="J46" s="7" t="inlineStr">
        <is>
          <t>I Corp</t>
        </is>
      </c>
      <c r="K46" s="7" t="inlineStr">
        <is>
          <t>Installations techniques, matériel et outillage industriels</t>
        </is>
      </c>
      <c r="L46" s="7" t="inlineStr">
        <is>
          <t>Installations techniques, matériel et outillage industriels</t>
        </is>
      </c>
      <c r="M46" s="7" t="inlineStr">
        <is>
          <t>Actif</t>
        </is>
      </c>
      <c r="N46" s="7" t="inlineStr">
        <is>
          <t>Actif</t>
        </is>
      </c>
    </row>
    <row r="47">
      <c r="B47" s="7" t="inlineStr">
        <is>
          <t>281570</t>
        </is>
      </c>
      <c r="C47" s="8" t="inlineStr">
        <is>
          <t>AMORTISSEMENTS AAI MATERIEL OUTILLA</t>
        </is>
      </c>
      <c r="D47" s="9" t="n">
        <v>-20.177</v>
      </c>
      <c r="E47" s="9" t="n">
        <v>-20.177</v>
      </c>
      <c r="F47" s="9" t="n">
        <v>0</v>
      </c>
      <c r="G47" s="10" t="n">
        <v>0</v>
      </c>
      <c r="H47" s="7" t="inlineStr">
        <is>
          <t>I Corp0</t>
        </is>
      </c>
      <c r="J47" s="7" t="inlineStr">
        <is>
          <t>I Corp</t>
        </is>
      </c>
      <c r="K47" s="7" t="inlineStr">
        <is>
          <t>Installations techniques, matériel et outillage industriels</t>
        </is>
      </c>
      <c r="L47" s="7" t="inlineStr">
        <is>
          <t>Installations techniques, matériel et outillage industriels</t>
        </is>
      </c>
      <c r="M47" s="7" t="inlineStr">
        <is>
          <t>Actif</t>
        </is>
      </c>
      <c r="N47" s="7" t="inlineStr">
        <is>
          <t>Actif</t>
        </is>
      </c>
    </row>
    <row r="48">
      <c r="B48" s="7" t="inlineStr">
        <is>
          <t>281810</t>
        </is>
      </c>
      <c r="C48" s="8" t="inlineStr">
        <is>
          <t>AMORTISSEMENTS AGENCEMT AMENAGEMENT</t>
        </is>
      </c>
      <c r="D48" s="9" t="n">
        <v>-10.467</v>
      </c>
      <c r="E48" s="9" t="n">
        <v>-8.840999999999999</v>
      </c>
      <c r="F48" s="9" t="n">
        <v>-1.626</v>
      </c>
      <c r="G48" s="10" t="n">
        <v>-0.1839</v>
      </c>
      <c r="H48" s="7" t="inlineStr">
        <is>
          <t>I Corp0</t>
        </is>
      </c>
      <c r="J48" s="7" t="inlineStr">
        <is>
          <t>I Corp</t>
        </is>
      </c>
      <c r="K48" s="7" t="inlineStr">
        <is>
          <t>Autres immobilisations corporelles</t>
        </is>
      </c>
      <c r="L48" s="7" t="inlineStr">
        <is>
          <t>Autres immobilisations corporelles</t>
        </is>
      </c>
      <c r="M48" s="7" t="inlineStr">
        <is>
          <t>Actif</t>
        </is>
      </c>
      <c r="N48" s="7" t="inlineStr">
        <is>
          <t>Actif</t>
        </is>
      </c>
    </row>
    <row r="49">
      <c r="B49" s="7" t="inlineStr">
        <is>
          <t>281820</t>
        </is>
      </c>
      <c r="C49" s="8" t="inlineStr">
        <is>
          <t>AMORTISSEMENTS MATERIEL MANUT LEVAG</t>
        </is>
      </c>
      <c r="D49" s="9" t="n">
        <v>-153.942</v>
      </c>
      <c r="E49" s="9" t="n">
        <v>-114.175</v>
      </c>
      <c r="F49" s="9" t="n">
        <v>-39.767</v>
      </c>
      <c r="G49" s="10" t="n">
        <v>-0.3483</v>
      </c>
      <c r="H49" s="7" t="inlineStr">
        <is>
          <t>I Corp0</t>
        </is>
      </c>
      <c r="J49" s="7" t="inlineStr">
        <is>
          <t>I Corp</t>
        </is>
      </c>
      <c r="K49" s="7" t="inlineStr">
        <is>
          <t>Autres immobilisations corporelles</t>
        </is>
      </c>
      <c r="L49" s="7" t="inlineStr">
        <is>
          <t>Autres immobilisations corporelles</t>
        </is>
      </c>
      <c r="M49" s="7" t="inlineStr">
        <is>
          <t>Actif</t>
        </is>
      </c>
      <c r="N49" s="7" t="inlineStr">
        <is>
          <t>Actif</t>
        </is>
      </c>
    </row>
    <row r="50">
      <c r="B50" s="7" t="inlineStr">
        <is>
          <t>281830</t>
        </is>
      </c>
      <c r="C50" s="8" t="inlineStr">
        <is>
          <t>AMORTISSEMENTS MATERIEL DE BUREAU</t>
        </is>
      </c>
      <c r="D50" s="9" t="n">
        <v>-15.348</v>
      </c>
      <c r="E50" s="9" t="n">
        <v>-15.348</v>
      </c>
      <c r="F50" s="9" t="n">
        <v>0</v>
      </c>
      <c r="G50" s="10" t="n">
        <v>0</v>
      </c>
      <c r="H50" s="7" t="inlineStr">
        <is>
          <t>I Corp0</t>
        </is>
      </c>
      <c r="J50" s="7" t="inlineStr">
        <is>
          <t>I Corp</t>
        </is>
      </c>
      <c r="K50" s="7" t="inlineStr">
        <is>
          <t>Autres immobilisations corporelles</t>
        </is>
      </c>
      <c r="L50" s="7" t="inlineStr">
        <is>
          <t>Autres immobilisations corporelles</t>
        </is>
      </c>
      <c r="M50" s="7" t="inlineStr">
        <is>
          <t>Actif</t>
        </is>
      </c>
      <c r="N50" s="7" t="inlineStr">
        <is>
          <t>Actif</t>
        </is>
      </c>
    </row>
    <row r="51">
      <c r="B51" s="7" t="inlineStr">
        <is>
          <t>281832</t>
        </is>
      </c>
      <c r="C51" s="8" t="inlineStr">
        <is>
          <t>AMORTISSEMENTS MATERIEL INFORMATIQU</t>
        </is>
      </c>
      <c r="D51" s="9" t="n">
        <v>-81.373</v>
      </c>
      <c r="E51" s="9" t="n">
        <v>-59.421</v>
      </c>
      <c r="F51" s="9" t="n">
        <v>-21.952</v>
      </c>
      <c r="G51" s="10" t="n">
        <v>-0.3694</v>
      </c>
      <c r="H51" s="7" t="inlineStr">
        <is>
          <t>I Corp0</t>
        </is>
      </c>
      <c r="J51" s="7" t="inlineStr">
        <is>
          <t>I Corp</t>
        </is>
      </c>
      <c r="K51" s="7" t="inlineStr">
        <is>
          <t>Autres immobilisations corporelles</t>
        </is>
      </c>
      <c r="L51" s="7" t="inlineStr">
        <is>
          <t>Autres immobilisations corporelles</t>
        </is>
      </c>
      <c r="M51" s="7" t="inlineStr">
        <is>
          <t>Actif</t>
        </is>
      </c>
      <c r="N51" s="7" t="inlineStr">
        <is>
          <t>Actif</t>
        </is>
      </c>
    </row>
    <row r="52">
      <c r="B52" s="7" t="inlineStr">
        <is>
          <t>281840</t>
        </is>
      </c>
      <c r="C52" s="8" t="inlineStr">
        <is>
          <t>AMORTIS DU MOBILIER DE BUREAU</t>
        </is>
      </c>
      <c r="D52" s="9" t="n">
        <v>-11.44</v>
      </c>
      <c r="E52" s="9" t="n">
        <v>-9.246</v>
      </c>
      <c r="F52" s="9" t="n">
        <v>-2.194</v>
      </c>
      <c r="G52" s="10" t="n">
        <v>-0.2373</v>
      </c>
      <c r="H52" s="7" t="inlineStr">
        <is>
          <t>I Corp0</t>
        </is>
      </c>
      <c r="J52" s="7" t="inlineStr">
        <is>
          <t>I Corp</t>
        </is>
      </c>
      <c r="K52" s="7" t="inlineStr">
        <is>
          <t>Autres immobilisations corporelles</t>
        </is>
      </c>
      <c r="L52" s="7" t="inlineStr">
        <is>
          <t>Autres immobilisations corporelles</t>
        </is>
      </c>
      <c r="M52" s="7" t="inlineStr">
        <is>
          <t>Actif</t>
        </is>
      </c>
      <c r="N52" s="7" t="inlineStr">
        <is>
          <t>Actif</t>
        </is>
      </c>
    </row>
    <row r="53">
      <c r="B53" s="7" t="inlineStr">
        <is>
          <t>311000</t>
        </is>
      </c>
      <c r="C53" s="8" t="inlineStr">
        <is>
          <t>STOCK MATIERES PREMIERES ET COLORAN</t>
        </is>
      </c>
      <c r="D53" s="9" t="n">
        <v>1061.277</v>
      </c>
      <c r="E53" s="9" t="n">
        <v>613.4930000000001</v>
      </c>
      <c r="F53" s="9" t="n">
        <v>447.784</v>
      </c>
      <c r="G53" s="10" t="n">
        <v>0.7299</v>
      </c>
      <c r="H53" s="7" t="inlineStr">
        <is>
          <t>S0</t>
        </is>
      </c>
      <c r="J53" s="7" t="inlineStr">
        <is>
          <t>S</t>
        </is>
      </c>
      <c r="K53" s="7" t="inlineStr">
        <is>
          <t>Matières premières et autres approvisionnements</t>
        </is>
      </c>
      <c r="L53" s="7" t="inlineStr">
        <is>
          <t>Matières premières et autres approvisionnements</t>
        </is>
      </c>
      <c r="M53" s="7" t="inlineStr">
        <is>
          <t>Actif</t>
        </is>
      </c>
      <c r="N53" s="7" t="inlineStr">
        <is>
          <t>Actif</t>
        </is>
      </c>
    </row>
    <row r="54">
      <c r="B54" s="7" t="inlineStr">
        <is>
          <t>317000</t>
        </is>
      </c>
      <c r="C54" s="8" t="inlineStr">
        <is>
          <t>STOCK PRODUITS ACHETES</t>
        </is>
      </c>
      <c r="D54" s="9" t="n">
        <v>387.649</v>
      </c>
      <c r="E54" s="9" t="n">
        <v>334.016</v>
      </c>
      <c r="F54" s="9" t="n">
        <v>53.633</v>
      </c>
      <c r="G54" s="10" t="n">
        <v>0.1606</v>
      </c>
      <c r="H54" s="7" t="inlineStr">
        <is>
          <t>S0</t>
        </is>
      </c>
      <c r="J54" s="7" t="inlineStr">
        <is>
          <t>S</t>
        </is>
      </c>
      <c r="K54" s="7" t="inlineStr">
        <is>
          <t>Matières premières et autres approvisionnements</t>
        </is>
      </c>
      <c r="L54" s="7" t="inlineStr">
        <is>
          <t>Matières premières et autres approvisionnements</t>
        </is>
      </c>
      <c r="M54" s="7" t="inlineStr">
        <is>
          <t>Actif</t>
        </is>
      </c>
      <c r="N54" s="7" t="inlineStr">
        <is>
          <t>Actif</t>
        </is>
      </c>
    </row>
    <row r="55">
      <c r="B55" s="7" t="inlineStr">
        <is>
          <t>326100</t>
        </is>
      </c>
      <c r="C55" s="8" t="inlineStr">
        <is>
          <t>STOCK EMBALLAGES FABRICATION</t>
        </is>
      </c>
      <c r="D55" s="9" t="n">
        <v>160.986</v>
      </c>
      <c r="E55" s="9" t="n">
        <v>122.796</v>
      </c>
      <c r="F55" s="9" t="n">
        <v>38.19</v>
      </c>
      <c r="G55" s="10" t="n">
        <v>0.311</v>
      </c>
      <c r="H55" s="7" t="inlineStr">
        <is>
          <t>S0</t>
        </is>
      </c>
      <c r="J55" s="7" t="inlineStr">
        <is>
          <t>S</t>
        </is>
      </c>
      <c r="K55" s="7" t="inlineStr">
        <is>
          <t>Matières premières et autres approvisionnements</t>
        </is>
      </c>
      <c r="L55" s="7" t="inlineStr">
        <is>
          <t>Matières premières et autres approvisionnements</t>
        </is>
      </c>
      <c r="M55" s="7" t="inlineStr">
        <is>
          <t>Actif</t>
        </is>
      </c>
      <c r="N55" s="7" t="inlineStr">
        <is>
          <t>Actif</t>
        </is>
      </c>
    </row>
    <row r="56">
      <c r="B56" s="7" t="inlineStr">
        <is>
          <t>351000</t>
        </is>
      </c>
      <c r="C56" s="8" t="inlineStr">
        <is>
          <t>STOCK PRODUITS INTERMEDIAIRES</t>
        </is>
      </c>
      <c r="D56" s="9" t="n">
        <v>167.044</v>
      </c>
      <c r="E56" s="9" t="n">
        <v>166.399</v>
      </c>
      <c r="F56" s="9" t="n">
        <v>0.645</v>
      </c>
      <c r="G56" s="10" t="n">
        <v>0.0039</v>
      </c>
      <c r="H56" s="7" t="inlineStr">
        <is>
          <t>S0</t>
        </is>
      </c>
      <c r="J56" s="7" t="inlineStr">
        <is>
          <t>S</t>
        </is>
      </c>
      <c r="K56" s="7" t="inlineStr">
        <is>
          <t>Produits intermédiaires et finis</t>
        </is>
      </c>
      <c r="L56" s="7" t="inlineStr">
        <is>
          <t>Produits intermédiaires et finis</t>
        </is>
      </c>
      <c r="M56" s="7" t="inlineStr">
        <is>
          <t>Actif</t>
        </is>
      </c>
      <c r="N56" s="7" t="inlineStr">
        <is>
          <t>Actif</t>
        </is>
      </c>
    </row>
    <row r="57">
      <c r="B57" s="7" t="inlineStr">
        <is>
          <t>355000</t>
        </is>
      </c>
      <c r="C57" s="8" t="inlineStr">
        <is>
          <t>STOCK PRODUITS FINIS</t>
        </is>
      </c>
      <c r="D57" s="9" t="n">
        <v>1178.005</v>
      </c>
      <c r="E57" s="9" t="n">
        <v>1328.571</v>
      </c>
      <c r="F57" s="9" t="n">
        <v>-150.566</v>
      </c>
      <c r="G57" s="10" t="n">
        <v>-0.1133</v>
      </c>
      <c r="H57" s="7" t="inlineStr">
        <is>
          <t>S0</t>
        </is>
      </c>
      <c r="J57" s="7" t="inlineStr">
        <is>
          <t>S</t>
        </is>
      </c>
      <c r="K57" s="7" t="inlineStr">
        <is>
          <t>Produits intermédiaires et finis</t>
        </is>
      </c>
      <c r="L57" s="7" t="inlineStr">
        <is>
          <t>Produits intermédiaires et finis</t>
        </is>
      </c>
      <c r="M57" s="7" t="inlineStr">
        <is>
          <t>Actif</t>
        </is>
      </c>
      <c r="N57" s="7" t="inlineStr">
        <is>
          <t>Actif</t>
        </is>
      </c>
    </row>
    <row r="58">
      <c r="B58" s="7" t="inlineStr">
        <is>
          <t>371000</t>
        </is>
      </c>
      <c r="C58" s="8" t="inlineStr">
        <is>
          <t>STOCK PRODUITS NEGOCE</t>
        </is>
      </c>
      <c r="D58" s="9" t="n">
        <v>540.3099999999999</v>
      </c>
      <c r="E58" s="9" t="n">
        <v>409.37</v>
      </c>
      <c r="F58" s="9" t="n">
        <v>130.94</v>
      </c>
      <c r="G58" s="10" t="n">
        <v>0.3199</v>
      </c>
      <c r="H58" s="7" t="inlineStr">
        <is>
          <t>S0</t>
        </is>
      </c>
      <c r="J58" s="7" t="inlineStr">
        <is>
          <t>S</t>
        </is>
      </c>
      <c r="K58" s="7" t="inlineStr">
        <is>
          <t>Marchandises</t>
        </is>
      </c>
      <c r="L58" s="7" t="inlineStr">
        <is>
          <t>Marchandises</t>
        </is>
      </c>
      <c r="M58" s="7" t="inlineStr">
        <is>
          <t>Actif</t>
        </is>
      </c>
      <c r="N58" s="7" t="inlineStr">
        <is>
          <t>Actif</t>
        </is>
      </c>
    </row>
    <row r="59">
      <c r="B59" s="7" t="inlineStr">
        <is>
          <t>391100</t>
        </is>
      </c>
      <c r="C59" s="8" t="inlineStr">
        <is>
          <t>PROVISION DEPRECIATION MAT PREM &amp; C</t>
        </is>
      </c>
      <c r="D59" s="9" t="n">
        <v>-7.074</v>
      </c>
      <c r="E59" s="9" t="n">
        <v>-4.487</v>
      </c>
      <c r="F59" s="9" t="n">
        <v>-2.587</v>
      </c>
      <c r="G59" s="10" t="n">
        <v>-0.5766</v>
      </c>
      <c r="H59" s="7" t="inlineStr">
        <is>
          <t>S0</t>
        </is>
      </c>
      <c r="J59" s="7" t="inlineStr">
        <is>
          <t>S</t>
        </is>
      </c>
      <c r="K59" s="7" t="inlineStr">
        <is>
          <t>Matières premières et autres approvisionnements</t>
        </is>
      </c>
      <c r="L59" s="7" t="inlineStr">
        <is>
          <t>Matières premières et autres approvisionnements</t>
        </is>
      </c>
      <c r="M59" s="7" t="inlineStr">
        <is>
          <t>Actif</t>
        </is>
      </c>
      <c r="N59" s="7" t="inlineStr">
        <is>
          <t>Actif</t>
        </is>
      </c>
    </row>
    <row r="60">
      <c r="B60" s="7" t="inlineStr">
        <is>
          <t>391700</t>
        </is>
      </c>
      <c r="C60" s="8" t="inlineStr">
        <is>
          <t>PROVISION DEPRECIATION PRODUITS ACH</t>
        </is>
      </c>
      <c r="D60" s="9" t="n">
        <v>-17.653</v>
      </c>
      <c r="E60" s="9" t="n">
        <v>-11.401</v>
      </c>
      <c r="F60" s="9" t="n">
        <v>-6.252</v>
      </c>
      <c r="G60" s="10" t="n">
        <v>-0.5484</v>
      </c>
      <c r="H60" s="7" t="inlineStr">
        <is>
          <t>S0</t>
        </is>
      </c>
      <c r="J60" s="7" t="inlineStr">
        <is>
          <t>S</t>
        </is>
      </c>
      <c r="K60" s="7" t="inlineStr">
        <is>
          <t>Matières premières et autres approvisionnements</t>
        </is>
      </c>
      <c r="L60" s="7" t="inlineStr">
        <is>
          <t>Matières premières et autres approvisionnements</t>
        </is>
      </c>
      <c r="M60" s="7" t="inlineStr">
        <is>
          <t>Actif</t>
        </is>
      </c>
      <c r="N60" s="7" t="inlineStr">
        <is>
          <t>Actif</t>
        </is>
      </c>
    </row>
    <row r="61">
      <c r="B61" s="7" t="inlineStr">
        <is>
          <t>392610</t>
        </is>
      </c>
      <c r="C61" s="8" t="inlineStr">
        <is>
          <t>PROVISION DEPRECIATION EBALLAGES FA</t>
        </is>
      </c>
      <c r="D61" s="9" t="n">
        <v>-2.589</v>
      </c>
      <c r="E61" s="9" t="n">
        <v>-0.181</v>
      </c>
      <c r="F61" s="9" t="n">
        <v>-2.408</v>
      </c>
      <c r="G61" s="10" t="n">
        <v>-13.3186</v>
      </c>
      <c r="H61" s="7" t="inlineStr">
        <is>
          <t>S0</t>
        </is>
      </c>
      <c r="J61" s="7" t="inlineStr">
        <is>
          <t>S</t>
        </is>
      </c>
      <c r="K61" s="7" t="inlineStr">
        <is>
          <t>Matières premières et autres approvisionnements</t>
        </is>
      </c>
      <c r="L61" s="7" t="inlineStr">
        <is>
          <t>Matières premières et autres approvisionnements</t>
        </is>
      </c>
      <c r="M61" s="7" t="inlineStr">
        <is>
          <t>Actif</t>
        </is>
      </c>
      <c r="N61" s="7" t="inlineStr">
        <is>
          <t>Actif</t>
        </is>
      </c>
    </row>
    <row r="62">
      <c r="B62" s="7" t="inlineStr">
        <is>
          <t>395100</t>
        </is>
      </c>
      <c r="C62" s="8" t="inlineStr">
        <is>
          <t>PROVISION DEPRECIATION PROD INTERME</t>
        </is>
      </c>
      <c r="D62" s="9" t="n">
        <v>-2.412</v>
      </c>
      <c r="E62" s="9" t="n">
        <v>-1.204</v>
      </c>
      <c r="F62" s="9" t="n">
        <v>-1.208</v>
      </c>
      <c r="G62" s="10" t="n">
        <v>-1.0037</v>
      </c>
      <c r="H62" s="7" t="inlineStr">
        <is>
          <t>S0</t>
        </is>
      </c>
      <c r="J62" s="7" t="inlineStr">
        <is>
          <t>S</t>
        </is>
      </c>
      <c r="K62" s="7" t="inlineStr">
        <is>
          <t>Produits intermédiaires et finis</t>
        </is>
      </c>
      <c r="L62" s="7" t="inlineStr">
        <is>
          <t>Produits intermédiaires et finis</t>
        </is>
      </c>
      <c r="M62" s="7" t="inlineStr">
        <is>
          <t>Actif</t>
        </is>
      </c>
      <c r="N62" s="7" t="inlineStr">
        <is>
          <t>Actif</t>
        </is>
      </c>
    </row>
    <row r="63">
      <c r="B63" s="7" t="inlineStr">
        <is>
          <t>395500</t>
        </is>
      </c>
      <c r="C63" s="8" t="inlineStr">
        <is>
          <t>PROVISION DEPRECIATION PROD FINIS</t>
        </is>
      </c>
      <c r="D63" s="9" t="n">
        <v>-6.887</v>
      </c>
      <c r="E63" s="9" t="n">
        <v>-8.662000000000001</v>
      </c>
      <c r="F63" s="9" t="n">
        <v>1.775</v>
      </c>
      <c r="G63" s="10" t="n">
        <v>0.2049</v>
      </c>
      <c r="H63" s="7" t="inlineStr">
        <is>
          <t>S0</t>
        </is>
      </c>
      <c r="J63" s="7" t="inlineStr">
        <is>
          <t>S</t>
        </is>
      </c>
      <c r="K63" s="7" t="inlineStr">
        <is>
          <t>Produits intermédiaires et finis</t>
        </is>
      </c>
      <c r="L63" s="7" t="inlineStr">
        <is>
          <t>Produits intermédiaires et finis</t>
        </is>
      </c>
      <c r="M63" s="7" t="inlineStr">
        <is>
          <t>Actif</t>
        </is>
      </c>
      <c r="N63" s="7" t="inlineStr">
        <is>
          <t>Actif</t>
        </is>
      </c>
    </row>
    <row r="64">
      <c r="B64" s="7" t="inlineStr">
        <is>
          <t>397100</t>
        </is>
      </c>
      <c r="C64" s="8" t="inlineStr">
        <is>
          <t>PROVISION DEPRECIATION PRODUITS NEG</t>
        </is>
      </c>
      <c r="D64" s="9" t="n">
        <v>-6.943</v>
      </c>
      <c r="E64" s="9" t="n">
        <v>-4.395</v>
      </c>
      <c r="F64" s="9" t="n">
        <v>-2.548</v>
      </c>
      <c r="G64" s="10" t="n">
        <v>-0.5798</v>
      </c>
      <c r="H64" s="7" t="inlineStr">
        <is>
          <t>S0</t>
        </is>
      </c>
      <c r="J64" s="7" t="inlineStr">
        <is>
          <t>S</t>
        </is>
      </c>
      <c r="K64" s="7" t="inlineStr">
        <is>
          <t>Marchandises</t>
        </is>
      </c>
      <c r="L64" s="7" t="inlineStr">
        <is>
          <t>Marchandises</t>
        </is>
      </c>
      <c r="M64" s="7" t="inlineStr">
        <is>
          <t>Actif</t>
        </is>
      </c>
      <c r="N64" s="7" t="inlineStr">
        <is>
          <t>Actif</t>
        </is>
      </c>
    </row>
    <row r="65">
      <c r="B65" s="7" t="inlineStr">
        <is>
          <t>401000</t>
        </is>
      </c>
      <c r="C65" s="8" t="inlineStr">
        <is>
          <t>FOURNISSEURS</t>
        </is>
      </c>
      <c r="D65" s="9" t="n">
        <v>-512.977</v>
      </c>
      <c r="E65" s="9" t="n">
        <v>-562.178</v>
      </c>
      <c r="F65" s="9" t="n">
        <v>49.201</v>
      </c>
      <c r="G65" s="10" t="n">
        <v>0.08749999999999999</v>
      </c>
      <c r="H65" s="7" t="inlineStr">
        <is>
          <t>A0</t>
        </is>
      </c>
      <c r="J65" s="7" t="inlineStr">
        <is>
          <t>A</t>
        </is>
      </c>
      <c r="K65" s="7" t="inlineStr">
        <is>
          <t>Fournisseurs et comptes rattachés</t>
        </is>
      </c>
      <c r="L65" s="7" t="inlineStr">
        <is>
          <t>Fournisseurs et comptes rattachés</t>
        </is>
      </c>
      <c r="M65" s="7" t="inlineStr">
        <is>
          <t>Passif</t>
        </is>
      </c>
      <c r="N65" s="7" t="inlineStr">
        <is>
          <t>Passif</t>
        </is>
      </c>
    </row>
    <row r="66">
      <c r="B66" s="7" t="inlineStr">
        <is>
          <t>401500</t>
        </is>
      </c>
      <c r="C66" s="8" t="inlineStr">
        <is>
          <t>FOURNISSEURS SPID</t>
        </is>
      </c>
      <c r="D66" s="9" t="n">
        <v>-65.152</v>
      </c>
      <c r="E66" s="9" t="n">
        <v>0</v>
      </c>
      <c r="F66" s="9" t="n">
        <v>-65.152</v>
      </c>
      <c r="G66" s="8" t="inlineStr">
        <is>
          <t>n/a</t>
        </is>
      </c>
      <c r="H66" s="7" t="inlineStr">
        <is>
          <t>A0</t>
        </is>
      </c>
      <c r="J66" s="7" t="inlineStr">
        <is>
          <t>A</t>
        </is>
      </c>
      <c r="K66" s="7" t="inlineStr"/>
      <c r="L66" s="7" t="inlineStr"/>
      <c r="M66" s="7" t="inlineStr">
        <is>
          <t>Passif</t>
        </is>
      </c>
      <c r="N66" s="7" t="inlineStr">
        <is>
          <t>Passif</t>
        </is>
      </c>
    </row>
    <row r="67">
      <c r="B67" s="7" t="inlineStr">
        <is>
          <t>401600</t>
        </is>
      </c>
      <c r="C67" s="8" t="inlineStr">
        <is>
          <t>FOURNISSEURS EPS</t>
        </is>
      </c>
      <c r="D67" s="9" t="n">
        <v>-239.207</v>
      </c>
      <c r="E67" s="9" t="n">
        <v>0</v>
      </c>
      <c r="F67" s="9" t="n">
        <v>-239.207</v>
      </c>
      <c r="G67" s="8" t="inlineStr">
        <is>
          <t>n/a</t>
        </is>
      </c>
      <c r="H67" s="7" t="inlineStr">
        <is>
          <t>A0</t>
        </is>
      </c>
      <c r="J67" s="7" t="inlineStr">
        <is>
          <t>A</t>
        </is>
      </c>
      <c r="K67" s="7" t="inlineStr"/>
      <c r="L67" s="7" t="inlineStr"/>
      <c r="M67" s="7" t="inlineStr">
        <is>
          <t>Passif</t>
        </is>
      </c>
      <c r="N67" s="7" t="inlineStr">
        <is>
          <t>Passif</t>
        </is>
      </c>
    </row>
    <row r="68">
      <c r="B68" s="7" t="inlineStr">
        <is>
          <t>408100</t>
        </is>
      </c>
      <c r="C68" s="8" t="inlineStr">
        <is>
          <t>FOURNISSEURS FACTURES NON PARVENUES</t>
        </is>
      </c>
      <c r="D68" s="9" t="n">
        <v>-533.696</v>
      </c>
      <c r="E68" s="9" t="n">
        <v>-446.607</v>
      </c>
      <c r="F68" s="9" t="n">
        <v>-87.089</v>
      </c>
      <c r="G68" s="10" t="n">
        <v>-0.195</v>
      </c>
      <c r="H68" s="7" t="inlineStr">
        <is>
          <t>A0</t>
        </is>
      </c>
      <c r="J68" s="7" t="inlineStr">
        <is>
          <t>A</t>
        </is>
      </c>
      <c r="K68" s="7" t="inlineStr">
        <is>
          <t>Fournisseurs et comptes rattachés</t>
        </is>
      </c>
      <c r="L68" s="7" t="inlineStr">
        <is>
          <t>Fournisseurs et comptes rattachés</t>
        </is>
      </c>
      <c r="M68" s="7" t="inlineStr">
        <is>
          <t>Passif</t>
        </is>
      </c>
      <c r="N68" s="7" t="inlineStr">
        <is>
          <t>Passif</t>
        </is>
      </c>
    </row>
    <row r="69">
      <c r="B69" s="7" t="inlineStr">
        <is>
          <t>409100</t>
        </is>
      </c>
      <c r="C69" s="8" t="inlineStr">
        <is>
          <t>FOURNISSEURS AVANCES ET ACOMPTES</t>
        </is>
      </c>
      <c r="D69" s="9" t="n">
        <v>0</v>
      </c>
      <c r="E69" s="9" t="n">
        <v>0</v>
      </c>
      <c r="F69" s="9" t="n">
        <v>0</v>
      </c>
      <c r="G69" s="8" t="inlineStr">
        <is>
          <t>n/a</t>
        </is>
      </c>
      <c r="H69" s="7" t="inlineStr">
        <is>
          <t>A0</t>
        </is>
      </c>
      <c r="J69" s="7" t="inlineStr">
        <is>
          <t>A</t>
        </is>
      </c>
      <c r="K69" s="7" t="inlineStr"/>
      <c r="L69" s="7" t="inlineStr"/>
      <c r="M69" s="7" t="inlineStr">
        <is>
          <t>Actif</t>
        </is>
      </c>
      <c r="N69" s="7" t="inlineStr">
        <is>
          <t>Actif</t>
        </is>
      </c>
    </row>
    <row r="70">
      <c r="B70" s="7" t="inlineStr">
        <is>
          <t>411000</t>
        </is>
      </c>
      <c r="C70" s="8" t="inlineStr">
        <is>
          <t>CLIENTS</t>
        </is>
      </c>
      <c r="D70" s="9" t="n">
        <v>1700.429</v>
      </c>
      <c r="E70" s="9" t="n">
        <v>1562.035</v>
      </c>
      <c r="F70" s="9" t="n">
        <v>138.394</v>
      </c>
      <c r="G70" s="10" t="n">
        <v>0.0886</v>
      </c>
      <c r="H70" s="7" t="inlineStr">
        <is>
          <t>V0</t>
        </is>
      </c>
      <c r="J70" s="7" t="inlineStr">
        <is>
          <t>V</t>
        </is>
      </c>
      <c r="K70" s="7" t="inlineStr">
        <is>
          <t>Clients et comptes rattachés</t>
        </is>
      </c>
      <c r="L70" s="7" t="inlineStr">
        <is>
          <t>Clients et comptes rattachés</t>
        </is>
      </c>
      <c r="M70" s="7" t="inlineStr">
        <is>
          <t>Actif</t>
        </is>
      </c>
      <c r="N70" s="7" t="inlineStr">
        <is>
          <t>Actif</t>
        </is>
      </c>
    </row>
    <row r="71">
      <c r="B71" s="7" t="inlineStr">
        <is>
          <t>411500</t>
        </is>
      </c>
      <c r="C71" s="8" t="inlineStr">
        <is>
          <t>CLIENTS SPID</t>
        </is>
      </c>
      <c r="D71" s="9" t="n">
        <v>128.045</v>
      </c>
      <c r="E71" s="9" t="n">
        <v>0</v>
      </c>
      <c r="F71" s="9" t="n">
        <v>128.045</v>
      </c>
      <c r="G71" s="8" t="inlineStr">
        <is>
          <t>n/a</t>
        </is>
      </c>
      <c r="H71" s="7" t="inlineStr">
        <is>
          <t>V0</t>
        </is>
      </c>
      <c r="J71" s="7" t="inlineStr">
        <is>
          <t>V</t>
        </is>
      </c>
      <c r="K71" s="7" t="inlineStr"/>
      <c r="L71" s="7" t="inlineStr"/>
      <c r="M71" s="7" t="inlineStr">
        <is>
          <t>Actif</t>
        </is>
      </c>
      <c r="N71" s="7" t="inlineStr">
        <is>
          <t>Actif</t>
        </is>
      </c>
    </row>
    <row r="72">
      <c r="B72" s="7" t="inlineStr">
        <is>
          <t>411600</t>
        </is>
      </c>
      <c r="C72" s="8" t="inlineStr">
        <is>
          <t>CLIENTS EPS</t>
        </is>
      </c>
      <c r="D72" s="9" t="n">
        <v>-35.881</v>
      </c>
      <c r="E72" s="9" t="n">
        <v>0</v>
      </c>
      <c r="F72" s="9" t="n">
        <v>-35.881</v>
      </c>
      <c r="G72" s="8" t="inlineStr">
        <is>
          <t>n/a</t>
        </is>
      </c>
      <c r="H72" s="7" t="inlineStr">
        <is>
          <t>V0</t>
        </is>
      </c>
      <c r="J72" s="7" t="inlineStr">
        <is>
          <t>V</t>
        </is>
      </c>
      <c r="K72" s="7" t="inlineStr"/>
      <c r="L72" s="7" t="inlineStr"/>
      <c r="M72" s="7" t="inlineStr">
        <is>
          <t>Actif</t>
        </is>
      </c>
      <c r="N72" s="7" t="inlineStr">
        <is>
          <t>Actif</t>
        </is>
      </c>
    </row>
    <row r="73">
      <c r="B73" s="7" t="inlineStr">
        <is>
          <t>413000</t>
        </is>
      </c>
      <c r="C73" s="8" t="inlineStr">
        <is>
          <t>CLIENTS EFFETS EN PORTEFEUILLE</t>
        </is>
      </c>
      <c r="D73" s="9" t="n">
        <v>2.131</v>
      </c>
      <c r="E73" s="9" t="n">
        <v>8.584</v>
      </c>
      <c r="F73" s="9" t="n">
        <v>-6.453</v>
      </c>
      <c r="G73" s="10" t="n">
        <v>-0.7518</v>
      </c>
      <c r="H73" s="7" t="inlineStr">
        <is>
          <t>V0</t>
        </is>
      </c>
      <c r="J73" s="7" t="inlineStr">
        <is>
          <t>V</t>
        </is>
      </c>
      <c r="K73" s="7" t="inlineStr">
        <is>
          <t>Clients et comptes rattachés</t>
        </is>
      </c>
      <c r="L73" s="7" t="inlineStr">
        <is>
          <t>Clients et comptes rattachés</t>
        </is>
      </c>
      <c r="M73" s="7" t="inlineStr">
        <is>
          <t>Actif</t>
        </is>
      </c>
      <c r="N73" s="7" t="inlineStr">
        <is>
          <t>Actif</t>
        </is>
      </c>
    </row>
    <row r="74">
      <c r="B74" s="7" t="inlineStr">
        <is>
          <t>416000</t>
        </is>
      </c>
      <c r="C74" s="8" t="inlineStr">
        <is>
          <t>CLIENTS DOUTEUX</t>
        </is>
      </c>
      <c r="D74" s="9" t="n">
        <v>15.295</v>
      </c>
      <c r="E74" s="9" t="n">
        <v>19.106</v>
      </c>
      <c r="F74" s="9" t="n">
        <v>-3.811</v>
      </c>
      <c r="G74" s="10" t="n">
        <v>-0.1995</v>
      </c>
      <c r="H74" s="7" t="inlineStr">
        <is>
          <t>V0</t>
        </is>
      </c>
      <c r="J74" s="7" t="inlineStr">
        <is>
          <t>V</t>
        </is>
      </c>
      <c r="K74" s="7" t="inlineStr">
        <is>
          <t>Clients et comptes rattachés</t>
        </is>
      </c>
      <c r="L74" s="7" t="inlineStr">
        <is>
          <t>Clients et comptes rattachés</t>
        </is>
      </c>
      <c r="M74" s="7" t="inlineStr">
        <is>
          <t>Actif</t>
        </is>
      </c>
      <c r="N74" s="7" t="inlineStr">
        <is>
          <t>Actif</t>
        </is>
      </c>
    </row>
    <row r="75">
      <c r="B75" s="7" t="inlineStr">
        <is>
          <t>418101</t>
        </is>
      </c>
      <c r="C75" s="8" t="inlineStr">
        <is>
          <t>CLIENTS FAE GROUPE</t>
        </is>
      </c>
      <c r="D75" s="9" t="n">
        <v>492.794</v>
      </c>
      <c r="E75" s="9" t="n">
        <v>255.649</v>
      </c>
      <c r="F75" s="9" t="n">
        <v>237.145</v>
      </c>
      <c r="G75" s="10" t="n">
        <v>0.9276</v>
      </c>
      <c r="H75" s="7" t="inlineStr">
        <is>
          <t>V0</t>
        </is>
      </c>
      <c r="J75" s="7" t="inlineStr">
        <is>
          <t>V</t>
        </is>
      </c>
      <c r="K75" s="7" t="inlineStr">
        <is>
          <t>Clients et comptes rattachés</t>
        </is>
      </c>
      <c r="L75" s="7" t="inlineStr">
        <is>
          <t>Clients et comptes rattachés</t>
        </is>
      </c>
      <c r="M75" s="7" t="inlineStr">
        <is>
          <t>Actif</t>
        </is>
      </c>
      <c r="N75" s="7" t="inlineStr">
        <is>
          <t>Actif</t>
        </is>
      </c>
    </row>
    <row r="76">
      <c r="B76" s="7" t="inlineStr">
        <is>
          <t>421000</t>
        </is>
      </c>
      <c r="C76" s="8" t="inlineStr">
        <is>
          <t>REMUNERATIONS DUES AU PERSONNEL</t>
        </is>
      </c>
      <c r="D76" s="9" t="n">
        <v>-2.404</v>
      </c>
      <c r="E76" s="9" t="n">
        <v>-1.753</v>
      </c>
      <c r="F76" s="9" t="n">
        <v>-0.651</v>
      </c>
      <c r="G76" s="10" t="n">
        <v>-0.3714</v>
      </c>
      <c r="H76" s="7" t="inlineStr">
        <is>
          <t>P0</t>
        </is>
      </c>
      <c r="J76" s="7" t="inlineStr">
        <is>
          <t>P</t>
        </is>
      </c>
      <c r="K76" s="7" t="inlineStr">
        <is>
          <t>Dettes sociales</t>
        </is>
      </c>
      <c r="L76" s="7" t="inlineStr">
        <is>
          <t>Dettes sociales</t>
        </is>
      </c>
      <c r="M76" s="7" t="inlineStr">
        <is>
          <t>Passif</t>
        </is>
      </c>
      <c r="N76" s="7" t="inlineStr">
        <is>
          <t>Passif</t>
        </is>
      </c>
    </row>
    <row r="77">
      <c r="B77" s="7" t="inlineStr">
        <is>
          <t>423100</t>
        </is>
      </c>
      <c r="C77" s="8" t="inlineStr">
        <is>
          <t>NOTES DE FRAIS DES SALARIES</t>
        </is>
      </c>
      <c r="D77" s="9" t="n">
        <v>-7.691</v>
      </c>
      <c r="E77" s="9" t="n">
        <v>-7.667</v>
      </c>
      <c r="F77" s="9" t="n">
        <v>-0.024</v>
      </c>
      <c r="G77" s="10" t="n">
        <v>-0.0031</v>
      </c>
      <c r="H77" s="7" t="inlineStr">
        <is>
          <t>P0</t>
        </is>
      </c>
      <c r="J77" s="7" t="inlineStr">
        <is>
          <t>P</t>
        </is>
      </c>
      <c r="K77" s="7" t="inlineStr">
        <is>
          <t>Dettes sociales</t>
        </is>
      </c>
      <c r="L77" s="7" t="inlineStr">
        <is>
          <t>Dettes sociales</t>
        </is>
      </c>
      <c r="M77" s="7" t="inlineStr">
        <is>
          <t>Passif</t>
        </is>
      </c>
      <c r="N77" s="7" t="inlineStr">
        <is>
          <t>Passif</t>
        </is>
      </c>
    </row>
    <row r="78">
      <c r="B78" s="7" t="inlineStr">
        <is>
          <t>425000</t>
        </is>
      </c>
      <c r="C78" s="8" t="inlineStr">
        <is>
          <t>PERSONNEL AVANCES ET ACOMPTES</t>
        </is>
      </c>
      <c r="D78" s="9" t="n">
        <v>3</v>
      </c>
      <c r="E78" s="9" t="n">
        <v>0</v>
      </c>
      <c r="F78" s="9" t="n">
        <v>3</v>
      </c>
      <c r="G78" s="8" t="inlineStr">
        <is>
          <t>n/a</t>
        </is>
      </c>
      <c r="H78" s="7" t="inlineStr">
        <is>
          <t>P0</t>
        </is>
      </c>
      <c r="J78" s="7" t="inlineStr">
        <is>
          <t>P</t>
        </is>
      </c>
      <c r="K78" s="7" t="inlineStr">
        <is>
          <t>Créances sociales</t>
        </is>
      </c>
      <c r="L78" s="7" t="inlineStr">
        <is>
          <t>Créances sociales</t>
        </is>
      </c>
      <c r="M78" s="7" t="inlineStr">
        <is>
          <t>Actif</t>
        </is>
      </c>
      <c r="N78" s="7" t="inlineStr">
        <is>
          <t>Actif</t>
        </is>
      </c>
    </row>
    <row r="79">
      <c r="B79" s="7" t="inlineStr">
        <is>
          <t>428200</t>
        </is>
      </c>
      <c r="C79" s="8" t="inlineStr">
        <is>
          <t>PROVISIONS POUR CONGES PAYES</t>
        </is>
      </c>
      <c r="D79" s="9" t="n">
        <v>-88.017</v>
      </c>
      <c r="E79" s="9" t="n">
        <v>-88.017</v>
      </c>
      <c r="F79" s="9" t="n">
        <v>0</v>
      </c>
      <c r="G79" s="10" t="n">
        <v>0</v>
      </c>
      <c r="H79" s="7" t="inlineStr">
        <is>
          <t>P0</t>
        </is>
      </c>
      <c r="J79" s="7" t="inlineStr">
        <is>
          <t>P</t>
        </is>
      </c>
      <c r="K79" s="7" t="inlineStr">
        <is>
          <t>Dettes sociales</t>
        </is>
      </c>
      <c r="L79" s="7" t="inlineStr">
        <is>
          <t>Dettes sociales</t>
        </is>
      </c>
      <c r="M79" s="7" t="inlineStr">
        <is>
          <t>Passif</t>
        </is>
      </c>
      <c r="N79" s="7" t="inlineStr">
        <is>
          <t>Passif</t>
        </is>
      </c>
    </row>
    <row r="80">
      <c r="B80" s="7" t="inlineStr">
        <is>
          <t>428210</t>
        </is>
      </c>
      <c r="C80" s="8" t="inlineStr">
        <is>
          <t>PROVISIONS SALAIRE ET PRIME OBJECTI</t>
        </is>
      </c>
      <c r="D80" s="9" t="n">
        <v>0</v>
      </c>
      <c r="E80" s="9" t="n">
        <v>-3.5</v>
      </c>
      <c r="F80" s="9" t="n">
        <v>3.5</v>
      </c>
      <c r="G80" s="10" t="n">
        <v>1</v>
      </c>
      <c r="H80" s="7" t="inlineStr">
        <is>
          <t>P0</t>
        </is>
      </c>
      <c r="J80" s="7" t="inlineStr">
        <is>
          <t>P</t>
        </is>
      </c>
      <c r="K80" s="7" t="inlineStr">
        <is>
          <t>Dettes sociales</t>
        </is>
      </c>
      <c r="L80" s="7" t="inlineStr">
        <is>
          <t>Dettes sociales</t>
        </is>
      </c>
      <c r="M80" s="7" t="inlineStr">
        <is>
          <t>Passif</t>
        </is>
      </c>
      <c r="N80" s="7" t="inlineStr">
        <is>
          <t>Passif</t>
        </is>
      </c>
    </row>
    <row r="81">
      <c r="B81" s="7" t="inlineStr">
        <is>
          <t>428600</t>
        </is>
      </c>
      <c r="C81" s="8" t="inlineStr">
        <is>
          <t>PROVISIONS CHARGES A PAYER</t>
        </is>
      </c>
      <c r="D81" s="9" t="n">
        <v>1.643</v>
      </c>
      <c r="E81" s="9" t="n">
        <v>1.643</v>
      </c>
      <c r="F81" s="9" t="n">
        <v>0</v>
      </c>
      <c r="G81" s="10" t="n">
        <v>0</v>
      </c>
      <c r="H81" s="7" t="inlineStr">
        <is>
          <t>P0</t>
        </is>
      </c>
      <c r="J81" s="7" t="inlineStr">
        <is>
          <t>P</t>
        </is>
      </c>
      <c r="K81" s="7" t="inlineStr">
        <is>
          <t>Créances sociales</t>
        </is>
      </c>
      <c r="L81" s="7" t="inlineStr">
        <is>
          <t>Créances sociales</t>
        </is>
      </c>
      <c r="M81" s="7" t="inlineStr">
        <is>
          <t>Actif</t>
        </is>
      </c>
      <c r="N81" s="7" t="inlineStr">
        <is>
          <t>Actif</t>
        </is>
      </c>
    </row>
    <row r="82">
      <c r="B82" s="7" t="inlineStr">
        <is>
          <t>431000</t>
        </is>
      </c>
      <c r="C82" s="8" t="inlineStr">
        <is>
          <t>CAISSE URSSAF</t>
        </is>
      </c>
      <c r="D82" s="9" t="n">
        <v>-77.672</v>
      </c>
      <c r="E82" s="9" t="n">
        <v>-67.7</v>
      </c>
      <c r="F82" s="9" t="n">
        <v>-9.972</v>
      </c>
      <c r="G82" s="10" t="n">
        <v>-0.1473</v>
      </c>
      <c r="H82" s="7" t="inlineStr">
        <is>
          <t>P0</t>
        </is>
      </c>
      <c r="J82" s="7" t="inlineStr">
        <is>
          <t>P</t>
        </is>
      </c>
      <c r="K82" s="7" t="inlineStr">
        <is>
          <t>Dettes sociales</t>
        </is>
      </c>
      <c r="L82" s="7" t="inlineStr">
        <is>
          <t>Dettes sociales</t>
        </is>
      </c>
      <c r="M82" s="7" t="inlineStr">
        <is>
          <t>Passif</t>
        </is>
      </c>
      <c r="N82" s="7" t="inlineStr">
        <is>
          <t>Passif</t>
        </is>
      </c>
    </row>
    <row r="83">
      <c r="B83" s="7" t="inlineStr">
        <is>
          <t>437000</t>
        </is>
      </c>
      <c r="C83" s="8" t="inlineStr">
        <is>
          <t>CAISSE RETRAITE ARRCO AG2R</t>
        </is>
      </c>
      <c r="D83" s="9" t="n">
        <v>-21.909</v>
      </c>
      <c r="E83" s="9" t="n">
        <v>-19.427</v>
      </c>
      <c r="F83" s="9" t="n">
        <v>-2.482</v>
      </c>
      <c r="G83" s="10" t="n">
        <v>-0.1278</v>
      </c>
      <c r="H83" s="7" t="inlineStr">
        <is>
          <t>P0</t>
        </is>
      </c>
      <c r="J83" s="7" t="inlineStr">
        <is>
          <t>P</t>
        </is>
      </c>
      <c r="K83" s="7" t="inlineStr">
        <is>
          <t>Dettes sociales</t>
        </is>
      </c>
      <c r="L83" s="7" t="inlineStr">
        <is>
          <t>Dettes sociales</t>
        </is>
      </c>
      <c r="M83" s="7" t="inlineStr">
        <is>
          <t>Passif</t>
        </is>
      </c>
      <c r="N83" s="7" t="inlineStr">
        <is>
          <t>Passif</t>
        </is>
      </c>
    </row>
    <row r="84">
      <c r="B84" s="7" t="inlineStr">
        <is>
          <t>437110</t>
        </is>
      </c>
      <c r="C84" s="8" t="inlineStr">
        <is>
          <t>CAISSE PREVOYANCE COGEVIE</t>
        </is>
      </c>
      <c r="D84" s="9" t="n">
        <v>-5.791</v>
      </c>
      <c r="E84" s="9" t="n">
        <v>-9.5</v>
      </c>
      <c r="F84" s="9" t="n">
        <v>3.709</v>
      </c>
      <c r="G84" s="10" t="n">
        <v>0.3904</v>
      </c>
      <c r="H84" s="7" t="inlineStr">
        <is>
          <t>P0</t>
        </is>
      </c>
      <c r="J84" s="7" t="inlineStr">
        <is>
          <t>P</t>
        </is>
      </c>
      <c r="K84" s="7" t="inlineStr">
        <is>
          <t>Dettes sociales</t>
        </is>
      </c>
      <c r="L84" s="7" t="inlineStr">
        <is>
          <t>Dettes sociales</t>
        </is>
      </c>
      <c r="M84" s="7" t="inlineStr">
        <is>
          <t>Passif</t>
        </is>
      </c>
      <c r="N84" s="7" t="inlineStr">
        <is>
          <t>Passif</t>
        </is>
      </c>
    </row>
    <row r="85">
      <c r="B85" s="7" t="inlineStr">
        <is>
          <t>437130</t>
        </is>
      </c>
      <c r="C85" s="8" t="inlineStr">
        <is>
          <t>CAISSE RETRAITE SUPP ARIAL</t>
        </is>
      </c>
      <c r="D85" s="9" t="n">
        <v>-13.866</v>
      </c>
      <c r="E85" s="9" t="n">
        <v>-11.106</v>
      </c>
      <c r="F85" s="9" t="n">
        <v>-2.76</v>
      </c>
      <c r="G85" s="10" t="n">
        <v>-0.2485</v>
      </c>
      <c r="H85" s="7" t="inlineStr">
        <is>
          <t>P0</t>
        </is>
      </c>
      <c r="J85" s="7" t="inlineStr">
        <is>
          <t>P</t>
        </is>
      </c>
      <c r="K85" s="7" t="inlineStr">
        <is>
          <t>Dettes sociales</t>
        </is>
      </c>
      <c r="L85" s="7" t="inlineStr">
        <is>
          <t>Dettes sociales</t>
        </is>
      </c>
      <c r="M85" s="7" t="inlineStr">
        <is>
          <t>Passif</t>
        </is>
      </c>
      <c r="N85" s="7" t="inlineStr">
        <is>
          <t>Passif</t>
        </is>
      </c>
    </row>
    <row r="86">
      <c r="B86" s="7" t="inlineStr">
        <is>
          <t>437140</t>
        </is>
      </c>
      <c r="C86" s="8" t="inlineStr">
        <is>
          <t>MEDECINE DU TRAVAIL</t>
        </is>
      </c>
      <c r="D86" s="9" t="n">
        <v>-11.224</v>
      </c>
      <c r="E86" s="9" t="n">
        <v>-7.543</v>
      </c>
      <c r="F86" s="9" t="n">
        <v>-3.681</v>
      </c>
      <c r="G86" s="10" t="n">
        <v>-0.488</v>
      </c>
      <c r="H86" s="7" t="inlineStr">
        <is>
          <t>P0</t>
        </is>
      </c>
      <c r="J86" s="7" t="inlineStr">
        <is>
          <t>P</t>
        </is>
      </c>
      <c r="K86" s="7" t="inlineStr">
        <is>
          <t>Dettes sociales</t>
        </is>
      </c>
      <c r="L86" s="7" t="inlineStr">
        <is>
          <t>Dettes sociales</t>
        </is>
      </c>
      <c r="M86" s="7" t="inlineStr">
        <is>
          <t>Passif</t>
        </is>
      </c>
      <c r="N86" s="7" t="inlineStr">
        <is>
          <t>Passif</t>
        </is>
      </c>
    </row>
    <row r="87">
      <c r="B87" s="7" t="inlineStr">
        <is>
          <t>437150</t>
        </is>
      </c>
      <c r="C87" s="8" t="inlineStr">
        <is>
          <t>MUTUELLE MALAKOFF</t>
        </is>
      </c>
      <c r="D87" s="9" t="n">
        <v>-23.04</v>
      </c>
      <c r="E87" s="9" t="n">
        <v>-12.908</v>
      </c>
      <c r="F87" s="9" t="n">
        <v>-10.132</v>
      </c>
      <c r="G87" s="10" t="n">
        <v>-0.785</v>
      </c>
      <c r="H87" s="7" t="inlineStr">
        <is>
          <t>P0</t>
        </is>
      </c>
      <c r="J87" s="7" t="inlineStr">
        <is>
          <t>P</t>
        </is>
      </c>
      <c r="K87" s="7" t="inlineStr">
        <is>
          <t>Dettes sociales</t>
        </is>
      </c>
      <c r="L87" s="7" t="inlineStr">
        <is>
          <t>Dettes sociales</t>
        </is>
      </c>
      <c r="M87" s="7" t="inlineStr">
        <is>
          <t>Passif</t>
        </is>
      </c>
      <c r="N87" s="7" t="inlineStr">
        <is>
          <t>Passif</t>
        </is>
      </c>
    </row>
    <row r="88">
      <c r="B88" s="7" t="inlineStr">
        <is>
          <t>437160</t>
        </is>
      </c>
      <c r="C88" s="8" t="inlineStr">
        <is>
          <t>OPCO - TAXE APPRENTISSAGE &amp; CONTRIB</t>
        </is>
      </c>
      <c r="D88" s="9" t="n">
        <v>-8.351000000000001</v>
      </c>
      <c r="E88" s="9" t="n">
        <v>-3.853</v>
      </c>
      <c r="F88" s="9" t="n">
        <v>-4.498</v>
      </c>
      <c r="G88" s="10" t="n">
        <v>-1.1675</v>
      </c>
      <c r="H88" s="7" t="inlineStr">
        <is>
          <t>P0</t>
        </is>
      </c>
      <c r="J88" s="7" t="inlineStr">
        <is>
          <t>P</t>
        </is>
      </c>
      <c r="K88" s="7" t="inlineStr">
        <is>
          <t>Dettes sociales</t>
        </is>
      </c>
      <c r="L88" s="7" t="inlineStr">
        <is>
          <t>Dettes sociales</t>
        </is>
      </c>
      <c r="M88" s="7" t="inlineStr">
        <is>
          <t>Passif</t>
        </is>
      </c>
      <c r="N88" s="7" t="inlineStr">
        <is>
          <t>Passif</t>
        </is>
      </c>
    </row>
    <row r="89">
      <c r="B89" s="7" t="inlineStr">
        <is>
          <t>438200</t>
        </is>
      </c>
      <c r="C89" s="8" t="inlineStr">
        <is>
          <t>PROVISIONS CHA SOC SUR CP</t>
        </is>
      </c>
      <c r="D89" s="9" t="n">
        <v>-39.956</v>
      </c>
      <c r="E89" s="9" t="n">
        <v>-39.956</v>
      </c>
      <c r="F89" s="9" t="n">
        <v>0</v>
      </c>
      <c r="G89" s="10" t="n">
        <v>0</v>
      </c>
      <c r="H89" s="7" t="inlineStr">
        <is>
          <t>P0</t>
        </is>
      </c>
      <c r="J89" s="7" t="inlineStr">
        <is>
          <t>P</t>
        </is>
      </c>
      <c r="K89" s="7" t="inlineStr">
        <is>
          <t>Dettes sociales</t>
        </is>
      </c>
      <c r="L89" s="7" t="inlineStr">
        <is>
          <t>Dettes sociales</t>
        </is>
      </c>
      <c r="M89" s="7" t="inlineStr">
        <is>
          <t>Passif</t>
        </is>
      </c>
      <c r="N89" s="7" t="inlineStr">
        <is>
          <t>Passif</t>
        </is>
      </c>
    </row>
    <row r="90">
      <c r="B90" s="7" t="inlineStr">
        <is>
          <t>438610</t>
        </is>
      </c>
      <c r="C90" s="8" t="inlineStr">
        <is>
          <t>PROVISIONS CHA SOC SUR PRIMES</t>
        </is>
      </c>
      <c r="D90" s="9" t="n">
        <v>0</v>
      </c>
      <c r="E90" s="9" t="n">
        <v>-1.4</v>
      </c>
      <c r="F90" s="9" t="n">
        <v>1.4</v>
      </c>
      <c r="G90" s="10" t="n">
        <v>1</v>
      </c>
      <c r="H90" s="7" t="inlineStr">
        <is>
          <t>P0</t>
        </is>
      </c>
      <c r="J90" s="7" t="inlineStr">
        <is>
          <t>P</t>
        </is>
      </c>
      <c r="K90" s="7" t="inlineStr">
        <is>
          <t>Dettes sociales</t>
        </is>
      </c>
      <c r="L90" s="7" t="inlineStr">
        <is>
          <t>Dettes sociales</t>
        </is>
      </c>
      <c r="M90" s="7" t="inlineStr">
        <is>
          <t>Passif</t>
        </is>
      </c>
      <c r="N90" s="7" t="inlineStr">
        <is>
          <t>Passif</t>
        </is>
      </c>
    </row>
    <row r="91">
      <c r="B91" s="7" t="inlineStr">
        <is>
          <t>438700</t>
        </is>
      </c>
      <c r="C91" s="8" t="inlineStr">
        <is>
          <t>ORGANISMES PRODUITS A RECEVOIR</t>
        </is>
      </c>
      <c r="D91" s="9" t="n">
        <v>8.638</v>
      </c>
      <c r="E91" s="9" t="n">
        <v>17.231</v>
      </c>
      <c r="F91" s="9" t="n">
        <v>-8.593</v>
      </c>
      <c r="G91" s="10" t="n">
        <v>-0.4987</v>
      </c>
      <c r="H91" s="7" t="inlineStr">
        <is>
          <t>P0</t>
        </is>
      </c>
      <c r="J91" s="7" t="inlineStr">
        <is>
          <t>P</t>
        </is>
      </c>
      <c r="K91" s="7" t="inlineStr">
        <is>
          <t>Créances sociales</t>
        </is>
      </c>
      <c r="L91" s="7" t="inlineStr">
        <is>
          <t>Créances sociales</t>
        </is>
      </c>
      <c r="M91" s="7" t="inlineStr">
        <is>
          <t>Actif</t>
        </is>
      </c>
      <c r="N91" s="7" t="inlineStr">
        <is>
          <t>Actif</t>
        </is>
      </c>
    </row>
    <row r="92">
      <c r="B92" s="7" t="inlineStr">
        <is>
          <t>442100</t>
        </is>
      </c>
      <c r="C92" s="8" t="inlineStr">
        <is>
          <t>PRELEVEMENT A LA SOURCE</t>
        </is>
      </c>
      <c r="D92" s="9" t="n">
        <v>-9.851000000000001</v>
      </c>
      <c r="E92" s="9" t="n">
        <v>-9.612</v>
      </c>
      <c r="F92" s="9" t="n">
        <v>-0.239</v>
      </c>
      <c r="G92" s="10" t="n">
        <v>-0.0249</v>
      </c>
      <c r="H92" s="7" t="inlineStr">
        <is>
          <t>E0</t>
        </is>
      </c>
      <c r="J92" s="7" t="inlineStr">
        <is>
          <t>E</t>
        </is>
      </c>
      <c r="K92" s="7" t="inlineStr">
        <is>
          <t>Dettes fiscales</t>
        </is>
      </c>
      <c r="L92" s="7" t="inlineStr">
        <is>
          <t>Dettes fiscales</t>
        </is>
      </c>
      <c r="M92" s="7" t="inlineStr">
        <is>
          <t>Passif</t>
        </is>
      </c>
      <c r="N92" s="7" t="inlineStr">
        <is>
          <t>Passif</t>
        </is>
      </c>
    </row>
    <row r="93">
      <c r="B93" s="7" t="inlineStr">
        <is>
          <t>444000</t>
        </is>
      </c>
      <c r="C93" s="8" t="inlineStr">
        <is>
          <t>ETAT IMPOT SUR LES BENEFICES</t>
        </is>
      </c>
      <c r="D93" s="9" t="n">
        <v>761.204</v>
      </c>
      <c r="E93" s="9" t="n">
        <v>597.479</v>
      </c>
      <c r="F93" s="9" t="n">
        <v>163.725</v>
      </c>
      <c r="G93" s="10" t="n">
        <v>0.274</v>
      </c>
      <c r="H93" s="7" t="inlineStr">
        <is>
          <t>E0</t>
        </is>
      </c>
      <c r="J93" s="7" t="inlineStr">
        <is>
          <t>E</t>
        </is>
      </c>
      <c r="K93" s="7" t="inlineStr">
        <is>
          <t>Créances fiscales</t>
        </is>
      </c>
      <c r="L93" s="7" t="inlineStr">
        <is>
          <t>Créances fiscales</t>
        </is>
      </c>
      <c r="M93" s="7" t="inlineStr">
        <is>
          <t>Actif</t>
        </is>
      </c>
      <c r="N93" s="7" t="inlineStr">
        <is>
          <t>Actif</t>
        </is>
      </c>
    </row>
    <row r="94">
      <c r="B94" s="7" t="inlineStr">
        <is>
          <t>445500</t>
        </is>
      </c>
      <c r="C94" s="8" t="inlineStr">
        <is>
          <t>TVA DUE</t>
        </is>
      </c>
      <c r="D94" s="9" t="n">
        <v>-62.769</v>
      </c>
      <c r="E94" s="9" t="n">
        <v>-50.853</v>
      </c>
      <c r="F94" s="9" t="n">
        <v>-11.916</v>
      </c>
      <c r="G94" s="10" t="n">
        <v>-0.2343</v>
      </c>
      <c r="H94" s="7" t="inlineStr">
        <is>
          <t>E0</t>
        </is>
      </c>
      <c r="J94" s="7" t="inlineStr">
        <is>
          <t>E</t>
        </is>
      </c>
      <c r="K94" s="7" t="inlineStr">
        <is>
          <t>Dettes fiscales</t>
        </is>
      </c>
      <c r="L94" s="7" t="inlineStr">
        <is>
          <t>Dettes fiscales</t>
        </is>
      </c>
      <c r="M94" s="7" t="inlineStr">
        <is>
          <t>Passif</t>
        </is>
      </c>
      <c r="N94" s="7" t="inlineStr">
        <is>
          <t>Passif</t>
        </is>
      </c>
    </row>
    <row r="95">
      <c r="B95" s="7" t="inlineStr">
        <is>
          <t>445620</t>
        </is>
      </c>
      <c r="C95" s="8" t="inlineStr">
        <is>
          <t>TVA DED SUR IMMOBILISATION 20.0%</t>
        </is>
      </c>
      <c r="D95" s="9" t="n">
        <v>0</v>
      </c>
      <c r="E95" s="9" t="n">
        <v>-0.007</v>
      </c>
      <c r="F95" s="9" t="n">
        <v>0.007</v>
      </c>
      <c r="G95" s="10" t="n">
        <v>1.0495</v>
      </c>
      <c r="H95" s="7" t="inlineStr">
        <is>
          <t>E0</t>
        </is>
      </c>
      <c r="J95" s="7" t="inlineStr">
        <is>
          <t>E</t>
        </is>
      </c>
      <c r="K95" s="7" t="inlineStr">
        <is>
          <t>Dettes fiscales</t>
        </is>
      </c>
      <c r="L95" s="7" t="inlineStr">
        <is>
          <t>Dettes fiscales</t>
        </is>
      </c>
      <c r="M95" s="7" t="inlineStr">
        <is>
          <t>Passif</t>
        </is>
      </c>
      <c r="N95" s="7" t="inlineStr">
        <is>
          <t>Passif</t>
        </is>
      </c>
    </row>
    <row r="96">
      <c r="B96" s="7" t="inlineStr">
        <is>
          <t>445661</t>
        </is>
      </c>
      <c r="C96" s="8" t="inlineStr">
        <is>
          <t>TVA DED SUR BIENS-SERVICES 5.50%</t>
        </is>
      </c>
      <c r="D96" s="9" t="n">
        <v>0</v>
      </c>
      <c r="E96" s="9" t="n">
        <v>0</v>
      </c>
      <c r="F96" s="9" t="n">
        <v>0</v>
      </c>
      <c r="G96" s="8" t="inlineStr">
        <is>
          <t>n/a</t>
        </is>
      </c>
      <c r="H96" s="7" t="inlineStr">
        <is>
          <t>E0</t>
        </is>
      </c>
      <c r="J96" s="7" t="inlineStr">
        <is>
          <t>E</t>
        </is>
      </c>
      <c r="K96" s="7" t="inlineStr"/>
      <c r="L96" s="7" t="inlineStr"/>
      <c r="M96" s="7" t="inlineStr">
        <is>
          <t>Passif</t>
        </is>
      </c>
      <c r="N96" s="7" t="inlineStr">
        <is>
          <t>Passif</t>
        </is>
      </c>
    </row>
    <row r="97">
      <c r="B97" s="7" t="inlineStr">
        <is>
          <t>445665</t>
        </is>
      </c>
      <c r="C97" s="8" t="inlineStr">
        <is>
          <t>TVA DED INTRACOMMUNAUTAIRE</t>
        </is>
      </c>
      <c r="D97" s="9" t="n">
        <v>-0</v>
      </c>
      <c r="E97" s="9" t="n">
        <v>0</v>
      </c>
      <c r="F97" s="9" t="n">
        <v>-0</v>
      </c>
      <c r="G97" s="8" t="inlineStr">
        <is>
          <t>n/a</t>
        </is>
      </c>
      <c r="H97" s="7" t="inlineStr">
        <is>
          <t>E0</t>
        </is>
      </c>
      <c r="J97" s="7" t="inlineStr">
        <is>
          <t>E</t>
        </is>
      </c>
      <c r="K97" s="7" t="inlineStr">
        <is>
          <t>Créances fiscales</t>
        </is>
      </c>
      <c r="L97" s="7" t="inlineStr">
        <is>
          <t>Créances fiscales</t>
        </is>
      </c>
      <c r="M97" s="7" t="inlineStr">
        <is>
          <t>Actif</t>
        </is>
      </c>
      <c r="N97" s="7" t="inlineStr">
        <is>
          <t>Actif</t>
        </is>
      </c>
    </row>
    <row r="98">
      <c r="B98" s="7" t="inlineStr">
        <is>
          <t>445667</t>
        </is>
      </c>
      <c r="C98" s="8" t="inlineStr">
        <is>
          <t>TVA DED IMPORTATION AUTOLIQUIDATION</t>
        </is>
      </c>
      <c r="D98" s="9" t="n">
        <v>0</v>
      </c>
      <c r="E98" s="9" t="n">
        <v>0</v>
      </c>
      <c r="F98" s="9" t="n">
        <v>0</v>
      </c>
      <c r="G98" s="8" t="inlineStr">
        <is>
          <t>n/a</t>
        </is>
      </c>
      <c r="H98" s="7" t="inlineStr">
        <is>
          <t>E0</t>
        </is>
      </c>
      <c r="J98" s="7" t="inlineStr">
        <is>
          <t>E</t>
        </is>
      </c>
      <c r="K98" s="7" t="inlineStr">
        <is>
          <t>Créances fiscales</t>
        </is>
      </c>
      <c r="L98" s="7" t="inlineStr">
        <is>
          <t>Créances fiscales</t>
        </is>
      </c>
      <c r="M98" s="7" t="inlineStr">
        <is>
          <t>Actif</t>
        </is>
      </c>
      <c r="N98" s="7" t="inlineStr">
        <is>
          <t>Actif</t>
        </is>
      </c>
    </row>
    <row r="99">
      <c r="B99" s="7" t="inlineStr">
        <is>
          <t>445668</t>
        </is>
      </c>
      <c r="C99" s="8" t="inlineStr">
        <is>
          <t>TVA DED SUR BIENS-SERVICES 20.0%</t>
        </is>
      </c>
      <c r="D99" s="9" t="n">
        <v>0.054</v>
      </c>
      <c r="E99" s="9" t="n">
        <v>0.018</v>
      </c>
      <c r="F99" s="9" t="n">
        <v>0.036</v>
      </c>
      <c r="G99" s="10" t="n">
        <v>2.0045</v>
      </c>
      <c r="H99" s="7" t="inlineStr">
        <is>
          <t>E0</t>
        </is>
      </c>
      <c r="J99" s="7" t="inlineStr">
        <is>
          <t>E</t>
        </is>
      </c>
      <c r="K99" s="7" t="inlineStr">
        <is>
          <t>Créances fiscales</t>
        </is>
      </c>
      <c r="L99" s="7" t="inlineStr">
        <is>
          <t>Créances fiscales</t>
        </is>
      </c>
      <c r="M99" s="7" t="inlineStr">
        <is>
          <t>Actif</t>
        </is>
      </c>
      <c r="N99" s="7" t="inlineStr">
        <is>
          <t>Actif</t>
        </is>
      </c>
    </row>
    <row r="100">
      <c r="B100" s="7" t="inlineStr">
        <is>
          <t>445670</t>
        </is>
      </c>
      <c r="C100" s="8" t="inlineStr">
        <is>
          <t>CREDIT DE TVA</t>
        </is>
      </c>
      <c r="D100" s="9" t="n">
        <v>0</v>
      </c>
      <c r="E100" s="9" t="n">
        <v>0</v>
      </c>
      <c r="F100" s="9" t="n">
        <v>0</v>
      </c>
      <c r="G100" s="8" t="inlineStr">
        <is>
          <t>n/a</t>
        </is>
      </c>
      <c r="H100" s="7" t="inlineStr">
        <is>
          <t>E0</t>
        </is>
      </c>
      <c r="J100" s="7" t="inlineStr">
        <is>
          <t>E</t>
        </is>
      </c>
      <c r="K100" s="7" t="inlineStr">
        <is>
          <t>Créances fiscales</t>
        </is>
      </c>
      <c r="L100" s="7" t="inlineStr">
        <is>
          <t>Créances fiscales</t>
        </is>
      </c>
      <c r="M100" s="7" t="inlineStr">
        <is>
          <t>Actif</t>
        </is>
      </c>
      <c r="N100" s="7" t="inlineStr">
        <is>
          <t>Actif</t>
        </is>
      </c>
    </row>
    <row r="101">
      <c r="B101" s="7" t="inlineStr">
        <is>
          <t>445671</t>
        </is>
      </c>
      <c r="C101" s="8" t="inlineStr">
        <is>
          <t>TVA DED SUR DECAISSEMENTS 20.0%</t>
        </is>
      </c>
      <c r="D101" s="9" t="n">
        <v>15.862</v>
      </c>
      <c r="E101" s="9" t="n">
        <v>29.411</v>
      </c>
      <c r="F101" s="9" t="n">
        <v>-13.549</v>
      </c>
      <c r="G101" s="10" t="n">
        <v>-0.4607</v>
      </c>
      <c r="H101" s="7" t="inlineStr">
        <is>
          <t>E0</t>
        </is>
      </c>
      <c r="J101" s="7" t="inlineStr">
        <is>
          <t>E</t>
        </is>
      </c>
      <c r="K101" s="7" t="inlineStr">
        <is>
          <t>Créances fiscales</t>
        </is>
      </c>
      <c r="L101" s="7" t="inlineStr">
        <is>
          <t>Créances fiscales</t>
        </is>
      </c>
      <c r="M101" s="7" t="inlineStr">
        <is>
          <t>Actif</t>
        </is>
      </c>
      <c r="N101" s="7" t="inlineStr">
        <is>
          <t>Actif</t>
        </is>
      </c>
    </row>
    <row r="102">
      <c r="B102" s="7" t="inlineStr">
        <is>
          <t>445712</t>
        </is>
      </c>
      <c r="C102" s="8" t="inlineStr">
        <is>
          <t>TVA COLLECTEE INTRACOMMUNAUTAIRE</t>
        </is>
      </c>
      <c r="D102" s="9" t="n">
        <v>0</v>
      </c>
      <c r="E102" s="9" t="n">
        <v>0</v>
      </c>
      <c r="F102" s="9" t="n">
        <v>0</v>
      </c>
      <c r="G102" s="8" t="inlineStr">
        <is>
          <t>n/a</t>
        </is>
      </c>
      <c r="H102" s="7" t="inlineStr">
        <is>
          <t>E0</t>
        </is>
      </c>
      <c r="J102" s="7" t="inlineStr">
        <is>
          <t>E</t>
        </is>
      </c>
      <c r="K102" s="7" t="inlineStr">
        <is>
          <t>Créances fiscales</t>
        </is>
      </c>
      <c r="L102" s="7" t="inlineStr">
        <is>
          <t>Créances fiscales</t>
        </is>
      </c>
      <c r="M102" s="7" t="inlineStr">
        <is>
          <t>Actif</t>
        </is>
      </c>
      <c r="N102" s="7" t="inlineStr">
        <is>
          <t>Actif</t>
        </is>
      </c>
    </row>
    <row r="103">
      <c r="B103" s="7" t="inlineStr">
        <is>
          <t>445713</t>
        </is>
      </c>
      <c r="C103" s="8" t="inlineStr">
        <is>
          <t>TVA COLL SUR IMPORTATION AUTOLIQUID</t>
        </is>
      </c>
      <c r="D103" s="9" t="n">
        <v>0</v>
      </c>
      <c r="E103" s="9" t="n">
        <v>0</v>
      </c>
      <c r="F103" s="9" t="n">
        <v>0</v>
      </c>
      <c r="G103" s="8" t="inlineStr">
        <is>
          <t>n/a</t>
        </is>
      </c>
      <c r="H103" s="7" t="inlineStr">
        <is>
          <t>E0</t>
        </is>
      </c>
      <c r="J103" s="7" t="inlineStr">
        <is>
          <t>E</t>
        </is>
      </c>
      <c r="K103" s="7" t="inlineStr">
        <is>
          <t>Créances fiscales</t>
        </is>
      </c>
      <c r="L103" s="7" t="inlineStr">
        <is>
          <t>Créances fiscales</t>
        </is>
      </c>
      <c r="M103" s="7" t="inlineStr">
        <is>
          <t>Actif</t>
        </is>
      </c>
      <c r="N103" s="7" t="inlineStr">
        <is>
          <t>Actif</t>
        </is>
      </c>
    </row>
    <row r="104">
      <c r="B104" s="7" t="inlineStr">
        <is>
          <t>445715</t>
        </is>
      </c>
      <c r="C104" s="8" t="inlineStr">
        <is>
          <t>TVA COLLECTEE SUR FACTURES 20%</t>
        </is>
      </c>
      <c r="D104" s="9" t="n">
        <v>-37.179</v>
      </c>
      <c r="E104" s="9" t="n">
        <v>0</v>
      </c>
      <c r="F104" s="9" t="n">
        <v>-37.179</v>
      </c>
      <c r="G104" s="8" t="inlineStr">
        <is>
          <t>n/a</t>
        </is>
      </c>
      <c r="H104" s="7" t="inlineStr">
        <is>
          <t>E0</t>
        </is>
      </c>
      <c r="J104" s="7" t="inlineStr">
        <is>
          <t>E</t>
        </is>
      </c>
      <c r="K104" s="7" t="inlineStr">
        <is>
          <t>Créances fiscales</t>
        </is>
      </c>
      <c r="L104" s="7" t="inlineStr">
        <is>
          <t>Créances fiscales</t>
        </is>
      </c>
      <c r="M104" s="7" t="inlineStr">
        <is>
          <t>Actif</t>
        </is>
      </c>
      <c r="N104" s="7" t="inlineStr">
        <is>
          <t>Actif</t>
        </is>
      </c>
    </row>
    <row r="105">
      <c r="B105" s="7" t="inlineStr">
        <is>
          <t>448600</t>
        </is>
      </c>
      <c r="C105" s="8" t="inlineStr">
        <is>
          <t>ETAT CHARGES A PAYER</t>
        </is>
      </c>
      <c r="D105" s="9" t="n">
        <v>-2</v>
      </c>
      <c r="E105" s="9" t="n">
        <v>-1.546</v>
      </c>
      <c r="F105" s="9" t="n">
        <v>-0.454</v>
      </c>
      <c r="G105" s="10" t="n">
        <v>-0.2937</v>
      </c>
      <c r="H105" s="7" t="inlineStr">
        <is>
          <t>E0</t>
        </is>
      </c>
      <c r="J105" s="7" t="inlineStr">
        <is>
          <t>E</t>
        </is>
      </c>
      <c r="K105" s="7" t="inlineStr">
        <is>
          <t>Dettes fiscales</t>
        </is>
      </c>
      <c r="L105" s="7" t="inlineStr">
        <is>
          <t>Dettes fiscales</t>
        </is>
      </c>
      <c r="M105" s="7" t="inlineStr">
        <is>
          <t>Passif</t>
        </is>
      </c>
      <c r="N105" s="7" t="inlineStr">
        <is>
          <t>Passif</t>
        </is>
      </c>
    </row>
    <row r="106">
      <c r="B106" s="7" t="inlineStr">
        <is>
          <t>448602</t>
        </is>
      </c>
      <c r="C106" s="8" t="inlineStr">
        <is>
          <t>PROVISION TAXE APPRENTISSAGE</t>
        </is>
      </c>
      <c r="D106" s="9" t="n">
        <v>-1.189</v>
      </c>
      <c r="E106" s="9" t="n">
        <v>0</v>
      </c>
      <c r="F106" s="9" t="n">
        <v>-1.189</v>
      </c>
      <c r="G106" s="8" t="inlineStr">
        <is>
          <t>n/a</t>
        </is>
      </c>
      <c r="H106" s="7" t="inlineStr">
        <is>
          <t>E0</t>
        </is>
      </c>
      <c r="J106" s="7" t="inlineStr">
        <is>
          <t>E</t>
        </is>
      </c>
      <c r="K106" s="7" t="inlineStr">
        <is>
          <t>Créances fiscales</t>
        </is>
      </c>
      <c r="L106" s="7" t="inlineStr">
        <is>
          <t>Créances fiscales</t>
        </is>
      </c>
      <c r="M106" s="7" t="inlineStr">
        <is>
          <t>Actif</t>
        </is>
      </c>
      <c r="N106" s="7" t="inlineStr">
        <is>
          <t>Actif</t>
        </is>
      </c>
    </row>
    <row r="107">
      <c r="B107" s="7" t="inlineStr">
        <is>
          <t>451020</t>
        </is>
      </c>
      <c r="C107" s="8" t="inlineStr">
        <is>
          <t>C/C MIAM</t>
        </is>
      </c>
      <c r="D107" s="9" t="n">
        <v>-3172.836</v>
      </c>
      <c r="E107" s="9" t="n">
        <v>-1716.526</v>
      </c>
      <c r="F107" s="9" t="n">
        <v>-1456.31</v>
      </c>
      <c r="G107" s="10" t="n">
        <v>-0.8484</v>
      </c>
      <c r="H107" s="7" t="inlineStr">
        <is>
          <t>F0</t>
        </is>
      </c>
      <c r="J107" s="7" t="inlineStr">
        <is>
          <t>F</t>
        </is>
      </c>
      <c r="K107" s="7" t="inlineStr">
        <is>
          <t>Emprunts et dettes financières</t>
        </is>
      </c>
      <c r="L107" s="7" t="inlineStr">
        <is>
          <t>Emprunts et dettes financières</t>
        </is>
      </c>
      <c r="M107" s="7" t="inlineStr">
        <is>
          <t>Passif</t>
        </is>
      </c>
      <c r="N107" s="7" t="inlineStr">
        <is>
          <t>Passif</t>
        </is>
      </c>
    </row>
    <row r="108">
      <c r="B108" s="7" t="inlineStr">
        <is>
          <t>451030</t>
        </is>
      </c>
      <c r="C108" s="8" t="inlineStr">
        <is>
          <t>C/C SPID</t>
        </is>
      </c>
      <c r="D108" s="9" t="n">
        <v>160.81</v>
      </c>
      <c r="E108" s="9" t="n">
        <v>-132.589</v>
      </c>
      <c r="F108" s="9" t="n">
        <v>293.399</v>
      </c>
      <c r="G108" s="10" t="n">
        <v>2.2128</v>
      </c>
      <c r="H108" s="7" t="inlineStr">
        <is>
          <t>F0</t>
        </is>
      </c>
      <c r="J108" s="7" t="inlineStr">
        <is>
          <t>F</t>
        </is>
      </c>
      <c r="K108" s="7" t="inlineStr">
        <is>
          <t>Emprunts et dettes financières</t>
        </is>
      </c>
      <c r="L108" s="7" t="inlineStr">
        <is>
          <t>Emprunts et dettes financières</t>
        </is>
      </c>
      <c r="M108" s="7" t="inlineStr">
        <is>
          <t>Passif</t>
        </is>
      </c>
      <c r="N108" s="7" t="inlineStr">
        <is>
          <t>Passif</t>
        </is>
      </c>
    </row>
    <row r="109">
      <c r="B109" s="7" t="inlineStr">
        <is>
          <t>451040</t>
        </is>
      </c>
      <c r="C109" s="8" t="inlineStr">
        <is>
          <t>C/C EPS</t>
        </is>
      </c>
      <c r="D109" s="9" t="n">
        <v>71.73999999999999</v>
      </c>
      <c r="E109" s="9" t="n">
        <v>-138.562</v>
      </c>
      <c r="F109" s="9" t="n">
        <v>210.302</v>
      </c>
      <c r="G109" s="10" t="n">
        <v>1.5178</v>
      </c>
      <c r="H109" s="7" t="inlineStr">
        <is>
          <t>F0</t>
        </is>
      </c>
      <c r="J109" s="7" t="inlineStr">
        <is>
          <t>F</t>
        </is>
      </c>
      <c r="K109" s="7" t="inlineStr">
        <is>
          <t>Emprunts et dettes financières</t>
        </is>
      </c>
      <c r="L109" s="7" t="inlineStr">
        <is>
          <t>Emprunts et dettes financières</t>
        </is>
      </c>
      <c r="M109" s="7" t="inlineStr">
        <is>
          <t>Passif</t>
        </is>
      </c>
      <c r="N109" s="7" t="inlineStr">
        <is>
          <t>Passif</t>
        </is>
      </c>
    </row>
    <row r="110">
      <c r="B110" s="7" t="inlineStr">
        <is>
          <t>451050</t>
        </is>
      </c>
      <c r="C110" s="8" t="inlineStr">
        <is>
          <t>C/C SBPC</t>
        </is>
      </c>
      <c r="D110" s="9" t="n">
        <v>330.084</v>
      </c>
      <c r="E110" s="9" t="n">
        <v>310.806</v>
      </c>
      <c r="F110" s="9" t="n">
        <v>19.278</v>
      </c>
      <c r="G110" s="10" t="n">
        <v>0.062</v>
      </c>
      <c r="H110" s="7" t="inlineStr">
        <is>
          <t>F0</t>
        </is>
      </c>
      <c r="J110" s="7" t="inlineStr">
        <is>
          <t>F</t>
        </is>
      </c>
      <c r="K110" s="7" t="inlineStr">
        <is>
          <t>Comptes courants débiteurs</t>
        </is>
      </c>
      <c r="L110" s="7" t="inlineStr">
        <is>
          <t>Comptes courants débiteurs</t>
        </is>
      </c>
      <c r="M110" s="7" t="inlineStr">
        <is>
          <t>Actif</t>
        </is>
      </c>
      <c r="N110" s="7" t="inlineStr">
        <is>
          <t>Actif</t>
        </is>
      </c>
    </row>
    <row r="111">
      <c r="B111" s="7" t="inlineStr">
        <is>
          <t>451500</t>
        </is>
      </c>
      <c r="C111" s="8" t="inlineStr">
        <is>
          <t>C/C SCI DE LA MODE</t>
        </is>
      </c>
      <c r="D111" s="9" t="n">
        <v>183.088</v>
      </c>
      <c r="E111" s="9" t="n">
        <v>-93.321</v>
      </c>
      <c r="F111" s="9" t="n">
        <v>276.409</v>
      </c>
      <c r="G111" s="10" t="n">
        <v>2.9619</v>
      </c>
      <c r="H111" s="7" t="inlineStr">
        <is>
          <t>F0</t>
        </is>
      </c>
      <c r="J111" s="7" t="inlineStr">
        <is>
          <t>F</t>
        </is>
      </c>
      <c r="K111" s="7" t="inlineStr">
        <is>
          <t>Emprunts et dettes financières</t>
        </is>
      </c>
      <c r="L111" s="7" t="inlineStr">
        <is>
          <t>Emprunts et dettes financières</t>
        </is>
      </c>
      <c r="M111" s="7" t="inlineStr">
        <is>
          <t>Passif</t>
        </is>
      </c>
      <c r="N111" s="7" t="inlineStr">
        <is>
          <t>Passif</t>
        </is>
      </c>
    </row>
    <row r="112">
      <c r="B112" s="7" t="inlineStr">
        <is>
          <t>455010</t>
        </is>
      </c>
      <c r="C112" s="8" t="inlineStr">
        <is>
          <t>C/C SCI DU LOUP</t>
        </is>
      </c>
      <c r="D112" s="9" t="n">
        <v>401.728</v>
      </c>
      <c r="E112" s="9" t="n">
        <v>320.287</v>
      </c>
      <c r="F112" s="9" t="n">
        <v>81.441</v>
      </c>
      <c r="G112" s="10" t="n">
        <v>0.2543</v>
      </c>
      <c r="H112" s="7" t="inlineStr">
        <is>
          <t>F0</t>
        </is>
      </c>
      <c r="J112" s="7" t="inlineStr">
        <is>
          <t>F</t>
        </is>
      </c>
      <c r="K112" s="7" t="inlineStr">
        <is>
          <t>Comptes courants débiteurs</t>
        </is>
      </c>
      <c r="L112" s="7" t="inlineStr">
        <is>
          <t>Comptes courants débiteurs</t>
        </is>
      </c>
      <c r="M112" s="7" t="inlineStr">
        <is>
          <t>Actif</t>
        </is>
      </c>
      <c r="N112" s="7" t="inlineStr">
        <is>
          <t>Actif</t>
        </is>
      </c>
    </row>
    <row r="113">
      <c r="B113" s="7" t="inlineStr">
        <is>
          <t>455020</t>
        </is>
      </c>
      <c r="C113" s="8" t="inlineStr">
        <is>
          <t>CC ASSOCIE - NAJINVEST</t>
        </is>
      </c>
      <c r="D113" s="9" t="n">
        <v>-3.643</v>
      </c>
      <c r="E113" s="9" t="n">
        <v>-3.643</v>
      </c>
      <c r="F113" s="9" t="n">
        <v>0</v>
      </c>
      <c r="G113" s="10" t="n">
        <v>0</v>
      </c>
      <c r="H113" s="7" t="inlineStr">
        <is>
          <t>F0</t>
        </is>
      </c>
      <c r="J113" s="7" t="inlineStr">
        <is>
          <t>F</t>
        </is>
      </c>
      <c r="K113" s="7" t="inlineStr">
        <is>
          <t>Emprunts et dettes financières</t>
        </is>
      </c>
      <c r="L113" s="7" t="inlineStr">
        <is>
          <t>Emprunts et dettes financières</t>
        </is>
      </c>
      <c r="M113" s="7" t="inlineStr">
        <is>
          <t>Passif</t>
        </is>
      </c>
      <c r="N113" s="7" t="inlineStr">
        <is>
          <t>Passif</t>
        </is>
      </c>
    </row>
    <row r="114">
      <c r="B114" s="7" t="inlineStr">
        <is>
          <t>455030</t>
        </is>
      </c>
      <c r="C114" s="8" t="inlineStr">
        <is>
          <t>CC ASSOCIE - BTX HOLDING</t>
        </is>
      </c>
      <c r="D114" s="9" t="n">
        <v>0</v>
      </c>
      <c r="E114" s="9" t="n">
        <v>0</v>
      </c>
      <c r="F114" s="9" t="n">
        <v>0</v>
      </c>
      <c r="G114" s="8" t="inlineStr">
        <is>
          <t>n/a</t>
        </is>
      </c>
      <c r="H114" s="7" t="inlineStr">
        <is>
          <t>F0</t>
        </is>
      </c>
      <c r="J114" s="7" t="inlineStr">
        <is>
          <t>F</t>
        </is>
      </c>
      <c r="K114" s="7" t="inlineStr"/>
      <c r="L114" s="7" t="inlineStr"/>
      <c r="M114" s="7" t="inlineStr">
        <is>
          <t>Passif</t>
        </is>
      </c>
      <c r="N114" s="7" t="inlineStr">
        <is>
          <t>Passif</t>
        </is>
      </c>
    </row>
    <row r="115">
      <c r="B115" s="7" t="inlineStr">
        <is>
          <t>455200</t>
        </is>
      </c>
      <c r="C115" s="8" t="inlineStr">
        <is>
          <t>C/C INTEGRATION FISCALE MIAM</t>
        </is>
      </c>
      <c r="D115" s="9" t="n">
        <v>-42.255</v>
      </c>
      <c r="E115" s="9" t="n">
        <v>-133.667</v>
      </c>
      <c r="F115" s="9" t="n">
        <v>91.41200000000001</v>
      </c>
      <c r="G115" s="10" t="n">
        <v>0.6839</v>
      </c>
      <c r="H115" s="7" t="inlineStr">
        <is>
          <t>F0</t>
        </is>
      </c>
      <c r="J115" s="7" t="inlineStr">
        <is>
          <t>F</t>
        </is>
      </c>
      <c r="K115" s="7" t="inlineStr">
        <is>
          <t>Emprunts et dettes financières</t>
        </is>
      </c>
      <c r="L115" s="7" t="inlineStr">
        <is>
          <t>Emprunts et dettes financières</t>
        </is>
      </c>
      <c r="M115" s="7" t="inlineStr">
        <is>
          <t>Passif</t>
        </is>
      </c>
      <c r="N115" s="7" t="inlineStr">
        <is>
          <t>Passif</t>
        </is>
      </c>
    </row>
    <row r="116">
      <c r="B116" s="7" t="inlineStr">
        <is>
          <t>467000</t>
        </is>
      </c>
      <c r="C116" s="8" t="inlineStr">
        <is>
          <t>ENCAISST SUR GILAC SASU</t>
        </is>
      </c>
      <c r="D116" s="9" t="n">
        <v>0.001</v>
      </c>
      <c r="E116" s="9" t="n">
        <v>0.001</v>
      </c>
      <c r="F116" s="9" t="n">
        <v>0</v>
      </c>
      <c r="G116" s="10" t="n">
        <v>0</v>
      </c>
      <c r="H116" s="7" t="inlineStr">
        <is>
          <t>T0</t>
        </is>
      </c>
      <c r="J116" s="7" t="inlineStr">
        <is>
          <t>T</t>
        </is>
      </c>
      <c r="K116" s="7" t="inlineStr">
        <is>
          <t>Créances diverses</t>
        </is>
      </c>
      <c r="L116" s="7" t="inlineStr">
        <is>
          <t>Créances diverses</t>
        </is>
      </c>
      <c r="M116" s="7" t="inlineStr">
        <is>
          <t>Actif</t>
        </is>
      </c>
      <c r="N116" s="7" t="inlineStr">
        <is>
          <t>Actif</t>
        </is>
      </c>
    </row>
    <row r="117">
      <c r="B117" s="7" t="inlineStr">
        <is>
          <t>467110</t>
        </is>
      </c>
      <c r="C117" s="8" t="inlineStr">
        <is>
          <t>PRIX ACQUISITION FDC</t>
        </is>
      </c>
      <c r="D117" s="9" t="n">
        <v>-0.474</v>
      </c>
      <c r="E117" s="9" t="n">
        <v>-0.474</v>
      </c>
      <c r="F117" s="9" t="n">
        <v>0</v>
      </c>
      <c r="G117" s="10" t="n">
        <v>0</v>
      </c>
      <c r="H117" s="7" t="inlineStr">
        <is>
          <t>T0</t>
        </is>
      </c>
      <c r="J117" s="7" t="inlineStr">
        <is>
          <t>T</t>
        </is>
      </c>
      <c r="K117" s="7" t="inlineStr">
        <is>
          <t>Dettes diverses</t>
        </is>
      </c>
      <c r="L117" s="7" t="inlineStr">
        <is>
          <t>Dettes diverses</t>
        </is>
      </c>
      <c r="M117" s="7" t="inlineStr">
        <is>
          <t>Passif</t>
        </is>
      </c>
      <c r="N117" s="7" t="inlineStr">
        <is>
          <t>Passif</t>
        </is>
      </c>
    </row>
    <row r="118">
      <c r="B118" s="7" t="inlineStr">
        <is>
          <t>471000</t>
        </is>
      </c>
      <c r="C118" s="8" t="inlineStr">
        <is>
          <t>COMPTE D'ATTENTE CLIENTS</t>
        </is>
      </c>
      <c r="D118" s="9" t="n">
        <v>1.715</v>
      </c>
      <c r="E118" s="9" t="n">
        <v>1.715</v>
      </c>
      <c r="F118" s="9" t="n">
        <v>-0</v>
      </c>
      <c r="G118" s="10" t="n">
        <v>-0</v>
      </c>
      <c r="H118" s="7" t="inlineStr">
        <is>
          <t>T0</t>
        </is>
      </c>
      <c r="J118" s="7" t="inlineStr">
        <is>
          <t>T</t>
        </is>
      </c>
      <c r="K118" s="7" t="inlineStr">
        <is>
          <t>Créances diverses</t>
        </is>
      </c>
      <c r="L118" s="7" t="inlineStr">
        <is>
          <t>Créances diverses</t>
        </is>
      </c>
      <c r="M118" s="7" t="inlineStr">
        <is>
          <t>Actif</t>
        </is>
      </c>
      <c r="N118" s="7" t="inlineStr">
        <is>
          <t>Actif</t>
        </is>
      </c>
    </row>
    <row r="119">
      <c r="B119" s="7" t="inlineStr">
        <is>
          <t>486000</t>
        </is>
      </c>
      <c r="C119" s="8" t="inlineStr">
        <is>
          <t>CCA</t>
        </is>
      </c>
      <c r="D119" s="9" t="n">
        <v>144.09</v>
      </c>
      <c r="E119" s="9" t="n">
        <v>17.546</v>
      </c>
      <c r="F119" s="9" t="n">
        <v>126.544</v>
      </c>
      <c r="G119" s="10" t="n">
        <v>7.2123</v>
      </c>
      <c r="H119" s="7" t="inlineStr">
        <is>
          <t>A0</t>
        </is>
      </c>
      <c r="J119" s="7" t="inlineStr">
        <is>
          <t>A</t>
        </is>
      </c>
      <c r="K119" s="7" t="inlineStr">
        <is>
          <t>Charges constatées d'avance</t>
        </is>
      </c>
      <c r="L119" s="7" t="inlineStr">
        <is>
          <t>Charges constatées d'avance</t>
        </is>
      </c>
      <c r="M119" s="7" t="inlineStr">
        <is>
          <t>Actif</t>
        </is>
      </c>
      <c r="N119" s="7" t="inlineStr">
        <is>
          <t>Actif</t>
        </is>
      </c>
    </row>
    <row r="120">
      <c r="B120" s="7" t="inlineStr">
        <is>
          <t>486001</t>
        </is>
      </c>
      <c r="C120" s="8" t="inlineStr">
        <is>
          <t>CCA Groupe</t>
        </is>
      </c>
      <c r="D120" s="9" t="n">
        <v>0</v>
      </c>
      <c r="E120" s="9" t="n">
        <v>0</v>
      </c>
      <c r="F120" s="9" t="n">
        <v>0</v>
      </c>
      <c r="G120" s="8" t="inlineStr">
        <is>
          <t>n/a</t>
        </is>
      </c>
      <c r="H120" s="7" t="inlineStr">
        <is>
          <t>A0</t>
        </is>
      </c>
      <c r="J120" s="7" t="inlineStr">
        <is>
          <t>A</t>
        </is>
      </c>
      <c r="K120" s="7" t="inlineStr"/>
      <c r="L120" s="7" t="inlineStr"/>
      <c r="M120" s="7" t="inlineStr">
        <is>
          <t>Actif</t>
        </is>
      </c>
      <c r="N120" s="7" t="inlineStr">
        <is>
          <t>Actif</t>
        </is>
      </c>
    </row>
    <row r="121">
      <c r="B121" s="7" t="inlineStr">
        <is>
          <t>491000</t>
        </is>
      </c>
      <c r="C121" s="8" t="inlineStr">
        <is>
          <t>PROVISIONS CREANCES DOUTEUSES</t>
        </is>
      </c>
      <c r="D121" s="9" t="n">
        <v>-14.288</v>
      </c>
      <c r="E121" s="9" t="n">
        <v>-16.266</v>
      </c>
      <c r="F121" s="9" t="n">
        <v>1.978</v>
      </c>
      <c r="G121" s="10" t="n">
        <v>0.1216</v>
      </c>
      <c r="H121" s="7" t="inlineStr">
        <is>
          <t>V0</t>
        </is>
      </c>
      <c r="J121" s="7" t="inlineStr">
        <is>
          <t>V</t>
        </is>
      </c>
      <c r="K121" s="7" t="inlineStr">
        <is>
          <t>Clients et comptes rattachés</t>
        </is>
      </c>
      <c r="L121" s="7" t="inlineStr">
        <is>
          <t>Clients et comptes rattachés</t>
        </is>
      </c>
      <c r="M121" s="7" t="inlineStr">
        <is>
          <t>Actif</t>
        </is>
      </c>
      <c r="N121" s="7" t="inlineStr">
        <is>
          <t>Actif</t>
        </is>
      </c>
    </row>
    <row r="122">
      <c r="B122" s="7" t="inlineStr">
        <is>
          <t>511200</t>
        </is>
      </c>
      <c r="C122" s="8" t="inlineStr">
        <is>
          <t>PORTEFEUILLE CB FRANCE</t>
        </is>
      </c>
      <c r="D122" s="9" t="n">
        <v>-0</v>
      </c>
      <c r="E122" s="9" t="n">
        <v>0</v>
      </c>
      <c r="F122" s="9" t="n">
        <v>-0</v>
      </c>
      <c r="G122" s="8" t="inlineStr">
        <is>
          <t>n/a</t>
        </is>
      </c>
      <c r="H122" s="7" t="inlineStr">
        <is>
          <t>F0</t>
        </is>
      </c>
      <c r="J122" s="7" t="inlineStr">
        <is>
          <t>F</t>
        </is>
      </c>
      <c r="K122" s="7" t="inlineStr">
        <is>
          <t>Disponibilités</t>
        </is>
      </c>
      <c r="L122" s="7" t="inlineStr">
        <is>
          <t>Disponibilités</t>
        </is>
      </c>
      <c r="M122" s="7" t="inlineStr">
        <is>
          <t>Actif</t>
        </is>
      </c>
      <c r="N122" s="7" t="inlineStr">
        <is>
          <t>Actif</t>
        </is>
      </c>
    </row>
    <row r="123">
      <c r="B123" s="7" t="inlineStr">
        <is>
          <t>511400</t>
        </is>
      </c>
      <c r="C123" s="8" t="inlineStr">
        <is>
          <t>EFFETS REMIS ENCAISSEMENT BPOP</t>
        </is>
      </c>
      <c r="D123" s="9" t="n">
        <v>3.791</v>
      </c>
      <c r="E123" s="9" t="n">
        <v>-2.059</v>
      </c>
      <c r="F123" s="9" t="n">
        <v>5.85</v>
      </c>
      <c r="G123" s="10" t="n">
        <v>2.841</v>
      </c>
      <c r="H123" s="7" t="inlineStr">
        <is>
          <t>F0</t>
        </is>
      </c>
      <c r="J123" s="7" t="inlineStr">
        <is>
          <t>F</t>
        </is>
      </c>
      <c r="K123" s="7" t="inlineStr">
        <is>
          <t>Emprunts et dettes auprès d'établissements de crédit</t>
        </is>
      </c>
      <c r="L123" s="7" t="inlineStr">
        <is>
          <t>Emprunts et dettes auprès d'établissements de crédit</t>
        </is>
      </c>
      <c r="M123" s="7" t="inlineStr">
        <is>
          <t>Passif</t>
        </is>
      </c>
      <c r="N123" s="7" t="inlineStr">
        <is>
          <t>Passif</t>
        </is>
      </c>
    </row>
    <row r="124">
      <c r="B124" s="7" t="inlineStr">
        <is>
          <t>512110</t>
        </is>
      </c>
      <c r="C124" s="8" t="inlineStr">
        <is>
          <t>CREDIT AGRICOLE</t>
        </is>
      </c>
      <c r="D124" s="9" t="n">
        <v>154.195</v>
      </c>
      <c r="E124" s="9" t="n">
        <v>172.203</v>
      </c>
      <c r="F124" s="9" t="n">
        <v>-18.008</v>
      </c>
      <c r="G124" s="10" t="n">
        <v>-0.1046</v>
      </c>
      <c r="H124" s="7" t="inlineStr">
        <is>
          <t>F0</t>
        </is>
      </c>
      <c r="J124" s="7" t="inlineStr">
        <is>
          <t>F</t>
        </is>
      </c>
      <c r="K124" s="7" t="inlineStr">
        <is>
          <t>Disponibilités</t>
        </is>
      </c>
      <c r="L124" s="7" t="inlineStr">
        <is>
          <t>Disponibilités</t>
        </is>
      </c>
      <c r="M124" s="7" t="inlineStr">
        <is>
          <t>Actif</t>
        </is>
      </c>
      <c r="N124" s="7" t="inlineStr">
        <is>
          <t>Actif</t>
        </is>
      </c>
    </row>
    <row r="125">
      <c r="B125" s="7" t="inlineStr">
        <is>
          <t>512112</t>
        </is>
      </c>
      <c r="C125" s="8" t="inlineStr">
        <is>
          <t>CREDIT AGRICOLE DOLLARS</t>
        </is>
      </c>
      <c r="D125" s="9" t="n">
        <v>92.181</v>
      </c>
      <c r="E125" s="9" t="n">
        <v>0.175</v>
      </c>
      <c r="F125" s="9" t="n">
        <v>92.006</v>
      </c>
      <c r="G125" s="10" t="n">
        <v>526.5308</v>
      </c>
      <c r="H125" s="7" t="inlineStr">
        <is>
          <t>F0</t>
        </is>
      </c>
      <c r="J125" s="7" t="inlineStr">
        <is>
          <t>F</t>
        </is>
      </c>
      <c r="K125" s="7" t="inlineStr">
        <is>
          <t>Disponibilités</t>
        </is>
      </c>
      <c r="L125" s="7" t="inlineStr">
        <is>
          <t>Disponibilités</t>
        </is>
      </c>
      <c r="M125" s="7" t="inlineStr">
        <is>
          <t>Actif</t>
        </is>
      </c>
      <c r="N125" s="7" t="inlineStr">
        <is>
          <t>Actif</t>
        </is>
      </c>
    </row>
    <row r="126">
      <c r="B126" s="7" t="inlineStr">
        <is>
          <t>512113</t>
        </is>
      </c>
      <c r="C126" s="8" t="inlineStr">
        <is>
          <t>CA CAT DOLLARS</t>
        </is>
      </c>
      <c r="D126" s="9" t="n">
        <v>0.302</v>
      </c>
      <c r="E126" s="9" t="n">
        <v>0</v>
      </c>
      <c r="F126" s="9" t="n">
        <v>0.302</v>
      </c>
      <c r="G126" s="8" t="inlineStr">
        <is>
          <t>n/a</t>
        </is>
      </c>
      <c r="H126" s="7" t="inlineStr">
        <is>
          <t>F0</t>
        </is>
      </c>
      <c r="J126" s="7" t="inlineStr">
        <is>
          <t>F</t>
        </is>
      </c>
      <c r="K126" s="7" t="inlineStr"/>
      <c r="L126" s="7" t="inlineStr"/>
      <c r="M126" s="7" t="inlineStr">
        <is>
          <t>Actif</t>
        </is>
      </c>
      <c r="N126" s="7" t="inlineStr">
        <is>
          <t>Actif</t>
        </is>
      </c>
    </row>
    <row r="127">
      <c r="B127" s="7" t="inlineStr">
        <is>
          <t>512120</t>
        </is>
      </c>
      <c r="C127" s="8" t="inlineStr">
        <is>
          <t>BANQUE POPULAIRE</t>
        </is>
      </c>
      <c r="D127" s="9" t="n">
        <v>141.961</v>
      </c>
      <c r="E127" s="9" t="n">
        <v>196.465</v>
      </c>
      <c r="F127" s="9" t="n">
        <v>-54.504</v>
      </c>
      <c r="G127" s="10" t="n">
        <v>-0.2774</v>
      </c>
      <c r="H127" s="7" t="inlineStr">
        <is>
          <t>F0</t>
        </is>
      </c>
      <c r="J127" s="7" t="inlineStr">
        <is>
          <t>F</t>
        </is>
      </c>
      <c r="K127" s="7" t="inlineStr">
        <is>
          <t>Disponibilités</t>
        </is>
      </c>
      <c r="L127" s="7" t="inlineStr">
        <is>
          <t>Disponibilités</t>
        </is>
      </c>
      <c r="M127" s="7" t="inlineStr">
        <is>
          <t>Actif</t>
        </is>
      </c>
      <c r="N127" s="7" t="inlineStr">
        <is>
          <t>Actif</t>
        </is>
      </c>
    </row>
    <row r="128">
      <c r="B128" s="7" t="inlineStr">
        <is>
          <t>512122</t>
        </is>
      </c>
      <c r="C128" s="8" t="inlineStr">
        <is>
          <t>BANQUE POPULAIRE LIVRET</t>
        </is>
      </c>
      <c r="D128" s="9" t="n">
        <v>11.525</v>
      </c>
      <c r="E128" s="9" t="n">
        <v>0.034</v>
      </c>
      <c r="F128" s="9" t="n">
        <v>11.491</v>
      </c>
      <c r="G128" s="10" t="n">
        <v>334.9169</v>
      </c>
      <c r="H128" s="7" t="inlineStr">
        <is>
          <t>F0</t>
        </is>
      </c>
      <c r="J128" s="7" t="inlineStr">
        <is>
          <t>F</t>
        </is>
      </c>
      <c r="K128" s="7" t="inlineStr">
        <is>
          <t>Disponibilités</t>
        </is>
      </c>
      <c r="L128" s="7" t="inlineStr">
        <is>
          <t>Disponibilités</t>
        </is>
      </c>
      <c r="M128" s="7" t="inlineStr">
        <is>
          <t>Actif</t>
        </is>
      </c>
      <c r="N128" s="7" t="inlineStr">
        <is>
          <t>Actif</t>
        </is>
      </c>
    </row>
    <row r="129">
      <c r="B129" s="7" t="inlineStr">
        <is>
          <t>512124</t>
        </is>
      </c>
      <c r="C129" s="8" t="inlineStr">
        <is>
          <t>BPFC CAT</t>
        </is>
      </c>
      <c r="D129" s="9" t="n">
        <v>0</v>
      </c>
      <c r="E129" s="9" t="n">
        <v>600</v>
      </c>
      <c r="F129" s="9" t="n">
        <v>-600</v>
      </c>
      <c r="G129" s="10" t="n">
        <v>-1</v>
      </c>
      <c r="H129" s="7" t="inlineStr">
        <is>
          <t>F0</t>
        </is>
      </c>
      <c r="J129" s="7" t="inlineStr">
        <is>
          <t>F</t>
        </is>
      </c>
      <c r="K129" s="7" t="inlineStr">
        <is>
          <t>Disponibilités</t>
        </is>
      </c>
      <c r="L129" s="7" t="inlineStr">
        <is>
          <t>Disponibilités</t>
        </is>
      </c>
      <c r="M129" s="7" t="inlineStr">
        <is>
          <t>Actif</t>
        </is>
      </c>
      <c r="N129" s="7" t="inlineStr">
        <is>
          <t>Actif</t>
        </is>
      </c>
    </row>
    <row r="130">
      <c r="B130" s="7" t="inlineStr">
        <is>
          <t>512125</t>
        </is>
      </c>
      <c r="C130" s="8" t="inlineStr">
        <is>
          <t>LCL CAT</t>
        </is>
      </c>
      <c r="D130" s="9" t="n">
        <v>0</v>
      </c>
      <c r="E130" s="9" t="n">
        <v>400</v>
      </c>
      <c r="F130" s="9" t="n">
        <v>-400</v>
      </c>
      <c r="G130" s="10" t="n">
        <v>-1</v>
      </c>
      <c r="H130" s="7" t="inlineStr">
        <is>
          <t>F0</t>
        </is>
      </c>
      <c r="J130" s="7" t="inlineStr">
        <is>
          <t>F</t>
        </is>
      </c>
      <c r="K130" s="7" t="inlineStr">
        <is>
          <t>Disponibilités</t>
        </is>
      </c>
      <c r="L130" s="7" t="inlineStr">
        <is>
          <t>Disponibilités</t>
        </is>
      </c>
      <c r="M130" s="7" t="inlineStr">
        <is>
          <t>Actif</t>
        </is>
      </c>
      <c r="N130" s="7" t="inlineStr">
        <is>
          <t>Actif</t>
        </is>
      </c>
    </row>
    <row r="131">
      <c r="B131" s="7" t="inlineStr">
        <is>
          <t>512151</t>
        </is>
      </c>
      <c r="C131" s="8" t="inlineStr">
        <is>
          <t>LCL GILAC</t>
        </is>
      </c>
      <c r="D131" s="9" t="n">
        <v>6.685</v>
      </c>
      <c r="E131" s="9" t="n">
        <v>2.203</v>
      </c>
      <c r="F131" s="9" t="n">
        <v>4.482</v>
      </c>
      <c r="G131" s="10" t="n">
        <v>2.0345</v>
      </c>
      <c r="H131" s="7" t="inlineStr">
        <is>
          <t>F0</t>
        </is>
      </c>
      <c r="J131" s="7" t="inlineStr">
        <is>
          <t>F</t>
        </is>
      </c>
      <c r="K131" s="7" t="inlineStr">
        <is>
          <t>Disponibilités</t>
        </is>
      </c>
      <c r="L131" s="7" t="inlineStr">
        <is>
          <t>Disponibilités</t>
        </is>
      </c>
      <c r="M131" s="7" t="inlineStr">
        <is>
          <t>Actif</t>
        </is>
      </c>
      <c r="N131" s="7" t="inlineStr">
        <is>
          <t>Actif</t>
        </is>
      </c>
    </row>
    <row r="132">
      <c r="B132" s="7" t="inlineStr">
        <is>
          <t>512153</t>
        </is>
      </c>
      <c r="C132" s="8" t="inlineStr">
        <is>
          <t>LCL GILAC-SPID</t>
        </is>
      </c>
      <c r="D132" s="9" t="n">
        <v>66.008</v>
      </c>
      <c r="E132" s="9" t="n">
        <v>0</v>
      </c>
      <c r="F132" s="9" t="n">
        <v>66.008</v>
      </c>
      <c r="G132" s="8" t="inlineStr">
        <is>
          <t>n/a</t>
        </is>
      </c>
      <c r="H132" s="7" t="inlineStr">
        <is>
          <t>F0</t>
        </is>
      </c>
      <c r="J132" s="7" t="inlineStr">
        <is>
          <t>F</t>
        </is>
      </c>
      <c r="K132" s="7" t="inlineStr"/>
      <c r="L132" s="7" t="inlineStr"/>
      <c r="M132" s="7" t="inlineStr">
        <is>
          <t>Actif</t>
        </is>
      </c>
      <c r="N132" s="7" t="inlineStr">
        <is>
          <t>Actif</t>
        </is>
      </c>
    </row>
    <row r="133">
      <c r="B133" s="7" t="inlineStr">
        <is>
          <t>512155</t>
        </is>
      </c>
      <c r="C133" s="8" t="inlineStr">
        <is>
          <t>LCL GILAC-EPS</t>
        </is>
      </c>
      <c r="D133" s="9" t="n">
        <v>427.951</v>
      </c>
      <c r="E133" s="9" t="n">
        <v>0</v>
      </c>
      <c r="F133" s="9" t="n">
        <v>427.951</v>
      </c>
      <c r="G133" s="8" t="inlineStr">
        <is>
          <t>n/a</t>
        </is>
      </c>
      <c r="H133" s="7" t="inlineStr">
        <is>
          <t>F0</t>
        </is>
      </c>
      <c r="J133" s="7" t="inlineStr">
        <is>
          <t>F</t>
        </is>
      </c>
      <c r="K133" s="7" t="inlineStr"/>
      <c r="L133" s="7" t="inlineStr"/>
      <c r="M133" s="7" t="inlineStr">
        <is>
          <t>Actif</t>
        </is>
      </c>
      <c r="N133" s="7" t="inlineStr">
        <is>
          <t>Actif</t>
        </is>
      </c>
    </row>
    <row r="134">
      <c r="B134" s="7" t="inlineStr">
        <is>
          <t>531000</t>
        </is>
      </c>
      <c r="C134" s="8" t="inlineStr">
        <is>
          <t>CAISSE</t>
        </is>
      </c>
      <c r="D134" s="9" t="n">
        <v>8.086</v>
      </c>
      <c r="E134" s="9" t="n">
        <v>7.081</v>
      </c>
      <c r="F134" s="9" t="n">
        <v>1.005</v>
      </c>
      <c r="G134" s="10" t="n">
        <v>0.1419</v>
      </c>
      <c r="H134" s="7" t="inlineStr">
        <is>
          <t>F0</t>
        </is>
      </c>
      <c r="J134" s="7" t="inlineStr">
        <is>
          <t>F</t>
        </is>
      </c>
      <c r="K134" s="7" t="inlineStr">
        <is>
          <t>Disponibilités</t>
        </is>
      </c>
      <c r="L134" s="7" t="inlineStr">
        <is>
          <t>Disponibilités</t>
        </is>
      </c>
      <c r="M134" s="7" t="inlineStr">
        <is>
          <t>Actif</t>
        </is>
      </c>
      <c r="N134" s="7" t="inlineStr">
        <is>
          <t>Actif</t>
        </is>
      </c>
    </row>
    <row r="135">
      <c r="B135" s="7" t="inlineStr">
        <is>
          <t>580000</t>
        </is>
      </c>
      <c r="C135" s="8" t="inlineStr">
        <is>
          <t>VIREMENTS INTERNES</t>
        </is>
      </c>
      <c r="D135" s="9" t="n">
        <v>0</v>
      </c>
      <c r="E135" s="9" t="n">
        <v>0</v>
      </c>
      <c r="F135" s="9" t="n">
        <v>0</v>
      </c>
      <c r="G135" s="8" t="inlineStr">
        <is>
          <t>n/a</t>
        </is>
      </c>
      <c r="H135" s="7" t="inlineStr">
        <is>
          <t>F0</t>
        </is>
      </c>
      <c r="J135" s="7" t="inlineStr">
        <is>
          <t>F</t>
        </is>
      </c>
      <c r="K135" s="7" t="inlineStr">
        <is>
          <t>Disponibilités</t>
        </is>
      </c>
      <c r="L135" s="7" t="inlineStr">
        <is>
          <t>Disponibilités</t>
        </is>
      </c>
      <c r="M135" s="7" t="inlineStr">
        <is>
          <t>Actif</t>
        </is>
      </c>
      <c r="N135" s="7" t="inlineStr">
        <is>
          <t>Actif</t>
        </is>
      </c>
    </row>
    <row r="136">
      <c r="B136" s="7" t="inlineStr">
        <is>
          <t>601100</t>
        </is>
      </c>
      <c r="C136" s="8" t="inlineStr">
        <is>
          <t>ACHATS MP ET COLOR FRANCE</t>
        </is>
      </c>
      <c r="D136" s="9" t="n">
        <v>910.128</v>
      </c>
      <c r="E136" s="9" t="n">
        <v>731.694</v>
      </c>
      <c r="F136" s="9" t="n">
        <v>178.434</v>
      </c>
      <c r="G136" s="10" t="n">
        <v>0.2439</v>
      </c>
      <c r="H136" s="7" t="inlineStr">
        <is>
          <t>A0</t>
        </is>
      </c>
      <c r="J136" s="7" t="inlineStr">
        <is>
          <t>A</t>
        </is>
      </c>
      <c r="K136" s="7" t="inlineStr">
        <is>
          <t>Achat de matières premières et autres approvisionnements</t>
        </is>
      </c>
      <c r="L136" s="7" t="inlineStr">
        <is>
          <t>Achat de matières premières et autres approvisionnements</t>
        </is>
      </c>
      <c r="M136" s="7" t="inlineStr">
        <is>
          <t>Charges</t>
        </is>
      </c>
      <c r="N136" s="7" t="inlineStr">
        <is>
          <t>Charges</t>
        </is>
      </c>
    </row>
    <row r="137">
      <c r="B137" s="7" t="inlineStr">
        <is>
          <t>601110</t>
        </is>
      </c>
      <c r="C137" s="8" t="inlineStr">
        <is>
          <t>ACHATS MP ET COLOR UNION EUROPE</t>
        </is>
      </c>
      <c r="D137" s="9" t="n">
        <v>403.396</v>
      </c>
      <c r="E137" s="9" t="n">
        <v>150.109</v>
      </c>
      <c r="F137" s="9" t="n">
        <v>253.287</v>
      </c>
      <c r="G137" s="10" t="n">
        <v>1.6874</v>
      </c>
      <c r="H137" s="7" t="inlineStr">
        <is>
          <t>A0</t>
        </is>
      </c>
      <c r="J137" s="7" t="inlineStr">
        <is>
          <t>A</t>
        </is>
      </c>
      <c r="K137" s="7" t="inlineStr">
        <is>
          <t>Achat de matières premières et autres approvisionnements</t>
        </is>
      </c>
      <c r="L137" s="7" t="inlineStr">
        <is>
          <t>Achat de matières premières et autres approvisionnements</t>
        </is>
      </c>
      <c r="M137" s="7" t="inlineStr">
        <is>
          <t>Charges</t>
        </is>
      </c>
      <c r="N137" s="7" t="inlineStr">
        <is>
          <t>Charges</t>
        </is>
      </c>
    </row>
    <row r="138">
      <c r="B138" s="7" t="inlineStr">
        <is>
          <t>601130</t>
        </is>
      </c>
      <c r="C138" s="8" t="inlineStr">
        <is>
          <t>ACHATS MP ET COLOR EXPORT</t>
        </is>
      </c>
      <c r="D138" s="9" t="n">
        <v>1037.085</v>
      </c>
      <c r="E138" s="9" t="n">
        <v>808.292</v>
      </c>
      <c r="F138" s="9" t="n">
        <v>228.793</v>
      </c>
      <c r="G138" s="10" t="n">
        <v>0.2831</v>
      </c>
      <c r="H138" s="7" t="inlineStr">
        <is>
          <t>A0</t>
        </is>
      </c>
      <c r="J138" s="7" t="inlineStr">
        <is>
          <t>A</t>
        </is>
      </c>
      <c r="K138" s="7" t="inlineStr">
        <is>
          <t>Achat de matières premières et autres approvisionnements</t>
        </is>
      </c>
      <c r="L138" s="7" t="inlineStr">
        <is>
          <t>Achat de matières premières et autres approvisionnements</t>
        </is>
      </c>
      <c r="M138" s="7" t="inlineStr">
        <is>
          <t>Charges</t>
        </is>
      </c>
      <c r="N138" s="7" t="inlineStr">
        <is>
          <t>Charges</t>
        </is>
      </c>
    </row>
    <row r="139">
      <c r="B139" s="7" t="inlineStr">
        <is>
          <t>601700</t>
        </is>
      </c>
      <c r="C139" s="8" t="inlineStr">
        <is>
          <t>ACHATS COMPOS France</t>
        </is>
      </c>
      <c r="D139" s="9" t="n">
        <v>359.768</v>
      </c>
      <c r="E139" s="9" t="n">
        <v>339.021</v>
      </c>
      <c r="F139" s="9" t="n">
        <v>20.747</v>
      </c>
      <c r="G139" s="10" t="n">
        <v>0.0612</v>
      </c>
      <c r="H139" s="7" t="inlineStr">
        <is>
          <t>A0</t>
        </is>
      </c>
      <c r="J139" s="7" t="inlineStr">
        <is>
          <t>A</t>
        </is>
      </c>
      <c r="K139" s="7" t="inlineStr">
        <is>
          <t>Achat de matières premières et autres approvisionnements</t>
        </is>
      </c>
      <c r="L139" s="7" t="inlineStr">
        <is>
          <t>Achat de matières premières et autres approvisionnements</t>
        </is>
      </c>
      <c r="M139" s="7" t="inlineStr">
        <is>
          <t>Charges</t>
        </is>
      </c>
      <c r="N139" s="7" t="inlineStr">
        <is>
          <t>Charges</t>
        </is>
      </c>
    </row>
    <row r="140">
      <c r="B140" s="7" t="inlineStr">
        <is>
          <t>601710</t>
        </is>
      </c>
      <c r="C140" s="8" t="inlineStr">
        <is>
          <t>ACHATS COMPOS UNION EUROPEENNE</t>
        </is>
      </c>
      <c r="D140" s="9" t="n">
        <v>180.103</v>
      </c>
      <c r="E140" s="9" t="n">
        <v>137.785</v>
      </c>
      <c r="F140" s="9" t="n">
        <v>42.318</v>
      </c>
      <c r="G140" s="10" t="n">
        <v>0.3071</v>
      </c>
      <c r="H140" s="7" t="inlineStr">
        <is>
          <t>A0</t>
        </is>
      </c>
      <c r="J140" s="7" t="inlineStr">
        <is>
          <t>A</t>
        </is>
      </c>
      <c r="K140" s="7" t="inlineStr">
        <is>
          <t>Achat de matières premières et autres approvisionnements</t>
        </is>
      </c>
      <c r="L140" s="7" t="inlineStr">
        <is>
          <t>Achat de matières premières et autres approvisionnements</t>
        </is>
      </c>
      <c r="M140" s="7" t="inlineStr">
        <is>
          <t>Charges</t>
        </is>
      </c>
      <c r="N140" s="7" t="inlineStr">
        <is>
          <t>Charges</t>
        </is>
      </c>
    </row>
    <row r="141">
      <c r="B141" s="7" t="inlineStr">
        <is>
          <t>601730</t>
        </is>
      </c>
      <c r="C141" s="8" t="inlineStr">
        <is>
          <t>ACHATS COMPOS EXPORT</t>
        </is>
      </c>
      <c r="D141" s="9" t="n">
        <v>21.69</v>
      </c>
      <c r="E141" s="9" t="n">
        <v>42.384</v>
      </c>
      <c r="F141" s="9" t="n">
        <v>-20.694</v>
      </c>
      <c r="G141" s="10" t="n">
        <v>-0.4883</v>
      </c>
      <c r="H141" s="7" t="inlineStr">
        <is>
          <t>A0</t>
        </is>
      </c>
      <c r="J141" s="7" t="inlineStr">
        <is>
          <t>A</t>
        </is>
      </c>
      <c r="K141" s="7" t="inlineStr">
        <is>
          <t>Achat de matières premières et autres approvisionnements</t>
        </is>
      </c>
      <c r="L141" s="7" t="inlineStr">
        <is>
          <t>Achat de matières premières et autres approvisionnements</t>
        </is>
      </c>
      <c r="M141" s="7" t="inlineStr">
        <is>
          <t>Charges</t>
        </is>
      </c>
      <c r="N141" s="7" t="inlineStr">
        <is>
          <t>Charges</t>
        </is>
      </c>
    </row>
    <row r="142">
      <c r="B142" s="7" t="inlineStr">
        <is>
          <t>602600</t>
        </is>
      </c>
      <c r="C142" s="8" t="inlineStr">
        <is>
          <t>EMBALLAGE France</t>
        </is>
      </c>
      <c r="D142" s="9" t="n">
        <v>274.75</v>
      </c>
      <c r="E142" s="9" t="n">
        <v>248.572</v>
      </c>
      <c r="F142" s="9" t="n">
        <v>26.178</v>
      </c>
      <c r="G142" s="10" t="n">
        <v>0.1053</v>
      </c>
      <c r="H142" s="7" t="inlineStr">
        <is>
          <t>A0</t>
        </is>
      </c>
      <c r="J142" s="7" t="inlineStr">
        <is>
          <t>A</t>
        </is>
      </c>
      <c r="K142" s="7" t="inlineStr">
        <is>
          <t>Achat de matières premières et autres approvisionnements</t>
        </is>
      </c>
      <c r="L142" s="7" t="inlineStr">
        <is>
          <t>Achat de matières premières et autres approvisionnements</t>
        </is>
      </c>
      <c r="M142" s="7" t="inlineStr">
        <is>
          <t>Charges</t>
        </is>
      </c>
      <c r="N142" s="7" t="inlineStr">
        <is>
          <t>Charges</t>
        </is>
      </c>
    </row>
    <row r="143">
      <c r="B143" s="7" t="inlineStr">
        <is>
          <t>603100</t>
        </is>
      </c>
      <c r="C143" s="8" t="inlineStr">
        <is>
          <t>VARIATION STOCK MAT PREM ET P D</t>
        </is>
      </c>
      <c r="D143" s="9" t="n">
        <v>-501.417</v>
      </c>
      <c r="E143" s="9" t="n">
        <v>-90.67100000000001</v>
      </c>
      <c r="F143" s="9" t="n">
        <v>-410.746</v>
      </c>
      <c r="G143" s="10" t="n">
        <v>-4.5301</v>
      </c>
      <c r="H143" s="7" t="inlineStr">
        <is>
          <t>S0</t>
        </is>
      </c>
      <c r="J143" s="7" t="inlineStr">
        <is>
          <t>S</t>
        </is>
      </c>
      <c r="K143" s="7" t="inlineStr">
        <is>
          <t>Variation de stocks</t>
        </is>
      </c>
      <c r="L143" s="7" t="inlineStr">
        <is>
          <t>Variation de stocks</t>
        </is>
      </c>
      <c r="M143" s="7" t="inlineStr">
        <is>
          <t>Charges</t>
        </is>
      </c>
      <c r="N143" s="7" t="inlineStr">
        <is>
          <t>Charges</t>
        </is>
      </c>
    </row>
    <row r="144">
      <c r="B144" s="7" t="inlineStr">
        <is>
          <t>603200</t>
        </is>
      </c>
      <c r="C144" s="8" t="inlineStr">
        <is>
          <t>VARIATION STOCK EMBALLAGE</t>
        </is>
      </c>
      <c r="D144" s="9" t="n">
        <v>-38.19</v>
      </c>
      <c r="E144" s="9" t="n">
        <v>-13.652</v>
      </c>
      <c r="F144" s="9" t="n">
        <v>-24.538</v>
      </c>
      <c r="G144" s="10" t="n">
        <v>-1.7974</v>
      </c>
      <c r="H144" s="7" t="inlineStr">
        <is>
          <t>S0</t>
        </is>
      </c>
      <c r="J144" s="7" t="inlineStr">
        <is>
          <t>S</t>
        </is>
      </c>
      <c r="K144" s="7" t="inlineStr">
        <is>
          <t>Variation de stocks</t>
        </is>
      </c>
      <c r="L144" s="7" t="inlineStr">
        <is>
          <t>Variation de stocks</t>
        </is>
      </c>
      <c r="M144" s="7" t="inlineStr">
        <is>
          <t>Charges</t>
        </is>
      </c>
      <c r="N144" s="7" t="inlineStr">
        <is>
          <t>Charges</t>
        </is>
      </c>
    </row>
    <row r="145">
      <c r="B145" s="7" t="inlineStr">
        <is>
          <t>603700</t>
        </is>
      </c>
      <c r="C145" s="8" t="inlineStr">
        <is>
          <t>VARIATION STOCK MARCHANDISES NEGOCE</t>
        </is>
      </c>
      <c r="D145" s="9" t="n">
        <v>-99.37</v>
      </c>
      <c r="E145" s="9" t="n">
        <v>-101.786</v>
      </c>
      <c r="F145" s="9" t="n">
        <v>2.416</v>
      </c>
      <c r="G145" s="10" t="n">
        <v>0.0237</v>
      </c>
      <c r="H145" s="7" t="inlineStr">
        <is>
          <t>S0</t>
        </is>
      </c>
      <c r="J145" s="7" t="inlineStr">
        <is>
          <t>S</t>
        </is>
      </c>
      <c r="K145" s="7" t="inlineStr">
        <is>
          <t>Variation de stocks de marchandises</t>
        </is>
      </c>
      <c r="L145" s="7" t="inlineStr">
        <is>
          <t>Variation de stocks de marchandises</t>
        </is>
      </c>
      <c r="M145" s="7" t="inlineStr">
        <is>
          <t>Charges</t>
        </is>
      </c>
      <c r="N145" s="7" t="inlineStr">
        <is>
          <t>Charges</t>
        </is>
      </c>
    </row>
    <row r="146">
      <c r="B146" s="7" t="inlineStr">
        <is>
          <t>604000</t>
        </is>
      </c>
      <c r="C146" s="8" t="inlineStr">
        <is>
          <t>SOUS TRAITANCE MAIN D'OEUVRE</t>
        </is>
      </c>
      <c r="D146" s="9" t="n">
        <v>1.15</v>
      </c>
      <c r="E146" s="9" t="n">
        <v>0</v>
      </c>
      <c r="F146" s="9" t="n">
        <v>1.15</v>
      </c>
      <c r="G146" s="8" t="inlineStr">
        <is>
          <t>n/a</t>
        </is>
      </c>
      <c r="H146" s="7" t="inlineStr">
        <is>
          <t>A0</t>
        </is>
      </c>
      <c r="J146" s="7" t="inlineStr">
        <is>
          <t>A</t>
        </is>
      </c>
      <c r="K146" s="7" t="inlineStr"/>
      <c r="L146" s="7" t="inlineStr"/>
      <c r="M146" s="7" t="inlineStr">
        <is>
          <t>Charges</t>
        </is>
      </c>
      <c r="N146" s="7" t="inlineStr">
        <is>
          <t>Charges</t>
        </is>
      </c>
    </row>
    <row r="147">
      <c r="B147" s="7" t="inlineStr">
        <is>
          <t>604100</t>
        </is>
      </c>
      <c r="C147" s="8" t="inlineStr">
        <is>
          <t>SOUS TRAITANCE TECHNIQUE</t>
        </is>
      </c>
      <c r="D147" s="9" t="n">
        <v>2266.391</v>
      </c>
      <c r="E147" s="9" t="n">
        <v>566.071</v>
      </c>
      <c r="F147" s="9" t="n">
        <v>1700.32</v>
      </c>
      <c r="G147" s="10" t="n">
        <v>3.0037</v>
      </c>
      <c r="H147" s="7" t="inlineStr">
        <is>
          <t>A0</t>
        </is>
      </c>
      <c r="J147" s="7" t="inlineStr">
        <is>
          <t>A</t>
        </is>
      </c>
      <c r="K147" s="7" t="inlineStr">
        <is>
          <t>Achat de matières premières et autres approvisionnements</t>
        </is>
      </c>
      <c r="L147" s="7" t="inlineStr">
        <is>
          <t>Achat de matières premières et autres approvisionnements</t>
        </is>
      </c>
      <c r="M147" s="7" t="inlineStr">
        <is>
          <t>Charges</t>
        </is>
      </c>
      <c r="N147" s="7" t="inlineStr">
        <is>
          <t>Charges</t>
        </is>
      </c>
    </row>
    <row r="148">
      <c r="B148" s="7" t="inlineStr">
        <is>
          <t>604101</t>
        </is>
      </c>
      <c r="C148" s="8" t="inlineStr">
        <is>
          <t>SOUS TRAITANCE TECHNIQUE GROUPE</t>
        </is>
      </c>
      <c r="D148" s="9" t="n">
        <v>2673.238</v>
      </c>
      <c r="E148" s="9" t="n">
        <v>1837.106</v>
      </c>
      <c r="F148" s="9" t="n">
        <v>836.1319999999999</v>
      </c>
      <c r="G148" s="10" t="n">
        <v>0.4551</v>
      </c>
      <c r="H148" s="7" t="inlineStr">
        <is>
          <t>A0</t>
        </is>
      </c>
      <c r="J148" s="7" t="inlineStr">
        <is>
          <t>A</t>
        </is>
      </c>
      <c r="K148" s="7" t="inlineStr">
        <is>
          <t>Achat de matières premières et autres approvisionnements</t>
        </is>
      </c>
      <c r="L148" s="7" t="inlineStr">
        <is>
          <t>Achat de matières premières et autres approvisionnements</t>
        </is>
      </c>
      <c r="M148" s="7" t="inlineStr">
        <is>
          <t>Charges</t>
        </is>
      </c>
      <c r="N148" s="7" t="inlineStr">
        <is>
          <t>Charges</t>
        </is>
      </c>
    </row>
    <row r="149">
      <c r="B149" s="7" t="inlineStr">
        <is>
          <t>606110</t>
        </is>
      </c>
      <c r="C149" s="8" t="inlineStr">
        <is>
          <t>EDF</t>
        </is>
      </c>
      <c r="D149" s="9" t="n">
        <v>256.109</v>
      </c>
      <c r="E149" s="9" t="n">
        <v>285.613</v>
      </c>
      <c r="F149" s="9" t="n">
        <v>-29.504</v>
      </c>
      <c r="G149" s="10" t="n">
        <v>-0.1033</v>
      </c>
      <c r="H149" s="7" t="inlineStr">
        <is>
          <t>A0</t>
        </is>
      </c>
      <c r="J149" s="7" t="inlineStr">
        <is>
          <t>A</t>
        </is>
      </c>
      <c r="K149" s="7" t="inlineStr">
        <is>
          <t>Autres achats et charges externes</t>
        </is>
      </c>
      <c r="L149" s="7" t="inlineStr">
        <is>
          <t>Autres achats et charges externes</t>
        </is>
      </c>
      <c r="M149" s="7" t="inlineStr">
        <is>
          <t>Charges</t>
        </is>
      </c>
      <c r="N149" s="7" t="inlineStr">
        <is>
          <t>Charges</t>
        </is>
      </c>
    </row>
    <row r="150">
      <c r="B150" s="7" t="inlineStr">
        <is>
          <t>606130</t>
        </is>
      </c>
      <c r="C150" s="8" t="inlineStr">
        <is>
          <t>CARBURANTS</t>
        </is>
      </c>
      <c r="D150" s="9" t="n">
        <v>8.127000000000001</v>
      </c>
      <c r="E150" s="9" t="n">
        <v>9.66</v>
      </c>
      <c r="F150" s="9" t="n">
        <v>-1.533</v>
      </c>
      <c r="G150" s="10" t="n">
        <v>-0.1587</v>
      </c>
      <c r="H150" s="7" t="inlineStr">
        <is>
          <t>A0</t>
        </is>
      </c>
      <c r="J150" s="7" t="inlineStr">
        <is>
          <t>A</t>
        </is>
      </c>
      <c r="K150" s="7" t="inlineStr">
        <is>
          <t>Autres achats et charges externes</t>
        </is>
      </c>
      <c r="L150" s="7" t="inlineStr">
        <is>
          <t>Autres achats et charges externes</t>
        </is>
      </c>
      <c r="M150" s="7" t="inlineStr">
        <is>
          <t>Charges</t>
        </is>
      </c>
      <c r="N150" s="7" t="inlineStr">
        <is>
          <t>Charges</t>
        </is>
      </c>
    </row>
    <row r="151">
      <c r="B151" s="7" t="inlineStr">
        <is>
          <t>606300</t>
        </is>
      </c>
      <c r="C151" s="8" t="inlineStr">
        <is>
          <t>PETIT OUTILLAGE</t>
        </is>
      </c>
      <c r="D151" s="9" t="n">
        <v>6.21</v>
      </c>
      <c r="E151" s="9" t="n">
        <v>13.192</v>
      </c>
      <c r="F151" s="9" t="n">
        <v>-6.982</v>
      </c>
      <c r="G151" s="10" t="n">
        <v>-0.5293</v>
      </c>
      <c r="H151" s="7" t="inlineStr">
        <is>
          <t>A0</t>
        </is>
      </c>
      <c r="J151" s="7" t="inlineStr">
        <is>
          <t>A</t>
        </is>
      </c>
      <c r="K151" s="7" t="inlineStr">
        <is>
          <t>Autres achats et charges externes</t>
        </is>
      </c>
      <c r="L151" s="7" t="inlineStr">
        <is>
          <t>Autres achats et charges externes</t>
        </is>
      </c>
      <c r="M151" s="7" t="inlineStr">
        <is>
          <t>Charges</t>
        </is>
      </c>
      <c r="N151" s="7" t="inlineStr">
        <is>
          <t>Charges</t>
        </is>
      </c>
    </row>
    <row r="152">
      <c r="B152" s="7" t="inlineStr">
        <is>
          <t>606400</t>
        </is>
      </c>
      <c r="C152" s="8" t="inlineStr">
        <is>
          <t>FOURNITURES DE BUREAU</t>
        </is>
      </c>
      <c r="D152" s="9" t="n">
        <v>11.344</v>
      </c>
      <c r="E152" s="9" t="n">
        <v>43.784</v>
      </c>
      <c r="F152" s="9" t="n">
        <v>-32.44</v>
      </c>
      <c r="G152" s="10" t="n">
        <v>-0.7409</v>
      </c>
      <c r="H152" s="7" t="inlineStr">
        <is>
          <t>A0</t>
        </is>
      </c>
      <c r="J152" s="7" t="inlineStr">
        <is>
          <t>A</t>
        </is>
      </c>
      <c r="K152" s="7" t="inlineStr">
        <is>
          <t>Autres achats et charges externes</t>
        </is>
      </c>
      <c r="L152" s="7" t="inlineStr">
        <is>
          <t>Autres achats et charges externes</t>
        </is>
      </c>
      <c r="M152" s="7" t="inlineStr">
        <is>
          <t>Charges</t>
        </is>
      </c>
      <c r="N152" s="7" t="inlineStr">
        <is>
          <t>Charges</t>
        </is>
      </c>
    </row>
    <row r="153">
      <c r="B153" s="7" t="inlineStr">
        <is>
          <t>606430</t>
        </is>
      </c>
      <c r="C153" s="8" t="inlineStr">
        <is>
          <t>FRAIS IMPRESSIONS &amp; REPROGRAPHIE</t>
        </is>
      </c>
      <c r="D153" s="9" t="n">
        <v>2.98</v>
      </c>
      <c r="E153" s="9" t="n">
        <v>2.393</v>
      </c>
      <c r="F153" s="9" t="n">
        <v>0.587</v>
      </c>
      <c r="G153" s="10" t="n">
        <v>0.2453</v>
      </c>
      <c r="H153" s="7" t="inlineStr">
        <is>
          <t>A0</t>
        </is>
      </c>
      <c r="J153" s="7" t="inlineStr">
        <is>
          <t>A</t>
        </is>
      </c>
      <c r="K153" s="7" t="inlineStr">
        <is>
          <t>Autres achats et charges externes</t>
        </is>
      </c>
      <c r="L153" s="7" t="inlineStr">
        <is>
          <t>Autres achats et charges externes</t>
        </is>
      </c>
      <c r="M153" s="7" t="inlineStr">
        <is>
          <t>Charges</t>
        </is>
      </c>
      <c r="N153" s="7" t="inlineStr">
        <is>
          <t>Charges</t>
        </is>
      </c>
    </row>
    <row r="154">
      <c r="B154" s="7" t="inlineStr">
        <is>
          <t>607000</t>
        </is>
      </c>
      <c r="C154" s="8" t="inlineStr">
        <is>
          <t>MSES NEGOCES France</t>
        </is>
      </c>
      <c r="D154" s="9" t="n">
        <v>555.276</v>
      </c>
      <c r="E154" s="9" t="n">
        <v>415.514</v>
      </c>
      <c r="F154" s="9" t="n">
        <v>139.762</v>
      </c>
      <c r="G154" s="10" t="n">
        <v>0.3364</v>
      </c>
      <c r="H154" s="7" t="inlineStr">
        <is>
          <t>A0</t>
        </is>
      </c>
      <c r="J154" s="7" t="inlineStr">
        <is>
          <t>A</t>
        </is>
      </c>
      <c r="K154" s="7" t="inlineStr">
        <is>
          <t>Achats de marchandises</t>
        </is>
      </c>
      <c r="L154" s="7" t="inlineStr">
        <is>
          <t>Achats de marchandises</t>
        </is>
      </c>
      <c r="M154" s="7" t="inlineStr">
        <is>
          <t>Charges</t>
        </is>
      </c>
      <c r="N154" s="7" t="inlineStr">
        <is>
          <t>Charges</t>
        </is>
      </c>
    </row>
    <row r="155">
      <c r="B155" s="7" t="inlineStr">
        <is>
          <t>607010</t>
        </is>
      </c>
      <c r="C155" s="8" t="inlineStr">
        <is>
          <t>MSES NEGOCES UNION EUROPEEN</t>
        </is>
      </c>
      <c r="D155" s="9" t="n">
        <v>960.287</v>
      </c>
      <c r="E155" s="9" t="n">
        <v>295.191</v>
      </c>
      <c r="F155" s="9" t="n">
        <v>665.096</v>
      </c>
      <c r="G155" s="10" t="n">
        <v>2.2531</v>
      </c>
      <c r="H155" s="7" t="inlineStr">
        <is>
          <t>A0</t>
        </is>
      </c>
      <c r="J155" s="7" t="inlineStr">
        <is>
          <t>A</t>
        </is>
      </c>
      <c r="K155" s="7" t="inlineStr">
        <is>
          <t>Achats de marchandises</t>
        </is>
      </c>
      <c r="L155" s="7" t="inlineStr">
        <is>
          <t>Achats de marchandises</t>
        </is>
      </c>
      <c r="M155" s="7" t="inlineStr">
        <is>
          <t>Charges</t>
        </is>
      </c>
      <c r="N155" s="7" t="inlineStr">
        <is>
          <t>Charges</t>
        </is>
      </c>
    </row>
    <row r="156">
      <c r="B156" s="7" t="inlineStr">
        <is>
          <t>607030</t>
        </is>
      </c>
      <c r="C156" s="8" t="inlineStr">
        <is>
          <t>MSES NEGOCES EXPORT</t>
        </is>
      </c>
      <c r="D156" s="9" t="n">
        <v>1.98</v>
      </c>
      <c r="E156" s="9" t="n">
        <v>0</v>
      </c>
      <c r="F156" s="9" t="n">
        <v>1.98</v>
      </c>
      <c r="G156" s="8" t="inlineStr">
        <is>
          <t>n/a</t>
        </is>
      </c>
      <c r="H156" s="7" t="inlineStr">
        <is>
          <t>A0</t>
        </is>
      </c>
      <c r="J156" s="7" t="inlineStr">
        <is>
          <t>A</t>
        </is>
      </c>
      <c r="K156" s="7" t="inlineStr"/>
      <c r="L156" s="7" t="inlineStr"/>
      <c r="M156" s="7" t="inlineStr">
        <is>
          <t>Charges</t>
        </is>
      </c>
      <c r="N156" s="7" t="inlineStr">
        <is>
          <t>Charges</t>
        </is>
      </c>
    </row>
    <row r="157">
      <c r="B157" s="7" t="inlineStr">
        <is>
          <t>608100</t>
        </is>
      </c>
      <c r="C157" s="8" t="inlineStr">
        <is>
          <t>TRSP SUR ACHATS EXPL FOURNISS HT</t>
        </is>
      </c>
      <c r="D157" s="9" t="n">
        <v>93.708</v>
      </c>
      <c r="E157" s="9" t="n">
        <v>12.128</v>
      </c>
      <c r="F157" s="9" t="n">
        <v>81.58</v>
      </c>
      <c r="G157" s="10" t="n">
        <v>6.7265</v>
      </c>
      <c r="H157" s="7" t="inlineStr">
        <is>
          <t>A0</t>
        </is>
      </c>
      <c r="J157" s="7" t="inlineStr">
        <is>
          <t>A</t>
        </is>
      </c>
      <c r="K157" s="7" t="inlineStr">
        <is>
          <t>Achat de matières premières et autres approvisionnements</t>
        </is>
      </c>
      <c r="L157" s="7" t="inlineStr">
        <is>
          <t>Achat de matières premières et autres approvisionnements</t>
        </is>
      </c>
      <c r="M157" s="7" t="inlineStr">
        <is>
          <t>Charges</t>
        </is>
      </c>
      <c r="N157" s="7" t="inlineStr">
        <is>
          <t>Charges</t>
        </is>
      </c>
    </row>
    <row r="158">
      <c r="B158" s="7" t="inlineStr">
        <is>
          <t>608110</t>
        </is>
      </c>
      <c r="C158" s="8" t="inlineStr">
        <is>
          <t>TRSP SUR ACHATS UNION EUROPEENNE</t>
        </is>
      </c>
      <c r="D158" s="9" t="n">
        <v>11.114</v>
      </c>
      <c r="E158" s="9" t="n">
        <v>6.668</v>
      </c>
      <c r="F158" s="9" t="n">
        <v>4.446</v>
      </c>
      <c r="G158" s="10" t="n">
        <v>0.6667</v>
      </c>
      <c r="H158" s="7" t="inlineStr">
        <is>
          <t>A0</t>
        </is>
      </c>
      <c r="J158" s="7" t="inlineStr">
        <is>
          <t>A</t>
        </is>
      </c>
      <c r="K158" s="7" t="inlineStr">
        <is>
          <t>Achat de matières premières et autres approvisionnements</t>
        </is>
      </c>
      <c r="L158" s="7" t="inlineStr">
        <is>
          <t>Achat de matières premières et autres approvisionnements</t>
        </is>
      </c>
      <c r="M158" s="7" t="inlineStr">
        <is>
          <t>Charges</t>
        </is>
      </c>
      <c r="N158" s="7" t="inlineStr">
        <is>
          <t>Charges</t>
        </is>
      </c>
    </row>
    <row r="159">
      <c r="B159" s="7" t="inlineStr">
        <is>
          <t>608140</t>
        </is>
      </c>
      <c r="C159" s="8" t="inlineStr">
        <is>
          <t>TRSP SUR ACHATS EXPL TRANSPOR</t>
        </is>
      </c>
      <c r="D159" s="9" t="n">
        <v>81.84699999999999</v>
      </c>
      <c r="E159" s="9" t="n">
        <v>56.398</v>
      </c>
      <c r="F159" s="9" t="n">
        <v>25.449</v>
      </c>
      <c r="G159" s="10" t="n">
        <v>0.4512</v>
      </c>
      <c r="H159" s="7" t="inlineStr">
        <is>
          <t>A0</t>
        </is>
      </c>
      <c r="J159" s="7" t="inlineStr">
        <is>
          <t>A</t>
        </is>
      </c>
      <c r="K159" s="7" t="inlineStr">
        <is>
          <t>Achat de matières premières et autres approvisionnements</t>
        </is>
      </c>
      <c r="L159" s="7" t="inlineStr">
        <is>
          <t>Achat de matières premières et autres approvisionnements</t>
        </is>
      </c>
      <c r="M159" s="7" t="inlineStr">
        <is>
          <t>Charges</t>
        </is>
      </c>
      <c r="N159" s="7" t="inlineStr">
        <is>
          <t>Charges</t>
        </is>
      </c>
    </row>
    <row r="160">
      <c r="B160" s="7" t="inlineStr">
        <is>
          <t>608500</t>
        </is>
      </c>
      <c r="C160" s="8" t="inlineStr">
        <is>
          <t>DROITS FRAIS DOUANES SUR ACHATS</t>
        </is>
      </c>
      <c r="D160" s="9" t="n">
        <v>27.431</v>
      </c>
      <c r="E160" s="9" t="n">
        <v>8.882999999999999</v>
      </c>
      <c r="F160" s="9" t="n">
        <v>18.548</v>
      </c>
      <c r="G160" s="10" t="n">
        <v>2.088</v>
      </c>
      <c r="H160" s="7" t="inlineStr">
        <is>
          <t>A0</t>
        </is>
      </c>
      <c r="J160" s="7" t="inlineStr">
        <is>
          <t>A</t>
        </is>
      </c>
      <c r="K160" s="7" t="inlineStr">
        <is>
          <t>Autres achats et charges externes</t>
        </is>
      </c>
      <c r="L160" s="7" t="inlineStr">
        <is>
          <t>Autres achats et charges externes</t>
        </is>
      </c>
      <c r="M160" s="7" t="inlineStr">
        <is>
          <t>Charges</t>
        </is>
      </c>
      <c r="N160" s="7" t="inlineStr">
        <is>
          <t>Charges</t>
        </is>
      </c>
    </row>
    <row r="161">
      <c r="B161" s="7" t="inlineStr">
        <is>
          <t>608800</t>
        </is>
      </c>
      <c r="C161" s="8" t="inlineStr">
        <is>
          <t>FRAIS AUTRES</t>
        </is>
      </c>
      <c r="D161" s="9" t="n">
        <v>5.712</v>
      </c>
      <c r="E161" s="9" t="n">
        <v>4.439</v>
      </c>
      <c r="F161" s="9" t="n">
        <v>1.273</v>
      </c>
      <c r="G161" s="10" t="n">
        <v>0.2868</v>
      </c>
      <c r="H161" s="7" t="inlineStr">
        <is>
          <t>A0</t>
        </is>
      </c>
      <c r="J161" s="7" t="inlineStr">
        <is>
          <t>A</t>
        </is>
      </c>
      <c r="K161" s="7" t="inlineStr"/>
      <c r="L161" s="7" t="inlineStr"/>
      <c r="M161" s="7" t="inlineStr">
        <is>
          <t>Charges</t>
        </is>
      </c>
      <c r="N161" s="7" t="inlineStr">
        <is>
          <t>Charges</t>
        </is>
      </c>
    </row>
    <row r="162">
      <c r="B162" s="7" t="inlineStr">
        <is>
          <t>609100</t>
        </is>
      </c>
      <c r="C162" s="8" t="inlineStr">
        <is>
          <t>RRR OBTENUS / ACHATS</t>
        </is>
      </c>
      <c r="D162" s="9" t="n">
        <v>-5.691</v>
      </c>
      <c r="E162" s="9" t="n">
        <v>-6.642</v>
      </c>
      <c r="F162" s="9" t="n">
        <v>0.951</v>
      </c>
      <c r="G162" s="10" t="n">
        <v>0.1432</v>
      </c>
      <c r="H162" s="7" t="inlineStr">
        <is>
          <t>A0</t>
        </is>
      </c>
      <c r="J162" s="7" t="inlineStr">
        <is>
          <t>A</t>
        </is>
      </c>
      <c r="K162" s="7" t="inlineStr">
        <is>
          <t>Achat de matières premières et autres approvisionnements</t>
        </is>
      </c>
      <c r="L162" s="7" t="inlineStr">
        <is>
          <t>Achat de matières premières et autres approvisionnements</t>
        </is>
      </c>
      <c r="M162" s="7" t="inlineStr">
        <is>
          <t>Charges</t>
        </is>
      </c>
      <c r="N162" s="7" t="inlineStr">
        <is>
          <t>Charges</t>
        </is>
      </c>
    </row>
    <row r="163">
      <c r="B163" s="7" t="inlineStr">
        <is>
          <t>609130</t>
        </is>
      </c>
      <c r="C163" s="8" t="inlineStr">
        <is>
          <t>RRR OBTENUS SUR ACHATS UNIONS EUROP</t>
        </is>
      </c>
      <c r="D163" s="9" t="n">
        <v>-1.482</v>
      </c>
      <c r="E163" s="9" t="n">
        <v>-0.276</v>
      </c>
      <c r="F163" s="9" t="n">
        <v>-1.206</v>
      </c>
      <c r="G163" s="10" t="n">
        <v>-4.3696</v>
      </c>
      <c r="H163" s="7" t="inlineStr">
        <is>
          <t>A0</t>
        </is>
      </c>
      <c r="J163" s="7" t="inlineStr">
        <is>
          <t>A</t>
        </is>
      </c>
      <c r="K163" s="7" t="inlineStr">
        <is>
          <t>Achat de matières premières et autres approvisionnements</t>
        </is>
      </c>
      <c r="L163" s="7" t="inlineStr">
        <is>
          <t>Achat de matières premières et autres approvisionnements</t>
        </is>
      </c>
      <c r="M163" s="7" t="inlineStr">
        <is>
          <t>Charges</t>
        </is>
      </c>
      <c r="N163" s="7" t="inlineStr">
        <is>
          <t>Charges</t>
        </is>
      </c>
    </row>
    <row r="164">
      <c r="B164" s="7" t="inlineStr">
        <is>
          <t>611000</t>
        </is>
      </c>
      <c r="C164" s="8" t="inlineStr">
        <is>
          <t>SOUS TRAITANCE GENERALE</t>
        </is>
      </c>
      <c r="D164" s="9" t="n">
        <v>25.272</v>
      </c>
      <c r="E164" s="9" t="n">
        <v>14.156</v>
      </c>
      <c r="F164" s="9" t="n">
        <v>11.116</v>
      </c>
      <c r="G164" s="10" t="n">
        <v>0.7852</v>
      </c>
      <c r="H164" s="7" t="inlineStr">
        <is>
          <t>A0</t>
        </is>
      </c>
      <c r="J164" s="7" t="inlineStr">
        <is>
          <t>A</t>
        </is>
      </c>
      <c r="K164" s="7" t="inlineStr">
        <is>
          <t>Autres achats et charges externes</t>
        </is>
      </c>
      <c r="L164" s="7" t="inlineStr">
        <is>
          <t>Autres achats et charges externes</t>
        </is>
      </c>
      <c r="M164" s="7" t="inlineStr">
        <is>
          <t>Charges</t>
        </is>
      </c>
      <c r="N164" s="7" t="inlineStr">
        <is>
          <t>Charges</t>
        </is>
      </c>
    </row>
    <row r="165">
      <c r="B165" s="7" t="inlineStr">
        <is>
          <t>611010</t>
        </is>
      </c>
      <c r="C165" s="8" t="inlineStr">
        <is>
          <t>PRESTATIONS INFORMATIQUES</t>
        </is>
      </c>
      <c r="D165" s="9" t="n">
        <v>189.261</v>
      </c>
      <c r="E165" s="9" t="n">
        <v>250.87</v>
      </c>
      <c r="F165" s="9" t="n">
        <v>-61.609</v>
      </c>
      <c r="G165" s="10" t="n">
        <v>-0.2456</v>
      </c>
      <c r="H165" s="7" t="inlineStr">
        <is>
          <t>A0</t>
        </is>
      </c>
      <c r="J165" s="7" t="inlineStr">
        <is>
          <t>A</t>
        </is>
      </c>
      <c r="K165" s="7" t="inlineStr">
        <is>
          <t>Autres achats et charges externes</t>
        </is>
      </c>
      <c r="L165" s="7" t="inlineStr">
        <is>
          <t>Autres achats et charges externes</t>
        </is>
      </c>
      <c r="M165" s="7" t="inlineStr">
        <is>
          <t>Charges</t>
        </is>
      </c>
      <c r="N165" s="7" t="inlineStr">
        <is>
          <t>Charges</t>
        </is>
      </c>
    </row>
    <row r="166">
      <c r="B166" s="7" t="inlineStr">
        <is>
          <t>611020</t>
        </is>
      </c>
      <c r="C166" s="8" t="inlineStr">
        <is>
          <t>PRESTATIONS ADMINISTRATIVES</t>
        </is>
      </c>
      <c r="D166" s="9" t="n">
        <v>1.01</v>
      </c>
      <c r="E166" s="9" t="n">
        <v>0</v>
      </c>
      <c r="F166" s="9" t="n">
        <v>1.01</v>
      </c>
      <c r="G166" s="8" t="inlineStr">
        <is>
          <t>n/a</t>
        </is>
      </c>
      <c r="H166" s="7" t="inlineStr">
        <is>
          <t>A0</t>
        </is>
      </c>
      <c r="J166" s="7" t="inlineStr">
        <is>
          <t>A</t>
        </is>
      </c>
      <c r="K166" s="7" t="inlineStr"/>
      <c r="L166" s="7" t="inlineStr"/>
      <c r="M166" s="7" t="inlineStr">
        <is>
          <t>Charges</t>
        </is>
      </c>
      <c r="N166" s="7" t="inlineStr">
        <is>
          <t>Charges</t>
        </is>
      </c>
    </row>
    <row r="167">
      <c r="B167" s="7" t="inlineStr">
        <is>
          <t>611030</t>
        </is>
      </c>
      <c r="C167" s="8" t="inlineStr">
        <is>
          <t>PRESTATION TECHNIQUES</t>
        </is>
      </c>
      <c r="D167" s="9" t="n">
        <v>110.991</v>
      </c>
      <c r="E167" s="9" t="n">
        <v>79.831</v>
      </c>
      <c r="F167" s="9" t="n">
        <v>31.16</v>
      </c>
      <c r="G167" s="10" t="n">
        <v>0.3903</v>
      </c>
      <c r="H167" s="7" t="inlineStr">
        <is>
          <t>A0</t>
        </is>
      </c>
      <c r="J167" s="7" t="inlineStr">
        <is>
          <t>A</t>
        </is>
      </c>
      <c r="K167" s="7" t="inlineStr">
        <is>
          <t>Autres achats et charges externes</t>
        </is>
      </c>
      <c r="L167" s="7" t="inlineStr">
        <is>
          <t>Autres achats et charges externes</t>
        </is>
      </c>
      <c r="M167" s="7" t="inlineStr">
        <is>
          <t>Charges</t>
        </is>
      </c>
      <c r="N167" s="7" t="inlineStr">
        <is>
          <t>Charges</t>
        </is>
      </c>
    </row>
    <row r="168">
      <c r="B168" s="7" t="inlineStr">
        <is>
          <t>613200</t>
        </is>
      </c>
      <c r="C168" s="8" t="inlineStr">
        <is>
          <t>LOYER USINE ET ENTREPOT</t>
        </is>
      </c>
      <c r="D168" s="9" t="n">
        <v>5.36</v>
      </c>
      <c r="E168" s="9" t="n">
        <v>21.49</v>
      </c>
      <c r="F168" s="9" t="n">
        <v>-16.13</v>
      </c>
      <c r="G168" s="10" t="n">
        <v>-0.7506</v>
      </c>
      <c r="H168" s="7" t="inlineStr">
        <is>
          <t>A0</t>
        </is>
      </c>
      <c r="J168" s="7" t="inlineStr">
        <is>
          <t>A</t>
        </is>
      </c>
      <c r="K168" s="7" t="inlineStr">
        <is>
          <t>Autres achats et charges externes</t>
        </is>
      </c>
      <c r="L168" s="7" t="inlineStr">
        <is>
          <t>Autres achats et charges externes</t>
        </is>
      </c>
      <c r="M168" s="7" t="inlineStr">
        <is>
          <t>Charges</t>
        </is>
      </c>
      <c r="N168" s="7" t="inlineStr">
        <is>
          <t>Charges</t>
        </is>
      </c>
    </row>
    <row r="169">
      <c r="B169" s="7" t="inlineStr">
        <is>
          <t>613201</t>
        </is>
      </c>
      <c r="C169" s="8" t="inlineStr">
        <is>
          <t>LOYER USINE ET ENTREPOT GROUPE</t>
        </is>
      </c>
      <c r="D169" s="9" t="n">
        <v>416.167</v>
      </c>
      <c r="E169" s="9" t="n">
        <v>300.459</v>
      </c>
      <c r="F169" s="9" t="n">
        <v>115.708</v>
      </c>
      <c r="G169" s="10" t="n">
        <v>0.3851</v>
      </c>
      <c r="H169" s="7" t="inlineStr">
        <is>
          <t>A0</t>
        </is>
      </c>
      <c r="J169" s="7" t="inlineStr">
        <is>
          <t>A</t>
        </is>
      </c>
      <c r="K169" s="7" t="inlineStr">
        <is>
          <t>Autres achats et charges externes</t>
        </is>
      </c>
      <c r="L169" s="7" t="inlineStr">
        <is>
          <t>Autres achats et charges externes</t>
        </is>
      </c>
      <c r="M169" s="7" t="inlineStr">
        <is>
          <t>Charges</t>
        </is>
      </c>
      <c r="N169" s="7" t="inlineStr">
        <is>
          <t>Charges</t>
        </is>
      </c>
    </row>
    <row r="170">
      <c r="B170" s="7" t="inlineStr">
        <is>
          <t>613500</t>
        </is>
      </c>
      <c r="C170" s="8" t="inlineStr">
        <is>
          <t>LOCATION STANDS SALONS</t>
        </is>
      </c>
      <c r="D170" s="9" t="n">
        <v>103.74</v>
      </c>
      <c r="E170" s="9" t="n">
        <v>68.527</v>
      </c>
      <c r="F170" s="9" t="n">
        <v>35.213</v>
      </c>
      <c r="G170" s="10" t="n">
        <v>0.5139</v>
      </c>
      <c r="H170" s="7" t="inlineStr">
        <is>
          <t>A0</t>
        </is>
      </c>
      <c r="J170" s="7" t="inlineStr">
        <is>
          <t>A</t>
        </is>
      </c>
      <c r="K170" s="7" t="inlineStr">
        <is>
          <t>Autres achats et charges externes</t>
        </is>
      </c>
      <c r="L170" s="7" t="inlineStr">
        <is>
          <t>Autres achats et charges externes</t>
        </is>
      </c>
      <c r="M170" s="7" t="inlineStr">
        <is>
          <t>Charges</t>
        </is>
      </c>
      <c r="N170" s="7" t="inlineStr">
        <is>
          <t>Charges</t>
        </is>
      </c>
    </row>
    <row r="171">
      <c r="B171" s="7" t="inlineStr">
        <is>
          <t>613580</t>
        </is>
      </c>
      <c r="C171" s="8" t="inlineStr">
        <is>
          <t>LOCATIONS DE VEHICULES TTC</t>
        </is>
      </c>
      <c r="D171" s="9" t="n">
        <v>18.122</v>
      </c>
      <c r="E171" s="9" t="n">
        <v>24.679</v>
      </c>
      <c r="F171" s="9" t="n">
        <v>-6.557</v>
      </c>
      <c r="G171" s="10" t="n">
        <v>-0.2657</v>
      </c>
      <c r="H171" s="7" t="inlineStr">
        <is>
          <t>A0</t>
        </is>
      </c>
      <c r="J171" s="7" t="inlineStr">
        <is>
          <t>A</t>
        </is>
      </c>
      <c r="K171" s="7" t="inlineStr">
        <is>
          <t>Autres achats et charges externes</t>
        </is>
      </c>
      <c r="L171" s="7" t="inlineStr">
        <is>
          <t>Autres achats et charges externes</t>
        </is>
      </c>
      <c r="M171" s="7" t="inlineStr">
        <is>
          <t>Charges</t>
        </is>
      </c>
      <c r="N171" s="7" t="inlineStr">
        <is>
          <t>Charges</t>
        </is>
      </c>
    </row>
    <row r="172">
      <c r="B172" s="7" t="inlineStr">
        <is>
          <t>613585</t>
        </is>
      </c>
      <c r="C172" s="8" t="inlineStr">
        <is>
          <t>LOCATIONS MATERIELS DE BUREAU</t>
        </is>
      </c>
      <c r="D172" s="9" t="n">
        <v>11.395</v>
      </c>
      <c r="E172" s="9" t="n">
        <v>9.377000000000001</v>
      </c>
      <c r="F172" s="9" t="n">
        <v>2.018</v>
      </c>
      <c r="G172" s="10" t="n">
        <v>0.2152</v>
      </c>
      <c r="H172" s="7" t="inlineStr">
        <is>
          <t>A0</t>
        </is>
      </c>
      <c r="J172" s="7" t="inlineStr">
        <is>
          <t>A</t>
        </is>
      </c>
      <c r="K172" s="7" t="inlineStr">
        <is>
          <t>Autres achats et charges externes</t>
        </is>
      </c>
      <c r="L172" s="7" t="inlineStr">
        <is>
          <t>Autres achats et charges externes</t>
        </is>
      </c>
      <c r="M172" s="7" t="inlineStr">
        <is>
          <t>Charges</t>
        </is>
      </c>
      <c r="N172" s="7" t="inlineStr">
        <is>
          <t>Charges</t>
        </is>
      </c>
    </row>
    <row r="173">
      <c r="B173" s="7" t="inlineStr">
        <is>
          <t>614000</t>
        </is>
      </c>
      <c r="C173" s="8" t="inlineStr">
        <is>
          <t>CHARGES LOCATIVES</t>
        </is>
      </c>
      <c r="D173" s="9" t="n">
        <v>0.099</v>
      </c>
      <c r="E173" s="9" t="n">
        <v>12.707</v>
      </c>
      <c r="F173" s="9" t="n">
        <v>-12.608</v>
      </c>
      <c r="G173" s="10" t="n">
        <v>-0.9922</v>
      </c>
      <c r="H173" s="7" t="inlineStr">
        <is>
          <t>A0</t>
        </is>
      </c>
      <c r="J173" s="7" t="inlineStr">
        <is>
          <t>A</t>
        </is>
      </c>
      <c r="K173" s="7" t="inlineStr">
        <is>
          <t>Autres achats et charges externes</t>
        </is>
      </c>
      <c r="L173" s="7" t="inlineStr">
        <is>
          <t>Autres achats et charges externes</t>
        </is>
      </c>
      <c r="M173" s="7" t="inlineStr">
        <is>
          <t>Charges</t>
        </is>
      </c>
      <c r="N173" s="7" t="inlineStr">
        <is>
          <t>Charges</t>
        </is>
      </c>
    </row>
    <row r="174">
      <c r="B174" s="7" t="inlineStr">
        <is>
          <t>614001</t>
        </is>
      </c>
      <c r="C174" s="8" t="inlineStr">
        <is>
          <t>CHARGES LOCATIVES GROUPE</t>
        </is>
      </c>
      <c r="D174" s="9" t="n">
        <v>12.24</v>
      </c>
      <c r="E174" s="9" t="n">
        <v>12.085</v>
      </c>
      <c r="F174" s="9" t="n">
        <v>0.155</v>
      </c>
      <c r="G174" s="10" t="n">
        <v>0.0128</v>
      </c>
      <c r="H174" s="7" t="inlineStr">
        <is>
          <t>A0</t>
        </is>
      </c>
      <c r="J174" s="7" t="inlineStr">
        <is>
          <t>A</t>
        </is>
      </c>
      <c r="K174" s="7" t="inlineStr">
        <is>
          <t>Autres achats et charges externes</t>
        </is>
      </c>
      <c r="L174" s="7" t="inlineStr">
        <is>
          <t>Autres achats et charges externes</t>
        </is>
      </c>
      <c r="M174" s="7" t="inlineStr">
        <is>
          <t>Charges</t>
        </is>
      </c>
      <c r="N174" s="7" t="inlineStr">
        <is>
          <t>Charges</t>
        </is>
      </c>
    </row>
    <row r="175">
      <c r="B175" s="7" t="inlineStr">
        <is>
          <t>615200</t>
        </is>
      </c>
      <c r="C175" s="8" t="inlineStr">
        <is>
          <t>FOURN ENTRETIEN LOCAUX</t>
        </is>
      </c>
      <c r="D175" s="9" t="n">
        <v>25.323</v>
      </c>
      <c r="E175" s="9" t="n">
        <v>21.164</v>
      </c>
      <c r="F175" s="9" t="n">
        <v>4.159</v>
      </c>
      <c r="G175" s="10" t="n">
        <v>0.1965</v>
      </c>
      <c r="H175" s="7" t="inlineStr">
        <is>
          <t>A0</t>
        </is>
      </c>
      <c r="J175" s="7" t="inlineStr">
        <is>
          <t>A</t>
        </is>
      </c>
      <c r="K175" s="7" t="inlineStr">
        <is>
          <t>Autres achats et charges externes</t>
        </is>
      </c>
      <c r="L175" s="7" t="inlineStr">
        <is>
          <t>Autres achats et charges externes</t>
        </is>
      </c>
      <c r="M175" s="7" t="inlineStr">
        <is>
          <t>Charges</t>
        </is>
      </c>
      <c r="N175" s="7" t="inlineStr">
        <is>
          <t>Charges</t>
        </is>
      </c>
    </row>
    <row r="176">
      <c r="B176" s="7" t="inlineStr">
        <is>
          <t>615500</t>
        </is>
      </c>
      <c r="C176" s="8" t="inlineStr">
        <is>
          <t>ENTRETIEN ET REP MACHINES</t>
        </is>
      </c>
      <c r="D176" s="9" t="n">
        <v>0.57</v>
      </c>
      <c r="E176" s="9" t="n">
        <v>1.92</v>
      </c>
      <c r="F176" s="9" t="n">
        <v>-1.35</v>
      </c>
      <c r="G176" s="10" t="n">
        <v>-0.7030999999999999</v>
      </c>
      <c r="H176" s="7" t="inlineStr">
        <is>
          <t>A0</t>
        </is>
      </c>
      <c r="J176" s="7" t="inlineStr">
        <is>
          <t>A</t>
        </is>
      </c>
      <c r="K176" s="7" t="inlineStr">
        <is>
          <t>Autres achats et charges externes</t>
        </is>
      </c>
      <c r="L176" s="7" t="inlineStr">
        <is>
          <t>Autres achats et charges externes</t>
        </is>
      </c>
      <c r="M176" s="7" t="inlineStr">
        <is>
          <t>Charges</t>
        </is>
      </c>
      <c r="N176" s="7" t="inlineStr">
        <is>
          <t>Charges</t>
        </is>
      </c>
    </row>
    <row r="177">
      <c r="B177" s="7" t="inlineStr">
        <is>
          <t>615520</t>
        </is>
      </c>
      <c r="C177" s="8" t="inlineStr">
        <is>
          <t>ENTRETIEN ET REP MOULES</t>
        </is>
      </c>
      <c r="D177" s="9" t="n">
        <v>25.18</v>
      </c>
      <c r="E177" s="9" t="n">
        <v>11.006</v>
      </c>
      <c r="F177" s="9" t="n">
        <v>14.174</v>
      </c>
      <c r="G177" s="10" t="n">
        <v>1.2879</v>
      </c>
      <c r="H177" s="7" t="inlineStr">
        <is>
          <t>A0</t>
        </is>
      </c>
      <c r="J177" s="7" t="inlineStr">
        <is>
          <t>A</t>
        </is>
      </c>
      <c r="K177" s="7" t="inlineStr">
        <is>
          <t>Autres achats et charges externes</t>
        </is>
      </c>
      <c r="L177" s="7" t="inlineStr">
        <is>
          <t>Autres achats et charges externes</t>
        </is>
      </c>
      <c r="M177" s="7" t="inlineStr">
        <is>
          <t>Charges</t>
        </is>
      </c>
      <c r="N177" s="7" t="inlineStr">
        <is>
          <t>Charges</t>
        </is>
      </c>
    </row>
    <row r="178">
      <c r="B178" s="7" t="inlineStr">
        <is>
          <t>615580</t>
        </is>
      </c>
      <c r="C178" s="8" t="inlineStr">
        <is>
          <t>ENTRETIEN MATERIEL DE TRANSPORT HT</t>
        </is>
      </c>
      <c r="D178" s="9" t="n">
        <v>19.321</v>
      </c>
      <c r="E178" s="9" t="n">
        <v>15.68</v>
      </c>
      <c r="F178" s="9" t="n">
        <v>3.641</v>
      </c>
      <c r="G178" s="10" t="n">
        <v>0.2322</v>
      </c>
      <c r="H178" s="7" t="inlineStr">
        <is>
          <t>A0</t>
        </is>
      </c>
      <c r="J178" s="7" t="inlineStr">
        <is>
          <t>A</t>
        </is>
      </c>
      <c r="K178" s="7" t="inlineStr">
        <is>
          <t>Autres achats et charges externes</t>
        </is>
      </c>
      <c r="L178" s="7" t="inlineStr">
        <is>
          <t>Autres achats et charges externes</t>
        </is>
      </c>
      <c r="M178" s="7" t="inlineStr">
        <is>
          <t>Charges</t>
        </is>
      </c>
      <c r="N178" s="7" t="inlineStr">
        <is>
          <t>Charges</t>
        </is>
      </c>
    </row>
    <row r="179">
      <c r="B179" s="7" t="inlineStr">
        <is>
          <t>615581</t>
        </is>
      </c>
      <c r="C179" s="8" t="inlineStr">
        <is>
          <t>ENTRETIEN MATERIEL DE TRANSPORT TTC</t>
        </is>
      </c>
      <c r="D179" s="9" t="n">
        <v>6.057</v>
      </c>
      <c r="E179" s="9" t="n">
        <v>15.111</v>
      </c>
      <c r="F179" s="9" t="n">
        <v>-9.054</v>
      </c>
      <c r="G179" s="10" t="n">
        <v>-0.5992</v>
      </c>
      <c r="H179" s="7" t="inlineStr">
        <is>
          <t>A0</t>
        </is>
      </c>
      <c r="J179" s="7" t="inlineStr">
        <is>
          <t>A</t>
        </is>
      </c>
      <c r="K179" s="7" t="inlineStr">
        <is>
          <t>Autres achats et charges externes</t>
        </is>
      </c>
      <c r="L179" s="7" t="inlineStr">
        <is>
          <t>Autres achats et charges externes</t>
        </is>
      </c>
      <c r="M179" s="7" t="inlineStr">
        <is>
          <t>Charges</t>
        </is>
      </c>
      <c r="N179" s="7" t="inlineStr">
        <is>
          <t>Charges</t>
        </is>
      </c>
    </row>
    <row r="180">
      <c r="B180" s="7" t="inlineStr">
        <is>
          <t>615600</t>
        </is>
      </c>
      <c r="C180" s="8" t="inlineStr">
        <is>
          <t>MAINTENANCE MATERIEL</t>
        </is>
      </c>
      <c r="D180" s="9" t="n">
        <v>2.044</v>
      </c>
      <c r="E180" s="9" t="n">
        <v>1.805</v>
      </c>
      <c r="F180" s="9" t="n">
        <v>0.239</v>
      </c>
      <c r="G180" s="10" t="n">
        <v>0.1324</v>
      </c>
      <c r="H180" s="7" t="inlineStr">
        <is>
          <t>A0</t>
        </is>
      </c>
      <c r="J180" s="7" t="inlineStr">
        <is>
          <t>A</t>
        </is>
      </c>
      <c r="K180" s="7" t="inlineStr">
        <is>
          <t>Autres achats et charges externes</t>
        </is>
      </c>
      <c r="L180" s="7" t="inlineStr">
        <is>
          <t>Autres achats et charges externes</t>
        </is>
      </c>
      <c r="M180" s="7" t="inlineStr">
        <is>
          <t>Charges</t>
        </is>
      </c>
      <c r="N180" s="7" t="inlineStr">
        <is>
          <t>Charges</t>
        </is>
      </c>
    </row>
    <row r="181">
      <c r="B181" s="7" t="inlineStr">
        <is>
          <t>615610</t>
        </is>
      </c>
      <c r="C181" s="8" t="inlineStr">
        <is>
          <t>MAINT/ABONNEMENT LOGICIEL</t>
        </is>
      </c>
      <c r="D181" s="9" t="n">
        <v>2.499</v>
      </c>
      <c r="E181" s="9" t="n">
        <v>9.661</v>
      </c>
      <c r="F181" s="9" t="n">
        <v>-7.162</v>
      </c>
      <c r="G181" s="10" t="n">
        <v>-0.7413</v>
      </c>
      <c r="H181" s="7" t="inlineStr">
        <is>
          <t>A0</t>
        </is>
      </c>
      <c r="J181" s="7" t="inlineStr">
        <is>
          <t>A</t>
        </is>
      </c>
      <c r="K181" s="7" t="inlineStr">
        <is>
          <t>Autres achats et charges externes</t>
        </is>
      </c>
      <c r="L181" s="7" t="inlineStr">
        <is>
          <t>Autres achats et charges externes</t>
        </is>
      </c>
      <c r="M181" s="7" t="inlineStr">
        <is>
          <t>Charges</t>
        </is>
      </c>
      <c r="N181" s="7" t="inlineStr">
        <is>
          <t>Charges</t>
        </is>
      </c>
    </row>
    <row r="182">
      <c r="B182" s="7" t="inlineStr">
        <is>
          <t>616110</t>
        </is>
      </c>
      <c r="C182" s="8" t="inlineStr">
        <is>
          <t>ASSURANCE RESPONSABILITE CIVILE</t>
        </is>
      </c>
      <c r="D182" s="9" t="n">
        <v>69.854</v>
      </c>
      <c r="E182" s="9" t="n">
        <v>5.24</v>
      </c>
      <c r="F182" s="9" t="n">
        <v>64.614</v>
      </c>
      <c r="G182" s="10" t="n">
        <v>12.3309</v>
      </c>
      <c r="H182" s="7" t="inlineStr">
        <is>
          <t>A0</t>
        </is>
      </c>
      <c r="J182" s="7" t="inlineStr">
        <is>
          <t>A</t>
        </is>
      </c>
      <c r="K182" s="7" t="inlineStr">
        <is>
          <t>Autres achats et charges externes</t>
        </is>
      </c>
      <c r="L182" s="7" t="inlineStr">
        <is>
          <t>Autres achats et charges externes</t>
        </is>
      </c>
      <c r="M182" s="7" t="inlineStr">
        <is>
          <t>Charges</t>
        </is>
      </c>
      <c r="N182" s="7" t="inlineStr">
        <is>
          <t>Charges</t>
        </is>
      </c>
    </row>
    <row r="183">
      <c r="B183" s="7" t="inlineStr">
        <is>
          <t>616120</t>
        </is>
      </c>
      <c r="C183" s="8" t="inlineStr">
        <is>
          <t>ASSURANCE HOMME CLE</t>
        </is>
      </c>
      <c r="D183" s="9" t="n">
        <v>1.733</v>
      </c>
      <c r="E183" s="9" t="n">
        <v>0.708</v>
      </c>
      <c r="F183" s="9" t="n">
        <v>1.025</v>
      </c>
      <c r="G183" s="10" t="n">
        <v>1.447</v>
      </c>
      <c r="H183" s="7" t="inlineStr">
        <is>
          <t>A0</t>
        </is>
      </c>
      <c r="J183" s="7" t="inlineStr">
        <is>
          <t>A</t>
        </is>
      </c>
      <c r="K183" s="7" t="inlineStr">
        <is>
          <t>Autres achats et charges externes</t>
        </is>
      </c>
      <c r="L183" s="7" t="inlineStr">
        <is>
          <t>Autres achats et charges externes</t>
        </is>
      </c>
      <c r="M183" s="7" t="inlineStr">
        <is>
          <t>Charges</t>
        </is>
      </c>
      <c r="N183" s="7" t="inlineStr">
        <is>
          <t>Charges</t>
        </is>
      </c>
    </row>
    <row r="184">
      <c r="B184" s="7" t="inlineStr">
        <is>
          <t>616160</t>
        </is>
      </c>
      <c r="C184" s="8" t="inlineStr">
        <is>
          <t>ASSURANCE CREDIT CLIENT ALLIANZ</t>
        </is>
      </c>
      <c r="D184" s="9" t="n">
        <v>25.786</v>
      </c>
      <c r="E184" s="9" t="n">
        <v>43.083</v>
      </c>
      <c r="F184" s="9" t="n">
        <v>-17.297</v>
      </c>
      <c r="G184" s="10" t="n">
        <v>-0.4015</v>
      </c>
      <c r="H184" s="7" t="inlineStr">
        <is>
          <t>A0</t>
        </is>
      </c>
      <c r="J184" s="7" t="inlineStr">
        <is>
          <t>A</t>
        </is>
      </c>
      <c r="K184" s="7" t="inlineStr">
        <is>
          <t>Autres achats et charges externes</t>
        </is>
      </c>
      <c r="L184" s="7" t="inlineStr">
        <is>
          <t>Autres achats et charges externes</t>
        </is>
      </c>
      <c r="M184" s="7" t="inlineStr">
        <is>
          <t>Charges</t>
        </is>
      </c>
      <c r="N184" s="7" t="inlineStr">
        <is>
          <t>Charges</t>
        </is>
      </c>
    </row>
    <row r="185">
      <c r="B185" s="7" t="inlineStr">
        <is>
          <t>616170</t>
        </is>
      </c>
      <c r="C185" s="8" t="inlineStr">
        <is>
          <t>Assurance RCMS</t>
        </is>
      </c>
      <c r="D185" s="9" t="n">
        <v>1.098</v>
      </c>
      <c r="E185" s="9" t="n">
        <v>0</v>
      </c>
      <c r="F185" s="9" t="n">
        <v>1.098</v>
      </c>
      <c r="G185" s="8" t="inlineStr">
        <is>
          <t>n/a</t>
        </is>
      </c>
      <c r="H185" s="7" t="inlineStr">
        <is>
          <t>A0</t>
        </is>
      </c>
      <c r="J185" s="7" t="inlineStr">
        <is>
          <t>A</t>
        </is>
      </c>
      <c r="K185" s="7" t="inlineStr"/>
      <c r="L185" s="7" t="inlineStr"/>
      <c r="M185" s="7" t="inlineStr">
        <is>
          <t>Charges</t>
        </is>
      </c>
      <c r="N185" s="7" t="inlineStr">
        <is>
          <t>Charges</t>
        </is>
      </c>
    </row>
    <row r="186">
      <c r="B186" s="7" t="inlineStr">
        <is>
          <t>617100</t>
        </is>
      </c>
      <c r="C186" s="8" t="inlineStr">
        <is>
          <t>PRESTATION ORGANISME RECHERCHE</t>
        </is>
      </c>
      <c r="D186" s="9" t="n">
        <v>23.171</v>
      </c>
      <c r="E186" s="9" t="n">
        <v>17.987</v>
      </c>
      <c r="F186" s="9" t="n">
        <v>5.184</v>
      </c>
      <c r="G186" s="10" t="n">
        <v>0.2882</v>
      </c>
      <c r="H186" s="7" t="inlineStr">
        <is>
          <t>A0</t>
        </is>
      </c>
      <c r="J186" s="7" t="inlineStr">
        <is>
          <t>A</t>
        </is>
      </c>
      <c r="K186" s="7" t="inlineStr">
        <is>
          <t>Autres achats et charges externes</t>
        </is>
      </c>
      <c r="L186" s="7" t="inlineStr">
        <is>
          <t>Autres achats et charges externes</t>
        </is>
      </c>
      <c r="M186" s="7" t="inlineStr">
        <is>
          <t>Charges</t>
        </is>
      </c>
      <c r="N186" s="7" t="inlineStr">
        <is>
          <t>Charges</t>
        </is>
      </c>
    </row>
    <row r="187">
      <c r="B187" s="7" t="inlineStr">
        <is>
          <t>617300</t>
        </is>
      </c>
      <c r="C187" s="8" t="inlineStr">
        <is>
          <t>RECHERCHE PROTOTYPE ECHANTILLON</t>
        </is>
      </c>
      <c r="D187" s="9" t="n">
        <v>1.909</v>
      </c>
      <c r="E187" s="9" t="n">
        <v>1.92</v>
      </c>
      <c r="F187" s="9" t="n">
        <v>-0.011</v>
      </c>
      <c r="G187" s="10" t="n">
        <v>-0.0057</v>
      </c>
      <c r="H187" s="7" t="inlineStr">
        <is>
          <t>A0</t>
        </is>
      </c>
      <c r="J187" s="7" t="inlineStr">
        <is>
          <t>A</t>
        </is>
      </c>
      <c r="K187" s="7" t="inlineStr">
        <is>
          <t>Autres achats et charges externes</t>
        </is>
      </c>
      <c r="L187" s="7" t="inlineStr">
        <is>
          <t>Autres achats et charges externes</t>
        </is>
      </c>
      <c r="M187" s="7" t="inlineStr">
        <is>
          <t>Charges</t>
        </is>
      </c>
      <c r="N187" s="7" t="inlineStr">
        <is>
          <t>Charges</t>
        </is>
      </c>
    </row>
    <row r="188">
      <c r="B188" s="7" t="inlineStr">
        <is>
          <t>618100</t>
        </is>
      </c>
      <c r="C188" s="8" t="inlineStr">
        <is>
          <t>ABONNTS PUBLICATIONS DOCUMENTAT</t>
        </is>
      </c>
      <c r="D188" s="9" t="n">
        <v>3.871</v>
      </c>
      <c r="E188" s="9" t="n">
        <v>2.077</v>
      </c>
      <c r="F188" s="9" t="n">
        <v>1.794</v>
      </c>
      <c r="G188" s="10" t="n">
        <v>0.8637</v>
      </c>
      <c r="H188" s="7" t="inlineStr">
        <is>
          <t>A0</t>
        </is>
      </c>
      <c r="J188" s="7" t="inlineStr">
        <is>
          <t>A</t>
        </is>
      </c>
      <c r="K188" s="7" t="inlineStr">
        <is>
          <t>Autres achats et charges externes</t>
        </is>
      </c>
      <c r="L188" s="7" t="inlineStr">
        <is>
          <t>Autres achats et charges externes</t>
        </is>
      </c>
      <c r="M188" s="7" t="inlineStr">
        <is>
          <t>Charges</t>
        </is>
      </c>
      <c r="N188" s="7" t="inlineStr">
        <is>
          <t>Charges</t>
        </is>
      </c>
    </row>
    <row r="189">
      <c r="B189" s="7" t="inlineStr">
        <is>
          <t>618200</t>
        </is>
      </c>
      <c r="C189" s="8" t="inlineStr">
        <is>
          <t>PRESTATION DE FORMATION</t>
        </is>
      </c>
      <c r="D189" s="9" t="n">
        <v>13.028</v>
      </c>
      <c r="E189" s="9" t="n">
        <v>15.791</v>
      </c>
      <c r="F189" s="9" t="n">
        <v>-2.763</v>
      </c>
      <c r="G189" s="10" t="n">
        <v>-0.175</v>
      </c>
      <c r="H189" s="7" t="inlineStr">
        <is>
          <t>A0</t>
        </is>
      </c>
      <c r="J189" s="7" t="inlineStr">
        <is>
          <t>A</t>
        </is>
      </c>
      <c r="K189" s="7" t="inlineStr">
        <is>
          <t>Autres achats et charges externes</t>
        </is>
      </c>
      <c r="L189" s="7" t="inlineStr">
        <is>
          <t>Autres achats et charges externes</t>
        </is>
      </c>
      <c r="M189" s="7" t="inlineStr">
        <is>
          <t>Charges</t>
        </is>
      </c>
      <c r="N189" s="7" t="inlineStr">
        <is>
          <t>Charges</t>
        </is>
      </c>
    </row>
    <row r="190">
      <c r="B190" s="7" t="inlineStr">
        <is>
          <t>621100</t>
        </is>
      </c>
      <c r="C190" s="8" t="inlineStr">
        <is>
          <t>PERSONNELS INTERIMAIRES</t>
        </is>
      </c>
      <c r="D190" s="9" t="n">
        <v>4.52</v>
      </c>
      <c r="E190" s="9" t="n">
        <v>0</v>
      </c>
      <c r="F190" s="9" t="n">
        <v>4.52</v>
      </c>
      <c r="G190" s="8" t="inlineStr">
        <is>
          <t>n/a</t>
        </is>
      </c>
      <c r="H190" s="7" t="inlineStr">
        <is>
          <t>A0</t>
        </is>
      </c>
      <c r="J190" s="7" t="inlineStr">
        <is>
          <t>A</t>
        </is>
      </c>
      <c r="K190" s="7" t="inlineStr"/>
      <c r="L190" s="7" t="inlineStr"/>
      <c r="M190" s="7" t="inlineStr">
        <is>
          <t>Charges</t>
        </is>
      </c>
      <c r="N190" s="7" t="inlineStr">
        <is>
          <t>Charges</t>
        </is>
      </c>
    </row>
    <row r="191">
      <c r="B191" s="7" t="inlineStr">
        <is>
          <t>621120</t>
        </is>
      </c>
      <c r="C191" s="8" t="inlineStr">
        <is>
          <t>INTERIM LOGISTIQUE</t>
        </is>
      </c>
      <c r="D191" s="9" t="n">
        <v>58.595</v>
      </c>
      <c r="E191" s="9" t="n">
        <v>47.895</v>
      </c>
      <c r="F191" s="9" t="n">
        <v>10.7</v>
      </c>
      <c r="G191" s="10" t="n">
        <v>0.2234</v>
      </c>
      <c r="H191" s="7" t="inlineStr">
        <is>
          <t>A0</t>
        </is>
      </c>
      <c r="J191" s="7" t="inlineStr">
        <is>
          <t>A</t>
        </is>
      </c>
      <c r="K191" s="7" t="inlineStr">
        <is>
          <t>Autres achats et charges externes</t>
        </is>
      </c>
      <c r="L191" s="7" t="inlineStr">
        <is>
          <t>Autres achats et charges externes</t>
        </is>
      </c>
      <c r="M191" s="7" t="inlineStr">
        <is>
          <t>Charges</t>
        </is>
      </c>
      <c r="N191" s="7" t="inlineStr">
        <is>
          <t>Charges</t>
        </is>
      </c>
    </row>
    <row r="192">
      <c r="B192" s="7" t="inlineStr">
        <is>
          <t>622200</t>
        </is>
      </c>
      <c r="C192" s="8" t="inlineStr">
        <is>
          <t>COMMISSIONS SUR VENTES</t>
        </is>
      </c>
      <c r="D192" s="9" t="n">
        <v>147.499</v>
      </c>
      <c r="E192" s="9" t="n">
        <v>11.486</v>
      </c>
      <c r="F192" s="9" t="n">
        <v>136.013</v>
      </c>
      <c r="G192" s="10" t="n">
        <v>11.8411</v>
      </c>
      <c r="H192" s="7" t="inlineStr">
        <is>
          <t>A0</t>
        </is>
      </c>
      <c r="J192" s="7" t="inlineStr">
        <is>
          <t>A</t>
        </is>
      </c>
      <c r="K192" s="7" t="inlineStr">
        <is>
          <t>Autres achats et charges externes</t>
        </is>
      </c>
      <c r="L192" s="7" t="inlineStr">
        <is>
          <t>Autres achats et charges externes</t>
        </is>
      </c>
      <c r="M192" s="7" t="inlineStr">
        <is>
          <t>Charges</t>
        </is>
      </c>
      <c r="N192" s="7" t="inlineStr">
        <is>
          <t>Charges</t>
        </is>
      </c>
    </row>
    <row r="193">
      <c r="B193" s="7" t="inlineStr">
        <is>
          <t>622500</t>
        </is>
      </c>
      <c r="C193" s="8" t="inlineStr">
        <is>
          <t>COMM AFFACT ET CENTR FACT CLIENTS</t>
        </is>
      </c>
      <c r="D193" s="9" t="n">
        <v>5.443</v>
      </c>
      <c r="E193" s="9" t="n">
        <v>20.23</v>
      </c>
      <c r="F193" s="9" t="n">
        <v>-14.787</v>
      </c>
      <c r="G193" s="10" t="n">
        <v>-0.7309</v>
      </c>
      <c r="H193" s="7" t="inlineStr">
        <is>
          <t>A0</t>
        </is>
      </c>
      <c r="J193" s="7" t="inlineStr">
        <is>
          <t>A</t>
        </is>
      </c>
      <c r="K193" s="7" t="inlineStr">
        <is>
          <t>Autres achats et charges externes</t>
        </is>
      </c>
      <c r="L193" s="7" t="inlineStr">
        <is>
          <t>Autres achats et charges externes</t>
        </is>
      </c>
      <c r="M193" s="7" t="inlineStr">
        <is>
          <t>Charges</t>
        </is>
      </c>
      <c r="N193" s="7" t="inlineStr">
        <is>
          <t>Charges</t>
        </is>
      </c>
    </row>
    <row r="194">
      <c r="B194" s="7" t="inlineStr">
        <is>
          <t>622600</t>
        </is>
      </c>
      <c r="C194" s="8" t="inlineStr">
        <is>
          <t>HONORAIRES</t>
        </is>
      </c>
      <c r="D194" s="9" t="n">
        <v>716.516</v>
      </c>
      <c r="E194" s="9" t="n">
        <v>587.672</v>
      </c>
      <c r="F194" s="9" t="n">
        <v>128.844</v>
      </c>
      <c r="G194" s="10" t="n">
        <v>0.2192</v>
      </c>
      <c r="H194" s="7" t="inlineStr">
        <is>
          <t>A0</t>
        </is>
      </c>
      <c r="J194" s="7" t="inlineStr">
        <is>
          <t>A</t>
        </is>
      </c>
      <c r="K194" s="7" t="inlineStr">
        <is>
          <t>Autres achats et charges externes</t>
        </is>
      </c>
      <c r="L194" s="7" t="inlineStr">
        <is>
          <t>Autres achats et charges externes</t>
        </is>
      </c>
      <c r="M194" s="7" t="inlineStr">
        <is>
          <t>Charges</t>
        </is>
      </c>
      <c r="N194" s="7" t="inlineStr">
        <is>
          <t>Charges</t>
        </is>
      </c>
    </row>
    <row r="195">
      <c r="B195" s="7" t="inlineStr">
        <is>
          <t>622601</t>
        </is>
      </c>
      <c r="C195" s="8" t="inlineStr">
        <is>
          <t>PRESTATIONS GROUPE</t>
        </is>
      </c>
      <c r="D195" s="9" t="n">
        <v>197.066</v>
      </c>
      <c r="E195" s="9" t="n">
        <v>0</v>
      </c>
      <c r="F195" s="9" t="n">
        <v>197.066</v>
      </c>
      <c r="G195" s="8" t="inlineStr">
        <is>
          <t>n/a</t>
        </is>
      </c>
      <c r="H195" s="7" t="inlineStr">
        <is>
          <t>A0</t>
        </is>
      </c>
      <c r="J195" s="7" t="inlineStr">
        <is>
          <t>A</t>
        </is>
      </c>
      <c r="K195" s="7" t="inlineStr"/>
      <c r="L195" s="7" t="inlineStr"/>
      <c r="M195" s="7" t="inlineStr">
        <is>
          <t>Charges</t>
        </is>
      </c>
      <c r="N195" s="7" t="inlineStr">
        <is>
          <t>Charges</t>
        </is>
      </c>
    </row>
    <row r="196">
      <c r="B196" s="7" t="inlineStr">
        <is>
          <t>622700</t>
        </is>
      </c>
      <c r="C196" s="8" t="inlineStr">
        <is>
          <t>HONOR CONTENTIEUX FRAIS D ACTE</t>
        </is>
      </c>
      <c r="D196" s="9" t="n">
        <v>10.39</v>
      </c>
      <c r="E196" s="9" t="n">
        <v>0.555</v>
      </c>
      <c r="F196" s="9" t="n">
        <v>9.835000000000001</v>
      </c>
      <c r="G196" s="10" t="n">
        <v>17.7092</v>
      </c>
      <c r="H196" s="7" t="inlineStr">
        <is>
          <t>A0</t>
        </is>
      </c>
      <c r="J196" s="7" t="inlineStr">
        <is>
          <t>A</t>
        </is>
      </c>
      <c r="K196" s="7" t="inlineStr">
        <is>
          <t>Autres achats et charges externes</t>
        </is>
      </c>
      <c r="L196" s="7" t="inlineStr">
        <is>
          <t>Autres achats et charges externes</t>
        </is>
      </c>
      <c r="M196" s="7" t="inlineStr">
        <is>
          <t>Charges</t>
        </is>
      </c>
      <c r="N196" s="7" t="inlineStr">
        <is>
          <t>Charges</t>
        </is>
      </c>
    </row>
    <row r="197">
      <c r="B197" s="7" t="inlineStr">
        <is>
          <t>623100</t>
        </is>
      </c>
      <c r="C197" s="8" t="inlineStr">
        <is>
          <t>ANNONCES LEGALES</t>
        </is>
      </c>
      <c r="D197" s="9" t="n">
        <v>0.218</v>
      </c>
      <c r="E197" s="9" t="n">
        <v>0.214</v>
      </c>
      <c r="F197" s="9" t="n">
        <v>0.004</v>
      </c>
      <c r="G197" s="10" t="n">
        <v>0.0187</v>
      </c>
      <c r="H197" s="7" t="inlineStr">
        <is>
          <t>A0</t>
        </is>
      </c>
      <c r="J197" s="7" t="inlineStr">
        <is>
          <t>A</t>
        </is>
      </c>
      <c r="K197" s="7" t="inlineStr">
        <is>
          <t>Autres achats et charges externes</t>
        </is>
      </c>
      <c r="L197" s="7" t="inlineStr">
        <is>
          <t>Autres achats et charges externes</t>
        </is>
      </c>
      <c r="M197" s="7" t="inlineStr">
        <is>
          <t>Charges</t>
        </is>
      </c>
      <c r="N197" s="7" t="inlineStr">
        <is>
          <t>Charges</t>
        </is>
      </c>
    </row>
    <row r="198">
      <c r="B198" s="7" t="inlineStr">
        <is>
          <t>623110</t>
        </is>
      </c>
      <c r="C198" s="8" t="inlineStr">
        <is>
          <t>LOCATION ESPACE PUBLICITAIRE</t>
        </is>
      </c>
      <c r="D198" s="9" t="n">
        <v>85.032</v>
      </c>
      <c r="E198" s="9" t="n">
        <v>304.446</v>
      </c>
      <c r="F198" s="9" t="n">
        <v>-219.414</v>
      </c>
      <c r="G198" s="10" t="n">
        <v>-0.7207</v>
      </c>
      <c r="H198" s="7" t="inlineStr">
        <is>
          <t>A0</t>
        </is>
      </c>
      <c r="J198" s="7" t="inlineStr">
        <is>
          <t>A</t>
        </is>
      </c>
      <c r="K198" s="7" t="inlineStr">
        <is>
          <t>Autres achats et charges externes</t>
        </is>
      </c>
      <c r="L198" s="7" t="inlineStr">
        <is>
          <t>Autres achats et charges externes</t>
        </is>
      </c>
      <c r="M198" s="7" t="inlineStr">
        <is>
          <t>Charges</t>
        </is>
      </c>
      <c r="N198" s="7" t="inlineStr">
        <is>
          <t>Charges</t>
        </is>
      </c>
    </row>
    <row r="199">
      <c r="B199" s="7" t="inlineStr">
        <is>
          <t>623200</t>
        </is>
      </c>
      <c r="C199" s="8" t="inlineStr">
        <is>
          <t>FOURNITURES TECHNIQUES . PRESTATION</t>
        </is>
      </c>
      <c r="D199" s="9" t="n">
        <v>362.522</v>
      </c>
      <c r="E199" s="9" t="n">
        <v>83.604</v>
      </c>
      <c r="F199" s="9" t="n">
        <v>278.918</v>
      </c>
      <c r="G199" s="10" t="n">
        <v>3.3362</v>
      </c>
      <c r="H199" s="7" t="inlineStr">
        <is>
          <t>A0</t>
        </is>
      </c>
      <c r="J199" s="7" t="inlineStr">
        <is>
          <t>A</t>
        </is>
      </c>
      <c r="K199" s="7" t="inlineStr">
        <is>
          <t>Autres achats et charges externes</t>
        </is>
      </c>
      <c r="L199" s="7" t="inlineStr">
        <is>
          <t>Autres achats et charges externes</t>
        </is>
      </c>
      <c r="M199" s="7" t="inlineStr">
        <is>
          <t>Charges</t>
        </is>
      </c>
      <c r="N199" s="7" t="inlineStr">
        <is>
          <t>Charges</t>
        </is>
      </c>
    </row>
    <row r="200">
      <c r="B200" s="7" t="inlineStr">
        <is>
          <t>623202</t>
        </is>
      </c>
      <c r="C200" s="8" t="inlineStr">
        <is>
          <t>COMMUNICATION OUTILS/WEB</t>
        </is>
      </c>
      <c r="D200" s="9" t="n">
        <v>3.36</v>
      </c>
      <c r="E200" s="9" t="n">
        <v>0</v>
      </c>
      <c r="F200" s="9" t="n">
        <v>3.36</v>
      </c>
      <c r="G200" s="8" t="inlineStr">
        <is>
          <t>n/a</t>
        </is>
      </c>
      <c r="H200" s="7" t="inlineStr">
        <is>
          <t>A0</t>
        </is>
      </c>
      <c r="J200" s="7" t="inlineStr">
        <is>
          <t>A</t>
        </is>
      </c>
      <c r="K200" s="7" t="inlineStr"/>
      <c r="L200" s="7" t="inlineStr"/>
      <c r="M200" s="7" t="inlineStr">
        <is>
          <t>Charges</t>
        </is>
      </c>
      <c r="N200" s="7" t="inlineStr">
        <is>
          <t>Charges</t>
        </is>
      </c>
    </row>
    <row r="201">
      <c r="B201" s="7" t="inlineStr">
        <is>
          <t>623203</t>
        </is>
      </c>
      <c r="C201" s="8" t="inlineStr">
        <is>
          <t>COMMUNICATION - SALONS</t>
        </is>
      </c>
      <c r="D201" s="9" t="n">
        <v>11.142</v>
      </c>
      <c r="E201" s="9" t="n">
        <v>0</v>
      </c>
      <c r="F201" s="9" t="n">
        <v>11.142</v>
      </c>
      <c r="G201" s="8" t="inlineStr">
        <is>
          <t>n/a</t>
        </is>
      </c>
      <c r="H201" s="7" t="inlineStr">
        <is>
          <t>A0</t>
        </is>
      </c>
      <c r="J201" s="7" t="inlineStr">
        <is>
          <t>A</t>
        </is>
      </c>
      <c r="K201" s="7" t="inlineStr"/>
      <c r="L201" s="7" t="inlineStr"/>
      <c r="M201" s="7" t="inlineStr">
        <is>
          <t>Charges</t>
        </is>
      </c>
      <c r="N201" s="7" t="inlineStr">
        <is>
          <t>Charges</t>
        </is>
      </c>
    </row>
    <row r="202">
      <c r="B202" s="7" t="inlineStr">
        <is>
          <t>623400</t>
        </is>
      </c>
      <c r="C202" s="8" t="inlineStr">
        <is>
          <t>CADEAUX CLIENTELE</t>
        </is>
      </c>
      <c r="D202" s="9" t="n">
        <v>2.687</v>
      </c>
      <c r="E202" s="9" t="n">
        <v>0.725</v>
      </c>
      <c r="F202" s="9" t="n">
        <v>1.962</v>
      </c>
      <c r="G202" s="10" t="n">
        <v>2.7064</v>
      </c>
      <c r="H202" s="7" t="inlineStr">
        <is>
          <t>A0</t>
        </is>
      </c>
      <c r="J202" s="7" t="inlineStr">
        <is>
          <t>A</t>
        </is>
      </c>
      <c r="K202" s="7" t="inlineStr">
        <is>
          <t>Autres achats et charges externes</t>
        </is>
      </c>
      <c r="L202" s="7" t="inlineStr">
        <is>
          <t>Autres achats et charges externes</t>
        </is>
      </c>
      <c r="M202" s="7" t="inlineStr">
        <is>
          <t>Charges</t>
        </is>
      </c>
      <c r="N202" s="7" t="inlineStr">
        <is>
          <t>Charges</t>
        </is>
      </c>
    </row>
    <row r="203">
      <c r="B203" s="7" t="inlineStr">
        <is>
          <t>623500</t>
        </is>
      </c>
      <c r="C203" s="8" t="inlineStr">
        <is>
          <t>PARTICIPATION PUB CLIENT</t>
        </is>
      </c>
      <c r="D203" s="9" t="n">
        <v>143.076</v>
      </c>
      <c r="E203" s="9" t="n">
        <v>343.296</v>
      </c>
      <c r="F203" s="9" t="n">
        <v>-200.22</v>
      </c>
      <c r="G203" s="10" t="n">
        <v>-0.5832000000000001</v>
      </c>
      <c r="H203" s="7" t="inlineStr">
        <is>
          <t>A0</t>
        </is>
      </c>
      <c r="J203" s="7" t="inlineStr">
        <is>
          <t>A</t>
        </is>
      </c>
      <c r="K203" s="7" t="inlineStr">
        <is>
          <t>Autres achats et charges externes</t>
        </is>
      </c>
      <c r="L203" s="7" t="inlineStr">
        <is>
          <t>Autres achats et charges externes</t>
        </is>
      </c>
      <c r="M203" s="7" t="inlineStr">
        <is>
          <t>Charges</t>
        </is>
      </c>
      <c r="N203" s="7" t="inlineStr">
        <is>
          <t>Charges</t>
        </is>
      </c>
    </row>
    <row r="204">
      <c r="B204" s="7" t="inlineStr">
        <is>
          <t>623800</t>
        </is>
      </c>
      <c r="C204" s="8" t="inlineStr">
        <is>
          <t>DONS . POURBOIRES . SPONSORING</t>
        </is>
      </c>
      <c r="D204" s="9" t="n">
        <v>5.347</v>
      </c>
      <c r="E204" s="9" t="n">
        <v>8.56</v>
      </c>
      <c r="F204" s="9" t="n">
        <v>-3.213</v>
      </c>
      <c r="G204" s="10" t="n">
        <v>-0.3754</v>
      </c>
      <c r="H204" s="7" t="inlineStr">
        <is>
          <t>A0</t>
        </is>
      </c>
      <c r="J204" s="7" t="inlineStr">
        <is>
          <t>A</t>
        </is>
      </c>
      <c r="K204" s="7" t="inlineStr">
        <is>
          <t>Autres achats et charges externes</t>
        </is>
      </c>
      <c r="L204" s="7" t="inlineStr">
        <is>
          <t>Autres achats et charges externes</t>
        </is>
      </c>
      <c r="M204" s="7" t="inlineStr">
        <is>
          <t>Charges</t>
        </is>
      </c>
      <c r="N204" s="7" t="inlineStr">
        <is>
          <t>Charges</t>
        </is>
      </c>
    </row>
    <row r="205">
      <c r="B205" s="7" t="inlineStr">
        <is>
          <t>624100</t>
        </is>
      </c>
      <c r="C205" s="8" t="inlineStr">
        <is>
          <t>TRSP SUR ACHATS FRAIS GENERAUX</t>
        </is>
      </c>
      <c r="D205" s="9" t="n">
        <v>4.334</v>
      </c>
      <c r="E205" s="9" t="n">
        <v>0.502</v>
      </c>
      <c r="F205" s="9" t="n">
        <v>3.832</v>
      </c>
      <c r="G205" s="10" t="n">
        <v>7.6269</v>
      </c>
      <c r="H205" s="7" t="inlineStr">
        <is>
          <t>A0</t>
        </is>
      </c>
      <c r="J205" s="7" t="inlineStr">
        <is>
          <t>A</t>
        </is>
      </c>
      <c r="K205" s="7" t="inlineStr">
        <is>
          <t>Autres achats et charges externes</t>
        </is>
      </c>
      <c r="L205" s="7" t="inlineStr">
        <is>
          <t>Autres achats et charges externes</t>
        </is>
      </c>
      <c r="M205" s="7" t="inlineStr">
        <is>
          <t>Charges</t>
        </is>
      </c>
      <c r="N205" s="7" t="inlineStr">
        <is>
          <t>Charges</t>
        </is>
      </c>
    </row>
    <row r="206">
      <c r="B206" s="7" t="inlineStr">
        <is>
          <t>624200</t>
        </is>
      </c>
      <c r="C206" s="8" t="inlineStr">
        <is>
          <t>TRSP SUR VENTES France</t>
        </is>
      </c>
      <c r="D206" s="9" t="n">
        <v>843.303</v>
      </c>
      <c r="E206" s="9" t="n">
        <v>742.8680000000001</v>
      </c>
      <c r="F206" s="9" t="n">
        <v>100.435</v>
      </c>
      <c r="G206" s="10" t="n">
        <v>0.1352</v>
      </c>
      <c r="H206" s="7" t="inlineStr">
        <is>
          <t>A0</t>
        </is>
      </c>
      <c r="J206" s="7" t="inlineStr">
        <is>
          <t>A</t>
        </is>
      </c>
      <c r="K206" s="7" t="inlineStr">
        <is>
          <t>Autres achats et charges externes</t>
        </is>
      </c>
      <c r="L206" s="7" t="inlineStr">
        <is>
          <t>Autres achats et charges externes</t>
        </is>
      </c>
      <c r="M206" s="7" t="inlineStr">
        <is>
          <t>Charges</t>
        </is>
      </c>
      <c r="N206" s="7" t="inlineStr">
        <is>
          <t>Charges</t>
        </is>
      </c>
    </row>
    <row r="207">
      <c r="B207" s="7" t="inlineStr">
        <is>
          <t>624210</t>
        </is>
      </c>
      <c r="C207" s="8" t="inlineStr">
        <is>
          <t>TRSP SUR VENTES UNION EUROPEE</t>
        </is>
      </c>
      <c r="D207" s="9" t="n">
        <v>90.30800000000001</v>
      </c>
      <c r="E207" s="9" t="n">
        <v>107.608</v>
      </c>
      <c r="F207" s="9" t="n">
        <v>-17.3</v>
      </c>
      <c r="G207" s="10" t="n">
        <v>-0.1608</v>
      </c>
      <c r="H207" s="7" t="inlineStr">
        <is>
          <t>A0</t>
        </is>
      </c>
      <c r="J207" s="7" t="inlineStr">
        <is>
          <t>A</t>
        </is>
      </c>
      <c r="K207" s="7" t="inlineStr">
        <is>
          <t>Autres achats et charges externes</t>
        </is>
      </c>
      <c r="L207" s="7" t="inlineStr">
        <is>
          <t>Autres achats et charges externes</t>
        </is>
      </c>
      <c r="M207" s="7" t="inlineStr">
        <is>
          <t>Charges</t>
        </is>
      </c>
      <c r="N207" s="7" t="inlineStr">
        <is>
          <t>Charges</t>
        </is>
      </c>
    </row>
    <row r="208">
      <c r="B208" s="7" t="inlineStr">
        <is>
          <t>624230</t>
        </is>
      </c>
      <c r="C208" s="8" t="inlineStr">
        <is>
          <t>TRSP SUR VENTES EXPORT</t>
        </is>
      </c>
      <c r="D208" s="9" t="n">
        <v>55.795</v>
      </c>
      <c r="E208" s="9" t="n">
        <v>12.739</v>
      </c>
      <c r="F208" s="9" t="n">
        <v>43.056</v>
      </c>
      <c r="G208" s="10" t="n">
        <v>3.38</v>
      </c>
      <c r="H208" s="7" t="inlineStr">
        <is>
          <t>A0</t>
        </is>
      </c>
      <c r="J208" s="7" t="inlineStr">
        <is>
          <t>A</t>
        </is>
      </c>
      <c r="K208" s="7" t="inlineStr">
        <is>
          <t>Autres achats et charges externes</t>
        </is>
      </c>
      <c r="L208" s="7" t="inlineStr">
        <is>
          <t>Autres achats et charges externes</t>
        </is>
      </c>
      <c r="M208" s="7" t="inlineStr">
        <is>
          <t>Charges</t>
        </is>
      </c>
      <c r="N208" s="7" t="inlineStr">
        <is>
          <t>Charges</t>
        </is>
      </c>
    </row>
    <row r="209">
      <c r="B209" s="7" t="inlineStr">
        <is>
          <t>625100</t>
        </is>
      </c>
      <c r="C209" s="8" t="inlineStr">
        <is>
          <t>VOYAGES &amp; DEPLACEMENTS</t>
        </is>
      </c>
      <c r="D209" s="9" t="n">
        <v>114.1</v>
      </c>
      <c r="E209" s="9" t="n">
        <v>130.035</v>
      </c>
      <c r="F209" s="9" t="n">
        <v>-15.935</v>
      </c>
      <c r="G209" s="10" t="n">
        <v>-0.1225</v>
      </c>
      <c r="H209" s="7" t="inlineStr">
        <is>
          <t>A0</t>
        </is>
      </c>
      <c r="J209" s="7" t="inlineStr">
        <is>
          <t>A</t>
        </is>
      </c>
      <c r="K209" s="7" t="inlineStr">
        <is>
          <t>Autres achats et charges externes</t>
        </is>
      </c>
      <c r="L209" s="7" t="inlineStr">
        <is>
          <t>Autres achats et charges externes</t>
        </is>
      </c>
      <c r="M209" s="7" t="inlineStr">
        <is>
          <t>Charges</t>
        </is>
      </c>
      <c r="N209" s="7" t="inlineStr">
        <is>
          <t>Charges</t>
        </is>
      </c>
    </row>
    <row r="210">
      <c r="B210" s="7" t="inlineStr">
        <is>
          <t>625700</t>
        </is>
      </c>
      <c r="C210" s="8" t="inlineStr">
        <is>
          <t>FRAIS RECEPT VISITEURS FACTURES</t>
        </is>
      </c>
      <c r="D210" s="9" t="n">
        <v>34.697</v>
      </c>
      <c r="E210" s="9" t="n">
        <v>10.451</v>
      </c>
      <c r="F210" s="9" t="n">
        <v>24.246</v>
      </c>
      <c r="G210" s="10" t="n">
        <v>2.32</v>
      </c>
      <c r="H210" s="7" t="inlineStr">
        <is>
          <t>A0</t>
        </is>
      </c>
      <c r="J210" s="7" t="inlineStr">
        <is>
          <t>A</t>
        </is>
      </c>
      <c r="K210" s="7" t="inlineStr">
        <is>
          <t>Autres achats et charges externes</t>
        </is>
      </c>
      <c r="L210" s="7" t="inlineStr">
        <is>
          <t>Autres achats et charges externes</t>
        </is>
      </c>
      <c r="M210" s="7" t="inlineStr">
        <is>
          <t>Charges</t>
        </is>
      </c>
      <c r="N210" s="7" t="inlineStr">
        <is>
          <t>Charges</t>
        </is>
      </c>
    </row>
    <row r="211">
      <c r="B211" s="7" t="inlineStr">
        <is>
          <t>626000</t>
        </is>
      </c>
      <c r="C211" s="8" t="inlineStr">
        <is>
          <t>TIMBRES COURRIERS</t>
        </is>
      </c>
      <c r="D211" s="9" t="n">
        <v>9.617000000000001</v>
      </c>
      <c r="E211" s="9" t="n">
        <v>9.877000000000001</v>
      </c>
      <c r="F211" s="9" t="n">
        <v>-0.26</v>
      </c>
      <c r="G211" s="10" t="n">
        <v>-0.0263</v>
      </c>
      <c r="H211" s="7" t="inlineStr">
        <is>
          <t>A0</t>
        </is>
      </c>
      <c r="J211" s="7" t="inlineStr">
        <is>
          <t>A</t>
        </is>
      </c>
      <c r="K211" s="7" t="inlineStr">
        <is>
          <t>Autres achats et charges externes</t>
        </is>
      </c>
      <c r="L211" s="7" t="inlineStr">
        <is>
          <t>Autres achats et charges externes</t>
        </is>
      </c>
      <c r="M211" s="7" t="inlineStr">
        <is>
          <t>Charges</t>
        </is>
      </c>
      <c r="N211" s="7" t="inlineStr">
        <is>
          <t>Charges</t>
        </is>
      </c>
    </row>
    <row r="212">
      <c r="B212" s="7" t="inlineStr">
        <is>
          <t>626100</t>
        </is>
      </c>
      <c r="C212" s="8" t="inlineStr">
        <is>
          <t>TELEPHONE PORTABLE</t>
        </is>
      </c>
      <c r="D212" s="9" t="n">
        <v>1.309</v>
      </c>
      <c r="E212" s="9" t="n">
        <v>1.244</v>
      </c>
      <c r="F212" s="9" t="n">
        <v>0.065</v>
      </c>
      <c r="G212" s="10" t="n">
        <v>0.0523</v>
      </c>
      <c r="H212" s="7" t="inlineStr">
        <is>
          <t>A0</t>
        </is>
      </c>
      <c r="J212" s="7" t="inlineStr">
        <is>
          <t>A</t>
        </is>
      </c>
      <c r="K212" s="7" t="inlineStr">
        <is>
          <t>Autres achats et charges externes</t>
        </is>
      </c>
      <c r="L212" s="7" t="inlineStr">
        <is>
          <t>Autres achats et charges externes</t>
        </is>
      </c>
      <c r="M212" s="7" t="inlineStr">
        <is>
          <t>Charges</t>
        </is>
      </c>
      <c r="N212" s="7" t="inlineStr">
        <is>
          <t>Charges</t>
        </is>
      </c>
    </row>
    <row r="213">
      <c r="B213" s="7" t="inlineStr">
        <is>
          <t>626110</t>
        </is>
      </c>
      <c r="C213" s="8" t="inlineStr">
        <is>
          <t>TELEPHONE INTERNET</t>
        </is>
      </c>
      <c r="D213" s="9" t="n">
        <v>17.361</v>
      </c>
      <c r="E213" s="9" t="n">
        <v>20.862</v>
      </c>
      <c r="F213" s="9" t="n">
        <v>-3.501</v>
      </c>
      <c r="G213" s="10" t="n">
        <v>-0.1678</v>
      </c>
      <c r="H213" s="7" t="inlineStr">
        <is>
          <t>A0</t>
        </is>
      </c>
      <c r="J213" s="7" t="inlineStr">
        <is>
          <t>A</t>
        </is>
      </c>
      <c r="K213" s="7" t="inlineStr">
        <is>
          <t>Autres achats et charges externes</t>
        </is>
      </c>
      <c r="L213" s="7" t="inlineStr">
        <is>
          <t>Autres achats et charges externes</t>
        </is>
      </c>
      <c r="M213" s="7" t="inlineStr">
        <is>
          <t>Charges</t>
        </is>
      </c>
      <c r="N213" s="7" t="inlineStr">
        <is>
          <t>Charges</t>
        </is>
      </c>
    </row>
    <row r="214">
      <c r="B214" s="7" t="inlineStr">
        <is>
          <t>627540</t>
        </is>
      </c>
      <c r="C214" s="8" t="inlineStr">
        <is>
          <t>COMMISSIONS BANCAIRES TTC</t>
        </is>
      </c>
      <c r="D214" s="9" t="n">
        <v>21.818</v>
      </c>
      <c r="E214" s="9" t="n">
        <v>19.878</v>
      </c>
      <c r="F214" s="9" t="n">
        <v>1.94</v>
      </c>
      <c r="G214" s="10" t="n">
        <v>0.09760000000000001</v>
      </c>
      <c r="H214" s="7" t="inlineStr">
        <is>
          <t>A0</t>
        </is>
      </c>
      <c r="J214" s="7" t="inlineStr">
        <is>
          <t>A</t>
        </is>
      </c>
      <c r="K214" s="7" t="inlineStr">
        <is>
          <t>Autres achats et charges externes</t>
        </is>
      </c>
      <c r="L214" s="7" t="inlineStr">
        <is>
          <t>Autres achats et charges externes</t>
        </is>
      </c>
      <c r="M214" s="7" t="inlineStr">
        <is>
          <t>Charges</t>
        </is>
      </c>
      <c r="N214" s="7" t="inlineStr">
        <is>
          <t>Charges</t>
        </is>
      </c>
    </row>
    <row r="215">
      <c r="B215" s="7" t="inlineStr">
        <is>
          <t>628100</t>
        </is>
      </c>
      <c r="C215" s="8" t="inlineStr">
        <is>
          <t>COTISATIONS PROFESSIONNELLES</t>
        </is>
      </c>
      <c r="D215" s="9" t="n">
        <v>29.679</v>
      </c>
      <c r="E215" s="9" t="n">
        <v>23.367</v>
      </c>
      <c r="F215" s="9" t="n">
        <v>6.312</v>
      </c>
      <c r="G215" s="10" t="n">
        <v>0.2701</v>
      </c>
      <c r="H215" s="7" t="inlineStr">
        <is>
          <t>A0</t>
        </is>
      </c>
      <c r="J215" s="7" t="inlineStr">
        <is>
          <t>A</t>
        </is>
      </c>
      <c r="K215" s="7" t="inlineStr">
        <is>
          <t>Autres achats et charges externes</t>
        </is>
      </c>
      <c r="L215" s="7" t="inlineStr">
        <is>
          <t>Autres achats et charges externes</t>
        </is>
      </c>
      <c r="M215" s="7" t="inlineStr">
        <is>
          <t>Charges</t>
        </is>
      </c>
      <c r="N215" s="7" t="inlineStr">
        <is>
          <t>Charges</t>
        </is>
      </c>
    </row>
    <row r="216">
      <c r="B216" s="7" t="inlineStr">
        <is>
          <t>628400</t>
        </is>
      </c>
      <c r="C216" s="8" t="inlineStr">
        <is>
          <t>PRESTATIONS DE RECRUTEMENT</t>
        </is>
      </c>
      <c r="D216" s="9" t="n">
        <v>80.128</v>
      </c>
      <c r="E216" s="9" t="n">
        <v>28.65</v>
      </c>
      <c r="F216" s="9" t="n">
        <v>51.478</v>
      </c>
      <c r="G216" s="10" t="n">
        <v>1.7968</v>
      </c>
      <c r="H216" s="7" t="inlineStr">
        <is>
          <t>A0</t>
        </is>
      </c>
      <c r="J216" s="7" t="inlineStr">
        <is>
          <t>A</t>
        </is>
      </c>
      <c r="K216" s="7" t="inlineStr">
        <is>
          <t>Autres achats et charges externes</t>
        </is>
      </c>
      <c r="L216" s="7" t="inlineStr">
        <is>
          <t>Autres achats et charges externes</t>
        </is>
      </c>
      <c r="M216" s="7" t="inlineStr">
        <is>
          <t>Charges</t>
        </is>
      </c>
      <c r="N216" s="7" t="inlineStr">
        <is>
          <t>Charges</t>
        </is>
      </c>
    </row>
    <row r="217">
      <c r="B217" s="7" t="inlineStr">
        <is>
          <t>633300</t>
        </is>
      </c>
      <c r="C217" s="8" t="inlineStr">
        <is>
          <t>FORMATION PROFESSIONNELLE CONTINUE</t>
        </is>
      </c>
      <c r="D217" s="9" t="n">
        <v>19.385</v>
      </c>
      <c r="E217" s="9" t="n">
        <v>18.827</v>
      </c>
      <c r="F217" s="9" t="n">
        <v>0.5580000000000001</v>
      </c>
      <c r="G217" s="10" t="n">
        <v>0.0296</v>
      </c>
      <c r="H217" s="7" t="inlineStr">
        <is>
          <t>E0</t>
        </is>
      </c>
      <c r="J217" s="7" t="inlineStr">
        <is>
          <t>E</t>
        </is>
      </c>
      <c r="K217" s="7" t="inlineStr">
        <is>
          <t>Impôts, taxes et versements assimilés</t>
        </is>
      </c>
      <c r="L217" s="7" t="inlineStr">
        <is>
          <t>Impôts, taxes et versements assimilés</t>
        </is>
      </c>
      <c r="M217" s="7" t="inlineStr">
        <is>
          <t>Charges</t>
        </is>
      </c>
      <c r="N217" s="7" t="inlineStr">
        <is>
          <t>Charges</t>
        </is>
      </c>
    </row>
    <row r="218">
      <c r="B218" s="7" t="inlineStr">
        <is>
          <t>633500</t>
        </is>
      </c>
      <c r="C218" s="8" t="inlineStr">
        <is>
          <t>TAXE D'APPRENTISSAGE</t>
        </is>
      </c>
      <c r="D218" s="9" t="n">
        <v>11.743</v>
      </c>
      <c r="E218" s="9" t="n">
        <v>9.034000000000001</v>
      </c>
      <c r="F218" s="9" t="n">
        <v>2.709</v>
      </c>
      <c r="G218" s="10" t="n">
        <v>0.2999</v>
      </c>
      <c r="H218" s="7" t="inlineStr">
        <is>
          <t>E0</t>
        </is>
      </c>
      <c r="J218" s="7" t="inlineStr">
        <is>
          <t>E</t>
        </is>
      </c>
      <c r="K218" s="7" t="inlineStr">
        <is>
          <t>Impôts, taxes et versements assimilés</t>
        </is>
      </c>
      <c r="L218" s="7" t="inlineStr">
        <is>
          <t>Impôts, taxes et versements assimilés</t>
        </is>
      </c>
      <c r="M218" s="7" t="inlineStr">
        <is>
          <t>Charges</t>
        </is>
      </c>
      <c r="N218" s="7" t="inlineStr">
        <is>
          <t>Charges</t>
        </is>
      </c>
    </row>
    <row r="219">
      <c r="B219" s="7" t="inlineStr">
        <is>
          <t>635140</t>
        </is>
      </c>
      <c r="C219" s="8" t="inlineStr">
        <is>
          <t>TAXE VEHICULE SOCIETE</t>
        </is>
      </c>
      <c r="D219" s="9" t="n">
        <v>2</v>
      </c>
      <c r="E219" s="9" t="n">
        <v>1.546</v>
      </c>
      <c r="F219" s="9" t="n">
        <v>0.454</v>
      </c>
      <c r="G219" s="10" t="n">
        <v>0.2937</v>
      </c>
      <c r="H219" s="7" t="inlineStr">
        <is>
          <t>E0</t>
        </is>
      </c>
      <c r="J219" s="7" t="inlineStr">
        <is>
          <t>E</t>
        </is>
      </c>
      <c r="K219" s="7" t="inlineStr">
        <is>
          <t>Impôts, taxes et versements assimilés</t>
        </is>
      </c>
      <c r="L219" s="7" t="inlineStr">
        <is>
          <t>Impôts, taxes et versements assimilés</t>
        </is>
      </c>
      <c r="M219" s="7" t="inlineStr">
        <is>
          <t>Charges</t>
        </is>
      </c>
      <c r="N219" s="7" t="inlineStr">
        <is>
          <t>Charges</t>
        </is>
      </c>
    </row>
    <row r="220">
      <c r="B220" s="7" t="inlineStr">
        <is>
          <t>635160</t>
        </is>
      </c>
      <c r="C220" s="8" t="inlineStr">
        <is>
          <t>CFE</t>
        </is>
      </c>
      <c r="D220" s="9" t="n">
        <v>25.648</v>
      </c>
      <c r="E220" s="9" t="n">
        <v>26.133</v>
      </c>
      <c r="F220" s="9" t="n">
        <v>-0.485</v>
      </c>
      <c r="G220" s="10" t="n">
        <v>-0.0186</v>
      </c>
      <c r="H220" s="7" t="inlineStr">
        <is>
          <t>E0</t>
        </is>
      </c>
      <c r="J220" s="7" t="inlineStr">
        <is>
          <t>E</t>
        </is>
      </c>
      <c r="K220" s="7" t="inlineStr">
        <is>
          <t>Impôts, taxes et versements assimilés</t>
        </is>
      </c>
      <c r="L220" s="7" t="inlineStr">
        <is>
          <t>Impôts, taxes et versements assimilés</t>
        </is>
      </c>
      <c r="M220" s="7" t="inlineStr">
        <is>
          <t>Charges</t>
        </is>
      </c>
      <c r="N220" s="7" t="inlineStr">
        <is>
          <t>Charges</t>
        </is>
      </c>
    </row>
    <row r="221">
      <c r="B221" s="7" t="inlineStr">
        <is>
          <t>635170</t>
        </is>
      </c>
      <c r="C221" s="8" t="inlineStr">
        <is>
          <t>CVAE</t>
        </is>
      </c>
      <c r="D221" s="9" t="n">
        <v>20.829</v>
      </c>
      <c r="E221" s="9" t="n">
        <v>9.573</v>
      </c>
      <c r="F221" s="9" t="n">
        <v>11.256</v>
      </c>
      <c r="G221" s="10" t="n">
        <v>1.1758</v>
      </c>
      <c r="H221" s="7" t="inlineStr">
        <is>
          <t>E0</t>
        </is>
      </c>
      <c r="J221" s="7" t="inlineStr">
        <is>
          <t>E</t>
        </is>
      </c>
      <c r="K221" s="7" t="inlineStr">
        <is>
          <t>Impôts, taxes et versements assimilés</t>
        </is>
      </c>
      <c r="L221" s="7" t="inlineStr">
        <is>
          <t>Impôts, taxes et versements assimilés</t>
        </is>
      </c>
      <c r="M221" s="7" t="inlineStr">
        <is>
          <t>Charges</t>
        </is>
      </c>
      <c r="N221" s="7" t="inlineStr">
        <is>
          <t>Charges</t>
        </is>
      </c>
    </row>
    <row r="222">
      <c r="B222" s="7" t="inlineStr">
        <is>
          <t>635180</t>
        </is>
      </c>
      <c r="C222" s="8" t="inlineStr">
        <is>
          <t>IPC</t>
        </is>
      </c>
      <c r="D222" s="9" t="n">
        <v>3.404</v>
      </c>
      <c r="E222" s="9" t="n">
        <v>4.902</v>
      </c>
      <c r="F222" s="9" t="n">
        <v>-1.498</v>
      </c>
      <c r="G222" s="10" t="n">
        <v>-0.3056</v>
      </c>
      <c r="H222" s="7" t="inlineStr">
        <is>
          <t>E0</t>
        </is>
      </c>
      <c r="J222" s="7" t="inlineStr">
        <is>
          <t>E</t>
        </is>
      </c>
      <c r="K222" s="7" t="inlineStr">
        <is>
          <t>Impôts, taxes et versements assimilés</t>
        </is>
      </c>
      <c r="L222" s="7" t="inlineStr">
        <is>
          <t>Impôts, taxes et versements assimilés</t>
        </is>
      </c>
      <c r="M222" s="7" t="inlineStr">
        <is>
          <t>Charges</t>
        </is>
      </c>
      <c r="N222" s="7" t="inlineStr">
        <is>
          <t>Charges</t>
        </is>
      </c>
    </row>
    <row r="223">
      <c r="B223" s="7" t="inlineStr">
        <is>
          <t>637800</t>
        </is>
      </c>
      <c r="C223" s="8" t="inlineStr">
        <is>
          <t>TAXE ECO</t>
        </is>
      </c>
      <c r="D223" s="9" t="n">
        <v>0.23</v>
      </c>
      <c r="E223" s="9" t="n">
        <v>0.403</v>
      </c>
      <c r="F223" s="9" t="n">
        <v>-0.173</v>
      </c>
      <c r="G223" s="10" t="n">
        <v>-0.4291</v>
      </c>
      <c r="H223" s="7" t="inlineStr">
        <is>
          <t>E0</t>
        </is>
      </c>
      <c r="J223" s="7" t="inlineStr">
        <is>
          <t>E</t>
        </is>
      </c>
      <c r="K223" s="7" t="inlineStr">
        <is>
          <t>Impôts, taxes et versements assimilés</t>
        </is>
      </c>
      <c r="L223" s="7" t="inlineStr">
        <is>
          <t>Impôts, taxes et versements assimilés</t>
        </is>
      </c>
      <c r="M223" s="7" t="inlineStr">
        <is>
          <t>Charges</t>
        </is>
      </c>
      <c r="N223" s="7" t="inlineStr">
        <is>
          <t>Charges</t>
        </is>
      </c>
    </row>
    <row r="224">
      <c r="B224" s="7" t="inlineStr">
        <is>
          <t>637810</t>
        </is>
      </c>
      <c r="C224" s="8" t="inlineStr">
        <is>
          <t>INSUF OBL EMP TRAV HANDICAPES</t>
        </is>
      </c>
      <c r="D224" s="9" t="n">
        <v>6.13</v>
      </c>
      <c r="E224" s="9" t="n">
        <v>0</v>
      </c>
      <c r="F224" s="9" t="n">
        <v>6.13</v>
      </c>
      <c r="G224" s="8" t="inlineStr">
        <is>
          <t>n/a</t>
        </is>
      </c>
      <c r="H224" s="7" t="inlineStr">
        <is>
          <t>E0</t>
        </is>
      </c>
      <c r="J224" s="7" t="inlineStr">
        <is>
          <t>E</t>
        </is>
      </c>
      <c r="K224" s="7" t="inlineStr"/>
      <c r="L224" s="7" t="inlineStr"/>
      <c r="M224" s="7" t="inlineStr">
        <is>
          <t>Charges</t>
        </is>
      </c>
      <c r="N224" s="7" t="inlineStr">
        <is>
          <t>Charges</t>
        </is>
      </c>
    </row>
    <row r="225">
      <c r="B225" s="7" t="inlineStr">
        <is>
          <t>641000</t>
        </is>
      </c>
      <c r="C225" s="8" t="inlineStr">
        <is>
          <t>SALAIRES ET COMMISSIONS</t>
        </is>
      </c>
      <c r="D225" s="9" t="n">
        <v>1370.156</v>
      </c>
      <c r="E225" s="9" t="n">
        <v>1182.863</v>
      </c>
      <c r="F225" s="9" t="n">
        <v>187.293</v>
      </c>
      <c r="G225" s="10" t="n">
        <v>0.1583</v>
      </c>
      <c r="H225" s="7" t="inlineStr">
        <is>
          <t>P0</t>
        </is>
      </c>
      <c r="J225" s="7" t="inlineStr">
        <is>
          <t>P</t>
        </is>
      </c>
      <c r="K225" s="7" t="inlineStr">
        <is>
          <t>Salaires et traitements</t>
        </is>
      </c>
      <c r="L225" s="7" t="inlineStr">
        <is>
          <t>Salaires et traitements</t>
        </is>
      </c>
      <c r="M225" s="7" t="inlineStr">
        <is>
          <t>Charges</t>
        </is>
      </c>
      <c r="N225" s="7" t="inlineStr">
        <is>
          <t>Charges</t>
        </is>
      </c>
    </row>
    <row r="226">
      <c r="B226" s="7" t="inlineStr">
        <is>
          <t>641300</t>
        </is>
      </c>
      <c r="C226" s="8" t="inlineStr">
        <is>
          <t>IJSS</t>
        </is>
      </c>
      <c r="D226" s="9" t="n">
        <v>16.613</v>
      </c>
      <c r="E226" s="9" t="n">
        <v>9.444000000000001</v>
      </c>
      <c r="F226" s="9" t="n">
        <v>7.169</v>
      </c>
      <c r="G226" s="10" t="n">
        <v>0.7591</v>
      </c>
      <c r="H226" s="7" t="inlineStr">
        <is>
          <t>P0</t>
        </is>
      </c>
      <c r="J226" s="7" t="inlineStr">
        <is>
          <t>P</t>
        </is>
      </c>
      <c r="K226" s="7" t="inlineStr">
        <is>
          <t>Salaires et traitements</t>
        </is>
      </c>
      <c r="L226" s="7" t="inlineStr">
        <is>
          <t>Salaires et traitements</t>
        </is>
      </c>
      <c r="M226" s="7" t="inlineStr">
        <is>
          <t>Charges</t>
        </is>
      </c>
      <c r="N226" s="7" t="inlineStr">
        <is>
          <t>Charges</t>
        </is>
      </c>
    </row>
    <row r="227">
      <c r="B227" s="7" t="inlineStr">
        <is>
          <t>641400</t>
        </is>
      </c>
      <c r="C227" s="8" t="inlineStr">
        <is>
          <t>PRIMES</t>
        </is>
      </c>
      <c r="D227" s="9" t="n">
        <v>174.904</v>
      </c>
      <c r="E227" s="9" t="n">
        <v>168.422</v>
      </c>
      <c r="F227" s="9" t="n">
        <v>6.482</v>
      </c>
      <c r="G227" s="10" t="n">
        <v>0.0385</v>
      </c>
      <c r="H227" s="7" t="inlineStr">
        <is>
          <t>P0</t>
        </is>
      </c>
      <c r="J227" s="7" t="inlineStr">
        <is>
          <t>P</t>
        </is>
      </c>
      <c r="K227" s="7" t="inlineStr">
        <is>
          <t>Salaires et traitements</t>
        </is>
      </c>
      <c r="L227" s="7" t="inlineStr">
        <is>
          <t>Salaires et traitements</t>
        </is>
      </c>
      <c r="M227" s="7" t="inlineStr">
        <is>
          <t>Charges</t>
        </is>
      </c>
      <c r="N227" s="7" t="inlineStr">
        <is>
          <t>Charges</t>
        </is>
      </c>
    </row>
    <row r="228">
      <c r="B228" s="7" t="inlineStr">
        <is>
          <t>641420</t>
        </is>
      </c>
      <c r="C228" s="8" t="inlineStr">
        <is>
          <t>INDEMNITE LICENCIEMENT</t>
        </is>
      </c>
      <c r="D228" s="9" t="n">
        <v>44.269</v>
      </c>
      <c r="E228" s="9" t="n">
        <v>29.834</v>
      </c>
      <c r="F228" s="9" t="n">
        <v>14.435</v>
      </c>
      <c r="G228" s="10" t="n">
        <v>0.4838</v>
      </c>
      <c r="H228" s="7" t="inlineStr">
        <is>
          <t>P0</t>
        </is>
      </c>
      <c r="J228" s="7" t="inlineStr">
        <is>
          <t>P</t>
        </is>
      </c>
      <c r="K228" s="7" t="inlineStr">
        <is>
          <t>Salaires et traitements</t>
        </is>
      </c>
      <c r="L228" s="7" t="inlineStr">
        <is>
          <t>Salaires et traitements</t>
        </is>
      </c>
      <c r="M228" s="7" t="inlineStr">
        <is>
          <t>Charges</t>
        </is>
      </c>
      <c r="N228" s="7" t="inlineStr">
        <is>
          <t>Charges</t>
        </is>
      </c>
    </row>
    <row r="229">
      <c r="B229" s="7" t="inlineStr">
        <is>
          <t>641430</t>
        </is>
      </c>
      <c r="C229" s="8" t="inlineStr">
        <is>
          <t>RBSTS TRANSPORT SALARIES</t>
        </is>
      </c>
      <c r="D229" s="9" t="n">
        <v>0.465</v>
      </c>
      <c r="E229" s="9" t="n">
        <v>0</v>
      </c>
      <c r="F229" s="9" t="n">
        <v>0.465</v>
      </c>
      <c r="G229" s="8" t="inlineStr">
        <is>
          <t>n/a</t>
        </is>
      </c>
      <c r="H229" s="7" t="inlineStr">
        <is>
          <t>P0</t>
        </is>
      </c>
      <c r="J229" s="7" t="inlineStr">
        <is>
          <t>P</t>
        </is>
      </c>
      <c r="K229" s="7" t="inlineStr"/>
      <c r="L229" s="7" t="inlineStr"/>
      <c r="M229" s="7" t="inlineStr">
        <is>
          <t>Charges</t>
        </is>
      </c>
      <c r="N229" s="7" t="inlineStr">
        <is>
          <t>Charges</t>
        </is>
      </c>
    </row>
    <row r="230">
      <c r="B230" s="7" t="inlineStr">
        <is>
          <t>641450</t>
        </is>
      </c>
      <c r="C230" s="8" t="inlineStr">
        <is>
          <t>AVANTAGE EN NATURE</t>
        </is>
      </c>
      <c r="D230" s="9" t="n">
        <v>15.087</v>
      </c>
      <c r="E230" s="9" t="n">
        <v>23.24</v>
      </c>
      <c r="F230" s="9" t="n">
        <v>-8.153</v>
      </c>
      <c r="G230" s="10" t="n">
        <v>-0.3508</v>
      </c>
      <c r="H230" s="7" t="inlineStr">
        <is>
          <t>P0</t>
        </is>
      </c>
      <c r="J230" s="7" t="inlineStr">
        <is>
          <t>P</t>
        </is>
      </c>
      <c r="K230" s="7" t="inlineStr">
        <is>
          <t>Salaires et traitements</t>
        </is>
      </c>
      <c r="L230" s="7" t="inlineStr">
        <is>
          <t>Salaires et traitements</t>
        </is>
      </c>
      <c r="M230" s="7" t="inlineStr">
        <is>
          <t>Charges</t>
        </is>
      </c>
      <c r="N230" s="7" t="inlineStr">
        <is>
          <t>Charges</t>
        </is>
      </c>
    </row>
    <row r="231">
      <c r="B231" s="7" t="inlineStr">
        <is>
          <t>643000</t>
        </is>
      </c>
      <c r="C231" s="8" t="inlineStr">
        <is>
          <t>GRATIFICATIONS</t>
        </is>
      </c>
      <c r="D231" s="9" t="n">
        <v>1.592</v>
      </c>
      <c r="E231" s="9" t="n">
        <v>4.283</v>
      </c>
      <c r="F231" s="9" t="n">
        <v>-2.691</v>
      </c>
      <c r="G231" s="10" t="n">
        <v>-0.6283</v>
      </c>
      <c r="H231" s="7" t="inlineStr">
        <is>
          <t>P0</t>
        </is>
      </c>
      <c r="J231" s="7" t="inlineStr">
        <is>
          <t>P</t>
        </is>
      </c>
      <c r="K231" s="7" t="inlineStr">
        <is>
          <t>Salaires et traitements</t>
        </is>
      </c>
      <c r="L231" s="7" t="inlineStr">
        <is>
          <t>Salaires et traitements</t>
        </is>
      </c>
      <c r="M231" s="7" t="inlineStr">
        <is>
          <t>Charges</t>
        </is>
      </c>
      <c r="N231" s="7" t="inlineStr">
        <is>
          <t>Charges</t>
        </is>
      </c>
    </row>
    <row r="232">
      <c r="B232" s="7" t="inlineStr">
        <is>
          <t>645100</t>
        </is>
      </c>
      <c r="C232" s="8" t="inlineStr">
        <is>
          <t>COTISATIONS URSSAF</t>
        </is>
      </c>
      <c r="D232" s="9" t="n">
        <v>438.273</v>
      </c>
      <c r="E232" s="9" t="n">
        <v>368.903</v>
      </c>
      <c r="F232" s="9" t="n">
        <v>69.37</v>
      </c>
      <c r="G232" s="10" t="n">
        <v>0.188</v>
      </c>
      <c r="H232" s="7" t="inlineStr">
        <is>
          <t>P0</t>
        </is>
      </c>
      <c r="J232" s="7" t="inlineStr">
        <is>
          <t>P</t>
        </is>
      </c>
      <c r="K232" s="7" t="inlineStr">
        <is>
          <t>Charges sociales</t>
        </is>
      </c>
      <c r="L232" s="7" t="inlineStr">
        <is>
          <t>Charges sociales</t>
        </is>
      </c>
      <c r="M232" s="7" t="inlineStr">
        <is>
          <t>Charges</t>
        </is>
      </c>
      <c r="N232" s="7" t="inlineStr">
        <is>
          <t>Charges</t>
        </is>
      </c>
    </row>
    <row r="233">
      <c r="B233" s="7" t="inlineStr">
        <is>
          <t>645200</t>
        </is>
      </c>
      <c r="C233" s="8" t="inlineStr">
        <is>
          <t>COTISATIONS MUTUELLES</t>
        </is>
      </c>
      <c r="D233" s="9" t="n">
        <v>62.986</v>
      </c>
      <c r="E233" s="9" t="n">
        <v>42.641</v>
      </c>
      <c r="F233" s="9" t="n">
        <v>20.345</v>
      </c>
      <c r="G233" s="10" t="n">
        <v>0.4771</v>
      </c>
      <c r="H233" s="7" t="inlineStr">
        <is>
          <t>P0</t>
        </is>
      </c>
      <c r="J233" s="7" t="inlineStr">
        <is>
          <t>P</t>
        </is>
      </c>
      <c r="K233" s="7" t="inlineStr">
        <is>
          <t>Charges sociales</t>
        </is>
      </c>
      <c r="L233" s="7" t="inlineStr">
        <is>
          <t>Charges sociales</t>
        </is>
      </c>
      <c r="M233" s="7" t="inlineStr">
        <is>
          <t>Charges</t>
        </is>
      </c>
      <c r="N233" s="7" t="inlineStr">
        <is>
          <t>Charges</t>
        </is>
      </c>
    </row>
    <row r="234">
      <c r="B234" s="7" t="inlineStr">
        <is>
          <t>645300</t>
        </is>
      </c>
      <c r="C234" s="8" t="inlineStr">
        <is>
          <t>COTISATIONS RETRAITES UGRR</t>
        </is>
      </c>
      <c r="D234" s="9" t="n">
        <v>112.544</v>
      </c>
      <c r="E234" s="9" t="n">
        <v>99.21899999999999</v>
      </c>
      <c r="F234" s="9" t="n">
        <v>13.325</v>
      </c>
      <c r="G234" s="10" t="n">
        <v>0.1343</v>
      </c>
      <c r="H234" s="7" t="inlineStr">
        <is>
          <t>P0</t>
        </is>
      </c>
      <c r="J234" s="7" t="inlineStr">
        <is>
          <t>P</t>
        </is>
      </c>
      <c r="K234" s="7" t="inlineStr">
        <is>
          <t>Charges sociales</t>
        </is>
      </c>
      <c r="L234" s="7" t="inlineStr">
        <is>
          <t>Charges sociales</t>
        </is>
      </c>
      <c r="M234" s="7" t="inlineStr">
        <is>
          <t>Charges</t>
        </is>
      </c>
      <c r="N234" s="7" t="inlineStr">
        <is>
          <t>Charges</t>
        </is>
      </c>
    </row>
    <row r="235">
      <c r="B235" s="7" t="inlineStr">
        <is>
          <t>645320</t>
        </is>
      </c>
      <c r="C235" s="8" t="inlineStr">
        <is>
          <t>CAISSE PREVOYANCE</t>
        </is>
      </c>
      <c r="D235" s="9" t="n">
        <v>23.076</v>
      </c>
      <c r="E235" s="9" t="n">
        <v>18.487</v>
      </c>
      <c r="F235" s="9" t="n">
        <v>4.589</v>
      </c>
      <c r="G235" s="10" t="n">
        <v>0.2482</v>
      </c>
      <c r="H235" s="7" t="inlineStr">
        <is>
          <t>P0</t>
        </is>
      </c>
      <c r="J235" s="7" t="inlineStr">
        <is>
          <t>P</t>
        </is>
      </c>
      <c r="K235" s="7" t="inlineStr">
        <is>
          <t>Charges sociales</t>
        </is>
      </c>
      <c r="L235" s="7" t="inlineStr">
        <is>
          <t>Charges sociales</t>
        </is>
      </c>
      <c r="M235" s="7" t="inlineStr">
        <is>
          <t>Charges</t>
        </is>
      </c>
      <c r="N235" s="7" t="inlineStr">
        <is>
          <t>Charges</t>
        </is>
      </c>
    </row>
    <row r="236">
      <c r="B236" s="7" t="inlineStr">
        <is>
          <t>645330</t>
        </is>
      </c>
      <c r="C236" s="8" t="inlineStr">
        <is>
          <t>CAISSE RETRAITE SUPPLEMENTAIRE</t>
        </is>
      </c>
      <c r="D236" s="9" t="n">
        <v>29.859</v>
      </c>
      <c r="E236" s="9" t="n">
        <v>25.35</v>
      </c>
      <c r="F236" s="9" t="n">
        <v>4.509</v>
      </c>
      <c r="G236" s="10" t="n">
        <v>0.1779</v>
      </c>
      <c r="H236" s="7" t="inlineStr">
        <is>
          <t>P0</t>
        </is>
      </c>
      <c r="J236" s="7" t="inlineStr">
        <is>
          <t>P</t>
        </is>
      </c>
      <c r="K236" s="7" t="inlineStr">
        <is>
          <t>Charges sociales</t>
        </is>
      </c>
      <c r="L236" s="7" t="inlineStr">
        <is>
          <t>Charges sociales</t>
        </is>
      </c>
      <c r="M236" s="7" t="inlineStr">
        <is>
          <t>Charges</t>
        </is>
      </c>
      <c r="N236" s="7" t="inlineStr">
        <is>
          <t>Charges</t>
        </is>
      </c>
    </row>
    <row r="237">
      <c r="B237" s="7" t="inlineStr">
        <is>
          <t>645340</t>
        </is>
      </c>
      <c r="C237" s="8" t="inlineStr">
        <is>
          <t>COTISATIONS OPCO</t>
        </is>
      </c>
      <c r="D237" s="9" t="n">
        <v>0.776</v>
      </c>
      <c r="E237" s="9" t="n">
        <v>0.615</v>
      </c>
      <c r="F237" s="9" t="n">
        <v>0.161</v>
      </c>
      <c r="G237" s="10" t="n">
        <v>0.2616</v>
      </c>
      <c r="H237" s="7" t="inlineStr">
        <is>
          <t>P0</t>
        </is>
      </c>
      <c r="J237" s="7" t="inlineStr">
        <is>
          <t>P</t>
        </is>
      </c>
      <c r="K237" s="7" t="inlineStr">
        <is>
          <t>Charges sociales</t>
        </is>
      </c>
      <c r="L237" s="7" t="inlineStr">
        <is>
          <t>Charges sociales</t>
        </is>
      </c>
      <c r="M237" s="7" t="inlineStr">
        <is>
          <t>Charges</t>
        </is>
      </c>
      <c r="N237" s="7" t="inlineStr">
        <is>
          <t>Charges</t>
        </is>
      </c>
    </row>
    <row r="238">
      <c r="B238" s="7" t="inlineStr">
        <is>
          <t>645800</t>
        </is>
      </c>
      <c r="C238" s="8" t="inlineStr">
        <is>
          <t>PROVISIONS/CHARGES SOCIALES</t>
        </is>
      </c>
      <c r="D238" s="9" t="n">
        <v>-1.4</v>
      </c>
      <c r="E238" s="9" t="n">
        <v>6.443</v>
      </c>
      <c r="F238" s="9" t="n">
        <v>-7.843</v>
      </c>
      <c r="G238" s="10" t="n">
        <v>-1.2173</v>
      </c>
      <c r="H238" s="7" t="inlineStr">
        <is>
          <t>P0</t>
        </is>
      </c>
      <c r="J238" s="7" t="inlineStr">
        <is>
          <t>P</t>
        </is>
      </c>
      <c r="K238" s="7" t="inlineStr">
        <is>
          <t>Charges sociales</t>
        </is>
      </c>
      <c r="L238" s="7" t="inlineStr">
        <is>
          <t>Charges sociales</t>
        </is>
      </c>
      <c r="M238" s="7" t="inlineStr">
        <is>
          <t>Charges</t>
        </is>
      </c>
      <c r="N238" s="7" t="inlineStr">
        <is>
          <t>Charges</t>
        </is>
      </c>
    </row>
    <row r="239">
      <c r="B239" s="7" t="inlineStr">
        <is>
          <t>647400</t>
        </is>
      </c>
      <c r="C239" s="8" t="inlineStr">
        <is>
          <t>OEUVRES SOCIALES</t>
        </is>
      </c>
      <c r="D239" s="9" t="n">
        <v>8.83</v>
      </c>
      <c r="E239" s="9" t="n">
        <v>6.66</v>
      </c>
      <c r="F239" s="9" t="n">
        <v>2.17</v>
      </c>
      <c r="G239" s="10" t="n">
        <v>0.3258</v>
      </c>
      <c r="H239" s="7" t="inlineStr">
        <is>
          <t>P0</t>
        </is>
      </c>
      <c r="J239" s="7" t="inlineStr">
        <is>
          <t>P</t>
        </is>
      </c>
      <c r="K239" s="7" t="inlineStr">
        <is>
          <t>Charges sociales</t>
        </is>
      </c>
      <c r="L239" s="7" t="inlineStr">
        <is>
          <t>Charges sociales</t>
        </is>
      </c>
      <c r="M239" s="7" t="inlineStr">
        <is>
          <t>Charges</t>
        </is>
      </c>
      <c r="N239" s="7" t="inlineStr">
        <is>
          <t>Charges</t>
        </is>
      </c>
    </row>
    <row r="240">
      <c r="B240" s="7" t="inlineStr">
        <is>
          <t>647500</t>
        </is>
      </c>
      <c r="C240" s="8" t="inlineStr">
        <is>
          <t>HYGIENE PHARMACIE</t>
        </is>
      </c>
      <c r="D240" s="9" t="n">
        <v>4.869</v>
      </c>
      <c r="E240" s="9" t="n">
        <v>3.471</v>
      </c>
      <c r="F240" s="9" t="n">
        <v>1.398</v>
      </c>
      <c r="G240" s="10" t="n">
        <v>0.4028</v>
      </c>
      <c r="H240" s="7" t="inlineStr">
        <is>
          <t>P0</t>
        </is>
      </c>
      <c r="J240" s="7" t="inlineStr">
        <is>
          <t>P</t>
        </is>
      </c>
      <c r="K240" s="7" t="inlineStr">
        <is>
          <t>Charges sociales</t>
        </is>
      </c>
      <c r="L240" s="7" t="inlineStr">
        <is>
          <t>Charges sociales</t>
        </is>
      </c>
      <c r="M240" s="7" t="inlineStr">
        <is>
          <t>Charges</t>
        </is>
      </c>
      <c r="N240" s="7" t="inlineStr">
        <is>
          <t>Charges</t>
        </is>
      </c>
    </row>
    <row r="241">
      <c r="B241" s="7" t="inlineStr">
        <is>
          <t>647600</t>
        </is>
      </c>
      <c r="C241" s="8" t="inlineStr">
        <is>
          <t>VETEMENTS DE TRAVAIL</t>
        </is>
      </c>
      <c r="D241" s="9" t="n">
        <v>0.09</v>
      </c>
      <c r="E241" s="9" t="n">
        <v>0</v>
      </c>
      <c r="F241" s="9" t="n">
        <v>0.09</v>
      </c>
      <c r="G241" s="8" t="inlineStr">
        <is>
          <t>n/a</t>
        </is>
      </c>
      <c r="H241" s="7" t="inlineStr">
        <is>
          <t>P0</t>
        </is>
      </c>
      <c r="J241" s="7" t="inlineStr">
        <is>
          <t>P</t>
        </is>
      </c>
      <c r="K241" s="7" t="inlineStr">
        <is>
          <t>Charges sociales</t>
        </is>
      </c>
      <c r="L241" s="7" t="inlineStr">
        <is>
          <t>Charges sociales</t>
        </is>
      </c>
      <c r="M241" s="7" t="inlineStr">
        <is>
          <t>Charges</t>
        </is>
      </c>
      <c r="N241" s="7" t="inlineStr">
        <is>
          <t>Charges</t>
        </is>
      </c>
    </row>
    <row r="242">
      <c r="B242" s="7" t="inlineStr">
        <is>
          <t>648100</t>
        </is>
      </c>
      <c r="C242" s="8" t="inlineStr">
        <is>
          <t>CONTRIBUTION CSP</t>
        </is>
      </c>
      <c r="D242" s="9" t="n">
        <v>8.138</v>
      </c>
      <c r="E242" s="9" t="n">
        <v>0</v>
      </c>
      <c r="F242" s="9" t="n">
        <v>8.138</v>
      </c>
      <c r="G242" s="8" t="inlineStr">
        <is>
          <t>n/a</t>
        </is>
      </c>
      <c r="H242" s="7" t="inlineStr">
        <is>
          <t>P0</t>
        </is>
      </c>
      <c r="J242" s="7" t="inlineStr">
        <is>
          <t>P</t>
        </is>
      </c>
      <c r="K242" s="7" t="inlineStr">
        <is>
          <t>Charges sociales</t>
        </is>
      </c>
      <c r="L242" s="7" t="inlineStr">
        <is>
          <t>Charges sociales</t>
        </is>
      </c>
      <c r="M242" s="7" t="inlineStr">
        <is>
          <t>Charges</t>
        </is>
      </c>
      <c r="N242" s="7" t="inlineStr">
        <is>
          <t>Charges</t>
        </is>
      </c>
    </row>
    <row r="243">
      <c r="B243" s="7" t="inlineStr">
        <is>
          <t>649000</t>
        </is>
      </c>
      <c r="C243" s="8" t="inlineStr">
        <is>
          <t>AVANTAGES EN NATURE</t>
        </is>
      </c>
      <c r="D243" s="9" t="n">
        <v>-15.123</v>
      </c>
      <c r="E243" s="9" t="n">
        <v>0</v>
      </c>
      <c r="F243" s="9" t="n">
        <v>-15.123</v>
      </c>
      <c r="G243" s="8" t="inlineStr">
        <is>
          <t>n/a</t>
        </is>
      </c>
      <c r="H243" s="7" t="inlineStr">
        <is>
          <t>P0</t>
        </is>
      </c>
      <c r="J243" s="7" t="inlineStr">
        <is>
          <t>P</t>
        </is>
      </c>
      <c r="K243" s="7" t="inlineStr"/>
      <c r="L243" s="7" t="inlineStr"/>
      <c r="M243" s="7" t="inlineStr">
        <is>
          <t>Charges</t>
        </is>
      </c>
      <c r="N243" s="7" t="inlineStr">
        <is>
          <t>Charges</t>
        </is>
      </c>
    </row>
    <row r="244">
      <c r="B244" s="7" t="inlineStr">
        <is>
          <t>654100</t>
        </is>
      </c>
      <c r="C244" s="8" t="inlineStr">
        <is>
          <t>PERTE SUR CREANCES IRR IMPOSABLES</t>
        </is>
      </c>
      <c r="D244" s="9" t="n">
        <v>1.978</v>
      </c>
      <c r="E244" s="9" t="n">
        <v>0</v>
      </c>
      <c r="F244" s="9" t="n">
        <v>1.978</v>
      </c>
      <c r="G244" s="8" t="inlineStr">
        <is>
          <t>n/a</t>
        </is>
      </c>
      <c r="H244" s="7" t="inlineStr">
        <is>
          <t>V0</t>
        </is>
      </c>
      <c r="J244" s="7" t="inlineStr">
        <is>
          <t>V</t>
        </is>
      </c>
      <c r="K244" s="7" t="inlineStr">
        <is>
          <t>Autres charges d'exploitation</t>
        </is>
      </c>
      <c r="L244" s="7" t="inlineStr">
        <is>
          <t>Autres charges d'exploitation</t>
        </is>
      </c>
      <c r="M244" s="7" t="inlineStr">
        <is>
          <t>Charges</t>
        </is>
      </c>
      <c r="N244" s="7" t="inlineStr">
        <is>
          <t>Charges</t>
        </is>
      </c>
    </row>
    <row r="245">
      <c r="B245" s="7" t="inlineStr">
        <is>
          <t>658000</t>
        </is>
      </c>
      <c r="C245" s="8" t="inlineStr">
        <is>
          <t>CHARGES DIVERSES DE GESTION COURANT</t>
        </is>
      </c>
      <c r="D245" s="9" t="n">
        <v>18.225</v>
      </c>
      <c r="E245" s="9" t="n">
        <v>50.712</v>
      </c>
      <c r="F245" s="9" t="n">
        <v>-32.487</v>
      </c>
      <c r="G245" s="10" t="n">
        <v>-0.6405999999999999</v>
      </c>
      <c r="H245" s="7" t="inlineStr">
        <is>
          <t>T0</t>
        </is>
      </c>
      <c r="J245" s="7" t="inlineStr">
        <is>
          <t>T</t>
        </is>
      </c>
      <c r="K245" s="7" t="inlineStr">
        <is>
          <t>Autres charges d'exploitation</t>
        </is>
      </c>
      <c r="L245" s="7" t="inlineStr">
        <is>
          <t>Autres charges d'exploitation</t>
        </is>
      </c>
      <c r="M245" s="7" t="inlineStr">
        <is>
          <t>Charges</t>
        </is>
      </c>
      <c r="N245" s="7" t="inlineStr">
        <is>
          <t>Charges</t>
        </is>
      </c>
    </row>
    <row r="246">
      <c r="B246" s="7" t="inlineStr">
        <is>
          <t>661160</t>
        </is>
      </c>
      <c r="C246" s="8" t="inlineStr">
        <is>
          <t>INTERETS EMPRUNTS</t>
        </is>
      </c>
      <c r="D246" s="9" t="n">
        <v>79.471</v>
      </c>
      <c r="E246" s="9" t="n">
        <v>53.564</v>
      </c>
      <c r="F246" s="9" t="n">
        <v>25.907</v>
      </c>
      <c r="G246" s="10" t="n">
        <v>0.4837</v>
      </c>
      <c r="H246" s="7" t="inlineStr">
        <is>
          <t>F0</t>
        </is>
      </c>
      <c r="J246" s="7" t="inlineStr">
        <is>
          <t>F</t>
        </is>
      </c>
      <c r="K246" s="7" t="inlineStr">
        <is>
          <t>Intérêts et charges assimilées</t>
        </is>
      </c>
      <c r="L246" s="7" t="inlineStr">
        <is>
          <t>Intérêts et charges assimilées</t>
        </is>
      </c>
      <c r="M246" s="7" t="inlineStr">
        <is>
          <t>Charges</t>
        </is>
      </c>
      <c r="N246" s="7" t="inlineStr">
        <is>
          <t>Charges</t>
        </is>
      </c>
    </row>
    <row r="247">
      <c r="B247" s="7" t="inlineStr">
        <is>
          <t>661600</t>
        </is>
      </c>
      <c r="C247" s="8" t="inlineStr">
        <is>
          <t>AGIOS BANCAIRES</t>
        </is>
      </c>
      <c r="D247" s="9" t="n">
        <v>0.001</v>
      </c>
      <c r="E247" s="9" t="n">
        <v>1.957</v>
      </c>
      <c r="F247" s="9" t="n">
        <v>-1.956</v>
      </c>
      <c r="G247" s="10" t="n">
        <v>-0.9996</v>
      </c>
      <c r="H247" s="7" t="inlineStr">
        <is>
          <t>F0</t>
        </is>
      </c>
      <c r="J247" s="7" t="inlineStr">
        <is>
          <t>F</t>
        </is>
      </c>
      <c r="K247" s="7" t="inlineStr">
        <is>
          <t>Intérêts et charges assimilées</t>
        </is>
      </c>
      <c r="L247" s="7" t="inlineStr">
        <is>
          <t>Intérêts et charges assimilées</t>
        </is>
      </c>
      <c r="M247" s="7" t="inlineStr">
        <is>
          <t>Charges</t>
        </is>
      </c>
      <c r="N247" s="7" t="inlineStr">
        <is>
          <t>Charges</t>
        </is>
      </c>
    </row>
    <row r="248">
      <c r="B248" s="7" t="inlineStr">
        <is>
          <t>671100</t>
        </is>
      </c>
      <c r="C248" s="8" t="inlineStr">
        <is>
          <t>PENALITES SUR MARCHE</t>
        </is>
      </c>
      <c r="D248" s="9" t="n">
        <v>1.592</v>
      </c>
      <c r="E248" s="9" t="n">
        <v>0</v>
      </c>
      <c r="F248" s="9" t="n">
        <v>1.592</v>
      </c>
      <c r="G248" s="8" t="inlineStr">
        <is>
          <t>n/a</t>
        </is>
      </c>
      <c r="H248" s="7" t="inlineStr">
        <is>
          <t>X0</t>
        </is>
      </c>
      <c r="J248" s="7" t="inlineStr">
        <is>
          <t>X</t>
        </is>
      </c>
      <c r="K248" s="7" t="inlineStr"/>
      <c r="L248" s="7" t="inlineStr"/>
      <c r="M248" s="7" t="inlineStr">
        <is>
          <t>Charges</t>
        </is>
      </c>
      <c r="N248" s="7" t="inlineStr">
        <is>
          <t>Charges</t>
        </is>
      </c>
    </row>
    <row r="249">
      <c r="B249" s="7" t="inlineStr">
        <is>
          <t>681120</t>
        </is>
      </c>
      <c r="C249" s="8" t="inlineStr">
        <is>
          <t>DOT AMORT IMMOB CORPORELLES</t>
        </is>
      </c>
      <c r="D249" s="9" t="n">
        <v>298.308</v>
      </c>
      <c r="E249" s="9" t="n">
        <v>399.79</v>
      </c>
      <c r="F249" s="9" t="n">
        <v>-101.482</v>
      </c>
      <c r="G249" s="10" t="n">
        <v>-0.2538</v>
      </c>
      <c r="H249" s="7" t="inlineStr">
        <is>
          <t>I Corp0</t>
        </is>
      </c>
      <c r="J249" s="7" t="inlineStr">
        <is>
          <t>I Corp</t>
        </is>
      </c>
      <c r="K249" s="7" t="inlineStr">
        <is>
          <t>Dotations aux amortissements sur Immobilisations</t>
        </is>
      </c>
      <c r="L249" s="7" t="inlineStr">
        <is>
          <t>Dotations aux amortissements sur Immobilisations</t>
        </is>
      </c>
      <c r="M249" s="7" t="inlineStr">
        <is>
          <t>Charges</t>
        </is>
      </c>
      <c r="N249" s="7" t="inlineStr">
        <is>
          <t>Charges</t>
        </is>
      </c>
    </row>
    <row r="250">
      <c r="B250" s="7" t="inlineStr">
        <is>
          <t>681730</t>
        </is>
      </c>
      <c r="C250" s="8" t="inlineStr">
        <is>
          <t>DOTATION PROVISION DEPRECIATION STO</t>
        </is>
      </c>
      <c r="D250" s="9" t="n">
        <v>13.228</v>
      </c>
      <c r="E250" s="9" t="n">
        <v>1.936</v>
      </c>
      <c r="F250" s="9" t="n">
        <v>11.292</v>
      </c>
      <c r="G250" s="10" t="n">
        <v>5.8312</v>
      </c>
      <c r="H250" s="7" t="inlineStr">
        <is>
          <t>S0</t>
        </is>
      </c>
      <c r="J250" s="7" t="inlineStr">
        <is>
          <t>S</t>
        </is>
      </c>
      <c r="K250" s="7" t="inlineStr">
        <is>
          <t>Dotations aux dépréciations sur Actif circulant</t>
        </is>
      </c>
      <c r="L250" s="7" t="inlineStr">
        <is>
          <t>Dotations aux dépréciations sur Actif circulant</t>
        </is>
      </c>
      <c r="M250" s="7" t="inlineStr">
        <is>
          <t>Charges</t>
        </is>
      </c>
      <c r="N250" s="7" t="inlineStr">
        <is>
          <t>Charges</t>
        </is>
      </c>
    </row>
    <row r="251">
      <c r="B251" s="7" t="inlineStr">
        <is>
          <t>701000</t>
        </is>
      </c>
      <c r="C251" s="8" t="inlineStr">
        <is>
          <t>VTES PDTS FINIS France</t>
        </is>
      </c>
      <c r="D251" s="9" t="n">
        <v>-12454.427</v>
      </c>
      <c r="E251" s="9" t="n">
        <v>-11069.485</v>
      </c>
      <c r="F251" s="9" t="n">
        <v>-1384.942</v>
      </c>
      <c r="G251" s="10" t="n">
        <v>-0.1251</v>
      </c>
      <c r="H251" s="7" t="inlineStr">
        <is>
          <t>V0</t>
        </is>
      </c>
      <c r="J251" s="7" t="inlineStr">
        <is>
          <t>V</t>
        </is>
      </c>
      <c r="K251" s="7" t="inlineStr">
        <is>
          <t>Production vendue (Biens et Services)</t>
        </is>
      </c>
      <c r="L251" s="7" t="inlineStr">
        <is>
          <t>Production vendue (Biens et Services)</t>
        </is>
      </c>
      <c r="M251" s="7" t="inlineStr">
        <is>
          <t>Produits</t>
        </is>
      </c>
      <c r="N251" s="7" t="inlineStr">
        <is>
          <t>Produits</t>
        </is>
      </c>
    </row>
    <row r="252">
      <c r="B252" s="7" t="inlineStr">
        <is>
          <t>701010</t>
        </is>
      </c>
      <c r="C252" s="8" t="inlineStr">
        <is>
          <t>VTES PDTS FINIS UNION EUROPEE</t>
        </is>
      </c>
      <c r="D252" s="9" t="n">
        <v>-1795.792</v>
      </c>
      <c r="E252" s="9" t="n">
        <v>-1114.141</v>
      </c>
      <c r="F252" s="9" t="n">
        <v>-681.651</v>
      </c>
      <c r="G252" s="10" t="n">
        <v>-0.6118</v>
      </c>
      <c r="H252" s="7" t="inlineStr">
        <is>
          <t>V0</t>
        </is>
      </c>
      <c r="J252" s="7" t="inlineStr">
        <is>
          <t>V</t>
        </is>
      </c>
      <c r="K252" s="7" t="inlineStr">
        <is>
          <t>Production vendue (Biens et Services)</t>
        </is>
      </c>
      <c r="L252" s="7" t="inlineStr">
        <is>
          <t>Production vendue (Biens et Services)</t>
        </is>
      </c>
      <c r="M252" s="7" t="inlineStr">
        <is>
          <t>Produits</t>
        </is>
      </c>
      <c r="N252" s="7" t="inlineStr">
        <is>
          <t>Produits</t>
        </is>
      </c>
    </row>
    <row r="253">
      <c r="B253" s="7" t="inlineStr">
        <is>
          <t>701020</t>
        </is>
      </c>
      <c r="C253" s="8" t="inlineStr">
        <is>
          <t>VTES PDTS FINIS DOM TOM</t>
        </is>
      </c>
      <c r="D253" s="9" t="n">
        <v>-87.102</v>
      </c>
      <c r="E253" s="9" t="n">
        <v>-65.35299999999999</v>
      </c>
      <c r="F253" s="9" t="n">
        <v>-21.749</v>
      </c>
      <c r="G253" s="10" t="n">
        <v>-0.3328</v>
      </c>
      <c r="H253" s="7" t="inlineStr">
        <is>
          <t>V0</t>
        </is>
      </c>
      <c r="J253" s="7" t="inlineStr">
        <is>
          <t>V</t>
        </is>
      </c>
      <c r="K253" s="7" t="inlineStr">
        <is>
          <t>Production vendue (Biens et Services)</t>
        </is>
      </c>
      <c r="L253" s="7" t="inlineStr">
        <is>
          <t>Production vendue (Biens et Services)</t>
        </is>
      </c>
      <c r="M253" s="7" t="inlineStr">
        <is>
          <t>Produits</t>
        </is>
      </c>
      <c r="N253" s="7" t="inlineStr">
        <is>
          <t>Produits</t>
        </is>
      </c>
    </row>
    <row r="254">
      <c r="B254" s="7" t="inlineStr">
        <is>
          <t>701030</t>
        </is>
      </c>
      <c r="C254" s="8" t="inlineStr">
        <is>
          <t>VTES PDTS FINIS EXPORT</t>
        </is>
      </c>
      <c r="D254" s="9" t="n">
        <v>-802.322</v>
      </c>
      <c r="E254" s="9" t="n">
        <v>-153.716</v>
      </c>
      <c r="F254" s="9" t="n">
        <v>-648.606</v>
      </c>
      <c r="G254" s="10" t="n">
        <v>-4.2195</v>
      </c>
      <c r="H254" s="7" t="inlineStr">
        <is>
          <t>V0</t>
        </is>
      </c>
      <c r="J254" s="7" t="inlineStr">
        <is>
          <t>V</t>
        </is>
      </c>
      <c r="K254" s="7" t="inlineStr">
        <is>
          <t>Production vendue (Biens et Services)</t>
        </is>
      </c>
      <c r="L254" s="7" t="inlineStr">
        <is>
          <t>Production vendue (Biens et Services)</t>
        </is>
      </c>
      <c r="M254" s="7" t="inlineStr">
        <is>
          <t>Produits</t>
        </is>
      </c>
      <c r="N254" s="7" t="inlineStr">
        <is>
          <t>Produits</t>
        </is>
      </c>
    </row>
    <row r="255">
      <c r="B255" s="7" t="inlineStr">
        <is>
          <t>703000</t>
        </is>
      </c>
      <c r="C255" s="8" t="inlineStr">
        <is>
          <t>VENTES DE DECHETS</t>
        </is>
      </c>
      <c r="D255" s="9" t="n">
        <v>-15.388</v>
      </c>
      <c r="E255" s="9" t="n">
        <v>-14.011</v>
      </c>
      <c r="F255" s="9" t="n">
        <v>-1.377</v>
      </c>
      <c r="G255" s="10" t="n">
        <v>-0.0983</v>
      </c>
      <c r="H255" s="7" t="inlineStr">
        <is>
          <t>V0</t>
        </is>
      </c>
      <c r="J255" s="7" t="inlineStr">
        <is>
          <t>V</t>
        </is>
      </c>
      <c r="K255" s="7" t="inlineStr">
        <is>
          <t>Production vendue (Biens et Services)</t>
        </is>
      </c>
      <c r="L255" s="7" t="inlineStr">
        <is>
          <t>Production vendue (Biens et Services)</t>
        </is>
      </c>
      <c r="M255" s="7" t="inlineStr">
        <is>
          <t>Produits</t>
        </is>
      </c>
      <c r="N255" s="7" t="inlineStr">
        <is>
          <t>Produits</t>
        </is>
      </c>
    </row>
    <row r="256">
      <c r="B256" s="7" t="inlineStr">
        <is>
          <t>707000</t>
        </is>
      </c>
      <c r="C256" s="8" t="inlineStr">
        <is>
          <t>VTES MSES NEGOCES FRANCE</t>
        </is>
      </c>
      <c r="D256" s="9" t="n">
        <v>-2433.986</v>
      </c>
      <c r="E256" s="9" t="n">
        <v>-1368.23</v>
      </c>
      <c r="F256" s="9" t="n">
        <v>-1065.756</v>
      </c>
      <c r="G256" s="10" t="n">
        <v>-0.7789</v>
      </c>
      <c r="H256" s="7" t="inlineStr">
        <is>
          <t>V0</t>
        </is>
      </c>
      <c r="J256" s="7" t="inlineStr">
        <is>
          <t>V</t>
        </is>
      </c>
      <c r="K256" s="7" t="inlineStr">
        <is>
          <t>Ventes de marchandises</t>
        </is>
      </c>
      <c r="L256" s="7" t="inlineStr">
        <is>
          <t>Ventes de marchandises</t>
        </is>
      </c>
      <c r="M256" s="7" t="inlineStr">
        <is>
          <t>Produits</t>
        </is>
      </c>
      <c r="N256" s="7" t="inlineStr">
        <is>
          <t>Produits</t>
        </is>
      </c>
    </row>
    <row r="257">
      <c r="B257" s="7" t="inlineStr">
        <is>
          <t>707010</t>
        </is>
      </c>
      <c r="C257" s="8" t="inlineStr">
        <is>
          <t>VTES MSES NEGOCES UNION EUROPEENNE</t>
        </is>
      </c>
      <c r="D257" s="9" t="n">
        <v>-493.132</v>
      </c>
      <c r="E257" s="9" t="n">
        <v>-26.542</v>
      </c>
      <c r="F257" s="9" t="n">
        <v>-466.59</v>
      </c>
      <c r="G257" s="10" t="n">
        <v>-17.5796</v>
      </c>
      <c r="H257" s="7" t="inlineStr">
        <is>
          <t>V0</t>
        </is>
      </c>
      <c r="J257" s="7" t="inlineStr">
        <is>
          <t>V</t>
        </is>
      </c>
      <c r="K257" s="7" t="inlineStr">
        <is>
          <t>Ventes de marchandises</t>
        </is>
      </c>
      <c r="L257" s="7" t="inlineStr">
        <is>
          <t>Ventes de marchandises</t>
        </is>
      </c>
      <c r="M257" s="7" t="inlineStr">
        <is>
          <t>Produits</t>
        </is>
      </c>
      <c r="N257" s="7" t="inlineStr">
        <is>
          <t>Produits</t>
        </is>
      </c>
    </row>
    <row r="258">
      <c r="B258" s="7" t="inlineStr">
        <is>
          <t>707020</t>
        </is>
      </c>
      <c r="C258" s="8" t="inlineStr">
        <is>
          <t>VTES MSES NEGOCES DOM TOM</t>
        </is>
      </c>
      <c r="D258" s="9" t="n">
        <v>-44.564</v>
      </c>
      <c r="E258" s="9" t="n">
        <v>-30.711</v>
      </c>
      <c r="F258" s="9" t="n">
        <v>-13.853</v>
      </c>
      <c r="G258" s="10" t="n">
        <v>-0.4511</v>
      </c>
      <c r="H258" s="7" t="inlineStr">
        <is>
          <t>V0</t>
        </is>
      </c>
      <c r="J258" s="7" t="inlineStr">
        <is>
          <t>V</t>
        </is>
      </c>
      <c r="K258" s="7" t="inlineStr">
        <is>
          <t>Ventes de marchandises</t>
        </is>
      </c>
      <c r="L258" s="7" t="inlineStr">
        <is>
          <t>Ventes de marchandises</t>
        </is>
      </c>
      <c r="M258" s="7" t="inlineStr">
        <is>
          <t>Produits</t>
        </is>
      </c>
      <c r="N258" s="7" t="inlineStr">
        <is>
          <t>Produits</t>
        </is>
      </c>
    </row>
    <row r="259">
      <c r="B259" s="7" t="inlineStr">
        <is>
          <t>707030</t>
        </is>
      </c>
      <c r="C259" s="8" t="inlineStr">
        <is>
          <t>VTES MSES NEGOCES EXPORT</t>
        </is>
      </c>
      <c r="D259" s="9" t="n">
        <v>-209.102</v>
      </c>
      <c r="E259" s="9" t="n">
        <v>-21.829</v>
      </c>
      <c r="F259" s="9" t="n">
        <v>-187.273</v>
      </c>
      <c r="G259" s="10" t="n">
        <v>-8.578900000000001</v>
      </c>
      <c r="H259" s="7" t="inlineStr">
        <is>
          <t>V0</t>
        </is>
      </c>
      <c r="J259" s="7" t="inlineStr">
        <is>
          <t>V</t>
        </is>
      </c>
      <c r="K259" s="7" t="inlineStr">
        <is>
          <t>Ventes de marchandises</t>
        </is>
      </c>
      <c r="L259" s="7" t="inlineStr">
        <is>
          <t>Ventes de marchandises</t>
        </is>
      </c>
      <c r="M259" s="7" t="inlineStr">
        <is>
          <t>Produits</t>
        </is>
      </c>
      <c r="N259" s="7" t="inlineStr">
        <is>
          <t>Produits</t>
        </is>
      </c>
    </row>
    <row r="260">
      <c r="B260" s="7" t="inlineStr">
        <is>
          <t>708000</t>
        </is>
      </c>
      <c r="C260" s="8" t="inlineStr">
        <is>
          <t>FRAIS ADMINISTRATIFS FRANCE</t>
        </is>
      </c>
      <c r="D260" s="9" t="n">
        <v>-9.601000000000001</v>
      </c>
      <c r="E260" s="9" t="n">
        <v>1.325</v>
      </c>
      <c r="F260" s="9" t="n">
        <v>-10.926</v>
      </c>
      <c r="G260" s="10" t="n">
        <v>-8.2456</v>
      </c>
      <c r="H260" s="7" t="inlineStr">
        <is>
          <t>V0</t>
        </is>
      </c>
      <c r="J260" s="7" t="inlineStr">
        <is>
          <t>V</t>
        </is>
      </c>
      <c r="K260" s="7" t="inlineStr">
        <is>
          <t>Production vendue (Biens et Services)</t>
        </is>
      </c>
      <c r="L260" s="7" t="inlineStr">
        <is>
          <t>Production vendue (Biens et Services)</t>
        </is>
      </c>
      <c r="M260" s="7" t="inlineStr">
        <is>
          <t>Produits</t>
        </is>
      </c>
      <c r="N260" s="7" t="inlineStr">
        <is>
          <t>Produits</t>
        </is>
      </c>
    </row>
    <row r="261">
      <c r="B261" s="7" t="inlineStr">
        <is>
          <t>708010</t>
        </is>
      </c>
      <c r="C261" s="8" t="inlineStr">
        <is>
          <t>FRAIS ADMIN UE</t>
        </is>
      </c>
      <c r="D261" s="9" t="n">
        <v>-1.24</v>
      </c>
      <c r="E261" s="9" t="n">
        <v>-0.14</v>
      </c>
      <c r="F261" s="9" t="n">
        <v>-1.1</v>
      </c>
      <c r="G261" s="10" t="n">
        <v>-7.8571</v>
      </c>
      <c r="H261" s="7" t="inlineStr">
        <is>
          <t>V0</t>
        </is>
      </c>
      <c r="J261" s="7" t="inlineStr">
        <is>
          <t>V</t>
        </is>
      </c>
      <c r="K261" s="7" t="inlineStr">
        <is>
          <t>Production vendue (Biens et Services)</t>
        </is>
      </c>
      <c r="L261" s="7" t="inlineStr">
        <is>
          <t>Production vendue (Biens et Services)</t>
        </is>
      </c>
      <c r="M261" s="7" t="inlineStr">
        <is>
          <t>Produits</t>
        </is>
      </c>
      <c r="N261" s="7" t="inlineStr">
        <is>
          <t>Produits</t>
        </is>
      </c>
    </row>
    <row r="262">
      <c r="B262" s="7" t="inlineStr">
        <is>
          <t>708020</t>
        </is>
      </c>
      <c r="C262" s="8" t="inlineStr">
        <is>
          <t>FRAIS ADMIN DOM TOM</t>
        </is>
      </c>
      <c r="D262" s="9" t="n">
        <v>-0.16</v>
      </c>
      <c r="E262" s="9" t="n">
        <v>-0.08</v>
      </c>
      <c r="F262" s="9" t="n">
        <v>-0.08</v>
      </c>
      <c r="G262" s="10" t="n">
        <v>-1</v>
      </c>
      <c r="H262" s="7" t="inlineStr">
        <is>
          <t>V0</t>
        </is>
      </c>
      <c r="J262" s="7" t="inlineStr">
        <is>
          <t>V</t>
        </is>
      </c>
      <c r="K262" s="7" t="inlineStr">
        <is>
          <t>Production vendue (Biens et Services)</t>
        </is>
      </c>
      <c r="L262" s="7" t="inlineStr">
        <is>
          <t>Production vendue (Biens et Services)</t>
        </is>
      </c>
      <c r="M262" s="7" t="inlineStr">
        <is>
          <t>Produits</t>
        </is>
      </c>
      <c r="N262" s="7" t="inlineStr">
        <is>
          <t>Produits</t>
        </is>
      </c>
    </row>
    <row r="263">
      <c r="B263" s="7" t="inlineStr">
        <is>
          <t>708030</t>
        </is>
      </c>
      <c r="C263" s="8" t="inlineStr">
        <is>
          <t>FRAIS ADMIN EXPORT</t>
        </is>
      </c>
      <c r="D263" s="9" t="n">
        <v>-0.3</v>
      </c>
      <c r="E263" s="9" t="n">
        <v>-0.045</v>
      </c>
      <c r="F263" s="9" t="n">
        <v>-0.255</v>
      </c>
      <c r="G263" s="10" t="n">
        <v>-5.6667</v>
      </c>
      <c r="H263" s="7" t="inlineStr">
        <is>
          <t>V0</t>
        </is>
      </c>
      <c r="J263" s="7" t="inlineStr">
        <is>
          <t>V</t>
        </is>
      </c>
      <c r="K263" s="7" t="inlineStr">
        <is>
          <t>Production vendue (Biens et Services)</t>
        </is>
      </c>
      <c r="L263" s="7" t="inlineStr">
        <is>
          <t>Production vendue (Biens et Services)</t>
        </is>
      </c>
      <c r="M263" s="7" t="inlineStr">
        <is>
          <t>Produits</t>
        </is>
      </c>
      <c r="N263" s="7" t="inlineStr">
        <is>
          <t>Produits</t>
        </is>
      </c>
    </row>
    <row r="264">
      <c r="B264" s="7" t="inlineStr">
        <is>
          <t>708500</t>
        </is>
      </c>
      <c r="C264" s="8" t="inlineStr">
        <is>
          <t>VTES DE TRANSPORT France</t>
        </is>
      </c>
      <c r="D264" s="9" t="n">
        <v>-142.382</v>
      </c>
      <c r="E264" s="9" t="n">
        <v>-87.06999999999999</v>
      </c>
      <c r="F264" s="9" t="n">
        <v>-55.312</v>
      </c>
      <c r="G264" s="10" t="n">
        <v>-0.6353</v>
      </c>
      <c r="H264" s="7" t="inlineStr">
        <is>
          <t>V0</t>
        </is>
      </c>
      <c r="J264" s="7" t="inlineStr">
        <is>
          <t>V</t>
        </is>
      </c>
      <c r="K264" s="7" t="inlineStr">
        <is>
          <t>Production vendue (Biens et Services)</t>
        </is>
      </c>
      <c r="L264" s="7" t="inlineStr">
        <is>
          <t>Production vendue (Biens et Services)</t>
        </is>
      </c>
      <c r="M264" s="7" t="inlineStr">
        <is>
          <t>Produits</t>
        </is>
      </c>
      <c r="N264" s="7" t="inlineStr">
        <is>
          <t>Produits</t>
        </is>
      </c>
    </row>
    <row r="265">
      <c r="B265" s="7" t="inlineStr">
        <is>
          <t>708510</t>
        </is>
      </c>
      <c r="C265" s="8" t="inlineStr">
        <is>
          <t>VTES DE TRANSPORT UNION EUROPEENN</t>
        </is>
      </c>
      <c r="D265" s="9" t="n">
        <v>-115.953</v>
      </c>
      <c r="E265" s="9" t="n">
        <v>-4.288</v>
      </c>
      <c r="F265" s="9" t="n">
        <v>-111.665</v>
      </c>
      <c r="G265" s="10" t="n">
        <v>-26.0429</v>
      </c>
      <c r="H265" s="7" t="inlineStr">
        <is>
          <t>V0</t>
        </is>
      </c>
      <c r="J265" s="7" t="inlineStr">
        <is>
          <t>V</t>
        </is>
      </c>
      <c r="K265" s="7" t="inlineStr">
        <is>
          <t>Production vendue (Biens et Services)</t>
        </is>
      </c>
      <c r="L265" s="7" t="inlineStr">
        <is>
          <t>Production vendue (Biens et Services)</t>
        </is>
      </c>
      <c r="M265" s="7" t="inlineStr">
        <is>
          <t>Produits</t>
        </is>
      </c>
      <c r="N265" s="7" t="inlineStr">
        <is>
          <t>Produits</t>
        </is>
      </c>
    </row>
    <row r="266">
      <c r="B266" s="7" t="inlineStr">
        <is>
          <t>708520</t>
        </is>
      </c>
      <c r="C266" s="8" t="inlineStr">
        <is>
          <t>VTES DE TRANSPORT DOM TOM</t>
        </is>
      </c>
      <c r="D266" s="9" t="n">
        <v>-1.773</v>
      </c>
      <c r="E266" s="9" t="n">
        <v>-0.673</v>
      </c>
      <c r="F266" s="9" t="n">
        <v>-1.1</v>
      </c>
      <c r="G266" s="10" t="n">
        <v>-1.6352</v>
      </c>
      <c r="H266" s="7" t="inlineStr">
        <is>
          <t>V0</t>
        </is>
      </c>
      <c r="J266" s="7" t="inlineStr">
        <is>
          <t>V</t>
        </is>
      </c>
      <c r="K266" s="7" t="inlineStr">
        <is>
          <t>Production vendue (Biens et Services)</t>
        </is>
      </c>
      <c r="L266" s="7" t="inlineStr">
        <is>
          <t>Production vendue (Biens et Services)</t>
        </is>
      </c>
      <c r="M266" s="7" t="inlineStr">
        <is>
          <t>Produits</t>
        </is>
      </c>
      <c r="N266" s="7" t="inlineStr">
        <is>
          <t>Produits</t>
        </is>
      </c>
    </row>
    <row r="267">
      <c r="B267" s="7" t="inlineStr">
        <is>
          <t>708530</t>
        </is>
      </c>
      <c r="C267" s="8" t="inlineStr">
        <is>
          <t>VTES DE TRANSPORT EXPORT</t>
        </is>
      </c>
      <c r="D267" s="9" t="n">
        <v>-74.572</v>
      </c>
      <c r="E267" s="9" t="n">
        <v>-0.02</v>
      </c>
      <c r="F267" s="9" t="n">
        <v>-74.55200000000001</v>
      </c>
      <c r="G267" s="10" t="n">
        <v>-3729.4647</v>
      </c>
      <c r="H267" s="7" t="inlineStr">
        <is>
          <t>V0</t>
        </is>
      </c>
      <c r="J267" s="7" t="inlineStr">
        <is>
          <t>V</t>
        </is>
      </c>
      <c r="K267" s="7" t="inlineStr">
        <is>
          <t>Production vendue (Biens et Services)</t>
        </is>
      </c>
      <c r="L267" s="7" t="inlineStr">
        <is>
          <t>Production vendue (Biens et Services)</t>
        </is>
      </c>
      <c r="M267" s="7" t="inlineStr">
        <is>
          <t>Produits</t>
        </is>
      </c>
      <c r="N267" s="7" t="inlineStr">
        <is>
          <t>Produits</t>
        </is>
      </c>
    </row>
    <row r="268">
      <c r="B268" s="7" t="inlineStr">
        <is>
          <t>708800</t>
        </is>
      </c>
      <c r="C268" s="8" t="inlineStr">
        <is>
          <t>VTES DIVERSES France</t>
        </is>
      </c>
      <c r="D268" s="9" t="n">
        <v>-12.442</v>
      </c>
      <c r="E268" s="9" t="n">
        <v>-5.031</v>
      </c>
      <c r="F268" s="9" t="n">
        <v>-7.411</v>
      </c>
      <c r="G268" s="10" t="n">
        <v>-1.4731</v>
      </c>
      <c r="H268" s="7" t="inlineStr">
        <is>
          <t>V0</t>
        </is>
      </c>
      <c r="J268" s="7" t="inlineStr">
        <is>
          <t>V</t>
        </is>
      </c>
      <c r="K268" s="7" t="inlineStr">
        <is>
          <t>Production vendue (Biens et Services)</t>
        </is>
      </c>
      <c r="L268" s="7" t="inlineStr">
        <is>
          <t>Production vendue (Biens et Services)</t>
        </is>
      </c>
      <c r="M268" s="7" t="inlineStr">
        <is>
          <t>Produits</t>
        </is>
      </c>
      <c r="N268" s="7" t="inlineStr">
        <is>
          <t>Produits</t>
        </is>
      </c>
    </row>
    <row r="269">
      <c r="B269" s="7" t="inlineStr">
        <is>
          <t>708801</t>
        </is>
      </c>
      <c r="C269" s="8" t="inlineStr">
        <is>
          <t>VTE DIVERSES GROUPE</t>
        </is>
      </c>
      <c r="D269" s="9" t="n">
        <v>-513.054</v>
      </c>
      <c r="E269" s="9" t="n">
        <v>-468.716</v>
      </c>
      <c r="F269" s="9" t="n">
        <v>-44.338</v>
      </c>
      <c r="G269" s="10" t="n">
        <v>-0.0946</v>
      </c>
      <c r="H269" s="7" t="inlineStr">
        <is>
          <t>V0</t>
        </is>
      </c>
      <c r="J269" s="7" t="inlineStr">
        <is>
          <t>V</t>
        </is>
      </c>
      <c r="K269" s="7" t="inlineStr">
        <is>
          <t>Production vendue (Biens et Services)</t>
        </is>
      </c>
      <c r="L269" s="7" t="inlineStr">
        <is>
          <t>Production vendue (Biens et Services)</t>
        </is>
      </c>
      <c r="M269" s="7" t="inlineStr">
        <is>
          <t>Produits</t>
        </is>
      </c>
      <c r="N269" s="7" t="inlineStr">
        <is>
          <t>Produits</t>
        </is>
      </c>
    </row>
    <row r="270">
      <c r="B270" s="7" t="inlineStr">
        <is>
          <t>709100</t>
        </is>
      </c>
      <c r="C270" s="8" t="inlineStr">
        <is>
          <t>V AVOIR BFA</t>
        </is>
      </c>
      <c r="D270" s="9" t="n">
        <v>80.702</v>
      </c>
      <c r="E270" s="9" t="n">
        <v>41.004</v>
      </c>
      <c r="F270" s="9" t="n">
        <v>39.698</v>
      </c>
      <c r="G270" s="10" t="n">
        <v>0.9681</v>
      </c>
      <c r="H270" s="7" t="inlineStr">
        <is>
          <t>V0</t>
        </is>
      </c>
      <c r="J270" s="7" t="inlineStr">
        <is>
          <t>V</t>
        </is>
      </c>
      <c r="K270" s="7" t="inlineStr">
        <is>
          <t>Production vendue (Biens et Services)</t>
        </is>
      </c>
      <c r="L270" s="7" t="inlineStr">
        <is>
          <t>Production vendue (Biens et Services)</t>
        </is>
      </c>
      <c r="M270" s="7" t="inlineStr">
        <is>
          <t>Produits</t>
        </is>
      </c>
      <c r="N270" s="7" t="inlineStr">
        <is>
          <t>Produits</t>
        </is>
      </c>
    </row>
    <row r="271">
      <c r="B271" s="7" t="inlineStr">
        <is>
          <t>713550</t>
        </is>
      </c>
      <c r="C271" s="8" t="inlineStr">
        <is>
          <t>VARIATION PRODUIT FINIS</t>
        </is>
      </c>
      <c r="D271" s="9" t="n">
        <v>149.922</v>
      </c>
      <c r="E271" s="9" t="n">
        <v>-155.164</v>
      </c>
      <c r="F271" s="9" t="n">
        <v>305.086</v>
      </c>
      <c r="G271" s="10" t="n">
        <v>1.9662</v>
      </c>
      <c r="H271" s="7" t="inlineStr">
        <is>
          <t>S0</t>
        </is>
      </c>
      <c r="J271" s="7" t="inlineStr">
        <is>
          <t>S</t>
        </is>
      </c>
      <c r="K271" s="7" t="inlineStr">
        <is>
          <t>Production stockée</t>
        </is>
      </c>
      <c r="L271" s="7" t="inlineStr">
        <is>
          <t>Production stockée</t>
        </is>
      </c>
      <c r="M271" s="7" t="inlineStr">
        <is>
          <t>Produits</t>
        </is>
      </c>
      <c r="N271" s="7" t="inlineStr">
        <is>
          <t>Produits</t>
        </is>
      </c>
    </row>
    <row r="272">
      <c r="B272" s="7" t="inlineStr">
        <is>
          <t>740000</t>
        </is>
      </c>
      <c r="C272" s="8" t="inlineStr">
        <is>
          <t>SUBVENTION D'EXPLOITATION</t>
        </is>
      </c>
      <c r="D272" s="9" t="n">
        <v>-34.5</v>
      </c>
      <c r="E272" s="9" t="n">
        <v>-9.08</v>
      </c>
      <c r="F272" s="9" t="n">
        <v>-25.42</v>
      </c>
      <c r="G272" s="10" t="n">
        <v>-2.7996</v>
      </c>
      <c r="H272" s="7" t="inlineStr">
        <is>
          <t>C Propres0</t>
        </is>
      </c>
      <c r="J272" s="7" t="inlineStr">
        <is>
          <t>C Propres</t>
        </is>
      </c>
      <c r="K272" s="7" t="inlineStr">
        <is>
          <t>Subventions d'exploitation</t>
        </is>
      </c>
      <c r="L272" s="7" t="inlineStr">
        <is>
          <t>Subventions d'exploitation</t>
        </is>
      </c>
      <c r="M272" s="7" t="inlineStr">
        <is>
          <t>Produits</t>
        </is>
      </c>
      <c r="N272" s="7" t="inlineStr">
        <is>
          <t>Produits</t>
        </is>
      </c>
    </row>
    <row r="273">
      <c r="B273" s="7" t="inlineStr">
        <is>
          <t>758000</t>
        </is>
      </c>
      <c r="C273" s="8" t="inlineStr">
        <is>
          <t>PRDTS DIVERS DE GESTION COURANTE</t>
        </is>
      </c>
      <c r="D273" s="9" t="n">
        <v>-12.427</v>
      </c>
      <c r="E273" s="9" t="n">
        <v>-54.543</v>
      </c>
      <c r="F273" s="9" t="n">
        <v>42.116</v>
      </c>
      <c r="G273" s="10" t="n">
        <v>0.7722</v>
      </c>
      <c r="H273" s="7" t="inlineStr">
        <is>
          <t>T0</t>
        </is>
      </c>
      <c r="J273" s="7" t="inlineStr">
        <is>
          <t>T</t>
        </is>
      </c>
      <c r="K273" s="7" t="inlineStr">
        <is>
          <t>Autres produits</t>
        </is>
      </c>
      <c r="L273" s="7" t="inlineStr">
        <is>
          <t>Autres produits</t>
        </is>
      </c>
      <c r="M273" s="7" t="inlineStr">
        <is>
          <t>Produits</t>
        </is>
      </c>
      <c r="N273" s="7" t="inlineStr">
        <is>
          <t>Produits</t>
        </is>
      </c>
    </row>
    <row r="274">
      <c r="B274" s="7" t="inlineStr">
        <is>
          <t>758700</t>
        </is>
      </c>
      <c r="C274" s="8" t="inlineStr">
        <is>
          <t>INDEMNITES D'ASSURANCE</t>
        </is>
      </c>
      <c r="D274" s="9" t="n">
        <v>-9.254</v>
      </c>
      <c r="E274" s="9" t="n">
        <v>0</v>
      </c>
      <c r="F274" s="9" t="n">
        <v>-9.254</v>
      </c>
      <c r="G274" s="8" t="inlineStr">
        <is>
          <t>n/a</t>
        </is>
      </c>
      <c r="H274" s="7" t="inlineStr">
        <is>
          <t>T0</t>
        </is>
      </c>
      <c r="J274" s="7" t="inlineStr">
        <is>
          <t>T</t>
        </is>
      </c>
      <c r="K274" s="7" t="inlineStr"/>
      <c r="L274" s="7" t="inlineStr"/>
      <c r="M274" s="7" t="inlineStr">
        <is>
          <t>Produits</t>
        </is>
      </c>
      <c r="N274" s="7" t="inlineStr">
        <is>
          <t>Produits</t>
        </is>
      </c>
    </row>
    <row r="275">
      <c r="B275" s="7" t="inlineStr">
        <is>
          <t>762400</t>
        </is>
      </c>
      <c r="C275" s="8" t="inlineStr">
        <is>
          <t>REVENUS DES PRETS</t>
        </is>
      </c>
      <c r="D275" s="9" t="n">
        <v>-0.892</v>
      </c>
      <c r="E275" s="9" t="n">
        <v>0</v>
      </c>
      <c r="F275" s="9" t="n">
        <v>-0.892</v>
      </c>
      <c r="G275" s="8" t="inlineStr">
        <is>
          <t>n/a</t>
        </is>
      </c>
      <c r="H275" s="7" t="inlineStr">
        <is>
          <t>F0</t>
        </is>
      </c>
      <c r="J275" s="7" t="inlineStr">
        <is>
          <t>F</t>
        </is>
      </c>
      <c r="K275" s="7" t="inlineStr"/>
      <c r="L275" s="7" t="inlineStr"/>
      <c r="M275" s="7" t="inlineStr">
        <is>
          <t>Produits</t>
        </is>
      </c>
      <c r="N275" s="7" t="inlineStr">
        <is>
          <t>Produits</t>
        </is>
      </c>
    </row>
    <row r="276">
      <c r="B276" s="7" t="inlineStr">
        <is>
          <t>766000</t>
        </is>
      </c>
      <c r="C276" s="8" t="inlineStr">
        <is>
          <t>GAINS DE CHANGE CLIENTS</t>
        </is>
      </c>
      <c r="D276" s="9" t="n">
        <v>-3.261</v>
      </c>
      <c r="E276" s="9" t="n">
        <v>-3.604</v>
      </c>
      <c r="F276" s="9" t="n">
        <v>0.343</v>
      </c>
      <c r="G276" s="10" t="n">
        <v>0.09520000000000001</v>
      </c>
      <c r="H276" s="7" t="inlineStr">
        <is>
          <t>F0</t>
        </is>
      </c>
      <c r="J276" s="7" t="inlineStr">
        <is>
          <t>F</t>
        </is>
      </c>
      <c r="K276" s="7" t="inlineStr">
        <is>
          <t>Différences positives de change</t>
        </is>
      </c>
      <c r="L276" s="7" t="inlineStr">
        <is>
          <t>Différences positives de change</t>
        </is>
      </c>
      <c r="M276" s="7" t="inlineStr">
        <is>
          <t>Produits</t>
        </is>
      </c>
      <c r="N276" s="7" t="inlineStr">
        <is>
          <t>Produits</t>
        </is>
      </c>
    </row>
    <row r="277">
      <c r="B277" s="7" t="inlineStr">
        <is>
          <t>767010</t>
        </is>
      </c>
      <c r="C277" s="8" t="inlineStr">
        <is>
          <t>PRODUITS FINANCIERS SUR PLACEMENT C</t>
        </is>
      </c>
      <c r="D277" s="9" t="n">
        <v>-5.583</v>
      </c>
      <c r="E277" s="9" t="n">
        <v>0</v>
      </c>
      <c r="F277" s="9" t="n">
        <v>-5.583</v>
      </c>
      <c r="G277" s="8" t="inlineStr">
        <is>
          <t>n/a</t>
        </is>
      </c>
      <c r="H277" s="7" t="inlineStr">
        <is>
          <t>F0</t>
        </is>
      </c>
      <c r="J277" s="7" t="inlineStr">
        <is>
          <t>F</t>
        </is>
      </c>
      <c r="K277" s="7" t="inlineStr"/>
      <c r="L277" s="7" t="inlineStr"/>
      <c r="M277" s="7" t="inlineStr">
        <is>
          <t>Produits</t>
        </is>
      </c>
      <c r="N277" s="7" t="inlineStr">
        <is>
          <t>Produits</t>
        </is>
      </c>
    </row>
    <row r="278">
      <c r="B278" s="7" t="inlineStr">
        <is>
          <t>768010</t>
        </is>
      </c>
      <c r="C278" s="8" t="inlineStr">
        <is>
          <t>REVENUS DES COMPTES EN DEVISES</t>
        </is>
      </c>
      <c r="D278" s="9" t="n">
        <v>-0.965</v>
      </c>
      <c r="E278" s="9" t="n">
        <v>0</v>
      </c>
      <c r="F278" s="9" t="n">
        <v>-0.965</v>
      </c>
      <c r="G278" s="8" t="inlineStr">
        <is>
          <t>n/a</t>
        </is>
      </c>
      <c r="H278" s="7" t="inlineStr">
        <is>
          <t>F0</t>
        </is>
      </c>
      <c r="J278" s="7" t="inlineStr">
        <is>
          <t>F</t>
        </is>
      </c>
      <c r="K278" s="7" t="inlineStr"/>
      <c r="L278" s="7" t="inlineStr"/>
      <c r="M278" s="7" t="inlineStr">
        <is>
          <t>Produits</t>
        </is>
      </c>
      <c r="N278" s="7" t="inlineStr">
        <is>
          <t>Produits</t>
        </is>
      </c>
    </row>
    <row r="279">
      <c r="B279" s="7" t="inlineStr">
        <is>
          <t>781740</t>
        </is>
      </c>
      <c r="C279" s="8" t="inlineStr">
        <is>
          <t>REPRISE PROVISION DEPRECIATION CREA</t>
        </is>
      </c>
      <c r="D279" s="9" t="n">
        <v>-1.978</v>
      </c>
      <c r="E279" s="9" t="n">
        <v>-1.211</v>
      </c>
      <c r="F279" s="9" t="n">
        <v>-0.767</v>
      </c>
      <c r="G279" s="10" t="n">
        <v>-0.6334</v>
      </c>
      <c r="H279" s="7" t="inlineStr">
        <is>
          <t>V0</t>
        </is>
      </c>
      <c r="J279" s="7" t="inlineStr">
        <is>
          <t>V</t>
        </is>
      </c>
      <c r="K279" s="7" t="inlineStr">
        <is>
          <t>Reprises sur provisions d'exploitation</t>
        </is>
      </c>
      <c r="L279" s="7" t="inlineStr">
        <is>
          <t>Reprises sur provisions d'exploitation</t>
        </is>
      </c>
      <c r="M279" s="7" t="inlineStr">
        <is>
          <t>Produits</t>
        </is>
      </c>
      <c r="N279" s="7" t="inlineStr">
        <is>
          <t>Produits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" customWidth="1" min="3" max="3"/>
    <col width="14" customWidth="1" min="4" max="4"/>
    <col width="14" customWidth="1" min="5" max="5"/>
    <col width="12" customWidth="1" min="6" max="6"/>
    <col width="10" customWidth="1" min="7" max="7"/>
    <col width="4" customWidth="1" min="8" max="8"/>
    <col width="30" customWidth="1" min="9" max="9"/>
    <col width="4" customWidth="1" min="10" max="10"/>
    <col width="14" customWidth="1" min="11" max="11"/>
    <col width="14" customWidth="1" min="12" max="12"/>
    <col width="12" customWidth="1" min="13" max="13"/>
    <col width="10" customWidth="1" min="14" max="14"/>
  </cols>
  <sheetData>
    <row r="1">
      <c r="A1" s="2" t="inlineStr">
        <is>
          <t>Retour sommaire</t>
        </is>
      </c>
    </row>
    <row r="3">
      <c r="D3" s="4" t="inlineStr">
        <is>
          <t>Bilan synthétique</t>
        </is>
      </c>
    </row>
    <row r="4">
      <c r="D4" s="5" t="inlineStr">
        <is>
          <t>GILAC</t>
        </is>
      </c>
    </row>
    <row r="8">
      <c r="B8" s="6" t="inlineStr">
        <is>
          <t>ACTIF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I8" s="6" t="inlineStr">
        <is>
          <t>PASSIF</t>
        </is>
      </c>
      <c r="K8" s="6" t="inlineStr">
        <is>
          <t>31/12/2025</t>
        </is>
      </c>
      <c r="L8" s="6" t="inlineStr">
        <is>
          <t>31/12/2024</t>
        </is>
      </c>
      <c r="M8" s="6" t="inlineStr">
        <is>
          <t>Var. K€</t>
        </is>
      </c>
      <c r="N8" s="6" t="inlineStr">
        <is>
          <t>Var. %</t>
        </is>
      </c>
    </row>
    <row r="10">
      <c r="B10" s="11" t="inlineStr">
        <is>
          <t>ACTIF IMMOBILISÉ</t>
        </is>
      </c>
      <c r="I10" s="11" t="inlineStr">
        <is>
          <t>CAPITAUX PROPRES</t>
        </is>
      </c>
    </row>
    <row r="11">
      <c r="B11" s="8" t="inlineStr">
        <is>
          <t>Capital souscrit non appelé</t>
        </is>
      </c>
      <c r="D11" s="9" t="n">
        <v>0</v>
      </c>
      <c r="E11" s="9" t="n">
        <v>0</v>
      </c>
      <c r="F11" s="9" t="n">
        <v>0</v>
      </c>
      <c r="G11" s="8" t="inlineStr">
        <is>
          <t>n/a</t>
        </is>
      </c>
      <c r="I11" s="8" t="inlineStr">
        <is>
          <t>Capital</t>
        </is>
      </c>
      <c r="K11" s="9" t="n">
        <v>1150.001</v>
      </c>
      <c r="L11" s="9" t="n">
        <v>1150.001</v>
      </c>
      <c r="M11" s="9" t="n">
        <v>0</v>
      </c>
      <c r="N11" s="10" t="n">
        <v>0</v>
      </c>
    </row>
    <row r="12">
      <c r="B12" s="8" t="inlineStr">
        <is>
          <t>Immobilisations incorporelles (net)</t>
        </is>
      </c>
      <c r="D12" s="9" t="n">
        <v>191.351</v>
      </c>
      <c r="E12" s="9" t="n">
        <v>191.351</v>
      </c>
      <c r="F12" s="9" t="n">
        <v>0</v>
      </c>
      <c r="G12" s="10" t="n">
        <v>0</v>
      </c>
      <c r="I12" s="8" t="inlineStr">
        <is>
          <t>Primes d'émission</t>
        </is>
      </c>
      <c r="K12" s="9" t="n">
        <v>-0</v>
      </c>
      <c r="L12" s="9" t="n">
        <v>-0</v>
      </c>
      <c r="M12" s="9" t="n">
        <v>0</v>
      </c>
      <c r="N12" s="8" t="inlineStr">
        <is>
          <t>n/a</t>
        </is>
      </c>
    </row>
    <row r="13">
      <c r="B13" s="8" t="inlineStr">
        <is>
          <t>Immobilisations corporelles (net)</t>
        </is>
      </c>
      <c r="D13" s="9" t="n">
        <v>334.049</v>
      </c>
      <c r="E13" s="9" t="n">
        <v>520.0119999999999</v>
      </c>
      <c r="F13" s="9" t="n">
        <v>-185.963</v>
      </c>
      <c r="G13" s="10" t="n">
        <v>-0.3576</v>
      </c>
      <c r="I13" s="8" t="inlineStr">
        <is>
          <t>Réserve légale</t>
        </is>
      </c>
      <c r="K13" s="9" t="n">
        <v>115</v>
      </c>
      <c r="L13" s="9" t="n">
        <v>115</v>
      </c>
      <c r="M13" s="9" t="n">
        <v>0</v>
      </c>
      <c r="N13" s="10" t="n">
        <v>0</v>
      </c>
    </row>
    <row r="14">
      <c r="B14" s="8" t="inlineStr">
        <is>
          <t>Immobilisations financières (net)</t>
        </is>
      </c>
      <c r="D14" s="9" t="n">
        <v>3900.733</v>
      </c>
      <c r="E14" s="9" t="n">
        <v>3932.596</v>
      </c>
      <c r="F14" s="9" t="n">
        <v>-31.863</v>
      </c>
      <c r="G14" s="10" t="n">
        <v>-0.0081</v>
      </c>
      <c r="I14" s="8" t="inlineStr">
        <is>
          <t>Autres réserves</t>
        </is>
      </c>
      <c r="K14" s="9" t="n">
        <v>2906.777</v>
      </c>
      <c r="L14" s="9" t="n">
        <v>1851.193</v>
      </c>
      <c r="M14" s="9" t="n">
        <v>1055.584</v>
      </c>
      <c r="N14" s="10" t="n">
        <v>0.5702</v>
      </c>
    </row>
    <row r="15">
      <c r="I15" s="8" t="inlineStr">
        <is>
          <t>Report à nouveau</t>
        </is>
      </c>
      <c r="K15" s="9" t="n">
        <v>-0</v>
      </c>
      <c r="L15" s="9" t="n">
        <v>-0</v>
      </c>
      <c r="M15" s="9" t="n">
        <v>0</v>
      </c>
      <c r="N15" s="8" t="inlineStr">
        <is>
          <t>n/a</t>
        </is>
      </c>
    </row>
    <row r="16">
      <c r="B16" s="11" t="inlineStr">
        <is>
          <t>ACTIF CIRCULANT</t>
        </is>
      </c>
      <c r="I16" s="8" t="inlineStr">
        <is>
          <t>Résultat de l'exercice</t>
        </is>
      </c>
      <c r="K16" s="9" t="n">
        <v>-0</v>
      </c>
      <c r="L16" s="9" t="n">
        <v>-0</v>
      </c>
      <c r="M16" s="9" t="n">
        <v>0</v>
      </c>
      <c r="N16" s="8" t="inlineStr">
        <is>
          <t>n/a</t>
        </is>
      </c>
    </row>
    <row r="17">
      <c r="B17" s="8" t="inlineStr">
        <is>
          <t>Stocks et en-cours (net)</t>
        </is>
      </c>
      <c r="D17" s="9" t="n">
        <v>3451.713</v>
      </c>
      <c r="E17" s="9" t="n">
        <v>2944.317</v>
      </c>
      <c r="F17" s="9" t="n">
        <v>507.396</v>
      </c>
      <c r="G17" s="10" t="n">
        <v>0.1723</v>
      </c>
      <c r="I17" s="8" t="inlineStr">
        <is>
          <t>Résultat en cours (6/7)</t>
        </is>
      </c>
      <c r="K17" s="9" t="n">
        <v>2572.715</v>
      </c>
      <c r="L17" s="9" t="n">
        <v>2767.133</v>
      </c>
      <c r="M17" s="9" t="n">
        <v>-194.418</v>
      </c>
      <c r="N17" s="10" t="n">
        <v>-0.0703</v>
      </c>
    </row>
    <row r="18">
      <c r="B18" s="8" t="inlineStr">
        <is>
          <t>Avances et acomptes versés</t>
        </is>
      </c>
      <c r="D18" s="9" t="n">
        <v>0</v>
      </c>
      <c r="E18" s="9" t="n">
        <v>0</v>
      </c>
      <c r="F18" s="9" t="n">
        <v>0</v>
      </c>
      <c r="G18" s="8" t="inlineStr">
        <is>
          <t>n/a</t>
        </is>
      </c>
      <c r="I18" s="8" t="inlineStr">
        <is>
          <t>Subventions d'investissement</t>
        </is>
      </c>
      <c r="K18" s="9" t="n">
        <v>-0</v>
      </c>
      <c r="L18" s="9" t="n">
        <v>-0</v>
      </c>
      <c r="M18" s="9" t="n">
        <v>0</v>
      </c>
      <c r="N18" s="8" t="inlineStr">
        <is>
          <t>n/a</t>
        </is>
      </c>
    </row>
    <row r="19">
      <c r="B19" s="8" t="inlineStr">
        <is>
          <t>Créances clients (net)</t>
        </is>
      </c>
      <c r="D19" s="9" t="n">
        <v>2288.525</v>
      </c>
      <c r="E19" s="9" t="n">
        <v>1829.108</v>
      </c>
      <c r="F19" s="9" t="n">
        <v>459.417</v>
      </c>
      <c r="G19" s="10" t="n">
        <v>0.2512</v>
      </c>
      <c r="I19" s="8" t="inlineStr">
        <is>
          <t>Provisions réglementées</t>
        </is>
      </c>
      <c r="K19" s="9" t="n">
        <v>-0</v>
      </c>
      <c r="L19" s="9" t="n">
        <v>-0</v>
      </c>
      <c r="M19" s="9" t="n">
        <v>0</v>
      </c>
      <c r="N19" s="8" t="inlineStr">
        <is>
          <t>n/a</t>
        </is>
      </c>
    </row>
    <row r="20">
      <c r="B20" s="8" t="inlineStr">
        <is>
          <t>Autres créances</t>
        </is>
      </c>
      <c r="D20" s="9" t="n">
        <v>781.362</v>
      </c>
      <c r="E20" s="9" t="n">
        <v>628.143</v>
      </c>
      <c r="F20" s="9" t="n">
        <v>153.219</v>
      </c>
      <c r="G20" s="10" t="n">
        <v>0.2439</v>
      </c>
    </row>
    <row r="21">
      <c r="B21" s="8" t="inlineStr">
        <is>
          <t>Créances interco (451, 455 débiteurs)</t>
        </is>
      </c>
      <c r="D21" s="9" t="n">
        <v>1147.45</v>
      </c>
      <c r="E21" s="9" t="n">
        <v>631.093</v>
      </c>
      <c r="F21" s="9" t="n">
        <v>516.357</v>
      </c>
      <c r="G21" s="10" t="n">
        <v>0.8182</v>
      </c>
      <c r="I21" s="11" t="inlineStr">
        <is>
          <t>PROVISIONS</t>
        </is>
      </c>
    </row>
    <row r="22">
      <c r="B22" s="8" t="inlineStr">
        <is>
          <t>VMP (net)</t>
        </is>
      </c>
      <c r="D22" s="9" t="n">
        <v>0</v>
      </c>
      <c r="E22" s="9" t="n">
        <v>0</v>
      </c>
      <c r="F22" s="9" t="n">
        <v>0</v>
      </c>
      <c r="G22" s="8" t="inlineStr">
        <is>
          <t>n/a</t>
        </is>
      </c>
      <c r="I22" s="8" t="inlineStr">
        <is>
          <t>Provisions pour risques</t>
        </is>
      </c>
      <c r="K22" s="9" t="n">
        <v>30</v>
      </c>
      <c r="L22" s="9" t="n">
        <v>30</v>
      </c>
      <c r="M22" s="9" t="n">
        <v>0</v>
      </c>
      <c r="N22" s="10" t="n">
        <v>0</v>
      </c>
    </row>
    <row r="23">
      <c r="B23" s="8" t="inlineStr">
        <is>
          <t>Disponibilités</t>
        </is>
      </c>
      <c r="D23" s="9" t="n">
        <v>912.6849999999999</v>
      </c>
      <c r="E23" s="9" t="n">
        <v>1376.102</v>
      </c>
      <c r="F23" s="9" t="n">
        <v>-463.417</v>
      </c>
      <c r="G23" s="10" t="n">
        <v>-0.3368</v>
      </c>
      <c r="I23" s="8" t="inlineStr">
        <is>
          <t>Provisions pour charges</t>
        </is>
      </c>
      <c r="K23" s="9" t="n">
        <v>-0</v>
      </c>
      <c r="L23" s="9" t="n">
        <v>-0</v>
      </c>
      <c r="M23" s="9" t="n">
        <v>0</v>
      </c>
      <c r="N23" s="8" t="inlineStr">
        <is>
          <t>n/a</t>
        </is>
      </c>
    </row>
    <row r="24">
      <c r="B24" s="8" t="inlineStr">
        <is>
          <t>Charges constatées d'avance</t>
        </is>
      </c>
      <c r="D24" s="9" t="n">
        <v>144.09</v>
      </c>
      <c r="E24" s="9" t="n">
        <v>17.546</v>
      </c>
      <c r="F24" s="9" t="n">
        <v>126.544</v>
      </c>
      <c r="G24" s="10" t="n">
        <v>7.2121</v>
      </c>
    </row>
    <row r="25">
      <c r="I25" s="11" t="inlineStr">
        <is>
          <t>DETTES</t>
        </is>
      </c>
    </row>
    <row r="26">
      <c r="B26" s="12" t="inlineStr">
        <is>
          <t>TOTAL ACTIF</t>
        </is>
      </c>
      <c r="D26" s="13" t="n">
        <v>13151.958</v>
      </c>
      <c r="E26" s="13" t="n">
        <v>12070.268</v>
      </c>
      <c r="F26" s="13" t="n">
        <v>1081.69</v>
      </c>
      <c r="G26" s="14" t="n">
        <v>0.0896</v>
      </c>
      <c r="I26" s="8" t="inlineStr">
        <is>
          <t>Emprunts et dettes financières</t>
        </is>
      </c>
      <c r="K26" s="9" t="n">
        <v>1405.077</v>
      </c>
      <c r="L26" s="9" t="n">
        <v>2615.22</v>
      </c>
      <c r="M26" s="9" t="n">
        <v>-1210.143</v>
      </c>
      <c r="N26" s="10" t="n">
        <v>-0.4627</v>
      </c>
    </row>
    <row r="27">
      <c r="I27" s="8" t="inlineStr">
        <is>
          <t>Dettes fournisseurs</t>
        </is>
      </c>
      <c r="K27" s="9" t="n">
        <v>1351.032</v>
      </c>
      <c r="L27" s="9" t="n">
        <v>1008.785</v>
      </c>
      <c r="M27" s="9" t="n">
        <v>342.247</v>
      </c>
      <c r="N27" s="10" t="n">
        <v>0.3393</v>
      </c>
    </row>
    <row r="28">
      <c r="I28" s="8" t="inlineStr">
        <is>
          <t>Dettes fiscales et sociales</t>
        </is>
      </c>
      <c r="K28" s="9" t="n">
        <v>-358.576</v>
      </c>
      <c r="L28" s="9" t="n">
        <v>-280.014</v>
      </c>
      <c r="M28" s="9" t="n">
        <v>-78.562</v>
      </c>
      <c r="N28" s="10" t="n">
        <v>-0.2806</v>
      </c>
    </row>
    <row r="29">
      <c r="I29" s="8" t="inlineStr">
        <is>
          <t>Autres dettes</t>
        </is>
      </c>
      <c r="K29" s="9" t="n">
        <v>0.473</v>
      </c>
      <c r="L29" s="9" t="n">
        <v>0.473</v>
      </c>
      <c r="M29" s="9" t="n">
        <v>0</v>
      </c>
      <c r="N29" s="10" t="n">
        <v>0</v>
      </c>
    </row>
    <row r="30">
      <c r="I30" s="8" t="inlineStr">
        <is>
          <t>Dettes interco (451, 455 créditeurs)</t>
        </is>
      </c>
      <c r="K30" s="9" t="n">
        <v>3218.734</v>
      </c>
      <c r="L30" s="9" t="n">
        <v>2218.308</v>
      </c>
      <c r="M30" s="9" t="n">
        <v>1000.426</v>
      </c>
      <c r="N30" s="10" t="n">
        <v>0.451</v>
      </c>
    </row>
    <row r="31">
      <c r="I31" s="8" t="inlineStr">
        <is>
          <t>Produits constatés d'avance</t>
        </is>
      </c>
      <c r="K31" s="9" t="n">
        <v>-0</v>
      </c>
      <c r="L31" s="9" t="n">
        <v>-0</v>
      </c>
      <c r="M31" s="9" t="n">
        <v>0</v>
      </c>
      <c r="N31" s="8" t="inlineStr">
        <is>
          <t>n/a</t>
        </is>
      </c>
    </row>
    <row r="32">
      <c r="I32" s="8" t="inlineStr">
        <is>
          <t>Autres passif (résiduel)</t>
        </is>
      </c>
      <c r="K32" s="9" t="n">
        <v>760.725</v>
      </c>
      <c r="L32" s="9" t="n">
        <v>594.169</v>
      </c>
      <c r="M32" s="9" t="n">
        <v>166.556</v>
      </c>
      <c r="N32" s="10" t="n">
        <v>0.2803</v>
      </c>
    </row>
    <row r="34">
      <c r="I34" s="12" t="inlineStr">
        <is>
          <t>TOTAL PASSIF</t>
        </is>
      </c>
      <c r="K34" s="13" t="n">
        <v>13151.958</v>
      </c>
      <c r="L34" s="13" t="n">
        <v>12070.268</v>
      </c>
      <c r="M34" s="13" t="n">
        <v>1081.69</v>
      </c>
      <c r="N34" s="14" t="n">
        <v>0.0896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30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>
      <c r="A1" s="2" t="inlineStr">
        <is>
          <t>Retour sommaire</t>
        </is>
      </c>
    </row>
    <row r="3">
      <c r="D3" s="4" t="inlineStr">
        <is>
          <t>Besoin en fonds de roulement, Fonds de roulement, Trésorerie nette, Endettement net financier</t>
        </is>
      </c>
    </row>
    <row r="4">
      <c r="D4" s="5" t="inlineStr">
        <is>
          <t>GILAC</t>
        </is>
      </c>
    </row>
    <row r="8"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</row>
    <row r="10">
      <c r="B10" s="11" t="inlineStr">
        <is>
          <t>FONDS DE ROULEMENT NET GLOBAL (FRNG)</t>
        </is>
      </c>
    </row>
    <row r="11">
      <c r="B11" s="11" t="inlineStr">
        <is>
          <t>Ressources stables</t>
        </is>
      </c>
    </row>
    <row r="12">
      <c r="C12" s="8" t="inlineStr">
        <is>
          <t>Capitaux propres (10–14)</t>
        </is>
      </c>
      <c r="D12" s="9" t="n">
        <v>4171.778</v>
      </c>
      <c r="E12" s="9" t="n">
        <v>3116.194</v>
      </c>
      <c r="F12" s="9" t="n">
        <v>1055.584</v>
      </c>
      <c r="G12" s="10" t="n">
        <v>0.3387</v>
      </c>
    </row>
    <row r="13">
      <c r="C13" s="8" t="inlineStr">
        <is>
          <t>Amortissements et dépréciations (28, 29, 39, 49)</t>
        </is>
      </c>
      <c r="D13" s="9" t="n">
        <v>2082.768</v>
      </c>
      <c r="E13" s="9" t="n">
        <v>1773.209</v>
      </c>
      <c r="F13" s="9" t="n">
        <v>309.559</v>
      </c>
      <c r="G13" s="10" t="n">
        <v>0.1746</v>
      </c>
    </row>
    <row r="14">
      <c r="C14" s="8" t="inlineStr">
        <is>
          <t>Provisions pour risques et charges (15)</t>
        </is>
      </c>
      <c r="D14" s="9" t="n">
        <v>30</v>
      </c>
      <c r="E14" s="9" t="n">
        <v>30</v>
      </c>
      <c r="F14" s="9" t="n">
        <v>0</v>
      </c>
      <c r="G14" s="10" t="n">
        <v>0</v>
      </c>
    </row>
    <row r="15">
      <c r="C15" s="8" t="inlineStr">
        <is>
          <t>Dettes financières MLT (16, 17)</t>
        </is>
      </c>
      <c r="D15" s="9" t="n">
        <v>1405.077</v>
      </c>
      <c r="E15" s="9" t="n">
        <v>2615.22</v>
      </c>
      <c r="F15" s="9" t="n">
        <v>-1210.143</v>
      </c>
      <c r="G15" s="10" t="n">
        <v>-0.4627</v>
      </c>
    </row>
    <row r="16">
      <c r="B16" s="12">
        <f> Total ressources stables</f>
        <v/>
      </c>
      <c r="D16" s="13" t="n">
        <v>7689.623</v>
      </c>
      <c r="E16" s="13" t="n">
        <v>7534.623</v>
      </c>
      <c r="F16" s="13" t="n">
        <v>155</v>
      </c>
      <c r="G16" s="14" t="n">
        <v>0.0206</v>
      </c>
    </row>
    <row r="18">
      <c r="B18" s="11" t="inlineStr">
        <is>
          <t>Emplois stables</t>
        </is>
      </c>
    </row>
    <row r="19">
      <c r="C19" s="8" t="inlineStr">
        <is>
          <t>Actif immobilisé brut (20–27)</t>
        </is>
      </c>
      <c r="D19" s="9" t="n">
        <v>6451.055</v>
      </c>
      <c r="E19" s="9" t="n">
        <v>6370.574</v>
      </c>
      <c r="F19" s="9" t="n">
        <v>80.48099999999999</v>
      </c>
      <c r="G19" s="10" t="n">
        <v>0.0126</v>
      </c>
    </row>
    <row r="20">
      <c r="B20" s="12">
        <f> Total emplois stables</f>
        <v/>
      </c>
      <c r="D20" s="13" t="n">
        <v>6451.055</v>
      </c>
      <c r="E20" s="13" t="n">
        <v>6370.574</v>
      </c>
      <c r="F20" s="13" t="n">
        <v>80.48099999999999</v>
      </c>
      <c r="G20" s="14" t="n">
        <v>0.0126</v>
      </c>
    </row>
    <row r="22">
      <c r="B22" s="12">
        <f> FRNG</f>
        <v/>
      </c>
      <c r="D22" s="13" t="n">
        <v>1238.568</v>
      </c>
      <c r="E22" s="13" t="n">
        <v>1164.049</v>
      </c>
      <c r="F22" s="13" t="n">
        <v>74.51900000000001</v>
      </c>
      <c r="G22" s="14" t="n">
        <v>0.064</v>
      </c>
    </row>
    <row r="24">
      <c r="B24" s="11" t="inlineStr">
        <is>
          <t>BESOIN EN FONDS DE ROULEMENT (BFR)</t>
        </is>
      </c>
    </row>
    <row r="25">
      <c r="B25" s="11" t="inlineStr">
        <is>
          <t>Actif circulant d'exploitation</t>
        </is>
      </c>
    </row>
    <row r="26">
      <c r="C26" s="8" t="inlineStr">
        <is>
          <t>Stocks bruts (31–37)</t>
        </is>
      </c>
      <c r="D26" s="9" t="n">
        <v>3495.271</v>
      </c>
      <c r="E26" s="9" t="n">
        <v>2974.645</v>
      </c>
      <c r="F26" s="9" t="n">
        <v>520.626</v>
      </c>
      <c r="G26" s="10" t="n">
        <v>0.175</v>
      </c>
    </row>
    <row r="27">
      <c r="C27" s="8" t="inlineStr">
        <is>
          <t>Créances clients (411, 413, 416, 418)</t>
        </is>
      </c>
      <c r="D27" s="9" t="n">
        <v>2302.813</v>
      </c>
      <c r="E27" s="9" t="n">
        <v>1845.373</v>
      </c>
      <c r="F27" s="9" t="n">
        <v>457.44</v>
      </c>
      <c r="G27" s="10" t="n">
        <v>0.2479</v>
      </c>
    </row>
    <row r="28">
      <c r="C28" s="8" t="inlineStr">
        <is>
          <t>Autres créances d'exploitation (40, 44, 46, 47 &gt; 0)</t>
        </is>
      </c>
      <c r="D28" s="9" t="n">
        <v>778.836</v>
      </c>
      <c r="E28" s="9" t="n">
        <v>628.624</v>
      </c>
      <c r="F28" s="9" t="n">
        <v>150.212</v>
      </c>
      <c r="G28" s="10" t="n">
        <v>0.239</v>
      </c>
    </row>
    <row r="29">
      <c r="C29" s="8" t="inlineStr">
        <is>
          <t>Charges constatées d'avance — CCA (486)</t>
        </is>
      </c>
      <c r="D29" s="9" t="n">
        <v>144.09</v>
      </c>
      <c r="E29" s="9" t="n">
        <v>17.546</v>
      </c>
      <c r="F29" s="9" t="n">
        <v>126.544</v>
      </c>
      <c r="G29" s="10" t="n">
        <v>7.2121</v>
      </c>
    </row>
    <row r="30">
      <c r="B30" s="12">
        <f> Total actif circulant</f>
        <v/>
      </c>
      <c r="D30" s="13" t="n">
        <v>6721.01</v>
      </c>
      <c r="E30" s="13" t="n">
        <v>5466.188</v>
      </c>
      <c r="F30" s="13" t="n">
        <v>1254.822</v>
      </c>
      <c r="G30" s="14" t="n">
        <v>0.2296</v>
      </c>
    </row>
    <row r="32">
      <c r="B32" s="11" t="inlineStr">
        <is>
          <t>Passif circulant d'exploitation</t>
        </is>
      </c>
    </row>
    <row r="33">
      <c r="C33" s="8" t="inlineStr">
        <is>
          <t>Dettes fournisseurs (401, 403, 408)</t>
        </is>
      </c>
      <c r="D33" s="9" t="n">
        <v>1351.032</v>
      </c>
      <c r="E33" s="9" t="n">
        <v>1008.785</v>
      </c>
      <c r="F33" s="9" t="n">
        <v>342.247</v>
      </c>
      <c r="G33" s="10" t="n">
        <v>0.3393</v>
      </c>
    </row>
    <row r="34">
      <c r="C34" s="8" t="inlineStr">
        <is>
          <t>Dettes fiscales et sociales (42, 43, 44 &lt; 0)</t>
        </is>
      </c>
      <c r="D34" s="9" t="n">
        <v>412.909</v>
      </c>
      <c r="E34" s="9" t="n">
        <v>336.346</v>
      </c>
      <c r="F34" s="9" t="n">
        <v>76.563</v>
      </c>
      <c r="G34" s="10" t="n">
        <v>0.2276</v>
      </c>
    </row>
    <row r="35">
      <c r="C35" s="8" t="inlineStr">
        <is>
          <t>Autres dettes d'exploitation (46, 47 &lt; 0)</t>
        </is>
      </c>
      <c r="D35" s="9" t="n">
        <v>0.474</v>
      </c>
      <c r="E35" s="9" t="n">
        <v>0.474</v>
      </c>
      <c r="F35" s="9" t="n">
        <v>0</v>
      </c>
      <c r="G35" s="10" t="n">
        <v>0</v>
      </c>
    </row>
    <row r="36">
      <c r="C36" s="8" t="inlineStr">
        <is>
          <t>Produits constatés d'avance — PCA (487)</t>
        </is>
      </c>
      <c r="D36" s="9" t="n">
        <v>-0</v>
      </c>
      <c r="E36" s="9" t="n">
        <v>-0</v>
      </c>
      <c r="F36" s="9" t="n">
        <v>0</v>
      </c>
      <c r="G36" s="8" t="inlineStr">
        <is>
          <t>n/a</t>
        </is>
      </c>
    </row>
    <row r="37">
      <c r="B37" s="12">
        <f> Total passif circulant</f>
        <v/>
      </c>
      <c r="D37" s="13" t="n">
        <v>1764.415</v>
      </c>
      <c r="E37" s="13" t="n">
        <v>1345.605</v>
      </c>
      <c r="F37" s="13" t="n">
        <v>418.81</v>
      </c>
      <c r="G37" s="14" t="n">
        <v>0.3112</v>
      </c>
    </row>
    <row r="39">
      <c r="B39" s="12">
        <f> BFR</f>
        <v/>
      </c>
      <c r="D39" s="13" t="n">
        <v>4956.595</v>
      </c>
      <c r="E39" s="13" t="n">
        <v>4120.583</v>
      </c>
      <c r="F39" s="13" t="n">
        <v>836.0119999999999</v>
      </c>
      <c r="G39" s="14" t="n">
        <v>0.2029</v>
      </c>
    </row>
    <row r="41">
      <c r="B41" s="12">
        <f> TRÉSORERIE NETTE (TN = FRNG − BFR)</f>
        <v/>
      </c>
      <c r="D41" s="13" t="n">
        <v>-3718.027</v>
      </c>
      <c r="E41" s="13" t="n">
        <v>-2956.534</v>
      </c>
      <c r="F41" s="13" t="n">
        <v>-761.4930000000001</v>
      </c>
      <c r="G41" s="14" t="n">
        <v>-0.2576</v>
      </c>
    </row>
    <row r="43">
      <c r="B43" s="11" t="inlineStr">
        <is>
          <t>Vérification — trésorerie directe</t>
        </is>
      </c>
    </row>
    <row r="44">
      <c r="C44" s="8" t="inlineStr">
        <is>
          <t>Trésorerie active (50, 51, 53 &gt; 0)</t>
        </is>
      </c>
      <c r="D44" s="9" t="n">
        <v>912.6849999999999</v>
      </c>
      <c r="E44" s="9" t="n">
        <v>1378.161</v>
      </c>
      <c r="F44" s="9" t="n">
        <v>-465.476</v>
      </c>
      <c r="G44" s="10" t="n">
        <v>-0.3378</v>
      </c>
    </row>
    <row r="45">
      <c r="C45" s="8" t="inlineStr">
        <is>
          <t>Trésorerie passive (519 + 512 &lt; 0)</t>
        </is>
      </c>
      <c r="D45" s="9" t="n">
        <v>-0</v>
      </c>
      <c r="E45" s="9" t="n">
        <v>-0</v>
      </c>
      <c r="F45" s="9" t="n">
        <v>0</v>
      </c>
      <c r="G45" s="8" t="inlineStr">
        <is>
          <t>n/a</t>
        </is>
      </c>
    </row>
    <row r="46">
      <c r="B46" s="12">
        <f> TN (vérification directe)</f>
        <v/>
      </c>
      <c r="D46" s="13" t="n">
        <v>912.6849999999999</v>
      </c>
      <c r="E46" s="13" t="n">
        <v>1378.161</v>
      </c>
      <c r="F46" s="13" t="n">
        <v>-465.476</v>
      </c>
      <c r="G46" s="14" t="n">
        <v>-0.3378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Autres achats et charges externes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</row>
    <row r="10">
      <c r="B10" s="7" t="inlineStr">
        <is>
          <t>606110</t>
        </is>
      </c>
      <c r="C10" s="8" t="inlineStr">
        <is>
          <t>EDF</t>
        </is>
      </c>
      <c r="D10" s="9" t="n">
        <v>256.109</v>
      </c>
      <c r="E10" s="9" t="n">
        <v>285.613</v>
      </c>
      <c r="F10" s="9" t="n">
        <v>-29.504</v>
      </c>
      <c r="G10" s="10" t="n">
        <v>-0.1033</v>
      </c>
      <c r="H10" s="7" t="inlineStr">
        <is>
          <t>AACE</t>
        </is>
      </c>
    </row>
    <row r="11">
      <c r="B11" s="7" t="inlineStr">
        <is>
          <t>606130</t>
        </is>
      </c>
      <c r="C11" s="8" t="inlineStr">
        <is>
          <t>CARBURANTS</t>
        </is>
      </c>
      <c r="D11" s="9" t="n">
        <v>8.127000000000001</v>
      </c>
      <c r="E11" s="9" t="n">
        <v>9.66</v>
      </c>
      <c r="F11" s="9" t="n">
        <v>-1.533</v>
      </c>
      <c r="G11" s="10" t="n">
        <v>-0.1587</v>
      </c>
      <c r="H11" s="7" t="inlineStr">
        <is>
          <t>AACE</t>
        </is>
      </c>
    </row>
    <row r="12">
      <c r="B12" s="7" t="inlineStr">
        <is>
          <t>606300</t>
        </is>
      </c>
      <c r="C12" s="8" t="inlineStr">
        <is>
          <t>PETIT OUTILLAGE</t>
        </is>
      </c>
      <c r="D12" s="9" t="n">
        <v>6.21</v>
      </c>
      <c r="E12" s="9" t="n">
        <v>13.192</v>
      </c>
      <c r="F12" s="9" t="n">
        <v>-6.982</v>
      </c>
      <c r="G12" s="10" t="n">
        <v>-0.5293</v>
      </c>
      <c r="H12" s="7" t="inlineStr">
        <is>
          <t>AACE</t>
        </is>
      </c>
    </row>
    <row r="13">
      <c r="B13" s="7" t="inlineStr">
        <is>
          <t>606400</t>
        </is>
      </c>
      <c r="C13" s="8" t="inlineStr">
        <is>
          <t>FOURNITURES DE BUREAU</t>
        </is>
      </c>
      <c r="D13" s="9" t="n">
        <v>11.344</v>
      </c>
      <c r="E13" s="9" t="n">
        <v>43.784</v>
      </c>
      <c r="F13" s="9" t="n">
        <v>-32.44</v>
      </c>
      <c r="G13" s="10" t="n">
        <v>-0.7409</v>
      </c>
      <c r="H13" s="7" t="inlineStr">
        <is>
          <t>AACE</t>
        </is>
      </c>
    </row>
    <row r="14">
      <c r="B14" s="7" t="inlineStr">
        <is>
          <t>606430</t>
        </is>
      </c>
      <c r="C14" s="8" t="inlineStr">
        <is>
          <t>FRAIS IMPRESSIONS &amp; REPROGRAPHIE</t>
        </is>
      </c>
      <c r="D14" s="9" t="n">
        <v>2.98</v>
      </c>
      <c r="E14" s="9" t="n">
        <v>2.393</v>
      </c>
      <c r="F14" s="9" t="n">
        <v>0.587</v>
      </c>
      <c r="G14" s="10" t="n">
        <v>0.2453</v>
      </c>
      <c r="H14" s="7" t="inlineStr">
        <is>
          <t>AACE</t>
        </is>
      </c>
    </row>
    <row r="15">
      <c r="B15" s="7" t="inlineStr">
        <is>
          <t>607000</t>
        </is>
      </c>
      <c r="C15" s="8" t="inlineStr">
        <is>
          <t>MSES NEGOCES France</t>
        </is>
      </c>
      <c r="D15" s="9" t="n">
        <v>555.276</v>
      </c>
      <c r="E15" s="9" t="n">
        <v>415.514</v>
      </c>
      <c r="F15" s="9" t="n">
        <v>139.762</v>
      </c>
      <c r="G15" s="10" t="n">
        <v>0.3364</v>
      </c>
      <c r="H15" s="7" t="inlineStr">
        <is>
          <t>AACE</t>
        </is>
      </c>
    </row>
    <row r="16">
      <c r="B16" s="7" t="inlineStr">
        <is>
          <t>607010</t>
        </is>
      </c>
      <c r="C16" s="8" t="inlineStr">
        <is>
          <t>MSES NEGOCES UNION EUROPEEN</t>
        </is>
      </c>
      <c r="D16" s="9" t="n">
        <v>960.287</v>
      </c>
      <c r="E16" s="9" t="n">
        <v>295.191</v>
      </c>
      <c r="F16" s="9" t="n">
        <v>665.096</v>
      </c>
      <c r="G16" s="10" t="n">
        <v>2.2531</v>
      </c>
      <c r="H16" s="7" t="inlineStr">
        <is>
          <t>AACE</t>
        </is>
      </c>
    </row>
    <row r="17">
      <c r="B17" s="7" t="inlineStr">
        <is>
          <t>607030</t>
        </is>
      </c>
      <c r="C17" s="8" t="inlineStr">
        <is>
          <t>MSES NEGOCES EXPORT</t>
        </is>
      </c>
      <c r="D17" s="9" t="n">
        <v>1.98</v>
      </c>
      <c r="E17" s="9" t="n">
        <v>0</v>
      </c>
      <c r="F17" s="9" t="n">
        <v>1.98</v>
      </c>
      <c r="G17" s="8" t="inlineStr">
        <is>
          <t>n/a</t>
        </is>
      </c>
      <c r="H17" s="7" t="inlineStr">
        <is>
          <t>AACE</t>
        </is>
      </c>
    </row>
    <row r="18">
      <c r="B18" s="7" t="inlineStr">
        <is>
          <t>608100</t>
        </is>
      </c>
      <c r="C18" s="8" t="inlineStr">
        <is>
          <t>TRSP SUR ACHATS EXPL FOURNISS HT</t>
        </is>
      </c>
      <c r="D18" s="9" t="n">
        <v>93.708</v>
      </c>
      <c r="E18" s="9" t="n">
        <v>12.128</v>
      </c>
      <c r="F18" s="9" t="n">
        <v>81.58</v>
      </c>
      <c r="G18" s="10" t="n">
        <v>6.7266</v>
      </c>
      <c r="H18" s="7" t="inlineStr">
        <is>
          <t>AACE</t>
        </is>
      </c>
    </row>
    <row r="19">
      <c r="B19" s="7" t="inlineStr">
        <is>
          <t>608110</t>
        </is>
      </c>
      <c r="C19" s="8" t="inlineStr">
        <is>
          <t>TRSP SUR ACHATS UNION EUROPEENNE</t>
        </is>
      </c>
      <c r="D19" s="9" t="n">
        <v>11.114</v>
      </c>
      <c r="E19" s="9" t="n">
        <v>6.668</v>
      </c>
      <c r="F19" s="9" t="n">
        <v>4.446</v>
      </c>
      <c r="G19" s="10" t="n">
        <v>0.6667999999999999</v>
      </c>
      <c r="H19" s="7" t="inlineStr">
        <is>
          <t>AACE</t>
        </is>
      </c>
    </row>
    <row r="20">
      <c r="B20" s="7" t="inlineStr">
        <is>
          <t>608140</t>
        </is>
      </c>
      <c r="C20" s="8" t="inlineStr">
        <is>
          <t>TRSP SUR ACHATS EXPL TRANSPOR</t>
        </is>
      </c>
      <c r="D20" s="9" t="n">
        <v>81.84699999999999</v>
      </c>
      <c r="E20" s="9" t="n">
        <v>56.398</v>
      </c>
      <c r="F20" s="9" t="n">
        <v>25.449</v>
      </c>
      <c r="G20" s="10" t="n">
        <v>0.4512</v>
      </c>
      <c r="H20" s="7" t="inlineStr">
        <is>
          <t>AACE</t>
        </is>
      </c>
    </row>
    <row r="21">
      <c r="B21" s="7" t="inlineStr">
        <is>
          <t>608500</t>
        </is>
      </c>
      <c r="C21" s="8" t="inlineStr">
        <is>
          <t>DROITS FRAIS DOUANES SUR ACHATS</t>
        </is>
      </c>
      <c r="D21" s="9" t="n">
        <v>27.431</v>
      </c>
      <c r="E21" s="9" t="n">
        <v>8.882999999999999</v>
      </c>
      <c r="F21" s="9" t="n">
        <v>18.548</v>
      </c>
      <c r="G21" s="10" t="n">
        <v>2.088</v>
      </c>
      <c r="H21" s="7" t="inlineStr">
        <is>
          <t>AACE</t>
        </is>
      </c>
    </row>
    <row r="22">
      <c r="B22" s="7" t="inlineStr">
        <is>
          <t>608800</t>
        </is>
      </c>
      <c r="C22" s="8" t="inlineStr">
        <is>
          <t>FRAIS AUTRES</t>
        </is>
      </c>
      <c r="D22" s="9" t="n">
        <v>5.712</v>
      </c>
      <c r="E22" s="9" t="n">
        <v>4.439</v>
      </c>
      <c r="F22" s="9" t="n">
        <v>1.273</v>
      </c>
      <c r="G22" s="10" t="n">
        <v>0.2868</v>
      </c>
      <c r="H22" s="7" t="inlineStr">
        <is>
          <t>AACE</t>
        </is>
      </c>
    </row>
    <row r="23">
      <c r="B23" s="7" t="inlineStr">
        <is>
          <t>609100</t>
        </is>
      </c>
      <c r="C23" s="8" t="inlineStr">
        <is>
          <t>RRR OBTENUS / ACHATS</t>
        </is>
      </c>
      <c r="D23" s="9" t="n">
        <v>-5.691</v>
      </c>
      <c r="E23" s="9" t="n">
        <v>-6.642</v>
      </c>
      <c r="F23" s="9" t="n">
        <v>0.951</v>
      </c>
      <c r="G23" s="10" t="n">
        <v>0.1432</v>
      </c>
      <c r="H23" s="7" t="inlineStr">
        <is>
          <t>AACE</t>
        </is>
      </c>
    </row>
    <row r="24">
      <c r="B24" s="7" t="inlineStr">
        <is>
          <t>609130</t>
        </is>
      </c>
      <c r="C24" s="8" t="inlineStr">
        <is>
          <t>RRR OBTENUS SUR ACHATS UNIONS EUROP</t>
        </is>
      </c>
      <c r="D24" s="9" t="n">
        <v>-1.482</v>
      </c>
      <c r="E24" s="9" t="n">
        <v>-0.276</v>
      </c>
      <c r="F24" s="9" t="n">
        <v>-1.206</v>
      </c>
      <c r="G24" s="10" t="n">
        <v>-4.3696</v>
      </c>
      <c r="H24" s="7" t="inlineStr">
        <is>
          <t>AACE</t>
        </is>
      </c>
    </row>
    <row r="25">
      <c r="B25" s="7" t="inlineStr">
        <is>
          <t>611000</t>
        </is>
      </c>
      <c r="C25" s="8" t="inlineStr">
        <is>
          <t>SOUS TRAITANCE GENERALE</t>
        </is>
      </c>
      <c r="D25" s="9" t="n">
        <v>25.272</v>
      </c>
      <c r="E25" s="9" t="n">
        <v>14.156</v>
      </c>
      <c r="F25" s="9" t="n">
        <v>11.116</v>
      </c>
      <c r="G25" s="10" t="n">
        <v>0.7853</v>
      </c>
      <c r="H25" s="7" t="inlineStr">
        <is>
          <t>AACE</t>
        </is>
      </c>
    </row>
    <row r="26">
      <c r="B26" s="7" t="inlineStr">
        <is>
          <t>611010</t>
        </is>
      </c>
      <c r="C26" s="8" t="inlineStr">
        <is>
          <t>PRESTATIONS INFORMATIQUES</t>
        </is>
      </c>
      <c r="D26" s="9" t="n">
        <v>189.261</v>
      </c>
      <c r="E26" s="9" t="n">
        <v>250.87</v>
      </c>
      <c r="F26" s="9" t="n">
        <v>-61.609</v>
      </c>
      <c r="G26" s="10" t="n">
        <v>-0.2456</v>
      </c>
      <c r="H26" s="7" t="inlineStr">
        <is>
          <t>AACE</t>
        </is>
      </c>
    </row>
    <row r="27">
      <c r="B27" s="7" t="inlineStr">
        <is>
          <t>611020</t>
        </is>
      </c>
      <c r="C27" s="8" t="inlineStr">
        <is>
          <t>PRESTATIONS ADMINISTRATIVES</t>
        </is>
      </c>
      <c r="D27" s="9" t="n">
        <v>1.01</v>
      </c>
      <c r="E27" s="9" t="n">
        <v>0</v>
      </c>
      <c r="F27" s="9" t="n">
        <v>1.01</v>
      </c>
      <c r="G27" s="8" t="inlineStr">
        <is>
          <t>n/a</t>
        </is>
      </c>
      <c r="H27" s="7" t="inlineStr">
        <is>
          <t>AACE</t>
        </is>
      </c>
    </row>
    <row r="28">
      <c r="B28" s="7" t="inlineStr">
        <is>
          <t>611030</t>
        </is>
      </c>
      <c r="C28" s="8" t="inlineStr">
        <is>
          <t>PRESTATION TECHNIQUES</t>
        </is>
      </c>
      <c r="D28" s="9" t="n">
        <v>110.991</v>
      </c>
      <c r="E28" s="9" t="n">
        <v>79.831</v>
      </c>
      <c r="F28" s="9" t="n">
        <v>31.16</v>
      </c>
      <c r="G28" s="10" t="n">
        <v>0.3903</v>
      </c>
      <c r="H28" s="7" t="inlineStr">
        <is>
          <t>AACE</t>
        </is>
      </c>
    </row>
    <row r="29">
      <c r="B29" s="7" t="inlineStr">
        <is>
          <t>613200</t>
        </is>
      </c>
      <c r="C29" s="8" t="inlineStr">
        <is>
          <t>LOYER USINE ET ENTREPOT</t>
        </is>
      </c>
      <c r="D29" s="9" t="n">
        <v>5.36</v>
      </c>
      <c r="E29" s="9" t="n">
        <v>21.49</v>
      </c>
      <c r="F29" s="9" t="n">
        <v>-16.13</v>
      </c>
      <c r="G29" s="10" t="n">
        <v>-0.7506</v>
      </c>
      <c r="H29" s="7" t="inlineStr">
        <is>
          <t>AACE</t>
        </is>
      </c>
    </row>
    <row r="30">
      <c r="B30" s="7" t="inlineStr">
        <is>
          <t>613201</t>
        </is>
      </c>
      <c r="C30" s="8" t="inlineStr">
        <is>
          <t>LOYER USINE ET ENTREPOT GROUPE</t>
        </is>
      </c>
      <c r="D30" s="9" t="n">
        <v>416.167</v>
      </c>
      <c r="E30" s="9" t="n">
        <v>300.459</v>
      </c>
      <c r="F30" s="9" t="n">
        <v>115.708</v>
      </c>
      <c r="G30" s="10" t="n">
        <v>0.3851</v>
      </c>
      <c r="H30" s="7" t="inlineStr">
        <is>
          <t>AACE</t>
        </is>
      </c>
    </row>
    <row r="31">
      <c r="B31" s="7" t="inlineStr">
        <is>
          <t>613500</t>
        </is>
      </c>
      <c r="C31" s="8" t="inlineStr">
        <is>
          <t>LOCATION STANDS SALONS</t>
        </is>
      </c>
      <c r="D31" s="9" t="n">
        <v>103.74</v>
      </c>
      <c r="E31" s="9" t="n">
        <v>68.527</v>
      </c>
      <c r="F31" s="9" t="n">
        <v>35.213</v>
      </c>
      <c r="G31" s="10" t="n">
        <v>0.5139</v>
      </c>
      <c r="H31" s="7" t="inlineStr">
        <is>
          <t>AACE</t>
        </is>
      </c>
    </row>
    <row r="32">
      <c r="B32" s="7" t="inlineStr">
        <is>
          <t>613580</t>
        </is>
      </c>
      <c r="C32" s="8" t="inlineStr">
        <is>
          <t>LOCATIONS DE VEHICULES TTC</t>
        </is>
      </c>
      <c r="D32" s="9" t="n">
        <v>18.122</v>
      </c>
      <c r="E32" s="9" t="n">
        <v>24.679</v>
      </c>
      <c r="F32" s="9" t="n">
        <v>-6.557</v>
      </c>
      <c r="G32" s="10" t="n">
        <v>-0.2657</v>
      </c>
      <c r="H32" s="7" t="inlineStr">
        <is>
          <t>AACE</t>
        </is>
      </c>
    </row>
    <row r="33">
      <c r="B33" s="7" t="inlineStr">
        <is>
          <t>613585</t>
        </is>
      </c>
      <c r="C33" s="8" t="inlineStr">
        <is>
          <t>LOCATIONS MATERIELS DE BUREAU</t>
        </is>
      </c>
      <c r="D33" s="9" t="n">
        <v>11.395</v>
      </c>
      <c r="E33" s="9" t="n">
        <v>9.377000000000001</v>
      </c>
      <c r="F33" s="9" t="n">
        <v>2.018</v>
      </c>
      <c r="G33" s="10" t="n">
        <v>0.2152</v>
      </c>
      <c r="H33" s="7" t="inlineStr">
        <is>
          <t>AACE</t>
        </is>
      </c>
    </row>
    <row r="34">
      <c r="B34" s="7" t="inlineStr">
        <is>
          <t>614000</t>
        </is>
      </c>
      <c r="C34" s="8" t="inlineStr">
        <is>
          <t>CHARGES LOCATIVES</t>
        </is>
      </c>
      <c r="D34" s="9" t="n">
        <v>0.099</v>
      </c>
      <c r="E34" s="9" t="n">
        <v>12.707</v>
      </c>
      <c r="F34" s="9" t="n">
        <v>-12.608</v>
      </c>
      <c r="G34" s="10" t="n">
        <v>-0.9922</v>
      </c>
      <c r="H34" s="7" t="inlineStr">
        <is>
          <t>AACE</t>
        </is>
      </c>
    </row>
    <row r="35">
      <c r="B35" s="7" t="inlineStr">
        <is>
          <t>614001</t>
        </is>
      </c>
      <c r="C35" s="8" t="inlineStr">
        <is>
          <t>CHARGES LOCATIVES GROUPE</t>
        </is>
      </c>
      <c r="D35" s="9" t="n">
        <v>12.24</v>
      </c>
      <c r="E35" s="9" t="n">
        <v>12.085</v>
      </c>
      <c r="F35" s="9" t="n">
        <v>0.155</v>
      </c>
      <c r="G35" s="10" t="n">
        <v>0.0128</v>
      </c>
      <c r="H35" s="7" t="inlineStr">
        <is>
          <t>AACE</t>
        </is>
      </c>
    </row>
    <row r="36">
      <c r="B36" s="7" t="inlineStr">
        <is>
          <t>615200</t>
        </is>
      </c>
      <c r="C36" s="8" t="inlineStr">
        <is>
          <t>FOURN ENTRETIEN LOCAUX</t>
        </is>
      </c>
      <c r="D36" s="9" t="n">
        <v>25.323</v>
      </c>
      <c r="E36" s="9" t="n">
        <v>21.164</v>
      </c>
      <c r="F36" s="9" t="n">
        <v>4.159</v>
      </c>
      <c r="G36" s="10" t="n">
        <v>0.1965</v>
      </c>
      <c r="H36" s="7" t="inlineStr">
        <is>
          <t>AACE</t>
        </is>
      </c>
    </row>
    <row r="37">
      <c r="B37" s="7" t="inlineStr">
        <is>
          <t>615500</t>
        </is>
      </c>
      <c r="C37" s="8" t="inlineStr">
        <is>
          <t>ENTRETIEN ET REP MACHINES</t>
        </is>
      </c>
      <c r="D37" s="9" t="n">
        <v>0.57</v>
      </c>
      <c r="E37" s="9" t="n">
        <v>1.92</v>
      </c>
      <c r="F37" s="9" t="n">
        <v>-1.35</v>
      </c>
      <c r="G37" s="10" t="n">
        <v>-0.7030999999999999</v>
      </c>
      <c r="H37" s="7" t="inlineStr">
        <is>
          <t>AACE</t>
        </is>
      </c>
    </row>
    <row r="38">
      <c r="B38" s="7" t="inlineStr">
        <is>
          <t>615520</t>
        </is>
      </c>
      <c r="C38" s="8" t="inlineStr">
        <is>
          <t>ENTRETIEN ET REP MOULES</t>
        </is>
      </c>
      <c r="D38" s="9" t="n">
        <v>25.18</v>
      </c>
      <c r="E38" s="9" t="n">
        <v>11.006</v>
      </c>
      <c r="F38" s="9" t="n">
        <v>14.174</v>
      </c>
      <c r="G38" s="10" t="n">
        <v>1.2878</v>
      </c>
      <c r="H38" s="7" t="inlineStr">
        <is>
          <t>AACE</t>
        </is>
      </c>
    </row>
    <row r="39">
      <c r="B39" s="7" t="inlineStr">
        <is>
          <t>615580</t>
        </is>
      </c>
      <c r="C39" s="8" t="inlineStr">
        <is>
          <t>ENTRETIEN MATERIEL DE TRANSPORT HT</t>
        </is>
      </c>
      <c r="D39" s="9" t="n">
        <v>19.321</v>
      </c>
      <c r="E39" s="9" t="n">
        <v>15.68</v>
      </c>
      <c r="F39" s="9" t="n">
        <v>3.641</v>
      </c>
      <c r="G39" s="10" t="n">
        <v>0.2322</v>
      </c>
      <c r="H39" s="7" t="inlineStr">
        <is>
          <t>AACE</t>
        </is>
      </c>
    </row>
    <row r="40">
      <c r="B40" s="7" t="inlineStr">
        <is>
          <t>615581</t>
        </is>
      </c>
      <c r="C40" s="8" t="inlineStr">
        <is>
          <t>ENTRETIEN MATERIEL DE TRANSPORT TTC</t>
        </is>
      </c>
      <c r="D40" s="9" t="n">
        <v>6.057</v>
      </c>
      <c r="E40" s="9" t="n">
        <v>15.111</v>
      </c>
      <c r="F40" s="9" t="n">
        <v>-9.054</v>
      </c>
      <c r="G40" s="10" t="n">
        <v>-0.5992</v>
      </c>
      <c r="H40" s="7" t="inlineStr">
        <is>
          <t>AACE</t>
        </is>
      </c>
    </row>
    <row r="41">
      <c r="B41" s="7" t="inlineStr">
        <is>
          <t>615600</t>
        </is>
      </c>
      <c r="C41" s="8" t="inlineStr">
        <is>
          <t>MAINTENANCE MATERIEL</t>
        </is>
      </c>
      <c r="D41" s="9" t="n">
        <v>2.044</v>
      </c>
      <c r="E41" s="9" t="n">
        <v>1.805</v>
      </c>
      <c r="F41" s="9" t="n">
        <v>0.239</v>
      </c>
      <c r="G41" s="10" t="n">
        <v>0.1324</v>
      </c>
      <c r="H41" s="7" t="inlineStr">
        <is>
          <t>AACE</t>
        </is>
      </c>
    </row>
    <row r="42">
      <c r="B42" s="7" t="inlineStr">
        <is>
          <t>615610</t>
        </is>
      </c>
      <c r="C42" s="8" t="inlineStr">
        <is>
          <t>MAINT/ABONNEMENT LOGICIEL</t>
        </is>
      </c>
      <c r="D42" s="9" t="n">
        <v>2.499</v>
      </c>
      <c r="E42" s="9" t="n">
        <v>9.661</v>
      </c>
      <c r="F42" s="9" t="n">
        <v>-7.162</v>
      </c>
      <c r="G42" s="10" t="n">
        <v>-0.7413</v>
      </c>
      <c r="H42" s="7" t="inlineStr">
        <is>
          <t>AACE</t>
        </is>
      </c>
    </row>
    <row r="43">
      <c r="B43" s="7" t="inlineStr">
        <is>
          <t>616110</t>
        </is>
      </c>
      <c r="C43" s="8" t="inlineStr">
        <is>
          <t>ASSURANCE RESPONSABILITE CIVILE</t>
        </is>
      </c>
      <c r="D43" s="9" t="n">
        <v>69.854</v>
      </c>
      <c r="E43" s="9" t="n">
        <v>5.24</v>
      </c>
      <c r="F43" s="9" t="n">
        <v>64.614</v>
      </c>
      <c r="G43" s="10" t="n">
        <v>12.3309</v>
      </c>
      <c r="H43" s="7" t="inlineStr">
        <is>
          <t>AACE</t>
        </is>
      </c>
    </row>
    <row r="44">
      <c r="B44" s="7" t="inlineStr">
        <is>
          <t>616120</t>
        </is>
      </c>
      <c r="C44" s="8" t="inlineStr">
        <is>
          <t>ASSURANCE HOMME CLE</t>
        </is>
      </c>
      <c r="D44" s="9" t="n">
        <v>1.733</v>
      </c>
      <c r="E44" s="9" t="n">
        <v>0.708</v>
      </c>
      <c r="F44" s="9" t="n">
        <v>1.025</v>
      </c>
      <c r="G44" s="10" t="n">
        <v>1.4477</v>
      </c>
      <c r="H44" s="7" t="inlineStr">
        <is>
          <t>AACE</t>
        </is>
      </c>
    </row>
    <row r="45">
      <c r="B45" s="7" t="inlineStr">
        <is>
          <t>616160</t>
        </is>
      </c>
      <c r="C45" s="8" t="inlineStr">
        <is>
          <t>ASSURANCE CREDIT CLIENT ALLIANZ</t>
        </is>
      </c>
      <c r="D45" s="9" t="n">
        <v>25.786</v>
      </c>
      <c r="E45" s="9" t="n">
        <v>43.083</v>
      </c>
      <c r="F45" s="9" t="n">
        <v>-17.297</v>
      </c>
      <c r="G45" s="10" t="n">
        <v>-0.4015</v>
      </c>
      <c r="H45" s="7" t="inlineStr">
        <is>
          <t>AACE</t>
        </is>
      </c>
    </row>
    <row r="46">
      <c r="B46" s="7" t="inlineStr">
        <is>
          <t>616170</t>
        </is>
      </c>
      <c r="C46" s="8" t="inlineStr">
        <is>
          <t>Assurance RCMS</t>
        </is>
      </c>
      <c r="D46" s="9" t="n">
        <v>1.098</v>
      </c>
      <c r="E46" s="9" t="n">
        <v>0</v>
      </c>
      <c r="F46" s="9" t="n">
        <v>1.098</v>
      </c>
      <c r="G46" s="8" t="inlineStr">
        <is>
          <t>n/a</t>
        </is>
      </c>
      <c r="H46" s="7" t="inlineStr">
        <is>
          <t>AACE</t>
        </is>
      </c>
    </row>
    <row r="47">
      <c r="B47" s="7" t="inlineStr">
        <is>
          <t>617100</t>
        </is>
      </c>
      <c r="C47" s="8" t="inlineStr">
        <is>
          <t>PRESTATION ORGANISME RECHERCHE</t>
        </is>
      </c>
      <c r="D47" s="9" t="n">
        <v>23.171</v>
      </c>
      <c r="E47" s="9" t="n">
        <v>17.987</v>
      </c>
      <c r="F47" s="9" t="n">
        <v>5.184</v>
      </c>
      <c r="G47" s="10" t="n">
        <v>0.2882</v>
      </c>
      <c r="H47" s="7" t="inlineStr">
        <is>
          <t>AACE</t>
        </is>
      </c>
    </row>
    <row r="48">
      <c r="B48" s="7" t="inlineStr">
        <is>
          <t>617300</t>
        </is>
      </c>
      <c r="C48" s="8" t="inlineStr">
        <is>
          <t>RECHERCHE PROTOTYPE ECHANTILLON</t>
        </is>
      </c>
      <c r="D48" s="9" t="n">
        <v>1.909</v>
      </c>
      <c r="E48" s="9" t="n">
        <v>1.92</v>
      </c>
      <c r="F48" s="9" t="n">
        <v>-0.011</v>
      </c>
      <c r="G48" s="10" t="n">
        <v>-0.0057</v>
      </c>
      <c r="H48" s="7" t="inlineStr">
        <is>
          <t>AACE</t>
        </is>
      </c>
    </row>
    <row r="49">
      <c r="B49" s="7" t="inlineStr">
        <is>
          <t>618100</t>
        </is>
      </c>
      <c r="C49" s="8" t="inlineStr">
        <is>
          <t>ABONNTS PUBLICATIONS DOCUMENTAT</t>
        </is>
      </c>
      <c r="D49" s="9" t="n">
        <v>3.871</v>
      </c>
      <c r="E49" s="9" t="n">
        <v>2.077</v>
      </c>
      <c r="F49" s="9" t="n">
        <v>1.794</v>
      </c>
      <c r="G49" s="10" t="n">
        <v>0.8637</v>
      </c>
      <c r="H49" s="7" t="inlineStr">
        <is>
          <t>AACE</t>
        </is>
      </c>
    </row>
    <row r="50">
      <c r="B50" s="7" t="inlineStr">
        <is>
          <t>618200</t>
        </is>
      </c>
      <c r="C50" s="8" t="inlineStr">
        <is>
          <t>PRESTATION DE FORMATION</t>
        </is>
      </c>
      <c r="D50" s="9" t="n">
        <v>13.028</v>
      </c>
      <c r="E50" s="9" t="n">
        <v>15.791</v>
      </c>
      <c r="F50" s="9" t="n">
        <v>-2.763</v>
      </c>
      <c r="G50" s="10" t="n">
        <v>-0.175</v>
      </c>
      <c r="H50" s="7" t="inlineStr">
        <is>
          <t>AACE</t>
        </is>
      </c>
    </row>
    <row r="51">
      <c r="B51" s="7" t="inlineStr">
        <is>
          <t>621100</t>
        </is>
      </c>
      <c r="C51" s="8" t="inlineStr">
        <is>
          <t>PERSONNELS INTERIMAIRES</t>
        </is>
      </c>
      <c r="D51" s="9" t="n">
        <v>4.52</v>
      </c>
      <c r="E51" s="9" t="n">
        <v>0</v>
      </c>
      <c r="F51" s="9" t="n">
        <v>4.52</v>
      </c>
      <c r="G51" s="8" t="inlineStr">
        <is>
          <t>n/a</t>
        </is>
      </c>
      <c r="H51" s="7" t="inlineStr">
        <is>
          <t>AACE</t>
        </is>
      </c>
    </row>
    <row r="52">
      <c r="B52" s="7" t="inlineStr">
        <is>
          <t>621120</t>
        </is>
      </c>
      <c r="C52" s="8" t="inlineStr">
        <is>
          <t>INTERIM LOGISTIQUE</t>
        </is>
      </c>
      <c r="D52" s="9" t="n">
        <v>58.595</v>
      </c>
      <c r="E52" s="9" t="n">
        <v>47.895</v>
      </c>
      <c r="F52" s="9" t="n">
        <v>10.7</v>
      </c>
      <c r="G52" s="10" t="n">
        <v>0.2234</v>
      </c>
      <c r="H52" s="7" t="inlineStr">
        <is>
          <t>AACE</t>
        </is>
      </c>
    </row>
    <row r="53">
      <c r="B53" s="7" t="inlineStr">
        <is>
          <t>622200</t>
        </is>
      </c>
      <c r="C53" s="8" t="inlineStr">
        <is>
          <t>COMMISSIONS SUR VENTES</t>
        </is>
      </c>
      <c r="D53" s="9" t="n">
        <v>147.499</v>
      </c>
      <c r="E53" s="9" t="n">
        <v>11.486</v>
      </c>
      <c r="F53" s="9" t="n">
        <v>136.013</v>
      </c>
      <c r="G53" s="10" t="n">
        <v>11.8416</v>
      </c>
      <c r="H53" s="7" t="inlineStr">
        <is>
          <t>AACE</t>
        </is>
      </c>
    </row>
    <row r="54">
      <c r="B54" s="7" t="inlineStr">
        <is>
          <t>622500</t>
        </is>
      </c>
      <c r="C54" s="8" t="inlineStr">
        <is>
          <t>COMM AFFACT ET CENTR FACT CLIENTS</t>
        </is>
      </c>
      <c r="D54" s="9" t="n">
        <v>5.443</v>
      </c>
      <c r="E54" s="9" t="n">
        <v>20.23</v>
      </c>
      <c r="F54" s="9" t="n">
        <v>-14.787</v>
      </c>
      <c r="G54" s="10" t="n">
        <v>-0.7309</v>
      </c>
      <c r="H54" s="7" t="inlineStr">
        <is>
          <t>AACE</t>
        </is>
      </c>
    </row>
    <row r="55">
      <c r="B55" s="7" t="inlineStr">
        <is>
          <t>622600</t>
        </is>
      </c>
      <c r="C55" s="8" t="inlineStr">
        <is>
          <t>HONORAIRES</t>
        </is>
      </c>
      <c r="D55" s="9" t="n">
        <v>716.516</v>
      </c>
      <c r="E55" s="9" t="n">
        <v>587.672</v>
      </c>
      <c r="F55" s="9" t="n">
        <v>128.844</v>
      </c>
      <c r="G55" s="10" t="n">
        <v>0.2192</v>
      </c>
      <c r="H55" s="7" t="inlineStr">
        <is>
          <t>AACE</t>
        </is>
      </c>
    </row>
    <row r="56">
      <c r="B56" s="7" t="inlineStr">
        <is>
          <t>622601</t>
        </is>
      </c>
      <c r="C56" s="8" t="inlineStr">
        <is>
          <t>PRESTATIONS GROUPE</t>
        </is>
      </c>
      <c r="D56" s="9" t="n">
        <v>197.066</v>
      </c>
      <c r="E56" s="9" t="n">
        <v>0</v>
      </c>
      <c r="F56" s="9" t="n">
        <v>197.066</v>
      </c>
      <c r="G56" s="8" t="inlineStr">
        <is>
          <t>n/a</t>
        </is>
      </c>
      <c r="H56" s="7" t="inlineStr">
        <is>
          <t>AACE</t>
        </is>
      </c>
    </row>
    <row r="57">
      <c r="B57" s="7" t="inlineStr">
        <is>
          <t>622700</t>
        </is>
      </c>
      <c r="C57" s="8" t="inlineStr">
        <is>
          <t>HONOR CONTENTIEUX FRAIS D ACTE</t>
        </is>
      </c>
      <c r="D57" s="9" t="n">
        <v>10.39</v>
      </c>
      <c r="E57" s="9" t="n">
        <v>0.555</v>
      </c>
      <c r="F57" s="9" t="n">
        <v>9.835000000000001</v>
      </c>
      <c r="G57" s="10" t="n">
        <v>17.7207</v>
      </c>
      <c r="H57" s="7" t="inlineStr">
        <is>
          <t>AACE</t>
        </is>
      </c>
    </row>
    <row r="58">
      <c r="B58" s="7" t="inlineStr">
        <is>
          <t>623100</t>
        </is>
      </c>
      <c r="C58" s="8" t="inlineStr">
        <is>
          <t>ANNONCES LEGALES</t>
        </is>
      </c>
      <c r="D58" s="9" t="n">
        <v>0.218</v>
      </c>
      <c r="E58" s="9" t="n">
        <v>0.214</v>
      </c>
      <c r="F58" s="9" t="n">
        <v>0.004</v>
      </c>
      <c r="G58" s="10" t="n">
        <v>0.0187</v>
      </c>
      <c r="H58" s="7" t="inlineStr">
        <is>
          <t>AACE</t>
        </is>
      </c>
    </row>
    <row r="59">
      <c r="B59" s="7" t="inlineStr">
        <is>
          <t>623110</t>
        </is>
      </c>
      <c r="C59" s="8" t="inlineStr">
        <is>
          <t>LOCATION ESPACE PUBLICITAIRE</t>
        </is>
      </c>
      <c r="D59" s="9" t="n">
        <v>85.032</v>
      </c>
      <c r="E59" s="9" t="n">
        <v>304.446</v>
      </c>
      <c r="F59" s="9" t="n">
        <v>-219.414</v>
      </c>
      <c r="G59" s="10" t="n">
        <v>-0.7207</v>
      </c>
      <c r="H59" s="7" t="inlineStr">
        <is>
          <t>AACE</t>
        </is>
      </c>
    </row>
    <row r="60">
      <c r="B60" s="7" t="inlineStr">
        <is>
          <t>623200</t>
        </is>
      </c>
      <c r="C60" s="8" t="inlineStr">
        <is>
          <t>FOURNITURES TECHNIQUES . PRESTATION</t>
        </is>
      </c>
      <c r="D60" s="9" t="n">
        <v>362.522</v>
      </c>
      <c r="E60" s="9" t="n">
        <v>83.604</v>
      </c>
      <c r="F60" s="9" t="n">
        <v>278.918</v>
      </c>
      <c r="G60" s="10" t="n">
        <v>3.3362</v>
      </c>
      <c r="H60" s="7" t="inlineStr">
        <is>
          <t>AACE</t>
        </is>
      </c>
    </row>
    <row r="61">
      <c r="B61" s="7" t="inlineStr">
        <is>
          <t>623202</t>
        </is>
      </c>
      <c r="C61" s="8" t="inlineStr">
        <is>
          <t>COMMUNICATION OUTILS/WEB</t>
        </is>
      </c>
      <c r="D61" s="9" t="n">
        <v>3.36</v>
      </c>
      <c r="E61" s="9" t="n">
        <v>0</v>
      </c>
      <c r="F61" s="9" t="n">
        <v>3.36</v>
      </c>
      <c r="G61" s="8" t="inlineStr">
        <is>
          <t>n/a</t>
        </is>
      </c>
      <c r="H61" s="7" t="inlineStr">
        <is>
          <t>AACE</t>
        </is>
      </c>
    </row>
    <row r="62">
      <c r="B62" s="7" t="inlineStr">
        <is>
          <t>623203</t>
        </is>
      </c>
      <c r="C62" s="8" t="inlineStr">
        <is>
          <t>COMMUNICATION - SALONS</t>
        </is>
      </c>
      <c r="D62" s="9" t="n">
        <v>11.142</v>
      </c>
      <c r="E62" s="9" t="n">
        <v>0</v>
      </c>
      <c r="F62" s="9" t="n">
        <v>11.142</v>
      </c>
      <c r="G62" s="8" t="inlineStr">
        <is>
          <t>n/a</t>
        </is>
      </c>
      <c r="H62" s="7" t="inlineStr">
        <is>
          <t>AACE</t>
        </is>
      </c>
    </row>
    <row r="63">
      <c r="B63" s="7" t="inlineStr">
        <is>
          <t>623400</t>
        </is>
      </c>
      <c r="C63" s="8" t="inlineStr">
        <is>
          <t>CADEAUX CLIENTELE</t>
        </is>
      </c>
      <c r="D63" s="9" t="n">
        <v>2.687</v>
      </c>
      <c r="E63" s="9" t="n">
        <v>0.725</v>
      </c>
      <c r="F63" s="9" t="n">
        <v>1.962</v>
      </c>
      <c r="G63" s="10" t="n">
        <v>2.7062</v>
      </c>
      <c r="H63" s="7" t="inlineStr">
        <is>
          <t>AACE</t>
        </is>
      </c>
    </row>
    <row r="64">
      <c r="B64" s="7" t="inlineStr">
        <is>
          <t>623500</t>
        </is>
      </c>
      <c r="C64" s="8" t="inlineStr">
        <is>
          <t>PARTICIPATION PUB CLIENT</t>
        </is>
      </c>
      <c r="D64" s="9" t="n">
        <v>143.076</v>
      </c>
      <c r="E64" s="9" t="n">
        <v>343.296</v>
      </c>
      <c r="F64" s="9" t="n">
        <v>-200.22</v>
      </c>
      <c r="G64" s="10" t="n">
        <v>-0.5832000000000001</v>
      </c>
      <c r="H64" s="7" t="inlineStr">
        <is>
          <t>AACE</t>
        </is>
      </c>
    </row>
    <row r="65">
      <c r="B65" s="7" t="inlineStr">
        <is>
          <t>623800</t>
        </is>
      </c>
      <c r="C65" s="8" t="inlineStr">
        <is>
          <t>DONS . POURBOIRES . SPONSORING</t>
        </is>
      </c>
      <c r="D65" s="9" t="n">
        <v>5.347</v>
      </c>
      <c r="E65" s="9" t="n">
        <v>8.56</v>
      </c>
      <c r="F65" s="9" t="n">
        <v>-3.213</v>
      </c>
      <c r="G65" s="10" t="n">
        <v>-0.3754</v>
      </c>
      <c r="H65" s="7" t="inlineStr">
        <is>
          <t>AACE</t>
        </is>
      </c>
    </row>
    <row r="66">
      <c r="B66" s="7" t="inlineStr">
        <is>
          <t>624100</t>
        </is>
      </c>
      <c r="C66" s="8" t="inlineStr">
        <is>
          <t>TRSP SUR ACHATS FRAIS GENERAUX</t>
        </is>
      </c>
      <c r="D66" s="9" t="n">
        <v>4.334</v>
      </c>
      <c r="E66" s="9" t="n">
        <v>0.502</v>
      </c>
      <c r="F66" s="9" t="n">
        <v>3.832</v>
      </c>
      <c r="G66" s="10" t="n">
        <v>7.6335</v>
      </c>
      <c r="H66" s="7" t="inlineStr">
        <is>
          <t>AACE</t>
        </is>
      </c>
    </row>
    <row r="67">
      <c r="B67" s="7" t="inlineStr">
        <is>
          <t>624200</t>
        </is>
      </c>
      <c r="C67" s="8" t="inlineStr">
        <is>
          <t>TRSP SUR VENTES France</t>
        </is>
      </c>
      <c r="D67" s="9" t="n">
        <v>843.303</v>
      </c>
      <c r="E67" s="9" t="n">
        <v>742.8680000000001</v>
      </c>
      <c r="F67" s="9" t="n">
        <v>100.435</v>
      </c>
      <c r="G67" s="10" t="n">
        <v>0.1352</v>
      </c>
      <c r="H67" s="7" t="inlineStr">
        <is>
          <t>AACE</t>
        </is>
      </c>
    </row>
    <row r="68">
      <c r="B68" s="7" t="inlineStr">
        <is>
          <t>624210</t>
        </is>
      </c>
      <c r="C68" s="8" t="inlineStr">
        <is>
          <t>TRSP SUR VENTES UNION EUROPEE</t>
        </is>
      </c>
      <c r="D68" s="9" t="n">
        <v>90.30800000000001</v>
      </c>
      <c r="E68" s="9" t="n">
        <v>107.608</v>
      </c>
      <c r="F68" s="9" t="n">
        <v>-17.3</v>
      </c>
      <c r="G68" s="10" t="n">
        <v>-0.1608</v>
      </c>
      <c r="H68" s="7" t="inlineStr">
        <is>
          <t>AACE</t>
        </is>
      </c>
    </row>
    <row r="69">
      <c r="B69" s="7" t="inlineStr">
        <is>
          <t>624230</t>
        </is>
      </c>
      <c r="C69" s="8" t="inlineStr">
        <is>
          <t>TRSP SUR VENTES EXPORT</t>
        </is>
      </c>
      <c r="D69" s="9" t="n">
        <v>55.795</v>
      </c>
      <c r="E69" s="9" t="n">
        <v>12.739</v>
      </c>
      <c r="F69" s="9" t="n">
        <v>43.056</v>
      </c>
      <c r="G69" s="10" t="n">
        <v>3.3799</v>
      </c>
      <c r="H69" s="7" t="inlineStr">
        <is>
          <t>AACE</t>
        </is>
      </c>
    </row>
    <row r="70">
      <c r="B70" s="7" t="inlineStr">
        <is>
          <t>625100</t>
        </is>
      </c>
      <c r="C70" s="8" t="inlineStr">
        <is>
          <t>VOYAGES &amp; DEPLACEMENTS</t>
        </is>
      </c>
      <c r="D70" s="9" t="n">
        <v>114.1</v>
      </c>
      <c r="E70" s="9" t="n">
        <v>130.035</v>
      </c>
      <c r="F70" s="9" t="n">
        <v>-15.935</v>
      </c>
      <c r="G70" s="10" t="n">
        <v>-0.1225</v>
      </c>
      <c r="H70" s="7" t="inlineStr">
        <is>
          <t>AACE</t>
        </is>
      </c>
    </row>
    <row r="71">
      <c r="B71" s="7" t="inlineStr">
        <is>
          <t>625700</t>
        </is>
      </c>
      <c r="C71" s="8" t="inlineStr">
        <is>
          <t>FRAIS RECEPT VISITEURS FACTURES</t>
        </is>
      </c>
      <c r="D71" s="9" t="n">
        <v>34.697</v>
      </c>
      <c r="E71" s="9" t="n">
        <v>10.451</v>
      </c>
      <c r="F71" s="9" t="n">
        <v>24.246</v>
      </c>
      <c r="G71" s="10" t="n">
        <v>2.32</v>
      </c>
      <c r="H71" s="7" t="inlineStr">
        <is>
          <t>AACE</t>
        </is>
      </c>
    </row>
    <row r="72">
      <c r="B72" s="7" t="inlineStr">
        <is>
          <t>626000</t>
        </is>
      </c>
      <c r="C72" s="8" t="inlineStr">
        <is>
          <t>TIMBRES COURRIERS</t>
        </is>
      </c>
      <c r="D72" s="9" t="n">
        <v>9.617000000000001</v>
      </c>
      <c r="E72" s="9" t="n">
        <v>9.877000000000001</v>
      </c>
      <c r="F72" s="9" t="n">
        <v>-0.26</v>
      </c>
      <c r="G72" s="10" t="n">
        <v>-0.0263</v>
      </c>
      <c r="H72" s="7" t="inlineStr">
        <is>
          <t>AACE</t>
        </is>
      </c>
    </row>
    <row r="73">
      <c r="B73" s="7" t="inlineStr">
        <is>
          <t>626100</t>
        </is>
      </c>
      <c r="C73" s="8" t="inlineStr">
        <is>
          <t>TELEPHONE PORTABLE</t>
        </is>
      </c>
      <c r="D73" s="9" t="n">
        <v>1.309</v>
      </c>
      <c r="E73" s="9" t="n">
        <v>1.244</v>
      </c>
      <c r="F73" s="9" t="n">
        <v>0.065</v>
      </c>
      <c r="G73" s="10" t="n">
        <v>0.0523</v>
      </c>
      <c r="H73" s="7" t="inlineStr">
        <is>
          <t>AACE</t>
        </is>
      </c>
    </row>
    <row r="74">
      <c r="B74" s="7" t="inlineStr">
        <is>
          <t>626110</t>
        </is>
      </c>
      <c r="C74" s="8" t="inlineStr">
        <is>
          <t>TELEPHONE INTERNET</t>
        </is>
      </c>
      <c r="D74" s="9" t="n">
        <v>17.361</v>
      </c>
      <c r="E74" s="9" t="n">
        <v>20.862</v>
      </c>
      <c r="F74" s="9" t="n">
        <v>-3.501</v>
      </c>
      <c r="G74" s="10" t="n">
        <v>-0.1678</v>
      </c>
      <c r="H74" s="7" t="inlineStr">
        <is>
          <t>AACE</t>
        </is>
      </c>
    </row>
    <row r="75">
      <c r="B75" s="7" t="inlineStr">
        <is>
          <t>627540</t>
        </is>
      </c>
      <c r="C75" s="8" t="inlineStr">
        <is>
          <t>COMMISSIONS BANCAIRES TTC</t>
        </is>
      </c>
      <c r="D75" s="9" t="n">
        <v>21.818</v>
      </c>
      <c r="E75" s="9" t="n">
        <v>19.878</v>
      </c>
      <c r="F75" s="9" t="n">
        <v>1.94</v>
      </c>
      <c r="G75" s="10" t="n">
        <v>0.09760000000000001</v>
      </c>
      <c r="H75" s="7" t="inlineStr">
        <is>
          <t>AACE</t>
        </is>
      </c>
    </row>
    <row r="76">
      <c r="B76" s="7" t="inlineStr">
        <is>
          <t>628100</t>
        </is>
      </c>
      <c r="C76" s="8" t="inlineStr">
        <is>
          <t>COTISATIONS PROFESSIONNELLES</t>
        </is>
      </c>
      <c r="D76" s="9" t="n">
        <v>29.679</v>
      </c>
      <c r="E76" s="9" t="n">
        <v>23.367</v>
      </c>
      <c r="F76" s="9" t="n">
        <v>6.312</v>
      </c>
      <c r="G76" s="10" t="n">
        <v>0.2701</v>
      </c>
      <c r="H76" s="7" t="inlineStr">
        <is>
          <t>AACE</t>
        </is>
      </c>
    </row>
    <row r="77">
      <c r="B77" s="7" t="inlineStr">
        <is>
          <t>628400</t>
        </is>
      </c>
      <c r="C77" s="8" t="inlineStr">
        <is>
          <t>PRESTATIONS DE RECRUTEMENT</t>
        </is>
      </c>
      <c r="D77" s="9" t="n">
        <v>80.128</v>
      </c>
      <c r="E77" s="9" t="n">
        <v>28.65</v>
      </c>
      <c r="F77" s="9" t="n">
        <v>51.478</v>
      </c>
      <c r="G77" s="10" t="n">
        <v>1.7968</v>
      </c>
      <c r="H77" s="7" t="inlineStr">
        <is>
          <t>AACE</t>
        </is>
      </c>
    </row>
    <row r="79">
      <c r="B79" s="12" t="inlineStr">
        <is>
          <t>TOTAL AACE</t>
        </is>
      </c>
      <c r="D79" s="13" t="n">
        <v>6185.915</v>
      </c>
      <c r="E79" s="13" t="n">
        <v>4621.043</v>
      </c>
      <c r="F79" s="13" t="n">
        <v>1564.872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C Propres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PASSIF</t>
        </is>
      </c>
    </row>
    <row r="11">
      <c r="B11" s="7" t="inlineStr">
        <is>
          <t>101300</t>
        </is>
      </c>
      <c r="C11" s="8" t="inlineStr">
        <is>
          <t>CAPITAL</t>
        </is>
      </c>
      <c r="D11" s="9" t="n">
        <v>1150.001</v>
      </c>
      <c r="E11" s="9" t="n">
        <v>1150.001</v>
      </c>
      <c r="F11" s="9" t="n">
        <v>0</v>
      </c>
      <c r="G11" s="10" t="n">
        <v>0</v>
      </c>
      <c r="H11" s="7" t="inlineStr">
        <is>
          <t>C Propres0</t>
        </is>
      </c>
      <c r="J11" s="7" t="inlineStr">
        <is>
          <t>C Propres</t>
        </is>
      </c>
    </row>
    <row r="12">
      <c r="B12" s="7" t="inlineStr">
        <is>
          <t>106100</t>
        </is>
      </c>
      <c r="C12" s="8" t="inlineStr">
        <is>
          <t>RESERVE LEGALE</t>
        </is>
      </c>
      <c r="D12" s="9" t="n">
        <v>115</v>
      </c>
      <c r="E12" s="9" t="n">
        <v>115</v>
      </c>
      <c r="F12" s="9" t="n">
        <v>0</v>
      </c>
      <c r="G12" s="10" t="n">
        <v>0</v>
      </c>
      <c r="H12" s="7" t="inlineStr">
        <is>
          <t>C Propres0</t>
        </is>
      </c>
      <c r="J12" s="7" t="inlineStr">
        <is>
          <t>C Propres</t>
        </is>
      </c>
    </row>
    <row r="13">
      <c r="B13" s="7" t="inlineStr">
        <is>
          <t>106800</t>
        </is>
      </c>
      <c r="C13" s="8" t="inlineStr">
        <is>
          <t>AUTRES RESERVES</t>
        </is>
      </c>
      <c r="D13" s="9" t="n">
        <v>2866.188</v>
      </c>
      <c r="E13" s="9" t="n">
        <v>1851.193</v>
      </c>
      <c r="F13" s="9" t="n">
        <v>1014.995</v>
      </c>
      <c r="G13" s="10" t="n">
        <v>0.5483</v>
      </c>
      <c r="H13" s="7" t="inlineStr">
        <is>
          <t>C Propres0</t>
        </is>
      </c>
      <c r="J13" s="7" t="inlineStr">
        <is>
          <t>C Propres</t>
        </is>
      </c>
    </row>
    <row r="14">
      <c r="B14" s="7" t="inlineStr">
        <is>
          <t>106810</t>
        </is>
      </c>
      <c r="C14" s="8" t="inlineStr">
        <is>
          <t>Dividendes / actions propres</t>
        </is>
      </c>
      <c r="D14" s="9" t="n">
        <v>40.589</v>
      </c>
      <c r="E14" s="9" t="n">
        <v>-0</v>
      </c>
      <c r="F14" s="9" t="n">
        <v>40.589</v>
      </c>
      <c r="G14" s="8" t="inlineStr">
        <is>
          <t>n/a</t>
        </is>
      </c>
      <c r="H14" s="7" t="inlineStr">
        <is>
          <t>C Propres0</t>
        </is>
      </c>
      <c r="J14" s="7" t="inlineStr">
        <is>
          <t>C Propres</t>
        </is>
      </c>
    </row>
    <row r="15">
      <c r="B15" s="7" t="inlineStr">
        <is>
          <t>120000</t>
        </is>
      </c>
      <c r="C15" s="8" t="inlineStr">
        <is>
          <t>COMPTE DE RESULTAT BENEFICE</t>
        </is>
      </c>
      <c r="D15" s="9" t="n">
        <v>-0</v>
      </c>
      <c r="E15" s="9" t="n">
        <v>-0</v>
      </c>
      <c r="F15" s="9" t="n">
        <v>0</v>
      </c>
      <c r="G15" s="8" t="inlineStr">
        <is>
          <t>n/a</t>
        </is>
      </c>
      <c r="H15" s="7" t="inlineStr">
        <is>
          <t>C Propres0</t>
        </is>
      </c>
      <c r="J15" s="7" t="inlineStr">
        <is>
          <t>C Propres</t>
        </is>
      </c>
    </row>
    <row r="17">
      <c r="B17" s="11" t="inlineStr">
        <is>
          <t>PRODUITS</t>
        </is>
      </c>
    </row>
    <row r="18">
      <c r="B18" s="7" t="inlineStr">
        <is>
          <t>740000</t>
        </is>
      </c>
      <c r="C18" s="8" t="inlineStr">
        <is>
          <t>SUBVENTION D'EXPLOITATION</t>
        </is>
      </c>
      <c r="D18" s="9" t="n">
        <v>34.5</v>
      </c>
      <c r="E18" s="9" t="n">
        <v>9.08</v>
      </c>
      <c r="F18" s="9" t="n">
        <v>25.42</v>
      </c>
      <c r="G18" s="10" t="n">
        <v>2.7996</v>
      </c>
      <c r="H18" s="7" t="inlineStr">
        <is>
          <t>C Propres0</t>
        </is>
      </c>
      <c r="J18" s="7" t="inlineStr">
        <is>
          <t>C Propres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C PRC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PASSIF</t>
        </is>
      </c>
    </row>
    <row r="11">
      <c r="B11" s="7" t="inlineStr">
        <is>
          <t>151100</t>
        </is>
      </c>
      <c r="C11" s="8" t="inlineStr">
        <is>
          <t>PROVISION POUR LITIGE</t>
        </is>
      </c>
      <c r="D11" s="9" t="n">
        <v>30</v>
      </c>
      <c r="E11" s="9" t="n">
        <v>30</v>
      </c>
      <c r="F11" s="9" t="n">
        <v>0</v>
      </c>
      <c r="G11" s="10" t="n">
        <v>0</v>
      </c>
      <c r="H11" s="7" t="inlineStr">
        <is>
          <t>C PRC0</t>
        </is>
      </c>
      <c r="J11" s="7" t="inlineStr">
        <is>
          <t>C PRC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F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451050</t>
        </is>
      </c>
      <c r="C11" s="8" t="inlineStr">
        <is>
          <t>C/C SBPC</t>
        </is>
      </c>
      <c r="D11" s="9" t="n">
        <v>330.084</v>
      </c>
      <c r="E11" s="9" t="n">
        <v>310.806</v>
      </c>
      <c r="F11" s="9" t="n">
        <v>19.278</v>
      </c>
      <c r="G11" s="10" t="n">
        <v>0.062</v>
      </c>
      <c r="H11" s="7" t="inlineStr">
        <is>
          <t>F0</t>
        </is>
      </c>
      <c r="J11" s="7" t="inlineStr">
        <is>
          <t>F</t>
        </is>
      </c>
    </row>
    <row r="12">
      <c r="B12" s="7" t="inlineStr">
        <is>
          <t>455010</t>
        </is>
      </c>
      <c r="C12" s="8" t="inlineStr">
        <is>
          <t>C/C SCI DU LOUP</t>
        </is>
      </c>
      <c r="D12" s="9" t="n">
        <v>401.728</v>
      </c>
      <c r="E12" s="9" t="n">
        <v>320.287</v>
      </c>
      <c r="F12" s="9" t="n">
        <v>81.441</v>
      </c>
      <c r="G12" s="10" t="n">
        <v>0.2543</v>
      </c>
      <c r="H12" s="7" t="inlineStr">
        <is>
          <t>F0</t>
        </is>
      </c>
      <c r="J12" s="7" t="inlineStr">
        <is>
          <t>F</t>
        </is>
      </c>
    </row>
    <row r="13">
      <c r="B13" s="7" t="inlineStr">
        <is>
          <t>511200</t>
        </is>
      </c>
      <c r="C13" s="8" t="inlineStr">
        <is>
          <t>PORTEFEUILLE CB FRANCE</t>
        </is>
      </c>
      <c r="D13" s="9" t="n">
        <v>-0</v>
      </c>
      <c r="E13" s="9" t="n">
        <v>0</v>
      </c>
      <c r="F13" s="9" t="n">
        <v>-0</v>
      </c>
      <c r="G13" s="8" t="inlineStr">
        <is>
          <t>n/a</t>
        </is>
      </c>
      <c r="H13" s="7" t="inlineStr">
        <is>
          <t>F0</t>
        </is>
      </c>
      <c r="J13" s="7" t="inlineStr">
        <is>
          <t>F</t>
        </is>
      </c>
    </row>
    <row r="14">
      <c r="B14" s="7" t="inlineStr">
        <is>
          <t>512110</t>
        </is>
      </c>
      <c r="C14" s="8" t="inlineStr">
        <is>
          <t>CREDIT AGRICOLE</t>
        </is>
      </c>
      <c r="D14" s="9" t="n">
        <v>154.195</v>
      </c>
      <c r="E14" s="9" t="n">
        <v>172.203</v>
      </c>
      <c r="F14" s="9" t="n">
        <v>-18.008</v>
      </c>
      <c r="G14" s="10" t="n">
        <v>-0.1046</v>
      </c>
      <c r="H14" s="7" t="inlineStr">
        <is>
          <t>F0</t>
        </is>
      </c>
      <c r="J14" s="7" t="inlineStr">
        <is>
          <t>F</t>
        </is>
      </c>
    </row>
    <row r="15">
      <c r="B15" s="7" t="inlineStr">
        <is>
          <t>512112</t>
        </is>
      </c>
      <c r="C15" s="8" t="inlineStr">
        <is>
          <t>CREDIT AGRICOLE DOLLARS</t>
        </is>
      </c>
      <c r="D15" s="9" t="n">
        <v>92.181</v>
      </c>
      <c r="E15" s="9" t="n">
        <v>0.175</v>
      </c>
      <c r="F15" s="9" t="n">
        <v>92.006</v>
      </c>
      <c r="G15" s="10" t="n">
        <v>525.7486</v>
      </c>
      <c r="H15" s="7" t="inlineStr">
        <is>
          <t>F0</t>
        </is>
      </c>
      <c r="J15" s="7" t="inlineStr">
        <is>
          <t>F</t>
        </is>
      </c>
    </row>
    <row r="16">
      <c r="B16" s="7" t="inlineStr">
        <is>
          <t>512113</t>
        </is>
      </c>
      <c r="C16" s="8" t="inlineStr">
        <is>
          <t>CA CAT DOLLARS</t>
        </is>
      </c>
      <c r="D16" s="9" t="n">
        <v>0.302</v>
      </c>
      <c r="E16" s="9" t="n">
        <v>0</v>
      </c>
      <c r="F16" s="9" t="n">
        <v>0.302</v>
      </c>
      <c r="G16" s="8" t="inlineStr">
        <is>
          <t>n/a</t>
        </is>
      </c>
      <c r="H16" s="7" t="inlineStr">
        <is>
          <t>F0</t>
        </is>
      </c>
      <c r="J16" s="7" t="inlineStr">
        <is>
          <t>F</t>
        </is>
      </c>
    </row>
    <row r="17">
      <c r="B17" s="7" t="inlineStr">
        <is>
          <t>512120</t>
        </is>
      </c>
      <c r="C17" s="8" t="inlineStr">
        <is>
          <t>BANQUE POPULAIRE</t>
        </is>
      </c>
      <c r="D17" s="9" t="n">
        <v>141.961</v>
      </c>
      <c r="E17" s="9" t="n">
        <v>196.465</v>
      </c>
      <c r="F17" s="9" t="n">
        <v>-54.504</v>
      </c>
      <c r="G17" s="10" t="n">
        <v>-0.2774</v>
      </c>
      <c r="H17" s="7" t="inlineStr">
        <is>
          <t>F0</t>
        </is>
      </c>
      <c r="J17" s="7" t="inlineStr">
        <is>
          <t>F</t>
        </is>
      </c>
    </row>
    <row r="18">
      <c r="B18" s="7" t="inlineStr">
        <is>
          <t>512122</t>
        </is>
      </c>
      <c r="C18" s="8" t="inlineStr">
        <is>
          <t>BANQUE POPULAIRE LIVRET</t>
        </is>
      </c>
      <c r="D18" s="9" t="n">
        <v>11.525</v>
      </c>
      <c r="E18" s="9" t="n">
        <v>0.034</v>
      </c>
      <c r="F18" s="9" t="n">
        <v>11.491</v>
      </c>
      <c r="G18" s="10" t="n">
        <v>337.9706</v>
      </c>
      <c r="H18" s="7" t="inlineStr">
        <is>
          <t>F0</t>
        </is>
      </c>
      <c r="J18" s="7" t="inlineStr">
        <is>
          <t>F</t>
        </is>
      </c>
    </row>
    <row r="19">
      <c r="B19" s="7" t="inlineStr">
        <is>
          <t>512124</t>
        </is>
      </c>
      <c r="C19" s="8" t="inlineStr">
        <is>
          <t>BPFC CAT</t>
        </is>
      </c>
      <c r="D19" s="9" t="n">
        <v>0</v>
      </c>
      <c r="E19" s="9" t="n">
        <v>600</v>
      </c>
      <c r="F19" s="9" t="n">
        <v>-600</v>
      </c>
      <c r="G19" s="10" t="n">
        <v>-1</v>
      </c>
      <c r="H19" s="7" t="inlineStr">
        <is>
          <t>F0</t>
        </is>
      </c>
      <c r="J19" s="7" t="inlineStr">
        <is>
          <t>F</t>
        </is>
      </c>
    </row>
    <row r="20">
      <c r="B20" s="7" t="inlineStr">
        <is>
          <t>512125</t>
        </is>
      </c>
      <c r="C20" s="8" t="inlineStr">
        <is>
          <t>LCL CAT</t>
        </is>
      </c>
      <c r="D20" s="9" t="n">
        <v>0</v>
      </c>
      <c r="E20" s="9" t="n">
        <v>400</v>
      </c>
      <c r="F20" s="9" t="n">
        <v>-400</v>
      </c>
      <c r="G20" s="10" t="n">
        <v>-1</v>
      </c>
      <c r="H20" s="7" t="inlineStr">
        <is>
          <t>F0</t>
        </is>
      </c>
      <c r="J20" s="7" t="inlineStr">
        <is>
          <t>F</t>
        </is>
      </c>
    </row>
    <row r="21">
      <c r="B21" s="7" t="inlineStr">
        <is>
          <t>512151</t>
        </is>
      </c>
      <c r="C21" s="8" t="inlineStr">
        <is>
          <t>LCL GILAC</t>
        </is>
      </c>
      <c r="D21" s="9" t="n">
        <v>6.685</v>
      </c>
      <c r="E21" s="9" t="n">
        <v>2.203</v>
      </c>
      <c r="F21" s="9" t="n">
        <v>4.482</v>
      </c>
      <c r="G21" s="10" t="n">
        <v>2.0345</v>
      </c>
      <c r="H21" s="7" t="inlineStr">
        <is>
          <t>F0</t>
        </is>
      </c>
      <c r="J21" s="7" t="inlineStr">
        <is>
          <t>F</t>
        </is>
      </c>
    </row>
    <row r="22">
      <c r="B22" s="7" t="inlineStr">
        <is>
          <t>512153</t>
        </is>
      </c>
      <c r="C22" s="8" t="inlineStr">
        <is>
          <t>LCL GILAC-SPID</t>
        </is>
      </c>
      <c r="D22" s="9" t="n">
        <v>66.008</v>
      </c>
      <c r="E22" s="9" t="n">
        <v>0</v>
      </c>
      <c r="F22" s="9" t="n">
        <v>66.008</v>
      </c>
      <c r="G22" s="8" t="inlineStr">
        <is>
          <t>n/a</t>
        </is>
      </c>
      <c r="H22" s="7" t="inlineStr">
        <is>
          <t>F0</t>
        </is>
      </c>
      <c r="J22" s="7" t="inlineStr">
        <is>
          <t>F</t>
        </is>
      </c>
    </row>
    <row r="23">
      <c r="B23" s="7" t="inlineStr">
        <is>
          <t>512155</t>
        </is>
      </c>
      <c r="C23" s="8" t="inlineStr">
        <is>
          <t>LCL GILAC-EPS</t>
        </is>
      </c>
      <c r="D23" s="9" t="n">
        <v>427.951</v>
      </c>
      <c r="E23" s="9" t="n">
        <v>0</v>
      </c>
      <c r="F23" s="9" t="n">
        <v>427.951</v>
      </c>
      <c r="G23" s="8" t="inlineStr">
        <is>
          <t>n/a</t>
        </is>
      </c>
      <c r="H23" s="7" t="inlineStr">
        <is>
          <t>F0</t>
        </is>
      </c>
      <c r="J23" s="7" t="inlineStr">
        <is>
          <t>F</t>
        </is>
      </c>
    </row>
    <row r="24">
      <c r="B24" s="7" t="inlineStr">
        <is>
          <t>531000</t>
        </is>
      </c>
      <c r="C24" s="8" t="inlineStr">
        <is>
          <t>CAISSE</t>
        </is>
      </c>
      <c r="D24" s="9" t="n">
        <v>8.086</v>
      </c>
      <c r="E24" s="9" t="n">
        <v>7.081</v>
      </c>
      <c r="F24" s="9" t="n">
        <v>1.005</v>
      </c>
      <c r="G24" s="10" t="n">
        <v>0.1419</v>
      </c>
      <c r="H24" s="7" t="inlineStr">
        <is>
          <t>F0</t>
        </is>
      </c>
      <c r="J24" s="7" t="inlineStr">
        <is>
          <t>F</t>
        </is>
      </c>
    </row>
    <row r="25">
      <c r="B25" s="7" t="inlineStr">
        <is>
          <t>580000</t>
        </is>
      </c>
      <c r="C25" s="8" t="inlineStr">
        <is>
          <t>VIREMENTS INTERNES</t>
        </is>
      </c>
      <c r="D25" s="9" t="n">
        <v>0</v>
      </c>
      <c r="E25" s="9" t="n">
        <v>0</v>
      </c>
      <c r="F25" s="9" t="n">
        <v>0</v>
      </c>
      <c r="G25" s="8" t="inlineStr">
        <is>
          <t>n/a</t>
        </is>
      </c>
      <c r="H25" s="7" t="inlineStr">
        <is>
          <t>F0</t>
        </is>
      </c>
      <c r="J25" s="7" t="inlineStr">
        <is>
          <t>F</t>
        </is>
      </c>
    </row>
    <row r="27">
      <c r="B27" s="11" t="inlineStr">
        <is>
          <t>PASSIF</t>
        </is>
      </c>
    </row>
    <row r="28">
      <c r="B28" s="7" t="inlineStr">
        <is>
          <t>164130</t>
        </is>
      </c>
      <c r="C28" s="8" t="inlineStr">
        <is>
          <t>EMPRUNT CA PGE2</t>
        </is>
      </c>
      <c r="D28" s="9" t="n">
        <v>0</v>
      </c>
      <c r="E28" s="9" t="n">
        <v>69.015</v>
      </c>
      <c r="F28" s="9" t="n">
        <v>-69.015</v>
      </c>
      <c r="G28" s="10" t="n">
        <v>-1</v>
      </c>
      <c r="H28" s="7" t="inlineStr">
        <is>
          <t>F0</t>
        </is>
      </c>
      <c r="J28" s="7" t="inlineStr">
        <is>
          <t>F</t>
        </is>
      </c>
    </row>
    <row r="29">
      <c r="B29" s="7" t="inlineStr">
        <is>
          <t>164150</t>
        </is>
      </c>
      <c r="C29" s="8" t="inlineStr">
        <is>
          <t>EMPRUNT LCL 1500 60M</t>
        </is>
      </c>
      <c r="D29" s="9" t="n">
        <v>1106.052</v>
      </c>
      <c r="E29" s="9" t="n">
        <v>1386.523</v>
      </c>
      <c r="F29" s="9" t="n">
        <v>-280.471</v>
      </c>
      <c r="G29" s="10" t="n">
        <v>-0.2023</v>
      </c>
      <c r="H29" s="7" t="inlineStr">
        <is>
          <t>F0</t>
        </is>
      </c>
      <c r="J29" s="7" t="inlineStr">
        <is>
          <t>F</t>
        </is>
      </c>
    </row>
    <row r="30">
      <c r="B30" s="7" t="inlineStr">
        <is>
          <t>164160</t>
        </is>
      </c>
      <c r="C30" s="8" t="inlineStr">
        <is>
          <t>EMPRUNT LCL 1000 24M</t>
        </is>
      </c>
      <c r="D30" s="9" t="n">
        <v>299.025</v>
      </c>
      <c r="E30" s="9" t="n">
        <v>797.472</v>
      </c>
      <c r="F30" s="9" t="n">
        <v>-498.447</v>
      </c>
      <c r="G30" s="10" t="n">
        <v>-0.625</v>
      </c>
      <c r="H30" s="7" t="inlineStr">
        <is>
          <t>F0</t>
        </is>
      </c>
      <c r="J30" s="7" t="inlineStr">
        <is>
          <t>F</t>
        </is>
      </c>
    </row>
    <row r="31">
      <c r="B31" s="7" t="inlineStr">
        <is>
          <t>164241</t>
        </is>
      </c>
      <c r="C31" s="8" t="inlineStr">
        <is>
          <t>EMPRUNT BP PGE2</t>
        </is>
      </c>
      <c r="D31" s="9" t="n">
        <v>-0</v>
      </c>
      <c r="E31" s="9" t="n">
        <v>68.991</v>
      </c>
      <c r="F31" s="9" t="n">
        <v>-68.991</v>
      </c>
      <c r="G31" s="10" t="n">
        <v>-1</v>
      </c>
      <c r="H31" s="7" t="inlineStr">
        <is>
          <t>F0</t>
        </is>
      </c>
      <c r="J31" s="7" t="inlineStr">
        <is>
          <t>F</t>
        </is>
      </c>
    </row>
    <row r="32">
      <c r="B32" s="7" t="inlineStr">
        <is>
          <t>164250</t>
        </is>
      </c>
      <c r="C32" s="8" t="inlineStr">
        <is>
          <t>EMPRUNT BP HA DUBOIS</t>
        </is>
      </c>
      <c r="D32" s="9" t="n">
        <v>-0</v>
      </c>
      <c r="E32" s="9" t="n">
        <v>192.018</v>
      </c>
      <c r="F32" s="9" t="n">
        <v>-192.018</v>
      </c>
      <c r="G32" s="10" t="n">
        <v>-1</v>
      </c>
      <c r="H32" s="7" t="inlineStr">
        <is>
          <t>F0</t>
        </is>
      </c>
      <c r="J32" s="7" t="inlineStr">
        <is>
          <t>F</t>
        </is>
      </c>
    </row>
    <row r="33">
      <c r="B33" s="7" t="inlineStr">
        <is>
          <t>168100</t>
        </is>
      </c>
      <c r="C33" s="8" t="inlineStr">
        <is>
          <t>CREDIT VENDEUR</t>
        </is>
      </c>
      <c r="D33" s="9" t="n">
        <v>0</v>
      </c>
      <c r="E33" s="9" t="n">
        <v>101.2</v>
      </c>
      <c r="F33" s="9" t="n">
        <v>-101.2</v>
      </c>
      <c r="G33" s="10" t="n">
        <v>-1</v>
      </c>
      <c r="H33" s="7" t="inlineStr">
        <is>
          <t>F0</t>
        </is>
      </c>
      <c r="J33" s="7" t="inlineStr">
        <is>
          <t>F</t>
        </is>
      </c>
    </row>
    <row r="34">
      <c r="B34" s="7" t="inlineStr">
        <is>
          <t>451020</t>
        </is>
      </c>
      <c r="C34" s="8" t="inlineStr">
        <is>
          <t>C/C MIAM</t>
        </is>
      </c>
      <c r="D34" s="9" t="n">
        <v>3172.836</v>
      </c>
      <c r="E34" s="9" t="n">
        <v>1716.526</v>
      </c>
      <c r="F34" s="9" t="n">
        <v>1456.31</v>
      </c>
      <c r="G34" s="10" t="n">
        <v>0.8484</v>
      </c>
      <c r="H34" s="7" t="inlineStr">
        <is>
          <t>F0</t>
        </is>
      </c>
      <c r="J34" s="7" t="inlineStr">
        <is>
          <t>F</t>
        </is>
      </c>
    </row>
    <row r="35">
      <c r="B35" s="7" t="inlineStr">
        <is>
          <t>451030</t>
        </is>
      </c>
      <c r="C35" s="8" t="inlineStr">
        <is>
          <t>C/C SPID</t>
        </is>
      </c>
      <c r="D35" s="9" t="n">
        <v>-160.81</v>
      </c>
      <c r="E35" s="9" t="n">
        <v>132.589</v>
      </c>
      <c r="F35" s="9" t="n">
        <v>-293.399</v>
      </c>
      <c r="G35" s="10" t="n">
        <v>-2.2128</v>
      </c>
      <c r="H35" s="7" t="inlineStr">
        <is>
          <t>F0</t>
        </is>
      </c>
      <c r="J35" s="7" t="inlineStr">
        <is>
          <t>F</t>
        </is>
      </c>
    </row>
    <row r="36">
      <c r="B36" s="7" t="inlineStr">
        <is>
          <t>451040</t>
        </is>
      </c>
      <c r="C36" s="8" t="inlineStr">
        <is>
          <t>C/C EPS</t>
        </is>
      </c>
      <c r="D36" s="9" t="n">
        <v>-71.73999999999999</v>
      </c>
      <c r="E36" s="9" t="n">
        <v>138.562</v>
      </c>
      <c r="F36" s="9" t="n">
        <v>-210.302</v>
      </c>
      <c r="G36" s="10" t="n">
        <v>-1.5177</v>
      </c>
      <c r="H36" s="7" t="inlineStr">
        <is>
          <t>F0</t>
        </is>
      </c>
      <c r="J36" s="7" t="inlineStr">
        <is>
          <t>F</t>
        </is>
      </c>
    </row>
    <row r="37">
      <c r="B37" s="7" t="inlineStr">
        <is>
          <t>451500</t>
        </is>
      </c>
      <c r="C37" s="8" t="inlineStr">
        <is>
          <t>C/C SCI DE LA MODE</t>
        </is>
      </c>
      <c r="D37" s="9" t="n">
        <v>-183.088</v>
      </c>
      <c r="E37" s="9" t="n">
        <v>93.321</v>
      </c>
      <c r="F37" s="9" t="n">
        <v>-276.409</v>
      </c>
      <c r="G37" s="10" t="n">
        <v>-2.9619</v>
      </c>
      <c r="H37" s="7" t="inlineStr">
        <is>
          <t>F0</t>
        </is>
      </c>
      <c r="J37" s="7" t="inlineStr">
        <is>
          <t>F</t>
        </is>
      </c>
    </row>
    <row r="38">
      <c r="B38" s="7" t="inlineStr">
        <is>
          <t>455020</t>
        </is>
      </c>
      <c r="C38" s="8" t="inlineStr">
        <is>
          <t>CC ASSOCIE - NAJINVEST</t>
        </is>
      </c>
      <c r="D38" s="9" t="n">
        <v>3.643</v>
      </c>
      <c r="E38" s="9" t="n">
        <v>3.643</v>
      </c>
      <c r="F38" s="9" t="n">
        <v>0</v>
      </c>
      <c r="G38" s="10" t="n">
        <v>0</v>
      </c>
      <c r="H38" s="7" t="inlineStr">
        <is>
          <t>F0</t>
        </is>
      </c>
      <c r="J38" s="7" t="inlineStr">
        <is>
          <t>F</t>
        </is>
      </c>
    </row>
    <row r="39">
      <c r="B39" s="7" t="inlineStr">
        <is>
          <t>455030</t>
        </is>
      </c>
      <c r="C39" s="8" t="inlineStr">
        <is>
          <t>CC ASSOCIE - BTX HOLDING</t>
        </is>
      </c>
      <c r="D39" s="9" t="n">
        <v>-0</v>
      </c>
      <c r="E39" s="9" t="n">
        <v>-0</v>
      </c>
      <c r="F39" s="9" t="n">
        <v>0</v>
      </c>
      <c r="G39" s="8" t="inlineStr">
        <is>
          <t>n/a</t>
        </is>
      </c>
      <c r="H39" s="7" t="inlineStr">
        <is>
          <t>F0</t>
        </is>
      </c>
      <c r="J39" s="7" t="inlineStr">
        <is>
          <t>F</t>
        </is>
      </c>
    </row>
    <row r="40">
      <c r="B40" s="7" t="inlineStr">
        <is>
          <t>455200</t>
        </is>
      </c>
      <c r="C40" s="8" t="inlineStr">
        <is>
          <t>C/C INTEGRATION FISCALE MIAM</t>
        </is>
      </c>
      <c r="D40" s="9" t="n">
        <v>42.255</v>
      </c>
      <c r="E40" s="9" t="n">
        <v>133.667</v>
      </c>
      <c r="F40" s="9" t="n">
        <v>-91.41200000000001</v>
      </c>
      <c r="G40" s="10" t="n">
        <v>-0.6839</v>
      </c>
      <c r="H40" s="7" t="inlineStr">
        <is>
          <t>F0</t>
        </is>
      </c>
      <c r="J40" s="7" t="inlineStr">
        <is>
          <t>F</t>
        </is>
      </c>
    </row>
    <row r="41">
      <c r="B41" s="7" t="inlineStr">
        <is>
          <t>511400</t>
        </is>
      </c>
      <c r="C41" s="8" t="inlineStr">
        <is>
          <t>EFFETS REMIS ENCAISSEMENT BPOP</t>
        </is>
      </c>
      <c r="D41" s="9" t="n">
        <v>-3.791</v>
      </c>
      <c r="E41" s="9" t="n">
        <v>2.059</v>
      </c>
      <c r="F41" s="9" t="n">
        <v>-5.85</v>
      </c>
      <c r="G41" s="10" t="n">
        <v>-2.8412</v>
      </c>
      <c r="H41" s="7" t="inlineStr">
        <is>
          <t>F0</t>
        </is>
      </c>
      <c r="J41" s="7" t="inlineStr">
        <is>
          <t>F</t>
        </is>
      </c>
    </row>
    <row r="43">
      <c r="B43" s="11" t="inlineStr">
        <is>
          <t>CHARGES</t>
        </is>
      </c>
    </row>
    <row r="44">
      <c r="B44" s="7" t="inlineStr">
        <is>
          <t>661160</t>
        </is>
      </c>
      <c r="C44" s="8" t="inlineStr">
        <is>
          <t>INTERETS EMPRUNTS</t>
        </is>
      </c>
      <c r="D44" s="9" t="n">
        <v>79.471</v>
      </c>
      <c r="E44" s="9" t="n">
        <v>53.564</v>
      </c>
      <c r="F44" s="9" t="n">
        <v>25.907</v>
      </c>
      <c r="G44" s="10" t="n">
        <v>0.4837</v>
      </c>
      <c r="H44" s="7" t="inlineStr">
        <is>
          <t>F0</t>
        </is>
      </c>
      <c r="J44" s="7" t="inlineStr">
        <is>
          <t>F</t>
        </is>
      </c>
    </row>
    <row r="45">
      <c r="B45" s="7" t="inlineStr">
        <is>
          <t>661600</t>
        </is>
      </c>
      <c r="C45" s="8" t="inlineStr">
        <is>
          <t>AGIOS BANCAIRES</t>
        </is>
      </c>
      <c r="D45" s="9" t="n">
        <v>0.001</v>
      </c>
      <c r="E45" s="9" t="n">
        <v>1.957</v>
      </c>
      <c r="F45" s="9" t="n">
        <v>-1.956</v>
      </c>
      <c r="G45" s="10" t="n">
        <v>-0.9995000000000001</v>
      </c>
      <c r="H45" s="7" t="inlineStr">
        <is>
          <t>F0</t>
        </is>
      </c>
      <c r="J45" s="7" t="inlineStr">
        <is>
          <t>F</t>
        </is>
      </c>
    </row>
    <row r="47">
      <c r="B47" s="11" t="inlineStr">
        <is>
          <t>PRODUITS</t>
        </is>
      </c>
    </row>
    <row r="48">
      <c r="B48" s="7" t="inlineStr">
        <is>
          <t>762400</t>
        </is>
      </c>
      <c r="C48" s="8" t="inlineStr">
        <is>
          <t>REVENUS DES PRETS</t>
        </is>
      </c>
      <c r="D48" s="9" t="n">
        <v>0.892</v>
      </c>
      <c r="E48" s="9" t="n">
        <v>-0</v>
      </c>
      <c r="F48" s="9" t="n">
        <v>0.892</v>
      </c>
      <c r="G48" s="8" t="inlineStr">
        <is>
          <t>n/a</t>
        </is>
      </c>
      <c r="H48" s="7" t="inlineStr">
        <is>
          <t>F0</t>
        </is>
      </c>
      <c r="J48" s="7" t="inlineStr">
        <is>
          <t>F</t>
        </is>
      </c>
    </row>
    <row r="49">
      <c r="B49" s="7" t="inlineStr">
        <is>
          <t>766000</t>
        </is>
      </c>
      <c r="C49" s="8" t="inlineStr">
        <is>
          <t>GAINS DE CHANGE CLIENTS</t>
        </is>
      </c>
      <c r="D49" s="9" t="n">
        <v>3.261</v>
      </c>
      <c r="E49" s="9" t="n">
        <v>3.604</v>
      </c>
      <c r="F49" s="9" t="n">
        <v>-0.343</v>
      </c>
      <c r="G49" s="10" t="n">
        <v>-0.09520000000000001</v>
      </c>
      <c r="H49" s="7" t="inlineStr">
        <is>
          <t>F0</t>
        </is>
      </c>
      <c r="J49" s="7" t="inlineStr">
        <is>
          <t>F</t>
        </is>
      </c>
    </row>
    <row r="50">
      <c r="B50" s="7" t="inlineStr">
        <is>
          <t>767010</t>
        </is>
      </c>
      <c r="C50" s="8" t="inlineStr">
        <is>
          <t>PRODUITS FINANCIERS SUR PLACEMENT C</t>
        </is>
      </c>
      <c r="D50" s="9" t="n">
        <v>5.583</v>
      </c>
      <c r="E50" s="9" t="n">
        <v>-0</v>
      </c>
      <c r="F50" s="9" t="n">
        <v>5.583</v>
      </c>
      <c r="G50" s="8" t="inlineStr">
        <is>
          <t>n/a</t>
        </is>
      </c>
      <c r="H50" s="7" t="inlineStr">
        <is>
          <t>F0</t>
        </is>
      </c>
      <c r="J50" s="7" t="inlineStr">
        <is>
          <t>F</t>
        </is>
      </c>
    </row>
    <row r="51">
      <c r="B51" s="7" t="inlineStr">
        <is>
          <t>768010</t>
        </is>
      </c>
      <c r="C51" s="8" t="inlineStr">
        <is>
          <t>REVENUS DES COMPTES EN DEVISES</t>
        </is>
      </c>
      <c r="D51" s="9" t="n">
        <v>0.965</v>
      </c>
      <c r="E51" s="9" t="n">
        <v>-0</v>
      </c>
      <c r="F51" s="9" t="n">
        <v>0.965</v>
      </c>
      <c r="G51" s="8" t="inlineStr">
        <is>
          <t>n/a</t>
        </is>
      </c>
      <c r="H51" s="7" t="inlineStr">
        <is>
          <t>F0</t>
        </is>
      </c>
      <c r="J51" s="7" t="inlineStr">
        <is>
          <t>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Incorp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207000</t>
        </is>
      </c>
      <c r="C11" s="8" t="inlineStr">
        <is>
          <t>FONDS DE COMMERCE</t>
        </is>
      </c>
      <c r="D11" s="9" t="n">
        <v>186.351</v>
      </c>
      <c r="E11" s="9" t="n">
        <v>186.351</v>
      </c>
      <c r="F11" s="9" t="n">
        <v>0</v>
      </c>
      <c r="G11" s="10" t="n">
        <v>0</v>
      </c>
      <c r="H11" s="7" t="inlineStr">
        <is>
          <t>I Incorp0</t>
        </is>
      </c>
      <c r="J11" s="7" t="inlineStr">
        <is>
          <t>I Incorp</t>
        </is>
      </c>
    </row>
    <row r="12">
      <c r="B12" s="7" t="inlineStr">
        <is>
          <t>280800</t>
        </is>
      </c>
      <c r="C12" s="8" t="inlineStr">
        <is>
          <t>AMORTISSEMENTS LOGICIELS INFORMATIQ</t>
        </is>
      </c>
      <c r="D12" s="9" t="n">
        <v>-29.207</v>
      </c>
      <c r="E12" s="9" t="n">
        <v>-29.207</v>
      </c>
      <c r="F12" s="9" t="n">
        <v>0</v>
      </c>
      <c r="G12" s="10" t="n">
        <v>0</v>
      </c>
      <c r="H12" s="7" t="inlineStr">
        <is>
          <t>I Incorp0</t>
        </is>
      </c>
      <c r="J12" s="7" t="inlineStr">
        <is>
          <t>I Incorp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Corp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205000</t>
        </is>
      </c>
      <c r="C11" s="8" t="inlineStr">
        <is>
          <t>BREVETS ET LICENCES</t>
        </is>
      </c>
      <c r="D11" s="9" t="n">
        <v>5</v>
      </c>
      <c r="E11" s="9" t="n">
        <v>5</v>
      </c>
      <c r="F11" s="9" t="n">
        <v>0</v>
      </c>
      <c r="G11" s="10" t="n">
        <v>0</v>
      </c>
      <c r="H11" s="7" t="inlineStr">
        <is>
          <t>I Corp0</t>
        </is>
      </c>
      <c r="J11" s="7" t="inlineStr">
        <is>
          <t>I Corp</t>
        </is>
      </c>
    </row>
    <row r="12">
      <c r="B12" s="7" t="inlineStr">
        <is>
          <t>208000</t>
        </is>
      </c>
      <c r="C12" s="8" t="inlineStr">
        <is>
          <t>LOGICIELS INFORMATIQUES</t>
        </is>
      </c>
      <c r="D12" s="9" t="n">
        <v>29.207</v>
      </c>
      <c r="E12" s="9" t="n">
        <v>29.207</v>
      </c>
      <c r="F12" s="9" t="n">
        <v>0</v>
      </c>
      <c r="G12" s="10" t="n">
        <v>0</v>
      </c>
      <c r="H12" s="7" t="inlineStr">
        <is>
          <t>I Corp0</t>
        </is>
      </c>
      <c r="J12" s="7" t="inlineStr">
        <is>
          <t>I Corp</t>
        </is>
      </c>
    </row>
    <row r="13">
      <c r="B13" s="7" t="inlineStr">
        <is>
          <t>213500</t>
        </is>
      </c>
      <c r="C13" s="8" t="inlineStr">
        <is>
          <t>AGENCEMENT DES CONSTRUCTIONS</t>
        </is>
      </c>
      <c r="D13" s="9" t="n">
        <v>21</v>
      </c>
      <c r="E13" s="9" t="n">
        <v>21</v>
      </c>
      <c r="F13" s="9" t="n">
        <v>0</v>
      </c>
      <c r="G13" s="10" t="n">
        <v>0</v>
      </c>
      <c r="H13" s="7" t="inlineStr">
        <is>
          <t>I Corp0</t>
        </is>
      </c>
      <c r="J13" s="7" t="inlineStr">
        <is>
          <t>I Corp</t>
        </is>
      </c>
    </row>
    <row r="14">
      <c r="B14" s="7" t="inlineStr">
        <is>
          <t>214500</t>
        </is>
      </c>
      <c r="C14" s="8" t="inlineStr">
        <is>
          <t>I.G.A.A. SUR SOL D' AUTRUI</t>
        </is>
      </c>
      <c r="D14" s="9" t="n">
        <v>22.983</v>
      </c>
      <c r="E14" s="9" t="n">
        <v>22.983</v>
      </c>
      <c r="F14" s="9" t="n">
        <v>0</v>
      </c>
      <c r="G14" s="10" t="n">
        <v>0</v>
      </c>
      <c r="H14" s="7" t="inlineStr">
        <is>
          <t>I Corp0</t>
        </is>
      </c>
      <c r="J14" s="7" t="inlineStr">
        <is>
          <t>I Corp</t>
        </is>
      </c>
    </row>
    <row r="15">
      <c r="B15" s="7" t="inlineStr">
        <is>
          <t>215400</t>
        </is>
      </c>
      <c r="C15" s="8" t="inlineStr">
        <is>
          <t>MATERIEL INDUSTRIEL</t>
        </is>
      </c>
      <c r="D15" s="9" t="n">
        <v>318.631</v>
      </c>
      <c r="E15" s="9" t="n">
        <v>283.814</v>
      </c>
      <c r="F15" s="9" t="n">
        <v>34.817</v>
      </c>
      <c r="G15" s="10" t="n">
        <v>0.1227</v>
      </c>
      <c r="H15" s="7" t="inlineStr">
        <is>
          <t>I Corp0</t>
        </is>
      </c>
      <c r="J15" s="7" t="inlineStr">
        <is>
          <t>I Corp</t>
        </is>
      </c>
    </row>
    <row r="16">
      <c r="B16" s="7" t="inlineStr">
        <is>
          <t>215500</t>
        </is>
      </c>
      <c r="C16" s="8" t="inlineStr">
        <is>
          <t>MOULES</t>
        </is>
      </c>
      <c r="D16" s="9" t="n">
        <v>1487.441</v>
      </c>
      <c r="E16" s="9" t="n">
        <v>1455.241</v>
      </c>
      <c r="F16" s="9" t="n">
        <v>32.2</v>
      </c>
      <c r="G16" s="10" t="n">
        <v>0.0221</v>
      </c>
      <c r="H16" s="7" t="inlineStr">
        <is>
          <t>I Corp0</t>
        </is>
      </c>
      <c r="J16" s="7" t="inlineStr">
        <is>
          <t>I Corp</t>
        </is>
      </c>
    </row>
    <row r="17">
      <c r="B17" s="7" t="inlineStr">
        <is>
          <t>215700</t>
        </is>
      </c>
      <c r="C17" s="8" t="inlineStr">
        <is>
          <t>A A I MATERIEL OUTILLAGE</t>
        </is>
      </c>
      <c r="D17" s="9" t="n">
        <v>25.537</v>
      </c>
      <c r="E17" s="9" t="n">
        <v>20.177</v>
      </c>
      <c r="F17" s="9" t="n">
        <v>5.36</v>
      </c>
      <c r="G17" s="10" t="n">
        <v>0.2656</v>
      </c>
      <c r="H17" s="7" t="inlineStr">
        <is>
          <t>I Corp0</t>
        </is>
      </c>
      <c r="J17" s="7" t="inlineStr">
        <is>
          <t>I Corp</t>
        </is>
      </c>
    </row>
    <row r="18">
      <c r="B18" s="7" t="inlineStr">
        <is>
          <t>218100</t>
        </is>
      </c>
      <c r="C18" s="8" t="inlineStr">
        <is>
          <t>AGENCEMENT AMENAGEMENT DIVERS</t>
        </is>
      </c>
      <c r="D18" s="9" t="n">
        <v>14.266</v>
      </c>
      <c r="E18" s="9" t="n">
        <v>14.266</v>
      </c>
      <c r="F18" s="9" t="n">
        <v>0</v>
      </c>
      <c r="G18" s="10" t="n">
        <v>0</v>
      </c>
      <c r="H18" s="7" t="inlineStr">
        <is>
          <t>I Corp0</t>
        </is>
      </c>
      <c r="J18" s="7" t="inlineStr">
        <is>
          <t>I Corp</t>
        </is>
      </c>
    </row>
    <row r="19">
      <c r="B19" s="7" t="inlineStr">
        <is>
          <t>218200</t>
        </is>
      </c>
      <c r="C19" s="8" t="inlineStr">
        <is>
          <t>MATERIEL MANUTENTION, TRANSPORT</t>
        </is>
      </c>
      <c r="D19" s="9" t="n">
        <v>272.022</v>
      </c>
      <c r="E19" s="9" t="n">
        <v>270.533</v>
      </c>
      <c r="F19" s="9" t="n">
        <v>1.489</v>
      </c>
      <c r="G19" s="10" t="n">
        <v>0.0055</v>
      </c>
      <c r="H19" s="7" t="inlineStr">
        <is>
          <t>I Corp0</t>
        </is>
      </c>
      <c r="J19" s="7" t="inlineStr">
        <is>
          <t>I Corp</t>
        </is>
      </c>
    </row>
    <row r="20">
      <c r="B20" s="7" t="inlineStr">
        <is>
          <t>218300</t>
        </is>
      </c>
      <c r="C20" s="8" t="inlineStr">
        <is>
          <t>MATERIEL BUREAU</t>
        </is>
      </c>
      <c r="D20" s="9" t="n">
        <v>17.576</v>
      </c>
      <c r="E20" s="9" t="n">
        <v>15.348</v>
      </c>
      <c r="F20" s="9" t="n">
        <v>2.228</v>
      </c>
      <c r="G20" s="10" t="n">
        <v>0.1452</v>
      </c>
      <c r="H20" s="7" t="inlineStr">
        <is>
          <t>I Corp0</t>
        </is>
      </c>
      <c r="J20" s="7" t="inlineStr">
        <is>
          <t>I Corp</t>
        </is>
      </c>
    </row>
    <row r="21">
      <c r="B21" s="7" t="inlineStr">
        <is>
          <t>218320</t>
        </is>
      </c>
      <c r="C21" s="8" t="inlineStr">
        <is>
          <t>MATERIEL INFORMATIQUE</t>
        </is>
      </c>
      <c r="D21" s="9" t="n">
        <v>115.469</v>
      </c>
      <c r="E21" s="9" t="n">
        <v>95.164</v>
      </c>
      <c r="F21" s="9" t="n">
        <v>20.305</v>
      </c>
      <c r="G21" s="10" t="n">
        <v>0.2134</v>
      </c>
      <c r="H21" s="7" t="inlineStr">
        <is>
          <t>I Corp0</t>
        </is>
      </c>
      <c r="J21" s="7" t="inlineStr">
        <is>
          <t>I Corp</t>
        </is>
      </c>
    </row>
    <row r="22">
      <c r="B22" s="7" t="inlineStr">
        <is>
          <t>218400</t>
        </is>
      </c>
      <c r="C22" s="8" t="inlineStr">
        <is>
          <t>MOBILIER DE BUREAU</t>
        </is>
      </c>
      <c r="D22" s="9" t="n">
        <v>18.893</v>
      </c>
      <c r="E22" s="9" t="n">
        <v>18.893</v>
      </c>
      <c r="F22" s="9" t="n">
        <v>0</v>
      </c>
      <c r="G22" s="10" t="n">
        <v>0</v>
      </c>
      <c r="H22" s="7" t="inlineStr">
        <is>
          <t>I Corp0</t>
        </is>
      </c>
      <c r="J22" s="7" t="inlineStr">
        <is>
          <t>I Corp</t>
        </is>
      </c>
    </row>
    <row r="23">
      <c r="B23" s="7" t="inlineStr">
        <is>
          <t>231500</t>
        </is>
      </c>
      <c r="C23" s="8" t="inlineStr">
        <is>
          <t>IMMOBILISATION EN COURS</t>
        </is>
      </c>
      <c r="D23" s="9" t="n">
        <v>6.358</v>
      </c>
      <c r="E23" s="9" t="n">
        <v>0</v>
      </c>
      <c r="F23" s="9" t="n">
        <v>6.358</v>
      </c>
      <c r="G23" s="8" t="inlineStr">
        <is>
          <t>n/a</t>
        </is>
      </c>
      <c r="H23" s="7" t="inlineStr">
        <is>
          <t>I Corp0</t>
        </is>
      </c>
      <c r="J23" s="7" t="inlineStr">
        <is>
          <t>I Corp</t>
        </is>
      </c>
    </row>
    <row r="24">
      <c r="B24" s="7" t="inlineStr">
        <is>
          <t>238500</t>
        </is>
      </c>
      <c r="C24" s="8" t="inlineStr">
        <is>
          <t>ACOMPTE SUR IMMOBILISATION</t>
        </is>
      </c>
      <c r="D24" s="9" t="n">
        <v>9.587999999999999</v>
      </c>
      <c r="E24" s="9" t="n">
        <v>0</v>
      </c>
      <c r="F24" s="9" t="n">
        <v>9.587999999999999</v>
      </c>
      <c r="G24" s="8" t="inlineStr">
        <is>
          <t>n/a</t>
        </is>
      </c>
      <c r="H24" s="7" t="inlineStr">
        <is>
          <t>I Corp0</t>
        </is>
      </c>
      <c r="J24" s="7" t="inlineStr">
        <is>
          <t>I Corp</t>
        </is>
      </c>
    </row>
    <row r="25">
      <c r="B25" s="7" t="inlineStr">
        <is>
          <t>281350</t>
        </is>
      </c>
      <c r="C25" s="8" t="inlineStr">
        <is>
          <t>AMORTIS AGENCEMENTS DES CONSTRUCTIO</t>
        </is>
      </c>
      <c r="D25" s="9" t="n">
        <v>-21</v>
      </c>
      <c r="E25" s="9" t="n">
        <v>-21</v>
      </c>
      <c r="F25" s="9" t="n">
        <v>0</v>
      </c>
      <c r="G25" s="10" t="n">
        <v>0</v>
      </c>
      <c r="H25" s="7" t="inlineStr">
        <is>
          <t>I Corp0</t>
        </is>
      </c>
      <c r="J25" s="7" t="inlineStr">
        <is>
          <t>I Corp</t>
        </is>
      </c>
    </row>
    <row r="26">
      <c r="B26" s="7" t="inlineStr">
        <is>
          <t>281450</t>
        </is>
      </c>
      <c r="C26" s="8" t="inlineStr">
        <is>
          <t>AMORTIS IGAA SUR SOL D' AUTRUI</t>
        </is>
      </c>
      <c r="D26" s="9" t="n">
        <v>-22.983</v>
      </c>
      <c r="E26" s="9" t="n">
        <v>-22.906</v>
      </c>
      <c r="F26" s="9" t="n">
        <v>-0.077</v>
      </c>
      <c r="G26" s="10" t="n">
        <v>-0.0034</v>
      </c>
      <c r="H26" s="7" t="inlineStr">
        <is>
          <t>I Corp0</t>
        </is>
      </c>
      <c r="J26" s="7" t="inlineStr">
        <is>
          <t>I Corp</t>
        </is>
      </c>
    </row>
    <row r="27">
      <c r="B27" s="7" t="inlineStr">
        <is>
          <t>281540</t>
        </is>
      </c>
      <c r="C27" s="8" t="inlineStr">
        <is>
          <t>AMORTIS DU MATERIEL INDUSTRIEL</t>
        </is>
      </c>
      <c r="D27" s="9" t="n">
        <v>-228.078</v>
      </c>
      <c r="E27" s="9" t="n">
        <v>-143.831</v>
      </c>
      <c r="F27" s="9" t="n">
        <v>-84.247</v>
      </c>
      <c r="G27" s="10" t="n">
        <v>-0.5857</v>
      </c>
      <c r="H27" s="7" t="inlineStr">
        <is>
          <t>I Corp0</t>
        </is>
      </c>
      <c r="J27" s="7" t="inlineStr">
        <is>
          <t>I Corp</t>
        </is>
      </c>
    </row>
    <row r="28">
      <c r="B28" s="7" t="inlineStr">
        <is>
          <t>281550</t>
        </is>
      </c>
      <c r="C28" s="8" t="inlineStr">
        <is>
          <t>AMORTISSEMENTS MOULES ET OUTILLAGES</t>
        </is>
      </c>
      <c r="D28" s="9" t="n">
        <v>-1430.907</v>
      </c>
      <c r="E28" s="9" t="n">
        <v>-1282.462</v>
      </c>
      <c r="F28" s="9" t="n">
        <v>-148.445</v>
      </c>
      <c r="G28" s="10" t="n">
        <v>-0.1158</v>
      </c>
      <c r="H28" s="7" t="inlineStr">
        <is>
          <t>I Corp0</t>
        </is>
      </c>
      <c r="J28" s="7" t="inlineStr">
        <is>
          <t>I Corp</t>
        </is>
      </c>
    </row>
    <row r="29">
      <c r="B29" s="7" t="inlineStr">
        <is>
          <t>281570</t>
        </is>
      </c>
      <c r="C29" s="8" t="inlineStr">
        <is>
          <t>AMORTISSEMENTS AAI MATERIEL OUTILLA</t>
        </is>
      </c>
      <c r="D29" s="9" t="n">
        <v>-20.177</v>
      </c>
      <c r="E29" s="9" t="n">
        <v>-20.177</v>
      </c>
      <c r="F29" s="9" t="n">
        <v>0</v>
      </c>
      <c r="G29" s="10" t="n">
        <v>0</v>
      </c>
      <c r="H29" s="7" t="inlineStr">
        <is>
          <t>I Corp0</t>
        </is>
      </c>
      <c r="J29" s="7" t="inlineStr">
        <is>
          <t>I Corp</t>
        </is>
      </c>
    </row>
    <row r="30">
      <c r="B30" s="7" t="inlineStr">
        <is>
          <t>281810</t>
        </is>
      </c>
      <c r="C30" s="8" t="inlineStr">
        <is>
          <t>AMORTISSEMENTS AGENCEMT AMENAGEMENT</t>
        </is>
      </c>
      <c r="D30" s="9" t="n">
        <v>-10.467</v>
      </c>
      <c r="E30" s="9" t="n">
        <v>-8.840999999999999</v>
      </c>
      <c r="F30" s="9" t="n">
        <v>-1.626</v>
      </c>
      <c r="G30" s="10" t="n">
        <v>-0.1839</v>
      </c>
      <c r="H30" s="7" t="inlineStr">
        <is>
          <t>I Corp0</t>
        </is>
      </c>
      <c r="J30" s="7" t="inlineStr">
        <is>
          <t>I Corp</t>
        </is>
      </c>
    </row>
    <row r="31">
      <c r="B31" s="7" t="inlineStr">
        <is>
          <t>281820</t>
        </is>
      </c>
      <c r="C31" s="8" t="inlineStr">
        <is>
          <t>AMORTISSEMENTS MATERIEL MANUT LEVAG</t>
        </is>
      </c>
      <c r="D31" s="9" t="n">
        <v>-153.942</v>
      </c>
      <c r="E31" s="9" t="n">
        <v>-114.175</v>
      </c>
      <c r="F31" s="9" t="n">
        <v>-39.767</v>
      </c>
      <c r="G31" s="10" t="n">
        <v>-0.3483</v>
      </c>
      <c r="H31" s="7" t="inlineStr">
        <is>
          <t>I Corp0</t>
        </is>
      </c>
      <c r="J31" s="7" t="inlineStr">
        <is>
          <t>I Corp</t>
        </is>
      </c>
    </row>
    <row r="32">
      <c r="B32" s="7" t="inlineStr">
        <is>
          <t>281830</t>
        </is>
      </c>
      <c r="C32" s="8" t="inlineStr">
        <is>
          <t>AMORTISSEMENTS MATERIEL DE BUREAU</t>
        </is>
      </c>
      <c r="D32" s="9" t="n">
        <v>-15.348</v>
      </c>
      <c r="E32" s="9" t="n">
        <v>-15.348</v>
      </c>
      <c r="F32" s="9" t="n">
        <v>0</v>
      </c>
      <c r="G32" s="10" t="n">
        <v>0</v>
      </c>
      <c r="H32" s="7" t="inlineStr">
        <is>
          <t>I Corp0</t>
        </is>
      </c>
      <c r="J32" s="7" t="inlineStr">
        <is>
          <t>I Corp</t>
        </is>
      </c>
    </row>
    <row r="33">
      <c r="B33" s="7" t="inlineStr">
        <is>
          <t>281832</t>
        </is>
      </c>
      <c r="C33" s="8" t="inlineStr">
        <is>
          <t>AMORTISSEMENTS MATERIEL INFORMATIQU</t>
        </is>
      </c>
      <c r="D33" s="9" t="n">
        <v>-81.373</v>
      </c>
      <c r="E33" s="9" t="n">
        <v>-59.421</v>
      </c>
      <c r="F33" s="9" t="n">
        <v>-21.952</v>
      </c>
      <c r="G33" s="10" t="n">
        <v>-0.3694</v>
      </c>
      <c r="H33" s="7" t="inlineStr">
        <is>
          <t>I Corp0</t>
        </is>
      </c>
      <c r="J33" s="7" t="inlineStr">
        <is>
          <t>I Corp</t>
        </is>
      </c>
    </row>
    <row r="34">
      <c r="B34" s="7" t="inlineStr">
        <is>
          <t>281840</t>
        </is>
      </c>
      <c r="C34" s="8" t="inlineStr">
        <is>
          <t>AMORTIS DU MOBILIER DE BUREAU</t>
        </is>
      </c>
      <c r="D34" s="9" t="n">
        <v>-11.44</v>
      </c>
      <c r="E34" s="9" t="n">
        <v>-9.246</v>
      </c>
      <c r="F34" s="9" t="n">
        <v>-2.194</v>
      </c>
      <c r="G34" s="10" t="n">
        <v>-0.2373</v>
      </c>
      <c r="H34" s="7" t="inlineStr">
        <is>
          <t>I Corp0</t>
        </is>
      </c>
      <c r="J34" s="7" t="inlineStr">
        <is>
          <t>I Corp</t>
        </is>
      </c>
    </row>
    <row r="36">
      <c r="B36" s="11" t="inlineStr">
        <is>
          <t>CHARGES</t>
        </is>
      </c>
    </row>
    <row r="37">
      <c r="B37" s="7" t="inlineStr">
        <is>
          <t>681120</t>
        </is>
      </c>
      <c r="C37" s="8" t="inlineStr">
        <is>
          <t>DOT AMORT IMMOB CORPORELLES</t>
        </is>
      </c>
      <c r="D37" s="9" t="n">
        <v>298.308</v>
      </c>
      <c r="E37" s="9" t="n">
        <v>399.79</v>
      </c>
      <c r="F37" s="9" t="n">
        <v>-101.482</v>
      </c>
      <c r="G37" s="10" t="n">
        <v>-0.2538</v>
      </c>
      <c r="H37" s="7" t="inlineStr">
        <is>
          <t>I Corp0</t>
        </is>
      </c>
      <c r="J37" s="7" t="inlineStr">
        <is>
          <t>I Corp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Fi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261000</t>
        </is>
      </c>
      <c r="C11" s="8" t="inlineStr">
        <is>
          <t>TITRES DE PARTICIPATIONS</t>
        </is>
      </c>
      <c r="D11" s="9" t="n">
        <v>3284.904</v>
      </c>
      <c r="E11" s="9" t="n">
        <v>3283.904</v>
      </c>
      <c r="F11" s="9" t="n">
        <v>1</v>
      </c>
      <c r="G11" s="10" t="n">
        <v>0.0003</v>
      </c>
      <c r="H11" s="7" t="inlineStr">
        <is>
          <t>I Fi0</t>
        </is>
      </c>
      <c r="J11" s="7" t="inlineStr">
        <is>
          <t>I Fi</t>
        </is>
      </c>
    </row>
    <row r="12">
      <c r="B12" s="7" t="inlineStr">
        <is>
          <t>274303</t>
        </is>
      </c>
      <c r="C12" s="8" t="inlineStr">
        <is>
          <t>PRET VINCENT ASSOCIE</t>
        </is>
      </c>
      <c r="D12" s="9" t="n">
        <v>75.611</v>
      </c>
      <c r="E12" s="9" t="n">
        <v>72.59399999999999</v>
      </c>
      <c r="F12" s="9" t="n">
        <v>3.017</v>
      </c>
      <c r="G12" s="10" t="n">
        <v>0.0416</v>
      </c>
      <c r="H12" s="7" t="inlineStr">
        <is>
          <t>I Fi0</t>
        </is>
      </c>
      <c r="J12" s="7" t="inlineStr">
        <is>
          <t>I Fi</t>
        </is>
      </c>
    </row>
    <row r="13">
      <c r="B13" s="7" t="inlineStr">
        <is>
          <t>274800</t>
        </is>
      </c>
      <c r="C13" s="8" t="inlineStr">
        <is>
          <t>PRET CILOR</t>
        </is>
      </c>
      <c r="D13" s="9" t="n">
        <v>104.093</v>
      </c>
      <c r="E13" s="9" t="n">
        <v>104.093</v>
      </c>
      <c r="F13" s="9" t="n">
        <v>0</v>
      </c>
      <c r="G13" s="10" t="n">
        <v>0</v>
      </c>
      <c r="H13" s="7" t="inlineStr">
        <is>
          <t>I Fi0</t>
        </is>
      </c>
      <c r="J13" s="7" t="inlineStr">
        <is>
          <t>I Fi</t>
        </is>
      </c>
    </row>
    <row r="14">
      <c r="B14" s="7" t="inlineStr">
        <is>
          <t>275000</t>
        </is>
      </c>
      <c r="C14" s="8" t="inlineStr">
        <is>
          <t>DEPOTS ET CAUTIONNEMENTS</t>
        </is>
      </c>
      <c r="D14" s="9" t="n">
        <v>0.804</v>
      </c>
      <c r="E14" s="9" t="n">
        <v>36.684</v>
      </c>
      <c r="F14" s="9" t="n">
        <v>-35.88</v>
      </c>
      <c r="G14" s="10" t="n">
        <v>-0.9781</v>
      </c>
      <c r="H14" s="7" t="inlineStr">
        <is>
          <t>I Fi0</t>
        </is>
      </c>
      <c r="J14" s="7" t="inlineStr">
        <is>
          <t>I Fi</t>
        </is>
      </c>
    </row>
    <row r="15">
      <c r="B15" s="7" t="inlineStr">
        <is>
          <t>277100</t>
        </is>
      </c>
      <c r="C15" s="8" t="inlineStr">
        <is>
          <t>ACTIONS PROPRES</t>
        </is>
      </c>
      <c r="D15" s="9" t="n">
        <v>435.321</v>
      </c>
      <c r="E15" s="9" t="n">
        <v>435.321</v>
      </c>
      <c r="F15" s="9" t="n">
        <v>0</v>
      </c>
      <c r="G15" s="10" t="n">
        <v>0</v>
      </c>
      <c r="H15" s="7" t="inlineStr">
        <is>
          <t>I Fi0</t>
        </is>
      </c>
      <c r="J15" s="7" t="inlineStr">
        <is>
          <t>I Fi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S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311000</t>
        </is>
      </c>
      <c r="C11" s="8" t="inlineStr">
        <is>
          <t>STOCK MATIERES PREMIERES ET COLORAN</t>
        </is>
      </c>
      <c r="D11" s="9" t="n">
        <v>1061.277</v>
      </c>
      <c r="E11" s="9" t="n">
        <v>613.4930000000001</v>
      </c>
      <c r="F11" s="9" t="n">
        <v>447.784</v>
      </c>
      <c r="G11" s="10" t="n">
        <v>0.7299</v>
      </c>
      <c r="H11" s="7" t="inlineStr">
        <is>
          <t>S0</t>
        </is>
      </c>
      <c r="J11" s="7" t="inlineStr">
        <is>
          <t>S</t>
        </is>
      </c>
    </row>
    <row r="12">
      <c r="B12" s="7" t="inlineStr">
        <is>
          <t>317000</t>
        </is>
      </c>
      <c r="C12" s="8" t="inlineStr">
        <is>
          <t>STOCK PRODUITS ACHETES</t>
        </is>
      </c>
      <c r="D12" s="9" t="n">
        <v>387.649</v>
      </c>
      <c r="E12" s="9" t="n">
        <v>334.016</v>
      </c>
      <c r="F12" s="9" t="n">
        <v>53.633</v>
      </c>
      <c r="G12" s="10" t="n">
        <v>0.1606</v>
      </c>
      <c r="H12" s="7" t="inlineStr">
        <is>
          <t>S0</t>
        </is>
      </c>
      <c r="J12" s="7" t="inlineStr">
        <is>
          <t>S</t>
        </is>
      </c>
    </row>
    <row r="13">
      <c r="B13" s="7" t="inlineStr">
        <is>
          <t>326100</t>
        </is>
      </c>
      <c r="C13" s="8" t="inlineStr">
        <is>
          <t>STOCK EMBALLAGES FABRICATION</t>
        </is>
      </c>
      <c r="D13" s="9" t="n">
        <v>160.986</v>
      </c>
      <c r="E13" s="9" t="n">
        <v>122.796</v>
      </c>
      <c r="F13" s="9" t="n">
        <v>38.19</v>
      </c>
      <c r="G13" s="10" t="n">
        <v>0.311</v>
      </c>
      <c r="H13" s="7" t="inlineStr">
        <is>
          <t>S0</t>
        </is>
      </c>
      <c r="J13" s="7" t="inlineStr">
        <is>
          <t>S</t>
        </is>
      </c>
    </row>
    <row r="14">
      <c r="B14" s="7" t="inlineStr">
        <is>
          <t>351000</t>
        </is>
      </c>
      <c r="C14" s="8" t="inlineStr">
        <is>
          <t>STOCK PRODUITS INTERMEDIAIRES</t>
        </is>
      </c>
      <c r="D14" s="9" t="n">
        <v>167.044</v>
      </c>
      <c r="E14" s="9" t="n">
        <v>166.399</v>
      </c>
      <c r="F14" s="9" t="n">
        <v>0.645</v>
      </c>
      <c r="G14" s="10" t="n">
        <v>0.0039</v>
      </c>
      <c r="H14" s="7" t="inlineStr">
        <is>
          <t>S0</t>
        </is>
      </c>
      <c r="J14" s="7" t="inlineStr">
        <is>
          <t>S</t>
        </is>
      </c>
    </row>
    <row r="15">
      <c r="B15" s="7" t="inlineStr">
        <is>
          <t>355000</t>
        </is>
      </c>
      <c r="C15" s="8" t="inlineStr">
        <is>
          <t>STOCK PRODUITS FINIS</t>
        </is>
      </c>
      <c r="D15" s="9" t="n">
        <v>1178.005</v>
      </c>
      <c r="E15" s="9" t="n">
        <v>1328.571</v>
      </c>
      <c r="F15" s="9" t="n">
        <v>-150.566</v>
      </c>
      <c r="G15" s="10" t="n">
        <v>-0.1133</v>
      </c>
      <c r="H15" s="7" t="inlineStr">
        <is>
          <t>S0</t>
        </is>
      </c>
      <c r="J15" s="7" t="inlineStr">
        <is>
          <t>S</t>
        </is>
      </c>
    </row>
    <row r="16">
      <c r="B16" s="7" t="inlineStr">
        <is>
          <t>371000</t>
        </is>
      </c>
      <c r="C16" s="8" t="inlineStr">
        <is>
          <t>STOCK PRODUITS NEGOCE</t>
        </is>
      </c>
      <c r="D16" s="9" t="n">
        <v>540.3099999999999</v>
      </c>
      <c r="E16" s="9" t="n">
        <v>409.37</v>
      </c>
      <c r="F16" s="9" t="n">
        <v>130.94</v>
      </c>
      <c r="G16" s="10" t="n">
        <v>0.3199</v>
      </c>
      <c r="H16" s="7" t="inlineStr">
        <is>
          <t>S0</t>
        </is>
      </c>
      <c r="J16" s="7" t="inlineStr">
        <is>
          <t>S</t>
        </is>
      </c>
    </row>
    <row r="17">
      <c r="B17" s="7" t="inlineStr">
        <is>
          <t>391100</t>
        </is>
      </c>
      <c r="C17" s="8" t="inlineStr">
        <is>
          <t>PROVISION DEPRECIATION MAT PREM &amp; C</t>
        </is>
      </c>
      <c r="D17" s="9" t="n">
        <v>-7.074</v>
      </c>
      <c r="E17" s="9" t="n">
        <v>-4.487</v>
      </c>
      <c r="F17" s="9" t="n">
        <v>-2.587</v>
      </c>
      <c r="G17" s="10" t="n">
        <v>-0.5766</v>
      </c>
      <c r="H17" s="7" t="inlineStr">
        <is>
          <t>S0</t>
        </is>
      </c>
      <c r="J17" s="7" t="inlineStr">
        <is>
          <t>S</t>
        </is>
      </c>
    </row>
    <row r="18">
      <c r="B18" s="7" t="inlineStr">
        <is>
          <t>391700</t>
        </is>
      </c>
      <c r="C18" s="8" t="inlineStr">
        <is>
          <t>PROVISION DEPRECIATION PRODUITS ACH</t>
        </is>
      </c>
      <c r="D18" s="9" t="n">
        <v>-17.653</v>
      </c>
      <c r="E18" s="9" t="n">
        <v>-11.401</v>
      </c>
      <c r="F18" s="9" t="n">
        <v>-6.252</v>
      </c>
      <c r="G18" s="10" t="n">
        <v>-0.5484</v>
      </c>
      <c r="H18" s="7" t="inlineStr">
        <is>
          <t>S0</t>
        </is>
      </c>
      <c r="J18" s="7" t="inlineStr">
        <is>
          <t>S</t>
        </is>
      </c>
    </row>
    <row r="19">
      <c r="B19" s="7" t="inlineStr">
        <is>
          <t>392610</t>
        </is>
      </c>
      <c r="C19" s="8" t="inlineStr">
        <is>
          <t>PROVISION DEPRECIATION EBALLAGES FA</t>
        </is>
      </c>
      <c r="D19" s="9" t="n">
        <v>-2.589</v>
      </c>
      <c r="E19" s="9" t="n">
        <v>-0.181</v>
      </c>
      <c r="F19" s="9" t="n">
        <v>-2.408</v>
      </c>
      <c r="G19" s="10" t="n">
        <v>-13.3039</v>
      </c>
      <c r="H19" s="7" t="inlineStr">
        <is>
          <t>S0</t>
        </is>
      </c>
      <c r="J19" s="7" t="inlineStr">
        <is>
          <t>S</t>
        </is>
      </c>
    </row>
    <row r="20">
      <c r="B20" s="7" t="inlineStr">
        <is>
          <t>395100</t>
        </is>
      </c>
      <c r="C20" s="8" t="inlineStr">
        <is>
          <t>PROVISION DEPRECIATION PROD INTERME</t>
        </is>
      </c>
      <c r="D20" s="9" t="n">
        <v>-2.412</v>
      </c>
      <c r="E20" s="9" t="n">
        <v>-1.204</v>
      </c>
      <c r="F20" s="9" t="n">
        <v>-1.208</v>
      </c>
      <c r="G20" s="10" t="n">
        <v>-1.0033</v>
      </c>
      <c r="H20" s="7" t="inlineStr">
        <is>
          <t>S0</t>
        </is>
      </c>
      <c r="J20" s="7" t="inlineStr">
        <is>
          <t>S</t>
        </is>
      </c>
    </row>
    <row r="21">
      <c r="B21" s="7" t="inlineStr">
        <is>
          <t>395500</t>
        </is>
      </c>
      <c r="C21" s="8" t="inlineStr">
        <is>
          <t>PROVISION DEPRECIATION PROD FINIS</t>
        </is>
      </c>
      <c r="D21" s="9" t="n">
        <v>-6.887</v>
      </c>
      <c r="E21" s="9" t="n">
        <v>-8.662000000000001</v>
      </c>
      <c r="F21" s="9" t="n">
        <v>1.775</v>
      </c>
      <c r="G21" s="10" t="n">
        <v>0.2049</v>
      </c>
      <c r="H21" s="7" t="inlineStr">
        <is>
          <t>S0</t>
        </is>
      </c>
      <c r="J21" s="7" t="inlineStr">
        <is>
          <t>S</t>
        </is>
      </c>
    </row>
    <row r="22">
      <c r="B22" s="7" t="inlineStr">
        <is>
          <t>397100</t>
        </is>
      </c>
      <c r="C22" s="8" t="inlineStr">
        <is>
          <t>PROVISION DEPRECIATION PRODUITS NEG</t>
        </is>
      </c>
      <c r="D22" s="9" t="n">
        <v>-6.943</v>
      </c>
      <c r="E22" s="9" t="n">
        <v>-4.395</v>
      </c>
      <c r="F22" s="9" t="n">
        <v>-2.548</v>
      </c>
      <c r="G22" s="10" t="n">
        <v>-0.5797</v>
      </c>
      <c r="H22" s="7" t="inlineStr">
        <is>
          <t>S0</t>
        </is>
      </c>
      <c r="J22" s="7" t="inlineStr">
        <is>
          <t>S</t>
        </is>
      </c>
    </row>
    <row r="24">
      <c r="B24" s="11" t="inlineStr">
        <is>
          <t>CHARGES</t>
        </is>
      </c>
    </row>
    <row r="25">
      <c r="B25" s="7" t="inlineStr">
        <is>
          <t>603100</t>
        </is>
      </c>
      <c r="C25" s="8" t="inlineStr">
        <is>
          <t>VARIATION STOCK MAT PREM ET P D</t>
        </is>
      </c>
      <c r="D25" s="9" t="n">
        <v>-501.417</v>
      </c>
      <c r="E25" s="9" t="n">
        <v>-90.67100000000001</v>
      </c>
      <c r="F25" s="9" t="n">
        <v>-410.746</v>
      </c>
      <c r="G25" s="10" t="n">
        <v>-4.5301</v>
      </c>
      <c r="H25" s="7" t="inlineStr">
        <is>
          <t>S0</t>
        </is>
      </c>
      <c r="J25" s="7" t="inlineStr">
        <is>
          <t>S</t>
        </is>
      </c>
    </row>
    <row r="26">
      <c r="B26" s="7" t="inlineStr">
        <is>
          <t>603200</t>
        </is>
      </c>
      <c r="C26" s="8" t="inlineStr">
        <is>
          <t>VARIATION STOCK EMBALLAGE</t>
        </is>
      </c>
      <c r="D26" s="9" t="n">
        <v>-38.19</v>
      </c>
      <c r="E26" s="9" t="n">
        <v>-13.652</v>
      </c>
      <c r="F26" s="9" t="n">
        <v>-24.538</v>
      </c>
      <c r="G26" s="10" t="n">
        <v>-1.7974</v>
      </c>
      <c r="H26" s="7" t="inlineStr">
        <is>
          <t>S0</t>
        </is>
      </c>
      <c r="J26" s="7" t="inlineStr">
        <is>
          <t>S</t>
        </is>
      </c>
    </row>
    <row r="27">
      <c r="B27" s="7" t="inlineStr">
        <is>
          <t>603700</t>
        </is>
      </c>
      <c r="C27" s="8" t="inlineStr">
        <is>
          <t>VARIATION STOCK MARCHANDISES NEGOCE</t>
        </is>
      </c>
      <c r="D27" s="9" t="n">
        <v>-99.37</v>
      </c>
      <c r="E27" s="9" t="n">
        <v>-101.786</v>
      </c>
      <c r="F27" s="9" t="n">
        <v>2.416</v>
      </c>
      <c r="G27" s="10" t="n">
        <v>0.0237</v>
      </c>
      <c r="H27" s="7" t="inlineStr">
        <is>
          <t>S0</t>
        </is>
      </c>
      <c r="J27" s="7" t="inlineStr">
        <is>
          <t>S</t>
        </is>
      </c>
    </row>
    <row r="28">
      <c r="B28" s="7" t="inlineStr">
        <is>
          <t>681730</t>
        </is>
      </c>
      <c r="C28" s="8" t="inlineStr">
        <is>
          <t>DOTATION PROVISION DEPRECIATION STO</t>
        </is>
      </c>
      <c r="D28" s="9" t="n">
        <v>13.228</v>
      </c>
      <c r="E28" s="9" t="n">
        <v>1.936</v>
      </c>
      <c r="F28" s="9" t="n">
        <v>11.292</v>
      </c>
      <c r="G28" s="10" t="n">
        <v>5.8326</v>
      </c>
      <c r="H28" s="7" t="inlineStr">
        <is>
          <t>S0</t>
        </is>
      </c>
      <c r="J28" s="7" t="inlineStr">
        <is>
          <t>S</t>
        </is>
      </c>
    </row>
    <row r="30">
      <c r="B30" s="11" t="inlineStr">
        <is>
          <t>PRODUITS</t>
        </is>
      </c>
    </row>
    <row r="31">
      <c r="B31" s="7" t="inlineStr">
        <is>
          <t>713550</t>
        </is>
      </c>
      <c r="C31" s="8" t="inlineStr">
        <is>
          <t>VARIATION PRODUIT FINIS</t>
        </is>
      </c>
      <c r="D31" s="9" t="n">
        <v>-149.922</v>
      </c>
      <c r="E31" s="9" t="n">
        <v>155.164</v>
      </c>
      <c r="F31" s="9" t="n">
        <v>-305.086</v>
      </c>
      <c r="G31" s="10" t="n">
        <v>-1.9662</v>
      </c>
      <c r="H31" s="7" t="inlineStr">
        <is>
          <t>S0</t>
        </is>
      </c>
      <c r="J31" s="7" t="inlineStr">
        <is>
          <t>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A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409100</t>
        </is>
      </c>
      <c r="C11" s="8" t="inlineStr">
        <is>
          <t>FOURNISSEURS AVANCES ET ACOMPTES</t>
        </is>
      </c>
      <c r="D11" s="9" t="n">
        <v>0</v>
      </c>
      <c r="E11" s="9" t="n">
        <v>0</v>
      </c>
      <c r="F11" s="9" t="n">
        <v>0</v>
      </c>
      <c r="G11" s="8" t="inlineStr">
        <is>
          <t>n/a</t>
        </is>
      </c>
      <c r="H11" s="7" t="inlineStr">
        <is>
          <t>A0</t>
        </is>
      </c>
      <c r="J11" s="7" t="inlineStr">
        <is>
          <t>A</t>
        </is>
      </c>
    </row>
    <row r="12">
      <c r="B12" s="7" t="inlineStr">
        <is>
          <t>486000</t>
        </is>
      </c>
      <c r="C12" s="8" t="inlineStr">
        <is>
          <t>CCA</t>
        </is>
      </c>
      <c r="D12" s="9" t="n">
        <v>144.09</v>
      </c>
      <c r="E12" s="9" t="n">
        <v>17.546</v>
      </c>
      <c r="F12" s="9" t="n">
        <v>126.544</v>
      </c>
      <c r="G12" s="10" t="n">
        <v>7.2121</v>
      </c>
      <c r="H12" s="7" t="inlineStr">
        <is>
          <t>A0</t>
        </is>
      </c>
      <c r="J12" s="7" t="inlineStr">
        <is>
          <t>A</t>
        </is>
      </c>
    </row>
    <row r="13">
      <c r="B13" s="7" t="inlineStr">
        <is>
          <t>486001</t>
        </is>
      </c>
      <c r="C13" s="8" t="inlineStr">
        <is>
          <t>CCA Groupe</t>
        </is>
      </c>
      <c r="D13" s="9" t="n">
        <v>0</v>
      </c>
      <c r="E13" s="9" t="n">
        <v>0</v>
      </c>
      <c r="F13" s="9" t="n">
        <v>0</v>
      </c>
      <c r="G13" s="8" t="inlineStr">
        <is>
          <t>n/a</t>
        </is>
      </c>
      <c r="H13" s="7" t="inlineStr">
        <is>
          <t>A0</t>
        </is>
      </c>
      <c r="J13" s="7" t="inlineStr">
        <is>
          <t>A</t>
        </is>
      </c>
    </row>
    <row r="15">
      <c r="B15" s="11" t="inlineStr">
        <is>
          <t>PASSIF</t>
        </is>
      </c>
    </row>
    <row r="16">
      <c r="B16" s="7" t="inlineStr">
        <is>
          <t>401000</t>
        </is>
      </c>
      <c r="C16" s="8" t="inlineStr">
        <is>
          <t>FOURNISSEURS</t>
        </is>
      </c>
      <c r="D16" s="9" t="n">
        <v>512.977</v>
      </c>
      <c r="E16" s="9" t="n">
        <v>562.178</v>
      </c>
      <c r="F16" s="9" t="n">
        <v>-49.201</v>
      </c>
      <c r="G16" s="10" t="n">
        <v>-0.08749999999999999</v>
      </c>
      <c r="H16" s="7" t="inlineStr">
        <is>
          <t>A0</t>
        </is>
      </c>
      <c r="J16" s="7" t="inlineStr">
        <is>
          <t>A</t>
        </is>
      </c>
    </row>
    <row r="17">
      <c r="B17" s="7" t="inlineStr">
        <is>
          <t>401500</t>
        </is>
      </c>
      <c r="C17" s="8" t="inlineStr">
        <is>
          <t>FOURNISSEURS SPID</t>
        </is>
      </c>
      <c r="D17" s="9" t="n">
        <v>65.152</v>
      </c>
      <c r="E17" s="9" t="n">
        <v>-0</v>
      </c>
      <c r="F17" s="9" t="n">
        <v>65.152</v>
      </c>
      <c r="G17" s="8" t="inlineStr">
        <is>
          <t>n/a</t>
        </is>
      </c>
      <c r="H17" s="7" t="inlineStr">
        <is>
          <t>A0</t>
        </is>
      </c>
      <c r="J17" s="7" t="inlineStr">
        <is>
          <t>A</t>
        </is>
      </c>
    </row>
    <row r="18">
      <c r="B18" s="7" t="inlineStr">
        <is>
          <t>401600</t>
        </is>
      </c>
      <c r="C18" s="8" t="inlineStr">
        <is>
          <t>FOURNISSEURS EPS</t>
        </is>
      </c>
      <c r="D18" s="9" t="n">
        <v>239.207</v>
      </c>
      <c r="E18" s="9" t="n">
        <v>-0</v>
      </c>
      <c r="F18" s="9" t="n">
        <v>239.207</v>
      </c>
      <c r="G18" s="8" t="inlineStr">
        <is>
          <t>n/a</t>
        </is>
      </c>
      <c r="H18" s="7" t="inlineStr">
        <is>
          <t>A0</t>
        </is>
      </c>
      <c r="J18" s="7" t="inlineStr">
        <is>
          <t>A</t>
        </is>
      </c>
    </row>
    <row r="19">
      <c r="B19" s="7" t="inlineStr">
        <is>
          <t>408100</t>
        </is>
      </c>
      <c r="C19" s="8" t="inlineStr">
        <is>
          <t>FOURNISSEURS FACTURES NON PARVENUES</t>
        </is>
      </c>
      <c r="D19" s="9" t="n">
        <v>533.696</v>
      </c>
      <c r="E19" s="9" t="n">
        <v>446.607</v>
      </c>
      <c r="F19" s="9" t="n">
        <v>87.089</v>
      </c>
      <c r="G19" s="10" t="n">
        <v>0.195</v>
      </c>
      <c r="H19" s="7" t="inlineStr">
        <is>
          <t>A0</t>
        </is>
      </c>
      <c r="J19" s="7" t="inlineStr">
        <is>
          <t>A</t>
        </is>
      </c>
    </row>
    <row r="21">
      <c r="B21" s="11" t="inlineStr">
        <is>
          <t>CHARGES</t>
        </is>
      </c>
    </row>
    <row r="22">
      <c r="B22" s="7" t="inlineStr">
        <is>
          <t>601100</t>
        </is>
      </c>
      <c r="C22" s="8" t="inlineStr">
        <is>
          <t>ACHATS MP ET COLOR FRANCE</t>
        </is>
      </c>
      <c r="D22" s="9" t="n">
        <v>910.128</v>
      </c>
      <c r="E22" s="9" t="n">
        <v>731.694</v>
      </c>
      <c r="F22" s="9" t="n">
        <v>178.434</v>
      </c>
      <c r="G22" s="10" t="n">
        <v>0.2439</v>
      </c>
      <c r="H22" s="7" t="inlineStr">
        <is>
          <t>A0</t>
        </is>
      </c>
      <c r="J22" s="7" t="inlineStr">
        <is>
          <t>A</t>
        </is>
      </c>
    </row>
    <row r="23">
      <c r="B23" s="7" t="inlineStr">
        <is>
          <t>601110</t>
        </is>
      </c>
      <c r="C23" s="8" t="inlineStr">
        <is>
          <t>ACHATS MP ET COLOR UNION EUROPE</t>
        </is>
      </c>
      <c r="D23" s="9" t="n">
        <v>403.396</v>
      </c>
      <c r="E23" s="9" t="n">
        <v>150.109</v>
      </c>
      <c r="F23" s="9" t="n">
        <v>253.287</v>
      </c>
      <c r="G23" s="10" t="n">
        <v>1.6874</v>
      </c>
      <c r="H23" s="7" t="inlineStr">
        <is>
          <t>A0</t>
        </is>
      </c>
      <c r="J23" s="7" t="inlineStr">
        <is>
          <t>A</t>
        </is>
      </c>
    </row>
    <row r="24">
      <c r="B24" s="7" t="inlineStr">
        <is>
          <t>601130</t>
        </is>
      </c>
      <c r="C24" s="8" t="inlineStr">
        <is>
          <t>ACHATS MP ET COLOR EXPORT</t>
        </is>
      </c>
      <c r="D24" s="9" t="n">
        <v>1037.085</v>
      </c>
      <c r="E24" s="9" t="n">
        <v>808.292</v>
      </c>
      <c r="F24" s="9" t="n">
        <v>228.793</v>
      </c>
      <c r="G24" s="10" t="n">
        <v>0.2831</v>
      </c>
      <c r="H24" s="7" t="inlineStr">
        <is>
          <t>A0</t>
        </is>
      </c>
      <c r="J24" s="7" t="inlineStr">
        <is>
          <t>A</t>
        </is>
      </c>
    </row>
    <row r="25">
      <c r="B25" s="7" t="inlineStr">
        <is>
          <t>601700</t>
        </is>
      </c>
      <c r="C25" s="8" t="inlineStr">
        <is>
          <t>ACHATS COMPOS France</t>
        </is>
      </c>
      <c r="D25" s="9" t="n">
        <v>359.768</v>
      </c>
      <c r="E25" s="9" t="n">
        <v>339.021</v>
      </c>
      <c r="F25" s="9" t="n">
        <v>20.747</v>
      </c>
      <c r="G25" s="10" t="n">
        <v>0.0612</v>
      </c>
      <c r="H25" s="7" t="inlineStr">
        <is>
          <t>A0</t>
        </is>
      </c>
      <c r="J25" s="7" t="inlineStr">
        <is>
          <t>A</t>
        </is>
      </c>
    </row>
    <row r="26">
      <c r="B26" s="7" t="inlineStr">
        <is>
          <t>601710</t>
        </is>
      </c>
      <c r="C26" s="8" t="inlineStr">
        <is>
          <t>ACHATS COMPOS UNION EUROPEENNE</t>
        </is>
      </c>
      <c r="D26" s="9" t="n">
        <v>180.103</v>
      </c>
      <c r="E26" s="9" t="n">
        <v>137.785</v>
      </c>
      <c r="F26" s="9" t="n">
        <v>42.318</v>
      </c>
      <c r="G26" s="10" t="n">
        <v>0.3071</v>
      </c>
      <c r="H26" s="7" t="inlineStr">
        <is>
          <t>A0</t>
        </is>
      </c>
      <c r="J26" s="7" t="inlineStr">
        <is>
          <t>A</t>
        </is>
      </c>
    </row>
    <row r="27">
      <c r="B27" s="7" t="inlineStr">
        <is>
          <t>601730</t>
        </is>
      </c>
      <c r="C27" s="8" t="inlineStr">
        <is>
          <t>ACHATS COMPOS EXPORT</t>
        </is>
      </c>
      <c r="D27" s="9" t="n">
        <v>21.69</v>
      </c>
      <c r="E27" s="9" t="n">
        <v>42.384</v>
      </c>
      <c r="F27" s="9" t="n">
        <v>-20.694</v>
      </c>
      <c r="G27" s="10" t="n">
        <v>-0.4883</v>
      </c>
      <c r="H27" s="7" t="inlineStr">
        <is>
          <t>A0</t>
        </is>
      </c>
      <c r="J27" s="7" t="inlineStr">
        <is>
          <t>A</t>
        </is>
      </c>
    </row>
    <row r="28">
      <c r="B28" s="7" t="inlineStr">
        <is>
          <t>602600</t>
        </is>
      </c>
      <c r="C28" s="8" t="inlineStr">
        <is>
          <t>EMBALLAGE France</t>
        </is>
      </c>
      <c r="D28" s="9" t="n">
        <v>274.75</v>
      </c>
      <c r="E28" s="9" t="n">
        <v>248.572</v>
      </c>
      <c r="F28" s="9" t="n">
        <v>26.178</v>
      </c>
      <c r="G28" s="10" t="n">
        <v>0.1053</v>
      </c>
      <c r="H28" s="7" t="inlineStr">
        <is>
          <t>A0</t>
        </is>
      </c>
      <c r="J28" s="7" t="inlineStr">
        <is>
          <t>A</t>
        </is>
      </c>
    </row>
    <row r="29">
      <c r="B29" s="7" t="inlineStr">
        <is>
          <t>604000</t>
        </is>
      </c>
      <c r="C29" s="8" t="inlineStr">
        <is>
          <t>SOUS TRAITANCE MAIN D'OEUVRE</t>
        </is>
      </c>
      <c r="D29" s="9" t="n">
        <v>1.15</v>
      </c>
      <c r="E29" s="9" t="n">
        <v>0</v>
      </c>
      <c r="F29" s="9" t="n">
        <v>1.15</v>
      </c>
      <c r="G29" s="8" t="inlineStr">
        <is>
          <t>n/a</t>
        </is>
      </c>
      <c r="H29" s="7" t="inlineStr">
        <is>
          <t>A0</t>
        </is>
      </c>
      <c r="J29" s="7" t="inlineStr">
        <is>
          <t>A</t>
        </is>
      </c>
    </row>
    <row r="30">
      <c r="B30" s="7" t="inlineStr">
        <is>
          <t>604100</t>
        </is>
      </c>
      <c r="C30" s="8" t="inlineStr">
        <is>
          <t>SOUS TRAITANCE TECHNIQUE</t>
        </is>
      </c>
      <c r="D30" s="9" t="n">
        <v>2266.391</v>
      </c>
      <c r="E30" s="9" t="n">
        <v>566.071</v>
      </c>
      <c r="F30" s="9" t="n">
        <v>1700.32</v>
      </c>
      <c r="G30" s="10" t="n">
        <v>3.0037</v>
      </c>
      <c r="H30" s="7" t="inlineStr">
        <is>
          <t>A0</t>
        </is>
      </c>
      <c r="J30" s="7" t="inlineStr">
        <is>
          <t>A</t>
        </is>
      </c>
    </row>
    <row r="31">
      <c r="B31" s="7" t="inlineStr">
        <is>
          <t>604101</t>
        </is>
      </c>
      <c r="C31" s="8" t="inlineStr">
        <is>
          <t>SOUS TRAITANCE TECHNIQUE GROUPE</t>
        </is>
      </c>
      <c r="D31" s="9" t="n">
        <v>2673.238</v>
      </c>
      <c r="E31" s="9" t="n">
        <v>1837.106</v>
      </c>
      <c r="F31" s="9" t="n">
        <v>836.1319999999999</v>
      </c>
      <c r="G31" s="10" t="n">
        <v>0.4551</v>
      </c>
      <c r="H31" s="7" t="inlineStr">
        <is>
          <t>A0</t>
        </is>
      </c>
      <c r="J31" s="7" t="inlineStr">
        <is>
          <t>A</t>
        </is>
      </c>
    </row>
    <row r="32">
      <c r="B32" s="7" t="inlineStr">
        <is>
          <t>606110</t>
        </is>
      </c>
      <c r="C32" s="8" t="inlineStr">
        <is>
          <t>EDF</t>
        </is>
      </c>
      <c r="D32" s="9" t="n">
        <v>256.109</v>
      </c>
      <c r="E32" s="9" t="n">
        <v>285.613</v>
      </c>
      <c r="F32" s="9" t="n">
        <v>-29.504</v>
      </c>
      <c r="G32" s="10" t="n">
        <v>-0.1033</v>
      </c>
      <c r="H32" s="7" t="inlineStr">
        <is>
          <t>A0</t>
        </is>
      </c>
      <c r="J32" s="7" t="inlineStr">
        <is>
          <t>A</t>
        </is>
      </c>
    </row>
    <row r="33">
      <c r="B33" s="7" t="inlineStr">
        <is>
          <t>606130</t>
        </is>
      </c>
      <c r="C33" s="8" t="inlineStr">
        <is>
          <t>CARBURANTS</t>
        </is>
      </c>
      <c r="D33" s="9" t="n">
        <v>8.127000000000001</v>
      </c>
      <c r="E33" s="9" t="n">
        <v>9.66</v>
      </c>
      <c r="F33" s="9" t="n">
        <v>-1.533</v>
      </c>
      <c r="G33" s="10" t="n">
        <v>-0.1587</v>
      </c>
      <c r="H33" s="7" t="inlineStr">
        <is>
          <t>A0</t>
        </is>
      </c>
      <c r="J33" s="7" t="inlineStr">
        <is>
          <t>A</t>
        </is>
      </c>
    </row>
    <row r="34">
      <c r="B34" s="7" t="inlineStr">
        <is>
          <t>606300</t>
        </is>
      </c>
      <c r="C34" s="8" t="inlineStr">
        <is>
          <t>PETIT OUTILLAGE</t>
        </is>
      </c>
      <c r="D34" s="9" t="n">
        <v>6.21</v>
      </c>
      <c r="E34" s="9" t="n">
        <v>13.192</v>
      </c>
      <c r="F34" s="9" t="n">
        <v>-6.982</v>
      </c>
      <c r="G34" s="10" t="n">
        <v>-0.5293</v>
      </c>
      <c r="H34" s="7" t="inlineStr">
        <is>
          <t>A0</t>
        </is>
      </c>
      <c r="J34" s="7" t="inlineStr">
        <is>
          <t>A</t>
        </is>
      </c>
    </row>
    <row r="35">
      <c r="B35" s="7" t="inlineStr">
        <is>
          <t>606400</t>
        </is>
      </c>
      <c r="C35" s="8" t="inlineStr">
        <is>
          <t>FOURNITURES DE BUREAU</t>
        </is>
      </c>
      <c r="D35" s="9" t="n">
        <v>11.344</v>
      </c>
      <c r="E35" s="9" t="n">
        <v>43.784</v>
      </c>
      <c r="F35" s="9" t="n">
        <v>-32.44</v>
      </c>
      <c r="G35" s="10" t="n">
        <v>-0.7409</v>
      </c>
      <c r="H35" s="7" t="inlineStr">
        <is>
          <t>A0</t>
        </is>
      </c>
      <c r="J35" s="7" t="inlineStr">
        <is>
          <t>A</t>
        </is>
      </c>
    </row>
    <row r="36">
      <c r="B36" s="7" t="inlineStr">
        <is>
          <t>606430</t>
        </is>
      </c>
      <c r="C36" s="8" t="inlineStr">
        <is>
          <t>FRAIS IMPRESSIONS &amp; REPROGRAPHIE</t>
        </is>
      </c>
      <c r="D36" s="9" t="n">
        <v>2.98</v>
      </c>
      <c r="E36" s="9" t="n">
        <v>2.393</v>
      </c>
      <c r="F36" s="9" t="n">
        <v>0.587</v>
      </c>
      <c r="G36" s="10" t="n">
        <v>0.2453</v>
      </c>
      <c r="H36" s="7" t="inlineStr">
        <is>
          <t>A0</t>
        </is>
      </c>
      <c r="J36" s="7" t="inlineStr">
        <is>
          <t>A</t>
        </is>
      </c>
    </row>
    <row r="37">
      <c r="B37" s="7" t="inlineStr">
        <is>
          <t>607000</t>
        </is>
      </c>
      <c r="C37" s="8" t="inlineStr">
        <is>
          <t>MSES NEGOCES France</t>
        </is>
      </c>
      <c r="D37" s="9" t="n">
        <v>555.276</v>
      </c>
      <c r="E37" s="9" t="n">
        <v>415.514</v>
      </c>
      <c r="F37" s="9" t="n">
        <v>139.762</v>
      </c>
      <c r="G37" s="10" t="n">
        <v>0.3364</v>
      </c>
      <c r="H37" s="7" t="inlineStr">
        <is>
          <t>A0</t>
        </is>
      </c>
      <c r="J37" s="7" t="inlineStr">
        <is>
          <t>A</t>
        </is>
      </c>
    </row>
    <row r="38">
      <c r="B38" s="7" t="inlineStr">
        <is>
          <t>607010</t>
        </is>
      </c>
      <c r="C38" s="8" t="inlineStr">
        <is>
          <t>MSES NEGOCES UNION EUROPEEN</t>
        </is>
      </c>
      <c r="D38" s="9" t="n">
        <v>960.287</v>
      </c>
      <c r="E38" s="9" t="n">
        <v>295.191</v>
      </c>
      <c r="F38" s="9" t="n">
        <v>665.096</v>
      </c>
      <c r="G38" s="10" t="n">
        <v>2.2531</v>
      </c>
      <c r="H38" s="7" t="inlineStr">
        <is>
          <t>A0</t>
        </is>
      </c>
      <c r="J38" s="7" t="inlineStr">
        <is>
          <t>A</t>
        </is>
      </c>
    </row>
    <row r="39">
      <c r="B39" s="7" t="inlineStr">
        <is>
          <t>607030</t>
        </is>
      </c>
      <c r="C39" s="8" t="inlineStr">
        <is>
          <t>MSES NEGOCES EXPORT</t>
        </is>
      </c>
      <c r="D39" s="9" t="n">
        <v>1.98</v>
      </c>
      <c r="E39" s="9" t="n">
        <v>0</v>
      </c>
      <c r="F39" s="9" t="n">
        <v>1.98</v>
      </c>
      <c r="G39" s="8" t="inlineStr">
        <is>
          <t>n/a</t>
        </is>
      </c>
      <c r="H39" s="7" t="inlineStr">
        <is>
          <t>A0</t>
        </is>
      </c>
      <c r="J39" s="7" t="inlineStr">
        <is>
          <t>A</t>
        </is>
      </c>
    </row>
    <row r="40">
      <c r="B40" s="7" t="inlineStr">
        <is>
          <t>608100</t>
        </is>
      </c>
      <c r="C40" s="8" t="inlineStr">
        <is>
          <t>TRSP SUR ACHATS EXPL FOURNISS HT</t>
        </is>
      </c>
      <c r="D40" s="9" t="n">
        <v>93.708</v>
      </c>
      <c r="E40" s="9" t="n">
        <v>12.128</v>
      </c>
      <c r="F40" s="9" t="n">
        <v>81.58</v>
      </c>
      <c r="G40" s="10" t="n">
        <v>6.7266</v>
      </c>
      <c r="H40" s="7" t="inlineStr">
        <is>
          <t>A0</t>
        </is>
      </c>
      <c r="J40" s="7" t="inlineStr">
        <is>
          <t>A</t>
        </is>
      </c>
    </row>
    <row r="41">
      <c r="B41" s="7" t="inlineStr">
        <is>
          <t>608110</t>
        </is>
      </c>
      <c r="C41" s="8" t="inlineStr">
        <is>
          <t>TRSP SUR ACHATS UNION EUROPEENNE</t>
        </is>
      </c>
      <c r="D41" s="9" t="n">
        <v>11.114</v>
      </c>
      <c r="E41" s="9" t="n">
        <v>6.668</v>
      </c>
      <c r="F41" s="9" t="n">
        <v>4.446</v>
      </c>
      <c r="G41" s="10" t="n">
        <v>0.6667999999999999</v>
      </c>
      <c r="H41" s="7" t="inlineStr">
        <is>
          <t>A0</t>
        </is>
      </c>
      <c r="J41" s="7" t="inlineStr">
        <is>
          <t>A</t>
        </is>
      </c>
    </row>
    <row r="42">
      <c r="B42" s="7" t="inlineStr">
        <is>
          <t>608140</t>
        </is>
      </c>
      <c r="C42" s="8" t="inlineStr">
        <is>
          <t>TRSP SUR ACHATS EXPL TRANSPOR</t>
        </is>
      </c>
      <c r="D42" s="9" t="n">
        <v>81.84699999999999</v>
      </c>
      <c r="E42" s="9" t="n">
        <v>56.398</v>
      </c>
      <c r="F42" s="9" t="n">
        <v>25.449</v>
      </c>
      <c r="G42" s="10" t="n">
        <v>0.4512</v>
      </c>
      <c r="H42" s="7" t="inlineStr">
        <is>
          <t>A0</t>
        </is>
      </c>
      <c r="J42" s="7" t="inlineStr">
        <is>
          <t>A</t>
        </is>
      </c>
    </row>
    <row r="43">
      <c r="B43" s="7" t="inlineStr">
        <is>
          <t>608500</t>
        </is>
      </c>
      <c r="C43" s="8" t="inlineStr">
        <is>
          <t>DROITS FRAIS DOUANES SUR ACHATS</t>
        </is>
      </c>
      <c r="D43" s="9" t="n">
        <v>27.431</v>
      </c>
      <c r="E43" s="9" t="n">
        <v>8.882999999999999</v>
      </c>
      <c r="F43" s="9" t="n">
        <v>18.548</v>
      </c>
      <c r="G43" s="10" t="n">
        <v>2.088</v>
      </c>
      <c r="H43" s="7" t="inlineStr">
        <is>
          <t>A0</t>
        </is>
      </c>
      <c r="J43" s="7" t="inlineStr">
        <is>
          <t>A</t>
        </is>
      </c>
    </row>
    <row r="44">
      <c r="B44" s="7" t="inlineStr">
        <is>
          <t>608800</t>
        </is>
      </c>
      <c r="C44" s="8" t="inlineStr">
        <is>
          <t>FRAIS AUTRES</t>
        </is>
      </c>
      <c r="D44" s="9" t="n">
        <v>5.712</v>
      </c>
      <c r="E44" s="9" t="n">
        <v>4.439</v>
      </c>
      <c r="F44" s="9" t="n">
        <v>1.273</v>
      </c>
      <c r="G44" s="10" t="n">
        <v>0.2868</v>
      </c>
      <c r="H44" s="7" t="inlineStr">
        <is>
          <t>A0</t>
        </is>
      </c>
      <c r="J44" s="7" t="inlineStr">
        <is>
          <t>A</t>
        </is>
      </c>
    </row>
    <row r="45">
      <c r="B45" s="7" t="inlineStr">
        <is>
          <t>609100</t>
        </is>
      </c>
      <c r="C45" s="8" t="inlineStr">
        <is>
          <t>RRR OBTENUS / ACHATS</t>
        </is>
      </c>
      <c r="D45" s="9" t="n">
        <v>-5.691</v>
      </c>
      <c r="E45" s="9" t="n">
        <v>-6.642</v>
      </c>
      <c r="F45" s="9" t="n">
        <v>0.951</v>
      </c>
      <c r="G45" s="10" t="n">
        <v>0.1432</v>
      </c>
      <c r="H45" s="7" t="inlineStr">
        <is>
          <t>A0</t>
        </is>
      </c>
      <c r="J45" s="7" t="inlineStr">
        <is>
          <t>A</t>
        </is>
      </c>
    </row>
    <row r="46">
      <c r="B46" s="7" t="inlineStr">
        <is>
          <t>609130</t>
        </is>
      </c>
      <c r="C46" s="8" t="inlineStr">
        <is>
          <t>RRR OBTENUS SUR ACHATS UNIONS EUROP</t>
        </is>
      </c>
      <c r="D46" s="9" t="n">
        <v>-1.482</v>
      </c>
      <c r="E46" s="9" t="n">
        <v>-0.276</v>
      </c>
      <c r="F46" s="9" t="n">
        <v>-1.206</v>
      </c>
      <c r="G46" s="10" t="n">
        <v>-4.3696</v>
      </c>
      <c r="H46" s="7" t="inlineStr">
        <is>
          <t>A0</t>
        </is>
      </c>
      <c r="J46" s="7" t="inlineStr">
        <is>
          <t>A</t>
        </is>
      </c>
    </row>
    <row r="47">
      <c r="B47" s="7" t="inlineStr">
        <is>
          <t>611000</t>
        </is>
      </c>
      <c r="C47" s="8" t="inlineStr">
        <is>
          <t>SOUS TRAITANCE GENERALE</t>
        </is>
      </c>
      <c r="D47" s="9" t="n">
        <v>25.272</v>
      </c>
      <c r="E47" s="9" t="n">
        <v>14.156</v>
      </c>
      <c r="F47" s="9" t="n">
        <v>11.116</v>
      </c>
      <c r="G47" s="10" t="n">
        <v>0.7853</v>
      </c>
      <c r="H47" s="7" t="inlineStr">
        <is>
          <t>A0</t>
        </is>
      </c>
      <c r="J47" s="7" t="inlineStr">
        <is>
          <t>A</t>
        </is>
      </c>
    </row>
    <row r="48">
      <c r="B48" s="7" t="inlineStr">
        <is>
          <t>611010</t>
        </is>
      </c>
      <c r="C48" s="8" t="inlineStr">
        <is>
          <t>PRESTATIONS INFORMATIQUES</t>
        </is>
      </c>
      <c r="D48" s="9" t="n">
        <v>189.261</v>
      </c>
      <c r="E48" s="9" t="n">
        <v>250.87</v>
      </c>
      <c r="F48" s="9" t="n">
        <v>-61.609</v>
      </c>
      <c r="G48" s="10" t="n">
        <v>-0.2456</v>
      </c>
      <c r="H48" s="7" t="inlineStr">
        <is>
          <t>A0</t>
        </is>
      </c>
      <c r="J48" s="7" t="inlineStr">
        <is>
          <t>A</t>
        </is>
      </c>
    </row>
    <row r="49">
      <c r="B49" s="7" t="inlineStr">
        <is>
          <t>611020</t>
        </is>
      </c>
      <c r="C49" s="8" t="inlineStr">
        <is>
          <t>PRESTATIONS ADMINISTRATIVES</t>
        </is>
      </c>
      <c r="D49" s="9" t="n">
        <v>1.01</v>
      </c>
      <c r="E49" s="9" t="n">
        <v>0</v>
      </c>
      <c r="F49" s="9" t="n">
        <v>1.01</v>
      </c>
      <c r="G49" s="8" t="inlineStr">
        <is>
          <t>n/a</t>
        </is>
      </c>
      <c r="H49" s="7" t="inlineStr">
        <is>
          <t>A0</t>
        </is>
      </c>
      <c r="J49" s="7" t="inlineStr">
        <is>
          <t>A</t>
        </is>
      </c>
    </row>
    <row r="50">
      <c r="B50" s="7" t="inlineStr">
        <is>
          <t>611030</t>
        </is>
      </c>
      <c r="C50" s="8" t="inlineStr">
        <is>
          <t>PRESTATION TECHNIQUES</t>
        </is>
      </c>
      <c r="D50" s="9" t="n">
        <v>110.991</v>
      </c>
      <c r="E50" s="9" t="n">
        <v>79.831</v>
      </c>
      <c r="F50" s="9" t="n">
        <v>31.16</v>
      </c>
      <c r="G50" s="10" t="n">
        <v>0.3903</v>
      </c>
      <c r="H50" s="7" t="inlineStr">
        <is>
          <t>A0</t>
        </is>
      </c>
      <c r="J50" s="7" t="inlineStr">
        <is>
          <t>A</t>
        </is>
      </c>
    </row>
    <row r="51">
      <c r="B51" s="7" t="inlineStr">
        <is>
          <t>613200</t>
        </is>
      </c>
      <c r="C51" s="8" t="inlineStr">
        <is>
          <t>LOYER USINE ET ENTREPOT</t>
        </is>
      </c>
      <c r="D51" s="9" t="n">
        <v>5.36</v>
      </c>
      <c r="E51" s="9" t="n">
        <v>21.49</v>
      </c>
      <c r="F51" s="9" t="n">
        <v>-16.13</v>
      </c>
      <c r="G51" s="10" t="n">
        <v>-0.7506</v>
      </c>
      <c r="H51" s="7" t="inlineStr">
        <is>
          <t>A0</t>
        </is>
      </c>
      <c r="J51" s="7" t="inlineStr">
        <is>
          <t>A</t>
        </is>
      </c>
    </row>
    <row r="52">
      <c r="B52" s="7" t="inlineStr">
        <is>
          <t>613201</t>
        </is>
      </c>
      <c r="C52" s="8" t="inlineStr">
        <is>
          <t>LOYER USINE ET ENTREPOT GROUPE</t>
        </is>
      </c>
      <c r="D52" s="9" t="n">
        <v>416.167</v>
      </c>
      <c r="E52" s="9" t="n">
        <v>300.459</v>
      </c>
      <c r="F52" s="9" t="n">
        <v>115.708</v>
      </c>
      <c r="G52" s="10" t="n">
        <v>0.3851</v>
      </c>
      <c r="H52" s="7" t="inlineStr">
        <is>
          <t>A0</t>
        </is>
      </c>
      <c r="J52" s="7" t="inlineStr">
        <is>
          <t>A</t>
        </is>
      </c>
    </row>
    <row r="53">
      <c r="B53" s="7" t="inlineStr">
        <is>
          <t>613500</t>
        </is>
      </c>
      <c r="C53" s="8" t="inlineStr">
        <is>
          <t>LOCATION STANDS SALONS</t>
        </is>
      </c>
      <c r="D53" s="9" t="n">
        <v>103.74</v>
      </c>
      <c r="E53" s="9" t="n">
        <v>68.527</v>
      </c>
      <c r="F53" s="9" t="n">
        <v>35.213</v>
      </c>
      <c r="G53" s="10" t="n">
        <v>0.5139</v>
      </c>
      <c r="H53" s="7" t="inlineStr">
        <is>
          <t>A0</t>
        </is>
      </c>
      <c r="J53" s="7" t="inlineStr">
        <is>
          <t>A</t>
        </is>
      </c>
    </row>
    <row r="54">
      <c r="B54" s="7" t="inlineStr">
        <is>
          <t>613580</t>
        </is>
      </c>
      <c r="C54" s="8" t="inlineStr">
        <is>
          <t>LOCATIONS DE VEHICULES TTC</t>
        </is>
      </c>
      <c r="D54" s="9" t="n">
        <v>18.122</v>
      </c>
      <c r="E54" s="9" t="n">
        <v>24.679</v>
      </c>
      <c r="F54" s="9" t="n">
        <v>-6.557</v>
      </c>
      <c r="G54" s="10" t="n">
        <v>-0.2657</v>
      </c>
      <c r="H54" s="7" t="inlineStr">
        <is>
          <t>A0</t>
        </is>
      </c>
      <c r="J54" s="7" t="inlineStr">
        <is>
          <t>A</t>
        </is>
      </c>
    </row>
    <row r="55">
      <c r="B55" s="7" t="inlineStr">
        <is>
          <t>613585</t>
        </is>
      </c>
      <c r="C55" s="8" t="inlineStr">
        <is>
          <t>LOCATIONS MATERIELS DE BUREAU</t>
        </is>
      </c>
      <c r="D55" s="9" t="n">
        <v>11.395</v>
      </c>
      <c r="E55" s="9" t="n">
        <v>9.377000000000001</v>
      </c>
      <c r="F55" s="9" t="n">
        <v>2.018</v>
      </c>
      <c r="G55" s="10" t="n">
        <v>0.2152</v>
      </c>
      <c r="H55" s="7" t="inlineStr">
        <is>
          <t>A0</t>
        </is>
      </c>
      <c r="J55" s="7" t="inlineStr">
        <is>
          <t>A</t>
        </is>
      </c>
    </row>
    <row r="56">
      <c r="B56" s="7" t="inlineStr">
        <is>
          <t>614000</t>
        </is>
      </c>
      <c r="C56" s="8" t="inlineStr">
        <is>
          <t>CHARGES LOCATIVES</t>
        </is>
      </c>
      <c r="D56" s="9" t="n">
        <v>0.099</v>
      </c>
      <c r="E56" s="9" t="n">
        <v>12.707</v>
      </c>
      <c r="F56" s="9" t="n">
        <v>-12.608</v>
      </c>
      <c r="G56" s="10" t="n">
        <v>-0.9922</v>
      </c>
      <c r="H56" s="7" t="inlineStr">
        <is>
          <t>A0</t>
        </is>
      </c>
      <c r="J56" s="7" t="inlineStr">
        <is>
          <t>A</t>
        </is>
      </c>
    </row>
    <row r="57">
      <c r="B57" s="7" t="inlineStr">
        <is>
          <t>614001</t>
        </is>
      </c>
      <c r="C57" s="8" t="inlineStr">
        <is>
          <t>CHARGES LOCATIVES GROUPE</t>
        </is>
      </c>
      <c r="D57" s="9" t="n">
        <v>12.24</v>
      </c>
      <c r="E57" s="9" t="n">
        <v>12.085</v>
      </c>
      <c r="F57" s="9" t="n">
        <v>0.155</v>
      </c>
      <c r="G57" s="10" t="n">
        <v>0.0128</v>
      </c>
      <c r="H57" s="7" t="inlineStr">
        <is>
          <t>A0</t>
        </is>
      </c>
      <c r="J57" s="7" t="inlineStr">
        <is>
          <t>A</t>
        </is>
      </c>
    </row>
    <row r="58">
      <c r="B58" s="7" t="inlineStr">
        <is>
          <t>615200</t>
        </is>
      </c>
      <c r="C58" s="8" t="inlineStr">
        <is>
          <t>FOURN ENTRETIEN LOCAUX</t>
        </is>
      </c>
      <c r="D58" s="9" t="n">
        <v>25.323</v>
      </c>
      <c r="E58" s="9" t="n">
        <v>21.164</v>
      </c>
      <c r="F58" s="9" t="n">
        <v>4.159</v>
      </c>
      <c r="G58" s="10" t="n">
        <v>0.1965</v>
      </c>
      <c r="H58" s="7" t="inlineStr">
        <is>
          <t>A0</t>
        </is>
      </c>
      <c r="J58" s="7" t="inlineStr">
        <is>
          <t>A</t>
        </is>
      </c>
    </row>
    <row r="59">
      <c r="B59" s="7" t="inlineStr">
        <is>
          <t>615500</t>
        </is>
      </c>
      <c r="C59" s="8" t="inlineStr">
        <is>
          <t>ENTRETIEN ET REP MACHINES</t>
        </is>
      </c>
      <c r="D59" s="9" t="n">
        <v>0.57</v>
      </c>
      <c r="E59" s="9" t="n">
        <v>1.92</v>
      </c>
      <c r="F59" s="9" t="n">
        <v>-1.35</v>
      </c>
      <c r="G59" s="10" t="n">
        <v>-0.7030999999999999</v>
      </c>
      <c r="H59" s="7" t="inlineStr">
        <is>
          <t>A0</t>
        </is>
      </c>
      <c r="J59" s="7" t="inlineStr">
        <is>
          <t>A</t>
        </is>
      </c>
    </row>
    <row r="60">
      <c r="B60" s="7" t="inlineStr">
        <is>
          <t>615520</t>
        </is>
      </c>
      <c r="C60" s="8" t="inlineStr">
        <is>
          <t>ENTRETIEN ET REP MOULES</t>
        </is>
      </c>
      <c r="D60" s="9" t="n">
        <v>25.18</v>
      </c>
      <c r="E60" s="9" t="n">
        <v>11.006</v>
      </c>
      <c r="F60" s="9" t="n">
        <v>14.174</v>
      </c>
      <c r="G60" s="10" t="n">
        <v>1.2878</v>
      </c>
      <c r="H60" s="7" t="inlineStr">
        <is>
          <t>A0</t>
        </is>
      </c>
      <c r="J60" s="7" t="inlineStr">
        <is>
          <t>A</t>
        </is>
      </c>
    </row>
    <row r="61">
      <c r="B61" s="7" t="inlineStr">
        <is>
          <t>615580</t>
        </is>
      </c>
      <c r="C61" s="8" t="inlineStr">
        <is>
          <t>ENTRETIEN MATERIEL DE TRANSPORT HT</t>
        </is>
      </c>
      <c r="D61" s="9" t="n">
        <v>19.321</v>
      </c>
      <c r="E61" s="9" t="n">
        <v>15.68</v>
      </c>
      <c r="F61" s="9" t="n">
        <v>3.641</v>
      </c>
      <c r="G61" s="10" t="n">
        <v>0.2322</v>
      </c>
      <c r="H61" s="7" t="inlineStr">
        <is>
          <t>A0</t>
        </is>
      </c>
      <c r="J61" s="7" t="inlineStr">
        <is>
          <t>A</t>
        </is>
      </c>
    </row>
    <row r="62">
      <c r="B62" s="7" t="inlineStr">
        <is>
          <t>615581</t>
        </is>
      </c>
      <c r="C62" s="8" t="inlineStr">
        <is>
          <t>ENTRETIEN MATERIEL DE TRANSPORT TTC</t>
        </is>
      </c>
      <c r="D62" s="9" t="n">
        <v>6.057</v>
      </c>
      <c r="E62" s="9" t="n">
        <v>15.111</v>
      </c>
      <c r="F62" s="9" t="n">
        <v>-9.054</v>
      </c>
      <c r="G62" s="10" t="n">
        <v>-0.5992</v>
      </c>
      <c r="H62" s="7" t="inlineStr">
        <is>
          <t>A0</t>
        </is>
      </c>
      <c r="J62" s="7" t="inlineStr">
        <is>
          <t>A</t>
        </is>
      </c>
    </row>
    <row r="63">
      <c r="B63" s="7" t="inlineStr">
        <is>
          <t>615600</t>
        </is>
      </c>
      <c r="C63" s="8" t="inlineStr">
        <is>
          <t>MAINTENANCE MATERIEL</t>
        </is>
      </c>
      <c r="D63" s="9" t="n">
        <v>2.044</v>
      </c>
      <c r="E63" s="9" t="n">
        <v>1.805</v>
      </c>
      <c r="F63" s="9" t="n">
        <v>0.239</v>
      </c>
      <c r="G63" s="10" t="n">
        <v>0.1324</v>
      </c>
      <c r="H63" s="7" t="inlineStr">
        <is>
          <t>A0</t>
        </is>
      </c>
      <c r="J63" s="7" t="inlineStr">
        <is>
          <t>A</t>
        </is>
      </c>
    </row>
    <row r="64">
      <c r="B64" s="7" t="inlineStr">
        <is>
          <t>615610</t>
        </is>
      </c>
      <c r="C64" s="8" t="inlineStr">
        <is>
          <t>MAINT/ABONNEMENT LOGICIEL</t>
        </is>
      </c>
      <c r="D64" s="9" t="n">
        <v>2.499</v>
      </c>
      <c r="E64" s="9" t="n">
        <v>9.661</v>
      </c>
      <c r="F64" s="9" t="n">
        <v>-7.162</v>
      </c>
      <c r="G64" s="10" t="n">
        <v>-0.7413</v>
      </c>
      <c r="H64" s="7" t="inlineStr">
        <is>
          <t>A0</t>
        </is>
      </c>
      <c r="J64" s="7" t="inlineStr">
        <is>
          <t>A</t>
        </is>
      </c>
    </row>
    <row r="65">
      <c r="B65" s="7" t="inlineStr">
        <is>
          <t>616110</t>
        </is>
      </c>
      <c r="C65" s="8" t="inlineStr">
        <is>
          <t>ASSURANCE RESPONSABILITE CIVILE</t>
        </is>
      </c>
      <c r="D65" s="9" t="n">
        <v>69.854</v>
      </c>
      <c r="E65" s="9" t="n">
        <v>5.24</v>
      </c>
      <c r="F65" s="9" t="n">
        <v>64.614</v>
      </c>
      <c r="G65" s="10" t="n">
        <v>12.3309</v>
      </c>
      <c r="H65" s="7" t="inlineStr">
        <is>
          <t>A0</t>
        </is>
      </c>
      <c r="J65" s="7" t="inlineStr">
        <is>
          <t>A</t>
        </is>
      </c>
    </row>
    <row r="66">
      <c r="B66" s="7" t="inlineStr">
        <is>
          <t>616120</t>
        </is>
      </c>
      <c r="C66" s="8" t="inlineStr">
        <is>
          <t>ASSURANCE HOMME CLE</t>
        </is>
      </c>
      <c r="D66" s="9" t="n">
        <v>1.733</v>
      </c>
      <c r="E66" s="9" t="n">
        <v>0.708</v>
      </c>
      <c r="F66" s="9" t="n">
        <v>1.025</v>
      </c>
      <c r="G66" s="10" t="n">
        <v>1.4477</v>
      </c>
      <c r="H66" s="7" t="inlineStr">
        <is>
          <t>A0</t>
        </is>
      </c>
      <c r="J66" s="7" t="inlineStr">
        <is>
          <t>A</t>
        </is>
      </c>
    </row>
    <row r="67">
      <c r="B67" s="7" t="inlineStr">
        <is>
          <t>616160</t>
        </is>
      </c>
      <c r="C67" s="8" t="inlineStr">
        <is>
          <t>ASSURANCE CREDIT CLIENT ALLIANZ</t>
        </is>
      </c>
      <c r="D67" s="9" t="n">
        <v>25.786</v>
      </c>
      <c r="E67" s="9" t="n">
        <v>43.083</v>
      </c>
      <c r="F67" s="9" t="n">
        <v>-17.297</v>
      </c>
      <c r="G67" s="10" t="n">
        <v>-0.4015</v>
      </c>
      <c r="H67" s="7" t="inlineStr">
        <is>
          <t>A0</t>
        </is>
      </c>
      <c r="J67" s="7" t="inlineStr">
        <is>
          <t>A</t>
        </is>
      </c>
    </row>
    <row r="68">
      <c r="B68" s="7" t="inlineStr">
        <is>
          <t>616170</t>
        </is>
      </c>
      <c r="C68" s="8" t="inlineStr">
        <is>
          <t>Assurance RCMS</t>
        </is>
      </c>
      <c r="D68" s="9" t="n">
        <v>1.098</v>
      </c>
      <c r="E68" s="9" t="n">
        <v>0</v>
      </c>
      <c r="F68" s="9" t="n">
        <v>1.098</v>
      </c>
      <c r="G68" s="8" t="inlineStr">
        <is>
          <t>n/a</t>
        </is>
      </c>
      <c r="H68" s="7" t="inlineStr">
        <is>
          <t>A0</t>
        </is>
      </c>
      <c r="J68" s="7" t="inlineStr">
        <is>
          <t>A</t>
        </is>
      </c>
    </row>
    <row r="69">
      <c r="B69" s="7" t="inlineStr">
        <is>
          <t>617100</t>
        </is>
      </c>
      <c r="C69" s="8" t="inlineStr">
        <is>
          <t>PRESTATION ORGANISME RECHERCHE</t>
        </is>
      </c>
      <c r="D69" s="9" t="n">
        <v>23.171</v>
      </c>
      <c r="E69" s="9" t="n">
        <v>17.987</v>
      </c>
      <c r="F69" s="9" t="n">
        <v>5.184</v>
      </c>
      <c r="G69" s="10" t="n">
        <v>0.2882</v>
      </c>
      <c r="H69" s="7" t="inlineStr">
        <is>
          <t>A0</t>
        </is>
      </c>
      <c r="J69" s="7" t="inlineStr">
        <is>
          <t>A</t>
        </is>
      </c>
    </row>
    <row r="70">
      <c r="B70" s="7" t="inlineStr">
        <is>
          <t>617300</t>
        </is>
      </c>
      <c r="C70" s="8" t="inlineStr">
        <is>
          <t>RECHERCHE PROTOTYPE ECHANTILLON</t>
        </is>
      </c>
      <c r="D70" s="9" t="n">
        <v>1.909</v>
      </c>
      <c r="E70" s="9" t="n">
        <v>1.92</v>
      </c>
      <c r="F70" s="9" t="n">
        <v>-0.011</v>
      </c>
      <c r="G70" s="10" t="n">
        <v>-0.0057</v>
      </c>
      <c r="H70" s="7" t="inlineStr">
        <is>
          <t>A0</t>
        </is>
      </c>
      <c r="J70" s="7" t="inlineStr">
        <is>
          <t>A</t>
        </is>
      </c>
    </row>
    <row r="71">
      <c r="B71" s="7" t="inlineStr">
        <is>
          <t>618100</t>
        </is>
      </c>
      <c r="C71" s="8" t="inlineStr">
        <is>
          <t>ABONNTS PUBLICATIONS DOCUMENTAT</t>
        </is>
      </c>
      <c r="D71" s="9" t="n">
        <v>3.871</v>
      </c>
      <c r="E71" s="9" t="n">
        <v>2.077</v>
      </c>
      <c r="F71" s="9" t="n">
        <v>1.794</v>
      </c>
      <c r="G71" s="10" t="n">
        <v>0.8637</v>
      </c>
      <c r="H71" s="7" t="inlineStr">
        <is>
          <t>A0</t>
        </is>
      </c>
      <c r="J71" s="7" t="inlineStr">
        <is>
          <t>A</t>
        </is>
      </c>
    </row>
    <row r="72">
      <c r="B72" s="7" t="inlineStr">
        <is>
          <t>618200</t>
        </is>
      </c>
      <c r="C72" s="8" t="inlineStr">
        <is>
          <t>PRESTATION DE FORMATION</t>
        </is>
      </c>
      <c r="D72" s="9" t="n">
        <v>13.028</v>
      </c>
      <c r="E72" s="9" t="n">
        <v>15.791</v>
      </c>
      <c r="F72" s="9" t="n">
        <v>-2.763</v>
      </c>
      <c r="G72" s="10" t="n">
        <v>-0.175</v>
      </c>
      <c r="H72" s="7" t="inlineStr">
        <is>
          <t>A0</t>
        </is>
      </c>
      <c r="J72" s="7" t="inlineStr">
        <is>
          <t>A</t>
        </is>
      </c>
    </row>
    <row r="73">
      <c r="B73" s="7" t="inlineStr">
        <is>
          <t>621100</t>
        </is>
      </c>
      <c r="C73" s="8" t="inlineStr">
        <is>
          <t>PERSONNELS INTERIMAIRES</t>
        </is>
      </c>
      <c r="D73" s="9" t="n">
        <v>4.52</v>
      </c>
      <c r="E73" s="9" t="n">
        <v>0</v>
      </c>
      <c r="F73" s="9" t="n">
        <v>4.52</v>
      </c>
      <c r="G73" s="8" t="inlineStr">
        <is>
          <t>n/a</t>
        </is>
      </c>
      <c r="H73" s="7" t="inlineStr">
        <is>
          <t>A0</t>
        </is>
      </c>
      <c r="J73" s="7" t="inlineStr">
        <is>
          <t>A</t>
        </is>
      </c>
    </row>
    <row r="74">
      <c r="B74" s="7" t="inlineStr">
        <is>
          <t>621120</t>
        </is>
      </c>
      <c r="C74" s="8" t="inlineStr">
        <is>
          <t>INTERIM LOGISTIQUE</t>
        </is>
      </c>
      <c r="D74" s="9" t="n">
        <v>58.595</v>
      </c>
      <c r="E74" s="9" t="n">
        <v>47.895</v>
      </c>
      <c r="F74" s="9" t="n">
        <v>10.7</v>
      </c>
      <c r="G74" s="10" t="n">
        <v>0.2234</v>
      </c>
      <c r="H74" s="7" t="inlineStr">
        <is>
          <t>A0</t>
        </is>
      </c>
      <c r="J74" s="7" t="inlineStr">
        <is>
          <t>A</t>
        </is>
      </c>
    </row>
    <row r="75">
      <c r="B75" s="7" t="inlineStr">
        <is>
          <t>622200</t>
        </is>
      </c>
      <c r="C75" s="8" t="inlineStr">
        <is>
          <t>COMMISSIONS SUR VENTES</t>
        </is>
      </c>
      <c r="D75" s="9" t="n">
        <v>147.499</v>
      </c>
      <c r="E75" s="9" t="n">
        <v>11.486</v>
      </c>
      <c r="F75" s="9" t="n">
        <v>136.013</v>
      </c>
      <c r="G75" s="10" t="n">
        <v>11.8416</v>
      </c>
      <c r="H75" s="7" t="inlineStr">
        <is>
          <t>A0</t>
        </is>
      </c>
      <c r="J75" s="7" t="inlineStr">
        <is>
          <t>A</t>
        </is>
      </c>
    </row>
    <row r="76">
      <c r="B76" s="7" t="inlineStr">
        <is>
          <t>622500</t>
        </is>
      </c>
      <c r="C76" s="8" t="inlineStr">
        <is>
          <t>COMM AFFACT ET CENTR FACT CLIENTS</t>
        </is>
      </c>
      <c r="D76" s="9" t="n">
        <v>5.443</v>
      </c>
      <c r="E76" s="9" t="n">
        <v>20.23</v>
      </c>
      <c r="F76" s="9" t="n">
        <v>-14.787</v>
      </c>
      <c r="G76" s="10" t="n">
        <v>-0.7309</v>
      </c>
      <c r="H76" s="7" t="inlineStr">
        <is>
          <t>A0</t>
        </is>
      </c>
      <c r="J76" s="7" t="inlineStr">
        <is>
          <t>A</t>
        </is>
      </c>
    </row>
    <row r="77">
      <c r="B77" s="7" t="inlineStr">
        <is>
          <t>622600</t>
        </is>
      </c>
      <c r="C77" s="8" t="inlineStr">
        <is>
          <t>HONORAIRES</t>
        </is>
      </c>
      <c r="D77" s="9" t="n">
        <v>716.516</v>
      </c>
      <c r="E77" s="9" t="n">
        <v>587.672</v>
      </c>
      <c r="F77" s="9" t="n">
        <v>128.844</v>
      </c>
      <c r="G77" s="10" t="n">
        <v>0.2192</v>
      </c>
      <c r="H77" s="7" t="inlineStr">
        <is>
          <t>A0</t>
        </is>
      </c>
      <c r="J77" s="7" t="inlineStr">
        <is>
          <t>A</t>
        </is>
      </c>
    </row>
    <row r="78">
      <c r="B78" s="7" t="inlineStr">
        <is>
          <t>622601</t>
        </is>
      </c>
      <c r="C78" s="8" t="inlineStr">
        <is>
          <t>PRESTATIONS GROUPE</t>
        </is>
      </c>
      <c r="D78" s="9" t="n">
        <v>197.066</v>
      </c>
      <c r="E78" s="9" t="n">
        <v>0</v>
      </c>
      <c r="F78" s="9" t="n">
        <v>197.066</v>
      </c>
      <c r="G78" s="8" t="inlineStr">
        <is>
          <t>n/a</t>
        </is>
      </c>
      <c r="H78" s="7" t="inlineStr">
        <is>
          <t>A0</t>
        </is>
      </c>
      <c r="J78" s="7" t="inlineStr">
        <is>
          <t>A</t>
        </is>
      </c>
    </row>
    <row r="79">
      <c r="B79" s="7" t="inlineStr">
        <is>
          <t>622700</t>
        </is>
      </c>
      <c r="C79" s="8" t="inlineStr">
        <is>
          <t>HONOR CONTENTIEUX FRAIS D ACTE</t>
        </is>
      </c>
      <c r="D79" s="9" t="n">
        <v>10.39</v>
      </c>
      <c r="E79" s="9" t="n">
        <v>0.555</v>
      </c>
      <c r="F79" s="9" t="n">
        <v>9.835000000000001</v>
      </c>
      <c r="G79" s="10" t="n">
        <v>17.7207</v>
      </c>
      <c r="H79" s="7" t="inlineStr">
        <is>
          <t>A0</t>
        </is>
      </c>
      <c r="J79" s="7" t="inlineStr">
        <is>
          <t>A</t>
        </is>
      </c>
    </row>
    <row r="80">
      <c r="B80" s="7" t="inlineStr">
        <is>
          <t>623100</t>
        </is>
      </c>
      <c r="C80" s="8" t="inlineStr">
        <is>
          <t>ANNONCES LEGALES</t>
        </is>
      </c>
      <c r="D80" s="9" t="n">
        <v>0.218</v>
      </c>
      <c r="E80" s="9" t="n">
        <v>0.214</v>
      </c>
      <c r="F80" s="9" t="n">
        <v>0.004</v>
      </c>
      <c r="G80" s="10" t="n">
        <v>0.0187</v>
      </c>
      <c r="H80" s="7" t="inlineStr">
        <is>
          <t>A0</t>
        </is>
      </c>
      <c r="J80" s="7" t="inlineStr">
        <is>
          <t>A</t>
        </is>
      </c>
    </row>
    <row r="81">
      <c r="B81" s="7" t="inlineStr">
        <is>
          <t>623110</t>
        </is>
      </c>
      <c r="C81" s="8" t="inlineStr">
        <is>
          <t>LOCATION ESPACE PUBLICITAIRE</t>
        </is>
      </c>
      <c r="D81" s="9" t="n">
        <v>85.032</v>
      </c>
      <c r="E81" s="9" t="n">
        <v>304.446</v>
      </c>
      <c r="F81" s="9" t="n">
        <v>-219.414</v>
      </c>
      <c r="G81" s="10" t="n">
        <v>-0.7207</v>
      </c>
      <c r="H81" s="7" t="inlineStr">
        <is>
          <t>A0</t>
        </is>
      </c>
      <c r="J81" s="7" t="inlineStr">
        <is>
          <t>A</t>
        </is>
      </c>
    </row>
    <row r="82">
      <c r="B82" s="7" t="inlineStr">
        <is>
          <t>623200</t>
        </is>
      </c>
      <c r="C82" s="8" t="inlineStr">
        <is>
          <t>FOURNITURES TECHNIQUES . PRESTATION</t>
        </is>
      </c>
      <c r="D82" s="9" t="n">
        <v>362.522</v>
      </c>
      <c r="E82" s="9" t="n">
        <v>83.604</v>
      </c>
      <c r="F82" s="9" t="n">
        <v>278.918</v>
      </c>
      <c r="G82" s="10" t="n">
        <v>3.3362</v>
      </c>
      <c r="H82" s="7" t="inlineStr">
        <is>
          <t>A0</t>
        </is>
      </c>
      <c r="J82" s="7" t="inlineStr">
        <is>
          <t>A</t>
        </is>
      </c>
    </row>
    <row r="83">
      <c r="B83" s="7" t="inlineStr">
        <is>
          <t>623202</t>
        </is>
      </c>
      <c r="C83" s="8" t="inlineStr">
        <is>
          <t>COMMUNICATION OUTILS/WEB</t>
        </is>
      </c>
      <c r="D83" s="9" t="n">
        <v>3.36</v>
      </c>
      <c r="E83" s="9" t="n">
        <v>0</v>
      </c>
      <c r="F83" s="9" t="n">
        <v>3.36</v>
      </c>
      <c r="G83" s="8" t="inlineStr">
        <is>
          <t>n/a</t>
        </is>
      </c>
      <c r="H83" s="7" t="inlineStr">
        <is>
          <t>A0</t>
        </is>
      </c>
      <c r="J83" s="7" t="inlineStr">
        <is>
          <t>A</t>
        </is>
      </c>
    </row>
    <row r="84">
      <c r="B84" s="7" t="inlineStr">
        <is>
          <t>623203</t>
        </is>
      </c>
      <c r="C84" s="8" t="inlineStr">
        <is>
          <t>COMMUNICATION - SALONS</t>
        </is>
      </c>
      <c r="D84" s="9" t="n">
        <v>11.142</v>
      </c>
      <c r="E84" s="9" t="n">
        <v>0</v>
      </c>
      <c r="F84" s="9" t="n">
        <v>11.142</v>
      </c>
      <c r="G84" s="8" t="inlineStr">
        <is>
          <t>n/a</t>
        </is>
      </c>
      <c r="H84" s="7" t="inlineStr">
        <is>
          <t>A0</t>
        </is>
      </c>
      <c r="J84" s="7" t="inlineStr">
        <is>
          <t>A</t>
        </is>
      </c>
    </row>
    <row r="85">
      <c r="B85" s="7" t="inlineStr">
        <is>
          <t>623400</t>
        </is>
      </c>
      <c r="C85" s="8" t="inlineStr">
        <is>
          <t>CADEAUX CLIENTELE</t>
        </is>
      </c>
      <c r="D85" s="9" t="n">
        <v>2.687</v>
      </c>
      <c r="E85" s="9" t="n">
        <v>0.725</v>
      </c>
      <c r="F85" s="9" t="n">
        <v>1.962</v>
      </c>
      <c r="G85" s="10" t="n">
        <v>2.7062</v>
      </c>
      <c r="H85" s="7" t="inlineStr">
        <is>
          <t>A0</t>
        </is>
      </c>
      <c r="J85" s="7" t="inlineStr">
        <is>
          <t>A</t>
        </is>
      </c>
    </row>
    <row r="86">
      <c r="B86" s="7" t="inlineStr">
        <is>
          <t>623500</t>
        </is>
      </c>
      <c r="C86" s="8" t="inlineStr">
        <is>
          <t>PARTICIPATION PUB CLIENT</t>
        </is>
      </c>
      <c r="D86" s="9" t="n">
        <v>143.076</v>
      </c>
      <c r="E86" s="9" t="n">
        <v>343.296</v>
      </c>
      <c r="F86" s="9" t="n">
        <v>-200.22</v>
      </c>
      <c r="G86" s="10" t="n">
        <v>-0.5832000000000001</v>
      </c>
      <c r="H86" s="7" t="inlineStr">
        <is>
          <t>A0</t>
        </is>
      </c>
      <c r="J86" s="7" t="inlineStr">
        <is>
          <t>A</t>
        </is>
      </c>
    </row>
    <row r="87">
      <c r="B87" s="7" t="inlineStr">
        <is>
          <t>623800</t>
        </is>
      </c>
      <c r="C87" s="8" t="inlineStr">
        <is>
          <t>DONS . POURBOIRES . SPONSORING</t>
        </is>
      </c>
      <c r="D87" s="9" t="n">
        <v>5.347</v>
      </c>
      <c r="E87" s="9" t="n">
        <v>8.56</v>
      </c>
      <c r="F87" s="9" t="n">
        <v>-3.213</v>
      </c>
      <c r="G87" s="10" t="n">
        <v>-0.3754</v>
      </c>
      <c r="H87" s="7" t="inlineStr">
        <is>
          <t>A0</t>
        </is>
      </c>
      <c r="J87" s="7" t="inlineStr">
        <is>
          <t>A</t>
        </is>
      </c>
    </row>
    <row r="88">
      <c r="B88" s="7" t="inlineStr">
        <is>
          <t>624100</t>
        </is>
      </c>
      <c r="C88" s="8" t="inlineStr">
        <is>
          <t>TRSP SUR ACHATS FRAIS GENERAUX</t>
        </is>
      </c>
      <c r="D88" s="9" t="n">
        <v>4.334</v>
      </c>
      <c r="E88" s="9" t="n">
        <v>0.502</v>
      </c>
      <c r="F88" s="9" t="n">
        <v>3.832</v>
      </c>
      <c r="G88" s="10" t="n">
        <v>7.6335</v>
      </c>
      <c r="H88" s="7" t="inlineStr">
        <is>
          <t>A0</t>
        </is>
      </c>
      <c r="J88" s="7" t="inlineStr">
        <is>
          <t>A</t>
        </is>
      </c>
    </row>
    <row r="89">
      <c r="B89" s="7" t="inlineStr">
        <is>
          <t>624200</t>
        </is>
      </c>
      <c r="C89" s="8" t="inlineStr">
        <is>
          <t>TRSP SUR VENTES France</t>
        </is>
      </c>
      <c r="D89" s="9" t="n">
        <v>843.303</v>
      </c>
      <c r="E89" s="9" t="n">
        <v>742.8680000000001</v>
      </c>
      <c r="F89" s="9" t="n">
        <v>100.435</v>
      </c>
      <c r="G89" s="10" t="n">
        <v>0.1352</v>
      </c>
      <c r="H89" s="7" t="inlineStr">
        <is>
          <t>A0</t>
        </is>
      </c>
      <c r="J89" s="7" t="inlineStr">
        <is>
          <t>A</t>
        </is>
      </c>
    </row>
    <row r="90">
      <c r="B90" s="7" t="inlineStr">
        <is>
          <t>624210</t>
        </is>
      </c>
      <c r="C90" s="8" t="inlineStr">
        <is>
          <t>TRSP SUR VENTES UNION EUROPEE</t>
        </is>
      </c>
      <c r="D90" s="9" t="n">
        <v>90.30800000000001</v>
      </c>
      <c r="E90" s="9" t="n">
        <v>107.608</v>
      </c>
      <c r="F90" s="9" t="n">
        <v>-17.3</v>
      </c>
      <c r="G90" s="10" t="n">
        <v>-0.1608</v>
      </c>
      <c r="H90" s="7" t="inlineStr">
        <is>
          <t>A0</t>
        </is>
      </c>
      <c r="J90" s="7" t="inlineStr">
        <is>
          <t>A</t>
        </is>
      </c>
    </row>
    <row r="91">
      <c r="B91" s="7" t="inlineStr">
        <is>
          <t>624230</t>
        </is>
      </c>
      <c r="C91" s="8" t="inlineStr">
        <is>
          <t>TRSP SUR VENTES EXPORT</t>
        </is>
      </c>
      <c r="D91" s="9" t="n">
        <v>55.795</v>
      </c>
      <c r="E91" s="9" t="n">
        <v>12.739</v>
      </c>
      <c r="F91" s="9" t="n">
        <v>43.056</v>
      </c>
      <c r="G91" s="10" t="n">
        <v>3.3799</v>
      </c>
      <c r="H91" s="7" t="inlineStr">
        <is>
          <t>A0</t>
        </is>
      </c>
      <c r="J91" s="7" t="inlineStr">
        <is>
          <t>A</t>
        </is>
      </c>
    </row>
    <row r="92">
      <c r="B92" s="7" t="inlineStr">
        <is>
          <t>625100</t>
        </is>
      </c>
      <c r="C92" s="8" t="inlineStr">
        <is>
          <t>VOYAGES &amp; DEPLACEMENTS</t>
        </is>
      </c>
      <c r="D92" s="9" t="n">
        <v>114.1</v>
      </c>
      <c r="E92" s="9" t="n">
        <v>130.035</v>
      </c>
      <c r="F92" s="9" t="n">
        <v>-15.935</v>
      </c>
      <c r="G92" s="10" t="n">
        <v>-0.1225</v>
      </c>
      <c r="H92" s="7" t="inlineStr">
        <is>
          <t>A0</t>
        </is>
      </c>
      <c r="J92" s="7" t="inlineStr">
        <is>
          <t>A</t>
        </is>
      </c>
    </row>
    <row r="93">
      <c r="B93" s="7" t="inlineStr">
        <is>
          <t>625700</t>
        </is>
      </c>
      <c r="C93" s="8" t="inlineStr">
        <is>
          <t>FRAIS RECEPT VISITEURS FACTURES</t>
        </is>
      </c>
      <c r="D93" s="9" t="n">
        <v>34.697</v>
      </c>
      <c r="E93" s="9" t="n">
        <v>10.451</v>
      </c>
      <c r="F93" s="9" t="n">
        <v>24.246</v>
      </c>
      <c r="G93" s="10" t="n">
        <v>2.32</v>
      </c>
      <c r="H93" s="7" t="inlineStr">
        <is>
          <t>A0</t>
        </is>
      </c>
      <c r="J93" s="7" t="inlineStr">
        <is>
          <t>A</t>
        </is>
      </c>
    </row>
    <row r="94">
      <c r="B94" s="7" t="inlineStr">
        <is>
          <t>626000</t>
        </is>
      </c>
      <c r="C94" s="8" t="inlineStr">
        <is>
          <t>TIMBRES COURRIERS</t>
        </is>
      </c>
      <c r="D94" s="9" t="n">
        <v>9.617000000000001</v>
      </c>
      <c r="E94" s="9" t="n">
        <v>9.877000000000001</v>
      </c>
      <c r="F94" s="9" t="n">
        <v>-0.26</v>
      </c>
      <c r="G94" s="10" t="n">
        <v>-0.0263</v>
      </c>
      <c r="H94" s="7" t="inlineStr">
        <is>
          <t>A0</t>
        </is>
      </c>
      <c r="J94" s="7" t="inlineStr">
        <is>
          <t>A</t>
        </is>
      </c>
    </row>
    <row r="95">
      <c r="B95" s="7" t="inlineStr">
        <is>
          <t>626100</t>
        </is>
      </c>
      <c r="C95" s="8" t="inlineStr">
        <is>
          <t>TELEPHONE PORTABLE</t>
        </is>
      </c>
      <c r="D95" s="9" t="n">
        <v>1.309</v>
      </c>
      <c r="E95" s="9" t="n">
        <v>1.244</v>
      </c>
      <c r="F95" s="9" t="n">
        <v>0.065</v>
      </c>
      <c r="G95" s="10" t="n">
        <v>0.0523</v>
      </c>
      <c r="H95" s="7" t="inlineStr">
        <is>
          <t>A0</t>
        </is>
      </c>
      <c r="J95" s="7" t="inlineStr">
        <is>
          <t>A</t>
        </is>
      </c>
    </row>
    <row r="96">
      <c r="B96" s="7" t="inlineStr">
        <is>
          <t>626110</t>
        </is>
      </c>
      <c r="C96" s="8" t="inlineStr">
        <is>
          <t>TELEPHONE INTERNET</t>
        </is>
      </c>
      <c r="D96" s="9" t="n">
        <v>17.361</v>
      </c>
      <c r="E96" s="9" t="n">
        <v>20.862</v>
      </c>
      <c r="F96" s="9" t="n">
        <v>-3.501</v>
      </c>
      <c r="G96" s="10" t="n">
        <v>-0.1678</v>
      </c>
      <c r="H96" s="7" t="inlineStr">
        <is>
          <t>A0</t>
        </is>
      </c>
      <c r="J96" s="7" t="inlineStr">
        <is>
          <t>A</t>
        </is>
      </c>
    </row>
    <row r="97">
      <c r="B97" s="7" t="inlineStr">
        <is>
          <t>627540</t>
        </is>
      </c>
      <c r="C97" s="8" t="inlineStr">
        <is>
          <t>COMMISSIONS BANCAIRES TTC</t>
        </is>
      </c>
      <c r="D97" s="9" t="n">
        <v>21.818</v>
      </c>
      <c r="E97" s="9" t="n">
        <v>19.878</v>
      </c>
      <c r="F97" s="9" t="n">
        <v>1.94</v>
      </c>
      <c r="G97" s="10" t="n">
        <v>0.09760000000000001</v>
      </c>
      <c r="H97" s="7" t="inlineStr">
        <is>
          <t>A0</t>
        </is>
      </c>
      <c r="J97" s="7" t="inlineStr">
        <is>
          <t>A</t>
        </is>
      </c>
    </row>
    <row r="98">
      <c r="B98" s="7" t="inlineStr">
        <is>
          <t>628100</t>
        </is>
      </c>
      <c r="C98" s="8" t="inlineStr">
        <is>
          <t>COTISATIONS PROFESSIONNELLES</t>
        </is>
      </c>
      <c r="D98" s="9" t="n">
        <v>29.679</v>
      </c>
      <c r="E98" s="9" t="n">
        <v>23.367</v>
      </c>
      <c r="F98" s="9" t="n">
        <v>6.312</v>
      </c>
      <c r="G98" s="10" t="n">
        <v>0.2701</v>
      </c>
      <c r="H98" s="7" t="inlineStr">
        <is>
          <t>A0</t>
        </is>
      </c>
      <c r="J98" s="7" t="inlineStr">
        <is>
          <t>A</t>
        </is>
      </c>
    </row>
    <row r="99">
      <c r="B99" s="7" t="inlineStr">
        <is>
          <t>628400</t>
        </is>
      </c>
      <c r="C99" s="8" t="inlineStr">
        <is>
          <t>PRESTATIONS DE RECRUTEMENT</t>
        </is>
      </c>
      <c r="D99" s="9" t="n">
        <v>80.128</v>
      </c>
      <c r="E99" s="9" t="n">
        <v>28.65</v>
      </c>
      <c r="F99" s="9" t="n">
        <v>51.478</v>
      </c>
      <c r="G99" s="10" t="n">
        <v>1.7968</v>
      </c>
      <c r="H99" s="7" t="inlineStr">
        <is>
          <t>A0</t>
        </is>
      </c>
      <c r="J99" s="7" t="inlineStr">
        <is>
          <t>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V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411000</t>
        </is>
      </c>
      <c r="C11" s="8" t="inlineStr">
        <is>
          <t>CLIENTS</t>
        </is>
      </c>
      <c r="D11" s="9" t="n">
        <v>1700.429</v>
      </c>
      <c r="E11" s="9" t="n">
        <v>1562.035</v>
      </c>
      <c r="F11" s="9" t="n">
        <v>138.394</v>
      </c>
      <c r="G11" s="10" t="n">
        <v>0.0886</v>
      </c>
      <c r="H11" s="7" t="inlineStr">
        <is>
          <t>V0</t>
        </is>
      </c>
      <c r="J11" s="7" t="inlineStr">
        <is>
          <t>V</t>
        </is>
      </c>
    </row>
    <row r="12">
      <c r="B12" s="7" t="inlineStr">
        <is>
          <t>411500</t>
        </is>
      </c>
      <c r="C12" s="8" t="inlineStr">
        <is>
          <t>CLIENTS SPID</t>
        </is>
      </c>
      <c r="D12" s="9" t="n">
        <v>128.045</v>
      </c>
      <c r="E12" s="9" t="n">
        <v>0</v>
      </c>
      <c r="F12" s="9" t="n">
        <v>128.045</v>
      </c>
      <c r="G12" s="8" t="inlineStr">
        <is>
          <t>n/a</t>
        </is>
      </c>
      <c r="H12" s="7" t="inlineStr">
        <is>
          <t>V0</t>
        </is>
      </c>
      <c r="J12" s="7" t="inlineStr">
        <is>
          <t>V</t>
        </is>
      </c>
    </row>
    <row r="13">
      <c r="B13" s="7" t="inlineStr">
        <is>
          <t>411600</t>
        </is>
      </c>
      <c r="C13" s="8" t="inlineStr">
        <is>
          <t>CLIENTS EPS</t>
        </is>
      </c>
      <c r="D13" s="9" t="n">
        <v>-35.881</v>
      </c>
      <c r="E13" s="9" t="n">
        <v>0</v>
      </c>
      <c r="F13" s="9" t="n">
        <v>-35.881</v>
      </c>
      <c r="G13" s="8" t="inlineStr">
        <is>
          <t>n/a</t>
        </is>
      </c>
      <c r="H13" s="7" t="inlineStr">
        <is>
          <t>V0</t>
        </is>
      </c>
      <c r="J13" s="7" t="inlineStr">
        <is>
          <t>V</t>
        </is>
      </c>
    </row>
    <row r="14">
      <c r="B14" s="7" t="inlineStr">
        <is>
          <t>413000</t>
        </is>
      </c>
      <c r="C14" s="8" t="inlineStr">
        <is>
          <t>CLIENTS EFFETS EN PORTEFEUILLE</t>
        </is>
      </c>
      <c r="D14" s="9" t="n">
        <v>2.131</v>
      </c>
      <c r="E14" s="9" t="n">
        <v>8.584</v>
      </c>
      <c r="F14" s="9" t="n">
        <v>-6.453</v>
      </c>
      <c r="G14" s="10" t="n">
        <v>-0.7517</v>
      </c>
      <c r="H14" s="7" t="inlineStr">
        <is>
          <t>V0</t>
        </is>
      </c>
      <c r="J14" s="7" t="inlineStr">
        <is>
          <t>V</t>
        </is>
      </c>
    </row>
    <row r="15">
      <c r="B15" s="7" t="inlineStr">
        <is>
          <t>416000</t>
        </is>
      </c>
      <c r="C15" s="8" t="inlineStr">
        <is>
          <t>CLIENTS DOUTEUX</t>
        </is>
      </c>
      <c r="D15" s="9" t="n">
        <v>15.295</v>
      </c>
      <c r="E15" s="9" t="n">
        <v>19.106</v>
      </c>
      <c r="F15" s="9" t="n">
        <v>-3.811</v>
      </c>
      <c r="G15" s="10" t="n">
        <v>-0.1995</v>
      </c>
      <c r="H15" s="7" t="inlineStr">
        <is>
          <t>V0</t>
        </is>
      </c>
      <c r="J15" s="7" t="inlineStr">
        <is>
          <t>V</t>
        </is>
      </c>
    </row>
    <row r="16">
      <c r="B16" s="7" t="inlineStr">
        <is>
          <t>418101</t>
        </is>
      </c>
      <c r="C16" s="8" t="inlineStr">
        <is>
          <t>CLIENTS FAE GROUPE</t>
        </is>
      </c>
      <c r="D16" s="9" t="n">
        <v>492.794</v>
      </c>
      <c r="E16" s="9" t="n">
        <v>255.649</v>
      </c>
      <c r="F16" s="9" t="n">
        <v>237.145</v>
      </c>
      <c r="G16" s="10" t="n">
        <v>0.9276</v>
      </c>
      <c r="H16" s="7" t="inlineStr">
        <is>
          <t>V0</t>
        </is>
      </c>
      <c r="J16" s="7" t="inlineStr">
        <is>
          <t>V</t>
        </is>
      </c>
    </row>
    <row r="17">
      <c r="B17" s="7" t="inlineStr">
        <is>
          <t>491000</t>
        </is>
      </c>
      <c r="C17" s="8" t="inlineStr">
        <is>
          <t>PROVISIONS CREANCES DOUTEUSES</t>
        </is>
      </c>
      <c r="D17" s="9" t="n">
        <v>-14.288</v>
      </c>
      <c r="E17" s="9" t="n">
        <v>-16.266</v>
      </c>
      <c r="F17" s="9" t="n">
        <v>1.978</v>
      </c>
      <c r="G17" s="10" t="n">
        <v>0.1216</v>
      </c>
      <c r="H17" s="7" t="inlineStr">
        <is>
          <t>V0</t>
        </is>
      </c>
      <c r="J17" s="7" t="inlineStr">
        <is>
          <t>V</t>
        </is>
      </c>
    </row>
    <row r="19">
      <c r="B19" s="11" t="inlineStr">
        <is>
          <t>CHARGES</t>
        </is>
      </c>
    </row>
    <row r="20">
      <c r="B20" s="7" t="inlineStr">
        <is>
          <t>654100</t>
        </is>
      </c>
      <c r="C20" s="8" t="inlineStr">
        <is>
          <t>PERTE SUR CREANCES IRR IMPOSABLES</t>
        </is>
      </c>
      <c r="D20" s="9" t="n">
        <v>1.978</v>
      </c>
      <c r="E20" s="9" t="n">
        <v>0</v>
      </c>
      <c r="F20" s="9" t="n">
        <v>1.978</v>
      </c>
      <c r="G20" s="8" t="inlineStr">
        <is>
          <t>n/a</t>
        </is>
      </c>
      <c r="H20" s="7" t="inlineStr">
        <is>
          <t>V0</t>
        </is>
      </c>
      <c r="J20" s="7" t="inlineStr">
        <is>
          <t>V</t>
        </is>
      </c>
    </row>
    <row r="22">
      <c r="B22" s="11" t="inlineStr">
        <is>
          <t>PRODUITS</t>
        </is>
      </c>
    </row>
    <row r="23">
      <c r="B23" s="7" t="inlineStr">
        <is>
          <t>701000</t>
        </is>
      </c>
      <c r="C23" s="8" t="inlineStr">
        <is>
          <t>VTES PDTS FINIS France</t>
        </is>
      </c>
      <c r="D23" s="9" t="n">
        <v>12454.427</v>
      </c>
      <c r="E23" s="9" t="n">
        <v>11069.485</v>
      </c>
      <c r="F23" s="9" t="n">
        <v>1384.942</v>
      </c>
      <c r="G23" s="10" t="n">
        <v>0.1251</v>
      </c>
      <c r="H23" s="7" t="inlineStr">
        <is>
          <t>V0</t>
        </is>
      </c>
      <c r="J23" s="7" t="inlineStr">
        <is>
          <t>V</t>
        </is>
      </c>
    </row>
    <row r="24">
      <c r="B24" s="7" t="inlineStr">
        <is>
          <t>701010</t>
        </is>
      </c>
      <c r="C24" s="8" t="inlineStr">
        <is>
          <t>VTES PDTS FINIS UNION EUROPEE</t>
        </is>
      </c>
      <c r="D24" s="9" t="n">
        <v>1795.792</v>
      </c>
      <c r="E24" s="9" t="n">
        <v>1114.141</v>
      </c>
      <c r="F24" s="9" t="n">
        <v>681.651</v>
      </c>
      <c r="G24" s="10" t="n">
        <v>0.6118</v>
      </c>
      <c r="H24" s="7" t="inlineStr">
        <is>
          <t>V0</t>
        </is>
      </c>
      <c r="J24" s="7" t="inlineStr">
        <is>
          <t>V</t>
        </is>
      </c>
    </row>
    <row r="25">
      <c r="B25" s="7" t="inlineStr">
        <is>
          <t>701020</t>
        </is>
      </c>
      <c r="C25" s="8" t="inlineStr">
        <is>
          <t>VTES PDTS FINIS DOM TOM</t>
        </is>
      </c>
      <c r="D25" s="9" t="n">
        <v>87.102</v>
      </c>
      <c r="E25" s="9" t="n">
        <v>65.35299999999999</v>
      </c>
      <c r="F25" s="9" t="n">
        <v>21.749</v>
      </c>
      <c r="G25" s="10" t="n">
        <v>0.3328</v>
      </c>
      <c r="H25" s="7" t="inlineStr">
        <is>
          <t>V0</t>
        </is>
      </c>
      <c r="J25" s="7" t="inlineStr">
        <is>
          <t>V</t>
        </is>
      </c>
    </row>
    <row r="26">
      <c r="B26" s="7" t="inlineStr">
        <is>
          <t>701030</t>
        </is>
      </c>
      <c r="C26" s="8" t="inlineStr">
        <is>
          <t>VTES PDTS FINIS EXPORT</t>
        </is>
      </c>
      <c r="D26" s="9" t="n">
        <v>802.322</v>
      </c>
      <c r="E26" s="9" t="n">
        <v>153.716</v>
      </c>
      <c r="F26" s="9" t="n">
        <v>648.606</v>
      </c>
      <c r="G26" s="10" t="n">
        <v>4.2195</v>
      </c>
      <c r="H26" s="7" t="inlineStr">
        <is>
          <t>V0</t>
        </is>
      </c>
      <c r="J26" s="7" t="inlineStr">
        <is>
          <t>V</t>
        </is>
      </c>
    </row>
    <row r="27">
      <c r="B27" s="7" t="inlineStr">
        <is>
          <t>703000</t>
        </is>
      </c>
      <c r="C27" s="8" t="inlineStr">
        <is>
          <t>VENTES DE DECHETS</t>
        </is>
      </c>
      <c r="D27" s="9" t="n">
        <v>15.388</v>
      </c>
      <c r="E27" s="9" t="n">
        <v>14.011</v>
      </c>
      <c r="F27" s="9" t="n">
        <v>1.377</v>
      </c>
      <c r="G27" s="10" t="n">
        <v>0.0983</v>
      </c>
      <c r="H27" s="7" t="inlineStr">
        <is>
          <t>V0</t>
        </is>
      </c>
      <c r="J27" s="7" t="inlineStr">
        <is>
          <t>V</t>
        </is>
      </c>
    </row>
    <row r="28">
      <c r="B28" s="7" t="inlineStr">
        <is>
          <t>707000</t>
        </is>
      </c>
      <c r="C28" s="8" t="inlineStr">
        <is>
          <t>VTES MSES NEGOCES FRANCE</t>
        </is>
      </c>
      <c r="D28" s="9" t="n">
        <v>2433.986</v>
      </c>
      <c r="E28" s="9" t="n">
        <v>1368.23</v>
      </c>
      <c r="F28" s="9" t="n">
        <v>1065.756</v>
      </c>
      <c r="G28" s="10" t="n">
        <v>0.7789</v>
      </c>
      <c r="H28" s="7" t="inlineStr">
        <is>
          <t>V0</t>
        </is>
      </c>
      <c r="J28" s="7" t="inlineStr">
        <is>
          <t>V</t>
        </is>
      </c>
    </row>
    <row r="29">
      <c r="B29" s="7" t="inlineStr">
        <is>
          <t>707010</t>
        </is>
      </c>
      <c r="C29" s="8" t="inlineStr">
        <is>
          <t>VTES MSES NEGOCES UNION EUROPEENNE</t>
        </is>
      </c>
      <c r="D29" s="9" t="n">
        <v>493.132</v>
      </c>
      <c r="E29" s="9" t="n">
        <v>26.542</v>
      </c>
      <c r="F29" s="9" t="n">
        <v>466.59</v>
      </c>
      <c r="G29" s="10" t="n">
        <v>17.5793</v>
      </c>
      <c r="H29" s="7" t="inlineStr">
        <is>
          <t>V0</t>
        </is>
      </c>
      <c r="J29" s="7" t="inlineStr">
        <is>
          <t>V</t>
        </is>
      </c>
    </row>
    <row r="30">
      <c r="B30" s="7" t="inlineStr">
        <is>
          <t>707020</t>
        </is>
      </c>
      <c r="C30" s="8" t="inlineStr">
        <is>
          <t>VTES MSES NEGOCES DOM TOM</t>
        </is>
      </c>
      <c r="D30" s="9" t="n">
        <v>44.564</v>
      </c>
      <c r="E30" s="9" t="n">
        <v>30.711</v>
      </c>
      <c r="F30" s="9" t="n">
        <v>13.853</v>
      </c>
      <c r="G30" s="10" t="n">
        <v>0.4511</v>
      </c>
      <c r="H30" s="7" t="inlineStr">
        <is>
          <t>V0</t>
        </is>
      </c>
      <c r="J30" s="7" t="inlineStr">
        <is>
          <t>V</t>
        </is>
      </c>
    </row>
    <row r="31">
      <c r="B31" s="7" t="inlineStr">
        <is>
          <t>707030</t>
        </is>
      </c>
      <c r="C31" s="8" t="inlineStr">
        <is>
          <t>VTES MSES NEGOCES EXPORT</t>
        </is>
      </c>
      <c r="D31" s="9" t="n">
        <v>209.102</v>
      </c>
      <c r="E31" s="9" t="n">
        <v>21.829</v>
      </c>
      <c r="F31" s="9" t="n">
        <v>187.273</v>
      </c>
      <c r="G31" s="10" t="n">
        <v>8.5791</v>
      </c>
      <c r="H31" s="7" t="inlineStr">
        <is>
          <t>V0</t>
        </is>
      </c>
      <c r="J31" s="7" t="inlineStr">
        <is>
          <t>V</t>
        </is>
      </c>
    </row>
    <row r="32">
      <c r="B32" s="7" t="inlineStr">
        <is>
          <t>708000</t>
        </is>
      </c>
      <c r="C32" s="8" t="inlineStr">
        <is>
          <t>FRAIS ADMINISTRATIFS FRANCE</t>
        </is>
      </c>
      <c r="D32" s="9" t="n">
        <v>9.601000000000001</v>
      </c>
      <c r="E32" s="9" t="n">
        <v>-1.325</v>
      </c>
      <c r="F32" s="9" t="n">
        <v>10.926</v>
      </c>
      <c r="G32" s="10" t="n">
        <v>8.246</v>
      </c>
      <c r="H32" s="7" t="inlineStr">
        <is>
          <t>V0</t>
        </is>
      </c>
      <c r="J32" s="7" t="inlineStr">
        <is>
          <t>V</t>
        </is>
      </c>
    </row>
    <row r="33">
      <c r="B33" s="7" t="inlineStr">
        <is>
          <t>708010</t>
        </is>
      </c>
      <c r="C33" s="8" t="inlineStr">
        <is>
          <t>FRAIS ADMIN UE</t>
        </is>
      </c>
      <c r="D33" s="9" t="n">
        <v>1.24</v>
      </c>
      <c r="E33" s="9" t="n">
        <v>0.14</v>
      </c>
      <c r="F33" s="9" t="n">
        <v>1.1</v>
      </c>
      <c r="G33" s="10" t="n">
        <v>7.8571</v>
      </c>
      <c r="H33" s="7" t="inlineStr">
        <is>
          <t>V0</t>
        </is>
      </c>
      <c r="J33" s="7" t="inlineStr">
        <is>
          <t>V</t>
        </is>
      </c>
    </row>
    <row r="34">
      <c r="B34" s="7" t="inlineStr">
        <is>
          <t>708020</t>
        </is>
      </c>
      <c r="C34" s="8" t="inlineStr">
        <is>
          <t>FRAIS ADMIN DOM TOM</t>
        </is>
      </c>
      <c r="D34" s="9" t="n">
        <v>0.16</v>
      </c>
      <c r="E34" s="9" t="n">
        <v>0.08</v>
      </c>
      <c r="F34" s="9" t="n">
        <v>0.08</v>
      </c>
      <c r="G34" s="10" t="n">
        <v>1</v>
      </c>
      <c r="H34" s="7" t="inlineStr">
        <is>
          <t>V0</t>
        </is>
      </c>
      <c r="J34" s="7" t="inlineStr">
        <is>
          <t>V</t>
        </is>
      </c>
    </row>
    <row r="35">
      <c r="B35" s="7" t="inlineStr">
        <is>
          <t>708030</t>
        </is>
      </c>
      <c r="C35" s="8" t="inlineStr">
        <is>
          <t>FRAIS ADMIN EXPORT</t>
        </is>
      </c>
      <c r="D35" s="9" t="n">
        <v>0.3</v>
      </c>
      <c r="E35" s="9" t="n">
        <v>0.045</v>
      </c>
      <c r="F35" s="9" t="n">
        <v>0.255</v>
      </c>
      <c r="G35" s="10" t="n">
        <v>5.6667</v>
      </c>
      <c r="H35" s="7" t="inlineStr">
        <is>
          <t>V0</t>
        </is>
      </c>
      <c r="J35" s="7" t="inlineStr">
        <is>
          <t>V</t>
        </is>
      </c>
    </row>
    <row r="36">
      <c r="B36" s="7" t="inlineStr">
        <is>
          <t>708500</t>
        </is>
      </c>
      <c r="C36" s="8" t="inlineStr">
        <is>
          <t>VTES DE TRANSPORT France</t>
        </is>
      </c>
      <c r="D36" s="9" t="n">
        <v>142.382</v>
      </c>
      <c r="E36" s="9" t="n">
        <v>87.06999999999999</v>
      </c>
      <c r="F36" s="9" t="n">
        <v>55.312</v>
      </c>
      <c r="G36" s="10" t="n">
        <v>0.6353</v>
      </c>
      <c r="H36" s="7" t="inlineStr">
        <is>
          <t>V0</t>
        </is>
      </c>
      <c r="J36" s="7" t="inlineStr">
        <is>
          <t>V</t>
        </is>
      </c>
    </row>
    <row r="37">
      <c r="B37" s="7" t="inlineStr">
        <is>
          <t>708510</t>
        </is>
      </c>
      <c r="C37" s="8" t="inlineStr">
        <is>
          <t>VTES DE TRANSPORT UNION EUROPEENN</t>
        </is>
      </c>
      <c r="D37" s="9" t="n">
        <v>115.953</v>
      </c>
      <c r="E37" s="9" t="n">
        <v>4.288</v>
      </c>
      <c r="F37" s="9" t="n">
        <v>111.665</v>
      </c>
      <c r="G37" s="10" t="n">
        <v>26.0413</v>
      </c>
      <c r="H37" s="7" t="inlineStr">
        <is>
          <t>V0</t>
        </is>
      </c>
      <c r="J37" s="7" t="inlineStr">
        <is>
          <t>V</t>
        </is>
      </c>
    </row>
    <row r="38">
      <c r="B38" s="7" t="inlineStr">
        <is>
          <t>708520</t>
        </is>
      </c>
      <c r="C38" s="8" t="inlineStr">
        <is>
          <t>VTES DE TRANSPORT DOM TOM</t>
        </is>
      </c>
      <c r="D38" s="9" t="n">
        <v>1.773</v>
      </c>
      <c r="E38" s="9" t="n">
        <v>0.673</v>
      </c>
      <c r="F38" s="9" t="n">
        <v>1.1</v>
      </c>
      <c r="G38" s="10" t="n">
        <v>1.6345</v>
      </c>
      <c r="H38" s="7" t="inlineStr">
        <is>
          <t>V0</t>
        </is>
      </c>
      <c r="J38" s="7" t="inlineStr">
        <is>
          <t>V</t>
        </is>
      </c>
    </row>
    <row r="39">
      <c r="B39" s="7" t="inlineStr">
        <is>
          <t>708530</t>
        </is>
      </c>
      <c r="C39" s="8" t="inlineStr">
        <is>
          <t>VTES DE TRANSPORT EXPORT</t>
        </is>
      </c>
      <c r="D39" s="9" t="n">
        <v>74.572</v>
      </c>
      <c r="E39" s="9" t="n">
        <v>0.02</v>
      </c>
      <c r="F39" s="9" t="n">
        <v>74.55200000000001</v>
      </c>
      <c r="G39" s="10" t="n">
        <v>3727.6</v>
      </c>
      <c r="H39" s="7" t="inlineStr">
        <is>
          <t>V0</t>
        </is>
      </c>
      <c r="J39" s="7" t="inlineStr">
        <is>
          <t>V</t>
        </is>
      </c>
    </row>
    <row r="40">
      <c r="B40" s="7" t="inlineStr">
        <is>
          <t>708800</t>
        </is>
      </c>
      <c r="C40" s="8" t="inlineStr">
        <is>
          <t>VTES DIVERSES France</t>
        </is>
      </c>
      <c r="D40" s="9" t="n">
        <v>12.442</v>
      </c>
      <c r="E40" s="9" t="n">
        <v>5.031</v>
      </c>
      <c r="F40" s="9" t="n">
        <v>7.411</v>
      </c>
      <c r="G40" s="10" t="n">
        <v>1.4731</v>
      </c>
      <c r="H40" s="7" t="inlineStr">
        <is>
          <t>V0</t>
        </is>
      </c>
      <c r="J40" s="7" t="inlineStr">
        <is>
          <t>V</t>
        </is>
      </c>
    </row>
    <row r="41">
      <c r="B41" s="7" t="inlineStr">
        <is>
          <t>708801</t>
        </is>
      </c>
      <c r="C41" s="8" t="inlineStr">
        <is>
          <t>VTE DIVERSES GROUPE</t>
        </is>
      </c>
      <c r="D41" s="9" t="n">
        <v>513.054</v>
      </c>
      <c r="E41" s="9" t="n">
        <v>468.716</v>
      </c>
      <c r="F41" s="9" t="n">
        <v>44.338</v>
      </c>
      <c r="G41" s="10" t="n">
        <v>0.0946</v>
      </c>
      <c r="H41" s="7" t="inlineStr">
        <is>
          <t>V0</t>
        </is>
      </c>
      <c r="J41" s="7" t="inlineStr">
        <is>
          <t>V</t>
        </is>
      </c>
    </row>
    <row r="42">
      <c r="B42" s="7" t="inlineStr">
        <is>
          <t>709100</t>
        </is>
      </c>
      <c r="C42" s="8" t="inlineStr">
        <is>
          <t>V AVOIR BFA</t>
        </is>
      </c>
      <c r="D42" s="9" t="n">
        <v>-80.702</v>
      </c>
      <c r="E42" s="9" t="n">
        <v>-41.004</v>
      </c>
      <c r="F42" s="9" t="n">
        <v>-39.698</v>
      </c>
      <c r="G42" s="10" t="n">
        <v>-0.9681</v>
      </c>
      <c r="H42" s="7" t="inlineStr">
        <is>
          <t>V0</t>
        </is>
      </c>
      <c r="J42" s="7" t="inlineStr">
        <is>
          <t>V</t>
        </is>
      </c>
    </row>
    <row r="43">
      <c r="B43" s="7" t="inlineStr">
        <is>
          <t>781740</t>
        </is>
      </c>
      <c r="C43" s="8" t="inlineStr">
        <is>
          <t>REPRISE PROVISION DEPRECIATION CREA</t>
        </is>
      </c>
      <c r="D43" s="9" t="n">
        <v>1.978</v>
      </c>
      <c r="E43" s="9" t="n">
        <v>1.211</v>
      </c>
      <c r="F43" s="9" t="n">
        <v>0.767</v>
      </c>
      <c r="G43" s="10" t="n">
        <v>0.6334</v>
      </c>
      <c r="H43" s="7" t="inlineStr">
        <is>
          <t>V0</t>
        </is>
      </c>
      <c r="J43" s="7" t="inlineStr">
        <is>
          <t>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P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425000</t>
        </is>
      </c>
      <c r="C11" s="8" t="inlineStr">
        <is>
          <t>PERSONNEL AVANCES ET ACOMPTES</t>
        </is>
      </c>
      <c r="D11" s="9" t="n">
        <v>3</v>
      </c>
      <c r="E11" s="9" t="n">
        <v>0</v>
      </c>
      <c r="F11" s="9" t="n">
        <v>3</v>
      </c>
      <c r="G11" s="8" t="inlineStr">
        <is>
          <t>n/a</t>
        </is>
      </c>
      <c r="H11" s="7" t="inlineStr">
        <is>
          <t>P0</t>
        </is>
      </c>
      <c r="J11" s="7" t="inlineStr">
        <is>
          <t>P</t>
        </is>
      </c>
    </row>
    <row r="12">
      <c r="B12" s="7" t="inlineStr">
        <is>
          <t>428600</t>
        </is>
      </c>
      <c r="C12" s="8" t="inlineStr">
        <is>
          <t>PROVISIONS CHARGES A PAYER</t>
        </is>
      </c>
      <c r="D12" s="9" t="n">
        <v>1.643</v>
      </c>
      <c r="E12" s="9" t="n">
        <v>1.643</v>
      </c>
      <c r="F12" s="9" t="n">
        <v>0</v>
      </c>
      <c r="G12" s="10" t="n">
        <v>0</v>
      </c>
      <c r="H12" s="7" t="inlineStr">
        <is>
          <t>P0</t>
        </is>
      </c>
      <c r="J12" s="7" t="inlineStr">
        <is>
          <t>P</t>
        </is>
      </c>
    </row>
    <row r="13">
      <c r="B13" s="7" t="inlineStr">
        <is>
          <t>438700</t>
        </is>
      </c>
      <c r="C13" s="8" t="inlineStr">
        <is>
          <t>ORGANISMES PRODUITS A RECEVOIR</t>
        </is>
      </c>
      <c r="D13" s="9" t="n">
        <v>8.638</v>
      </c>
      <c r="E13" s="9" t="n">
        <v>17.231</v>
      </c>
      <c r="F13" s="9" t="n">
        <v>-8.593</v>
      </c>
      <c r="G13" s="10" t="n">
        <v>-0.4987</v>
      </c>
      <c r="H13" s="7" t="inlineStr">
        <is>
          <t>P0</t>
        </is>
      </c>
      <c r="J13" s="7" t="inlineStr">
        <is>
          <t>P</t>
        </is>
      </c>
    </row>
    <row r="15">
      <c r="B15" s="11" t="inlineStr">
        <is>
          <t>PASSIF</t>
        </is>
      </c>
    </row>
    <row r="16">
      <c r="B16" s="7" t="inlineStr">
        <is>
          <t>421000</t>
        </is>
      </c>
      <c r="C16" s="8" t="inlineStr">
        <is>
          <t>REMUNERATIONS DUES AU PERSONNEL</t>
        </is>
      </c>
      <c r="D16" s="9" t="n">
        <v>2.404</v>
      </c>
      <c r="E16" s="9" t="n">
        <v>1.753</v>
      </c>
      <c r="F16" s="9" t="n">
        <v>0.651</v>
      </c>
      <c r="G16" s="10" t="n">
        <v>0.3714</v>
      </c>
      <c r="H16" s="7" t="inlineStr">
        <is>
          <t>P0</t>
        </is>
      </c>
      <c r="J16" s="7" t="inlineStr">
        <is>
          <t>P</t>
        </is>
      </c>
    </row>
    <row r="17">
      <c r="B17" s="7" t="inlineStr">
        <is>
          <t>423100</t>
        </is>
      </c>
      <c r="C17" s="8" t="inlineStr">
        <is>
          <t>NOTES DE FRAIS DES SALARIES</t>
        </is>
      </c>
      <c r="D17" s="9" t="n">
        <v>7.691</v>
      </c>
      <c r="E17" s="9" t="n">
        <v>7.667</v>
      </c>
      <c r="F17" s="9" t="n">
        <v>0.024</v>
      </c>
      <c r="G17" s="10" t="n">
        <v>0.0031</v>
      </c>
      <c r="H17" s="7" t="inlineStr">
        <is>
          <t>P0</t>
        </is>
      </c>
      <c r="J17" s="7" t="inlineStr">
        <is>
          <t>P</t>
        </is>
      </c>
    </row>
    <row r="18">
      <c r="B18" s="7" t="inlineStr">
        <is>
          <t>428200</t>
        </is>
      </c>
      <c r="C18" s="8" t="inlineStr">
        <is>
          <t>PROVISIONS POUR CONGES PAYES</t>
        </is>
      </c>
      <c r="D18" s="9" t="n">
        <v>88.017</v>
      </c>
      <c r="E18" s="9" t="n">
        <v>88.017</v>
      </c>
      <c r="F18" s="9" t="n">
        <v>0</v>
      </c>
      <c r="G18" s="10" t="n">
        <v>0</v>
      </c>
      <c r="H18" s="7" t="inlineStr">
        <is>
          <t>P0</t>
        </is>
      </c>
      <c r="J18" s="7" t="inlineStr">
        <is>
          <t>P</t>
        </is>
      </c>
    </row>
    <row r="19">
      <c r="B19" s="7" t="inlineStr">
        <is>
          <t>428210</t>
        </is>
      </c>
      <c r="C19" s="8" t="inlineStr">
        <is>
          <t>PROVISIONS SALAIRE ET PRIME OBJECTI</t>
        </is>
      </c>
      <c r="D19" s="9" t="n">
        <v>-0</v>
      </c>
      <c r="E19" s="9" t="n">
        <v>3.5</v>
      </c>
      <c r="F19" s="9" t="n">
        <v>-3.5</v>
      </c>
      <c r="G19" s="10" t="n">
        <v>-1</v>
      </c>
      <c r="H19" s="7" t="inlineStr">
        <is>
          <t>P0</t>
        </is>
      </c>
      <c r="J19" s="7" t="inlineStr">
        <is>
          <t>P</t>
        </is>
      </c>
    </row>
    <row r="20">
      <c r="B20" s="7" t="inlineStr">
        <is>
          <t>431000</t>
        </is>
      </c>
      <c r="C20" s="8" t="inlineStr">
        <is>
          <t>CAISSE URSSAF</t>
        </is>
      </c>
      <c r="D20" s="9" t="n">
        <v>77.672</v>
      </c>
      <c r="E20" s="9" t="n">
        <v>67.7</v>
      </c>
      <c r="F20" s="9" t="n">
        <v>9.972</v>
      </c>
      <c r="G20" s="10" t="n">
        <v>0.1473</v>
      </c>
      <c r="H20" s="7" t="inlineStr">
        <is>
          <t>P0</t>
        </is>
      </c>
      <c r="J20" s="7" t="inlineStr">
        <is>
          <t>P</t>
        </is>
      </c>
    </row>
    <row r="21">
      <c r="B21" s="7" t="inlineStr">
        <is>
          <t>437000</t>
        </is>
      </c>
      <c r="C21" s="8" t="inlineStr">
        <is>
          <t>CAISSE RETRAITE ARRCO AG2R</t>
        </is>
      </c>
      <c r="D21" s="9" t="n">
        <v>21.909</v>
      </c>
      <c r="E21" s="9" t="n">
        <v>19.427</v>
      </c>
      <c r="F21" s="9" t="n">
        <v>2.482</v>
      </c>
      <c r="G21" s="10" t="n">
        <v>0.1278</v>
      </c>
      <c r="H21" s="7" t="inlineStr">
        <is>
          <t>P0</t>
        </is>
      </c>
      <c r="J21" s="7" t="inlineStr">
        <is>
          <t>P</t>
        </is>
      </c>
    </row>
    <row r="22">
      <c r="B22" s="7" t="inlineStr">
        <is>
          <t>437110</t>
        </is>
      </c>
      <c r="C22" s="8" t="inlineStr">
        <is>
          <t>CAISSE PREVOYANCE COGEVIE</t>
        </is>
      </c>
      <c r="D22" s="9" t="n">
        <v>5.791</v>
      </c>
      <c r="E22" s="9" t="n">
        <v>9.5</v>
      </c>
      <c r="F22" s="9" t="n">
        <v>-3.709</v>
      </c>
      <c r="G22" s="10" t="n">
        <v>-0.3904</v>
      </c>
      <c r="H22" s="7" t="inlineStr">
        <is>
          <t>P0</t>
        </is>
      </c>
      <c r="J22" s="7" t="inlineStr">
        <is>
          <t>P</t>
        </is>
      </c>
    </row>
    <row r="23">
      <c r="B23" s="7" t="inlineStr">
        <is>
          <t>437130</t>
        </is>
      </c>
      <c r="C23" s="8" t="inlineStr">
        <is>
          <t>CAISSE RETRAITE SUPP ARIAL</t>
        </is>
      </c>
      <c r="D23" s="9" t="n">
        <v>13.866</v>
      </c>
      <c r="E23" s="9" t="n">
        <v>11.106</v>
      </c>
      <c r="F23" s="9" t="n">
        <v>2.76</v>
      </c>
      <c r="G23" s="10" t="n">
        <v>0.2485</v>
      </c>
      <c r="H23" s="7" t="inlineStr">
        <is>
          <t>P0</t>
        </is>
      </c>
      <c r="J23" s="7" t="inlineStr">
        <is>
          <t>P</t>
        </is>
      </c>
    </row>
    <row r="24">
      <c r="B24" s="7" t="inlineStr">
        <is>
          <t>437140</t>
        </is>
      </c>
      <c r="C24" s="8" t="inlineStr">
        <is>
          <t>MEDECINE DU TRAVAIL</t>
        </is>
      </c>
      <c r="D24" s="9" t="n">
        <v>11.224</v>
      </c>
      <c r="E24" s="9" t="n">
        <v>7.543</v>
      </c>
      <c r="F24" s="9" t="n">
        <v>3.681</v>
      </c>
      <c r="G24" s="10" t="n">
        <v>0.488</v>
      </c>
      <c r="H24" s="7" t="inlineStr">
        <is>
          <t>P0</t>
        </is>
      </c>
      <c r="J24" s="7" t="inlineStr">
        <is>
          <t>P</t>
        </is>
      </c>
    </row>
    <row r="25">
      <c r="B25" s="7" t="inlineStr">
        <is>
          <t>437150</t>
        </is>
      </c>
      <c r="C25" s="8" t="inlineStr">
        <is>
          <t>MUTUELLE MALAKOFF</t>
        </is>
      </c>
      <c r="D25" s="9" t="n">
        <v>23.04</v>
      </c>
      <c r="E25" s="9" t="n">
        <v>12.908</v>
      </c>
      <c r="F25" s="9" t="n">
        <v>10.132</v>
      </c>
      <c r="G25" s="10" t="n">
        <v>0.7849</v>
      </c>
      <c r="H25" s="7" t="inlineStr">
        <is>
          <t>P0</t>
        </is>
      </c>
      <c r="J25" s="7" t="inlineStr">
        <is>
          <t>P</t>
        </is>
      </c>
    </row>
    <row r="26">
      <c r="B26" s="7" t="inlineStr">
        <is>
          <t>437160</t>
        </is>
      </c>
      <c r="C26" s="8" t="inlineStr">
        <is>
          <t>OPCO - TAXE APPRENTISSAGE &amp; CONTRIB</t>
        </is>
      </c>
      <c r="D26" s="9" t="n">
        <v>8.351000000000001</v>
      </c>
      <c r="E26" s="9" t="n">
        <v>3.853</v>
      </c>
      <c r="F26" s="9" t="n">
        <v>4.498</v>
      </c>
      <c r="G26" s="10" t="n">
        <v>1.1674</v>
      </c>
      <c r="H26" s="7" t="inlineStr">
        <is>
          <t>P0</t>
        </is>
      </c>
      <c r="J26" s="7" t="inlineStr">
        <is>
          <t>P</t>
        </is>
      </c>
    </row>
    <row r="27">
      <c r="B27" s="7" t="inlineStr">
        <is>
          <t>438200</t>
        </is>
      </c>
      <c r="C27" s="8" t="inlineStr">
        <is>
          <t>PROVISIONS CHA SOC SUR CP</t>
        </is>
      </c>
      <c r="D27" s="9" t="n">
        <v>39.956</v>
      </c>
      <c r="E27" s="9" t="n">
        <v>39.956</v>
      </c>
      <c r="F27" s="9" t="n">
        <v>0</v>
      </c>
      <c r="G27" s="10" t="n">
        <v>0</v>
      </c>
      <c r="H27" s="7" t="inlineStr">
        <is>
          <t>P0</t>
        </is>
      </c>
      <c r="J27" s="7" t="inlineStr">
        <is>
          <t>P</t>
        </is>
      </c>
    </row>
    <row r="28">
      <c r="B28" s="7" t="inlineStr">
        <is>
          <t>438610</t>
        </is>
      </c>
      <c r="C28" s="8" t="inlineStr">
        <is>
          <t>PROVISIONS CHA SOC SUR PRIMES</t>
        </is>
      </c>
      <c r="D28" s="9" t="n">
        <v>-0</v>
      </c>
      <c r="E28" s="9" t="n">
        <v>1.4</v>
      </c>
      <c r="F28" s="9" t="n">
        <v>-1.4</v>
      </c>
      <c r="G28" s="10" t="n">
        <v>-1</v>
      </c>
      <c r="H28" s="7" t="inlineStr">
        <is>
          <t>P0</t>
        </is>
      </c>
      <c r="J28" s="7" t="inlineStr">
        <is>
          <t>P</t>
        </is>
      </c>
    </row>
    <row r="30">
      <c r="B30" s="11" t="inlineStr">
        <is>
          <t>CHARGES</t>
        </is>
      </c>
    </row>
    <row r="31">
      <c r="B31" s="7" t="inlineStr">
        <is>
          <t>641000</t>
        </is>
      </c>
      <c r="C31" s="8" t="inlineStr">
        <is>
          <t>SALAIRES ET COMMISSIONS</t>
        </is>
      </c>
      <c r="D31" s="9" t="n">
        <v>1370.156</v>
      </c>
      <c r="E31" s="9" t="n">
        <v>1182.863</v>
      </c>
      <c r="F31" s="9" t="n">
        <v>187.293</v>
      </c>
      <c r="G31" s="10" t="n">
        <v>0.1583</v>
      </c>
      <c r="H31" s="7" t="inlineStr">
        <is>
          <t>P0</t>
        </is>
      </c>
      <c r="J31" s="7" t="inlineStr">
        <is>
          <t>P</t>
        </is>
      </c>
    </row>
    <row r="32">
      <c r="B32" s="7" t="inlineStr">
        <is>
          <t>641300</t>
        </is>
      </c>
      <c r="C32" s="8" t="inlineStr">
        <is>
          <t>IJSS</t>
        </is>
      </c>
      <c r="D32" s="9" t="n">
        <v>16.613</v>
      </c>
      <c r="E32" s="9" t="n">
        <v>9.444000000000001</v>
      </c>
      <c r="F32" s="9" t="n">
        <v>7.169</v>
      </c>
      <c r="G32" s="10" t="n">
        <v>0.7591</v>
      </c>
      <c r="H32" s="7" t="inlineStr">
        <is>
          <t>P0</t>
        </is>
      </c>
      <c r="J32" s="7" t="inlineStr">
        <is>
          <t>P</t>
        </is>
      </c>
    </row>
    <row r="33">
      <c r="B33" s="7" t="inlineStr">
        <is>
          <t>641400</t>
        </is>
      </c>
      <c r="C33" s="8" t="inlineStr">
        <is>
          <t>PRIMES</t>
        </is>
      </c>
      <c r="D33" s="9" t="n">
        <v>174.904</v>
      </c>
      <c r="E33" s="9" t="n">
        <v>168.422</v>
      </c>
      <c r="F33" s="9" t="n">
        <v>6.482</v>
      </c>
      <c r="G33" s="10" t="n">
        <v>0.0385</v>
      </c>
      <c r="H33" s="7" t="inlineStr">
        <is>
          <t>P0</t>
        </is>
      </c>
      <c r="J33" s="7" t="inlineStr">
        <is>
          <t>P</t>
        </is>
      </c>
    </row>
    <row r="34">
      <c r="B34" s="7" t="inlineStr">
        <is>
          <t>641420</t>
        </is>
      </c>
      <c r="C34" s="8" t="inlineStr">
        <is>
          <t>INDEMNITE LICENCIEMENT</t>
        </is>
      </c>
      <c r="D34" s="9" t="n">
        <v>44.269</v>
      </c>
      <c r="E34" s="9" t="n">
        <v>29.834</v>
      </c>
      <c r="F34" s="9" t="n">
        <v>14.435</v>
      </c>
      <c r="G34" s="10" t="n">
        <v>0.4838</v>
      </c>
      <c r="H34" s="7" t="inlineStr">
        <is>
          <t>P0</t>
        </is>
      </c>
      <c r="J34" s="7" t="inlineStr">
        <is>
          <t>P</t>
        </is>
      </c>
    </row>
    <row r="35">
      <c r="B35" s="7" t="inlineStr">
        <is>
          <t>641430</t>
        </is>
      </c>
      <c r="C35" s="8" t="inlineStr">
        <is>
          <t>RBSTS TRANSPORT SALARIES</t>
        </is>
      </c>
      <c r="D35" s="9" t="n">
        <v>0.465</v>
      </c>
      <c r="E35" s="9" t="n">
        <v>0</v>
      </c>
      <c r="F35" s="9" t="n">
        <v>0.465</v>
      </c>
      <c r="G35" s="8" t="inlineStr">
        <is>
          <t>n/a</t>
        </is>
      </c>
      <c r="H35" s="7" t="inlineStr">
        <is>
          <t>P0</t>
        </is>
      </c>
      <c r="J35" s="7" t="inlineStr">
        <is>
          <t>P</t>
        </is>
      </c>
    </row>
    <row r="36">
      <c r="B36" s="7" t="inlineStr">
        <is>
          <t>641450</t>
        </is>
      </c>
      <c r="C36" s="8" t="inlineStr">
        <is>
          <t>AVANTAGE EN NATURE</t>
        </is>
      </c>
      <c r="D36" s="9" t="n">
        <v>15.087</v>
      </c>
      <c r="E36" s="9" t="n">
        <v>23.24</v>
      </c>
      <c r="F36" s="9" t="n">
        <v>-8.153</v>
      </c>
      <c r="G36" s="10" t="n">
        <v>-0.3508</v>
      </c>
      <c r="H36" s="7" t="inlineStr">
        <is>
          <t>P0</t>
        </is>
      </c>
      <c r="J36" s="7" t="inlineStr">
        <is>
          <t>P</t>
        </is>
      </c>
    </row>
    <row r="37">
      <c r="B37" s="7" t="inlineStr">
        <is>
          <t>643000</t>
        </is>
      </c>
      <c r="C37" s="8" t="inlineStr">
        <is>
          <t>GRATIFICATIONS</t>
        </is>
      </c>
      <c r="D37" s="9" t="n">
        <v>1.592</v>
      </c>
      <c r="E37" s="9" t="n">
        <v>4.283</v>
      </c>
      <c r="F37" s="9" t="n">
        <v>-2.691</v>
      </c>
      <c r="G37" s="10" t="n">
        <v>-0.6283</v>
      </c>
      <c r="H37" s="7" t="inlineStr">
        <is>
          <t>P0</t>
        </is>
      </c>
      <c r="J37" s="7" t="inlineStr">
        <is>
          <t>P</t>
        </is>
      </c>
    </row>
    <row r="38">
      <c r="B38" s="7" t="inlineStr">
        <is>
          <t>645100</t>
        </is>
      </c>
      <c r="C38" s="8" t="inlineStr">
        <is>
          <t>COTISATIONS URSSAF</t>
        </is>
      </c>
      <c r="D38" s="9" t="n">
        <v>438.273</v>
      </c>
      <c r="E38" s="9" t="n">
        <v>368.903</v>
      </c>
      <c r="F38" s="9" t="n">
        <v>69.37</v>
      </c>
      <c r="G38" s="10" t="n">
        <v>0.188</v>
      </c>
      <c r="H38" s="7" t="inlineStr">
        <is>
          <t>P0</t>
        </is>
      </c>
      <c r="J38" s="7" t="inlineStr">
        <is>
          <t>P</t>
        </is>
      </c>
    </row>
    <row r="39">
      <c r="B39" s="7" t="inlineStr">
        <is>
          <t>645200</t>
        </is>
      </c>
      <c r="C39" s="8" t="inlineStr">
        <is>
          <t>COTISATIONS MUTUELLES</t>
        </is>
      </c>
      <c r="D39" s="9" t="n">
        <v>62.986</v>
      </c>
      <c r="E39" s="9" t="n">
        <v>42.641</v>
      </c>
      <c r="F39" s="9" t="n">
        <v>20.345</v>
      </c>
      <c r="G39" s="10" t="n">
        <v>0.4771</v>
      </c>
      <c r="H39" s="7" t="inlineStr">
        <is>
          <t>P0</t>
        </is>
      </c>
      <c r="J39" s="7" t="inlineStr">
        <is>
          <t>P</t>
        </is>
      </c>
    </row>
    <row r="40">
      <c r="B40" s="7" t="inlineStr">
        <is>
          <t>645300</t>
        </is>
      </c>
      <c r="C40" s="8" t="inlineStr">
        <is>
          <t>COTISATIONS RETRAITES UGRR</t>
        </is>
      </c>
      <c r="D40" s="9" t="n">
        <v>112.544</v>
      </c>
      <c r="E40" s="9" t="n">
        <v>99.21899999999999</v>
      </c>
      <c r="F40" s="9" t="n">
        <v>13.325</v>
      </c>
      <c r="G40" s="10" t="n">
        <v>0.1343</v>
      </c>
      <c r="H40" s="7" t="inlineStr">
        <is>
          <t>P0</t>
        </is>
      </c>
      <c r="J40" s="7" t="inlineStr">
        <is>
          <t>P</t>
        </is>
      </c>
    </row>
    <row r="41">
      <c r="B41" s="7" t="inlineStr">
        <is>
          <t>645320</t>
        </is>
      </c>
      <c r="C41" s="8" t="inlineStr">
        <is>
          <t>CAISSE PREVOYANCE</t>
        </is>
      </c>
      <c r="D41" s="9" t="n">
        <v>23.076</v>
      </c>
      <c r="E41" s="9" t="n">
        <v>18.487</v>
      </c>
      <c r="F41" s="9" t="n">
        <v>4.589</v>
      </c>
      <c r="G41" s="10" t="n">
        <v>0.2482</v>
      </c>
      <c r="H41" s="7" t="inlineStr">
        <is>
          <t>P0</t>
        </is>
      </c>
      <c r="J41" s="7" t="inlineStr">
        <is>
          <t>P</t>
        </is>
      </c>
    </row>
    <row r="42">
      <c r="B42" s="7" t="inlineStr">
        <is>
          <t>645330</t>
        </is>
      </c>
      <c r="C42" s="8" t="inlineStr">
        <is>
          <t>CAISSE RETRAITE SUPPLEMENTAIRE</t>
        </is>
      </c>
      <c r="D42" s="9" t="n">
        <v>29.859</v>
      </c>
      <c r="E42" s="9" t="n">
        <v>25.35</v>
      </c>
      <c r="F42" s="9" t="n">
        <v>4.509</v>
      </c>
      <c r="G42" s="10" t="n">
        <v>0.1779</v>
      </c>
      <c r="H42" s="7" t="inlineStr">
        <is>
          <t>P0</t>
        </is>
      </c>
      <c r="J42" s="7" t="inlineStr">
        <is>
          <t>P</t>
        </is>
      </c>
    </row>
    <row r="43">
      <c r="B43" s="7" t="inlineStr">
        <is>
          <t>645340</t>
        </is>
      </c>
      <c r="C43" s="8" t="inlineStr">
        <is>
          <t>COTISATIONS OPCO</t>
        </is>
      </c>
      <c r="D43" s="9" t="n">
        <v>0.776</v>
      </c>
      <c r="E43" s="9" t="n">
        <v>0.615</v>
      </c>
      <c r="F43" s="9" t="n">
        <v>0.161</v>
      </c>
      <c r="G43" s="10" t="n">
        <v>0.2618</v>
      </c>
      <c r="H43" s="7" t="inlineStr">
        <is>
          <t>P0</t>
        </is>
      </c>
      <c r="J43" s="7" t="inlineStr">
        <is>
          <t>P</t>
        </is>
      </c>
    </row>
    <row r="44">
      <c r="B44" s="7" t="inlineStr">
        <is>
          <t>645800</t>
        </is>
      </c>
      <c r="C44" s="8" t="inlineStr">
        <is>
          <t>PROVISIONS/CHARGES SOCIALES</t>
        </is>
      </c>
      <c r="D44" s="9" t="n">
        <v>-1.4</v>
      </c>
      <c r="E44" s="9" t="n">
        <v>6.443</v>
      </c>
      <c r="F44" s="9" t="n">
        <v>-7.843</v>
      </c>
      <c r="G44" s="10" t="n">
        <v>-1.2173</v>
      </c>
      <c r="H44" s="7" t="inlineStr">
        <is>
          <t>P0</t>
        </is>
      </c>
      <c r="J44" s="7" t="inlineStr">
        <is>
          <t>P</t>
        </is>
      </c>
    </row>
    <row r="45">
      <c r="B45" s="7" t="inlineStr">
        <is>
          <t>647400</t>
        </is>
      </c>
      <c r="C45" s="8" t="inlineStr">
        <is>
          <t>OEUVRES SOCIALES</t>
        </is>
      </c>
      <c r="D45" s="9" t="n">
        <v>8.83</v>
      </c>
      <c r="E45" s="9" t="n">
        <v>6.66</v>
      </c>
      <c r="F45" s="9" t="n">
        <v>2.17</v>
      </c>
      <c r="G45" s="10" t="n">
        <v>0.3258</v>
      </c>
      <c r="H45" s="7" t="inlineStr">
        <is>
          <t>P0</t>
        </is>
      </c>
      <c r="J45" s="7" t="inlineStr">
        <is>
          <t>P</t>
        </is>
      </c>
    </row>
    <row r="46">
      <c r="B46" s="7" t="inlineStr">
        <is>
          <t>647500</t>
        </is>
      </c>
      <c r="C46" s="8" t="inlineStr">
        <is>
          <t>HYGIENE PHARMACIE</t>
        </is>
      </c>
      <c r="D46" s="9" t="n">
        <v>4.869</v>
      </c>
      <c r="E46" s="9" t="n">
        <v>3.471</v>
      </c>
      <c r="F46" s="9" t="n">
        <v>1.398</v>
      </c>
      <c r="G46" s="10" t="n">
        <v>0.4028</v>
      </c>
      <c r="H46" s="7" t="inlineStr">
        <is>
          <t>P0</t>
        </is>
      </c>
      <c r="J46" s="7" t="inlineStr">
        <is>
          <t>P</t>
        </is>
      </c>
    </row>
    <row r="47">
      <c r="B47" s="7" t="inlineStr">
        <is>
          <t>647600</t>
        </is>
      </c>
      <c r="C47" s="8" t="inlineStr">
        <is>
          <t>VETEMENTS DE TRAVAIL</t>
        </is>
      </c>
      <c r="D47" s="9" t="n">
        <v>0.09</v>
      </c>
      <c r="E47" s="9" t="n">
        <v>0</v>
      </c>
      <c r="F47" s="9" t="n">
        <v>0.09</v>
      </c>
      <c r="G47" s="8" t="inlineStr">
        <is>
          <t>n/a</t>
        </is>
      </c>
      <c r="H47" s="7" t="inlineStr">
        <is>
          <t>P0</t>
        </is>
      </c>
      <c r="J47" s="7" t="inlineStr">
        <is>
          <t>P</t>
        </is>
      </c>
    </row>
    <row r="48">
      <c r="B48" s="7" t="inlineStr">
        <is>
          <t>648100</t>
        </is>
      </c>
      <c r="C48" s="8" t="inlineStr">
        <is>
          <t>CONTRIBUTION CSP</t>
        </is>
      </c>
      <c r="D48" s="9" t="n">
        <v>8.138</v>
      </c>
      <c r="E48" s="9" t="n">
        <v>0</v>
      </c>
      <c r="F48" s="9" t="n">
        <v>8.138</v>
      </c>
      <c r="G48" s="8" t="inlineStr">
        <is>
          <t>n/a</t>
        </is>
      </c>
      <c r="H48" s="7" t="inlineStr">
        <is>
          <t>P0</t>
        </is>
      </c>
      <c r="J48" s="7" t="inlineStr">
        <is>
          <t>P</t>
        </is>
      </c>
    </row>
    <row r="49">
      <c r="B49" s="7" t="inlineStr">
        <is>
          <t>649000</t>
        </is>
      </c>
      <c r="C49" s="8" t="inlineStr">
        <is>
          <t>AVANTAGES EN NATURE</t>
        </is>
      </c>
      <c r="D49" s="9" t="n">
        <v>-15.123</v>
      </c>
      <c r="E49" s="9" t="n">
        <v>0</v>
      </c>
      <c r="F49" s="9" t="n">
        <v>-15.123</v>
      </c>
      <c r="G49" s="8" t="inlineStr">
        <is>
          <t>n/a</t>
        </is>
      </c>
      <c r="H49" s="7" t="inlineStr">
        <is>
          <t>P0</t>
        </is>
      </c>
      <c r="J49" s="7" t="inlineStr">
        <is>
          <t>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E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444000</t>
        </is>
      </c>
      <c r="C11" s="8" t="inlineStr">
        <is>
          <t>ETAT IMPOT SUR LES BENEFICES</t>
        </is>
      </c>
      <c r="D11" s="9" t="n">
        <v>761.204</v>
      </c>
      <c r="E11" s="9" t="n">
        <v>597.479</v>
      </c>
      <c r="F11" s="9" t="n">
        <v>163.725</v>
      </c>
      <c r="G11" s="10" t="n">
        <v>0.274</v>
      </c>
      <c r="H11" s="7" t="inlineStr">
        <is>
          <t>E0</t>
        </is>
      </c>
      <c r="J11" s="7" t="inlineStr">
        <is>
          <t>E</t>
        </is>
      </c>
    </row>
    <row r="12">
      <c r="B12" s="7" t="inlineStr">
        <is>
          <t>445665</t>
        </is>
      </c>
      <c r="C12" s="8" t="inlineStr">
        <is>
          <t>TVA DED INTRACOMMUNAUTAIRE</t>
        </is>
      </c>
      <c r="D12" s="9" t="n">
        <v>-0</v>
      </c>
      <c r="E12" s="9" t="n">
        <v>0</v>
      </c>
      <c r="F12" s="9" t="n">
        <v>-0</v>
      </c>
      <c r="G12" s="8" t="inlineStr">
        <is>
          <t>n/a</t>
        </is>
      </c>
      <c r="H12" s="7" t="inlineStr">
        <is>
          <t>E0</t>
        </is>
      </c>
      <c r="J12" s="7" t="inlineStr">
        <is>
          <t>E</t>
        </is>
      </c>
    </row>
    <row r="13">
      <c r="B13" s="7" t="inlineStr">
        <is>
          <t>445667</t>
        </is>
      </c>
      <c r="C13" s="8" t="inlineStr">
        <is>
          <t>TVA DED IMPORTATION AUTOLIQUIDATION</t>
        </is>
      </c>
      <c r="D13" s="9" t="n">
        <v>0</v>
      </c>
      <c r="E13" s="9" t="n">
        <v>0</v>
      </c>
      <c r="F13" s="9" t="n">
        <v>0</v>
      </c>
      <c r="G13" s="8" t="inlineStr">
        <is>
          <t>n/a</t>
        </is>
      </c>
      <c r="H13" s="7" t="inlineStr">
        <is>
          <t>E0</t>
        </is>
      </c>
      <c r="J13" s="7" t="inlineStr">
        <is>
          <t>E</t>
        </is>
      </c>
    </row>
    <row r="14">
      <c r="B14" s="7" t="inlineStr">
        <is>
          <t>445668</t>
        </is>
      </c>
      <c r="C14" s="8" t="inlineStr">
        <is>
          <t>TVA DED SUR BIENS-SERVICES 20.0%</t>
        </is>
      </c>
      <c r="D14" s="9" t="n">
        <v>0.054</v>
      </c>
      <c r="E14" s="9" t="n">
        <v>0.018</v>
      </c>
      <c r="F14" s="9" t="n">
        <v>0.036</v>
      </c>
      <c r="G14" s="10" t="n">
        <v>2</v>
      </c>
      <c r="H14" s="7" t="inlineStr">
        <is>
          <t>E0</t>
        </is>
      </c>
      <c r="J14" s="7" t="inlineStr">
        <is>
          <t>E</t>
        </is>
      </c>
    </row>
    <row r="15">
      <c r="B15" s="7" t="inlineStr">
        <is>
          <t>445670</t>
        </is>
      </c>
      <c r="C15" s="8" t="inlineStr">
        <is>
          <t>CREDIT DE TVA</t>
        </is>
      </c>
      <c r="D15" s="9" t="n">
        <v>0</v>
      </c>
      <c r="E15" s="9" t="n">
        <v>0</v>
      </c>
      <c r="F15" s="9" t="n">
        <v>0</v>
      </c>
      <c r="G15" s="8" t="inlineStr">
        <is>
          <t>n/a</t>
        </is>
      </c>
      <c r="H15" s="7" t="inlineStr">
        <is>
          <t>E0</t>
        </is>
      </c>
      <c r="J15" s="7" t="inlineStr">
        <is>
          <t>E</t>
        </is>
      </c>
    </row>
    <row r="16">
      <c r="B16" s="7" t="inlineStr">
        <is>
          <t>445671</t>
        </is>
      </c>
      <c r="C16" s="8" t="inlineStr">
        <is>
          <t>TVA DED SUR DECAISSEMENTS 20.0%</t>
        </is>
      </c>
      <c r="D16" s="9" t="n">
        <v>15.862</v>
      </c>
      <c r="E16" s="9" t="n">
        <v>29.411</v>
      </c>
      <c r="F16" s="9" t="n">
        <v>-13.549</v>
      </c>
      <c r="G16" s="10" t="n">
        <v>-0.4607</v>
      </c>
      <c r="H16" s="7" t="inlineStr">
        <is>
          <t>E0</t>
        </is>
      </c>
      <c r="J16" s="7" t="inlineStr">
        <is>
          <t>E</t>
        </is>
      </c>
    </row>
    <row r="17">
      <c r="B17" s="7" t="inlineStr">
        <is>
          <t>445712</t>
        </is>
      </c>
      <c r="C17" s="8" t="inlineStr">
        <is>
          <t>TVA COLLECTEE INTRACOMMUNAUTAIRE</t>
        </is>
      </c>
      <c r="D17" s="9" t="n">
        <v>0</v>
      </c>
      <c r="E17" s="9" t="n">
        <v>0</v>
      </c>
      <c r="F17" s="9" t="n">
        <v>0</v>
      </c>
      <c r="G17" s="8" t="inlineStr">
        <is>
          <t>n/a</t>
        </is>
      </c>
      <c r="H17" s="7" t="inlineStr">
        <is>
          <t>E0</t>
        </is>
      </c>
      <c r="J17" s="7" t="inlineStr">
        <is>
          <t>E</t>
        </is>
      </c>
    </row>
    <row r="18">
      <c r="B18" s="7" t="inlineStr">
        <is>
          <t>445713</t>
        </is>
      </c>
      <c r="C18" s="8" t="inlineStr">
        <is>
          <t>TVA COLL SUR IMPORTATION AUTOLIQUID</t>
        </is>
      </c>
      <c r="D18" s="9" t="n">
        <v>0</v>
      </c>
      <c r="E18" s="9" t="n">
        <v>0</v>
      </c>
      <c r="F18" s="9" t="n">
        <v>0</v>
      </c>
      <c r="G18" s="8" t="inlineStr">
        <is>
          <t>n/a</t>
        </is>
      </c>
      <c r="H18" s="7" t="inlineStr">
        <is>
          <t>E0</t>
        </is>
      </c>
      <c r="J18" s="7" t="inlineStr">
        <is>
          <t>E</t>
        </is>
      </c>
    </row>
    <row r="19">
      <c r="B19" s="7" t="inlineStr">
        <is>
          <t>445715</t>
        </is>
      </c>
      <c r="C19" s="8" t="inlineStr">
        <is>
          <t>TVA COLLECTEE SUR FACTURES 20%</t>
        </is>
      </c>
      <c r="D19" s="9" t="n">
        <v>-37.179</v>
      </c>
      <c r="E19" s="9" t="n">
        <v>0</v>
      </c>
      <c r="F19" s="9" t="n">
        <v>-37.179</v>
      </c>
      <c r="G19" s="8" t="inlineStr">
        <is>
          <t>n/a</t>
        </is>
      </c>
      <c r="H19" s="7" t="inlineStr">
        <is>
          <t>E0</t>
        </is>
      </c>
      <c r="J19" s="7" t="inlineStr">
        <is>
          <t>E</t>
        </is>
      </c>
    </row>
    <row r="20">
      <c r="B20" s="7" t="inlineStr">
        <is>
          <t>448602</t>
        </is>
      </c>
      <c r="C20" s="8" t="inlineStr">
        <is>
          <t>PROVISION TAXE APPRENTISSAGE</t>
        </is>
      </c>
      <c r="D20" s="9" t="n">
        <v>-1.189</v>
      </c>
      <c r="E20" s="9" t="n">
        <v>0</v>
      </c>
      <c r="F20" s="9" t="n">
        <v>-1.189</v>
      </c>
      <c r="G20" s="8" t="inlineStr">
        <is>
          <t>n/a</t>
        </is>
      </c>
      <c r="H20" s="7" t="inlineStr">
        <is>
          <t>E0</t>
        </is>
      </c>
      <c r="J20" s="7" t="inlineStr">
        <is>
          <t>E</t>
        </is>
      </c>
    </row>
    <row r="22">
      <c r="B22" s="11" t="inlineStr">
        <is>
          <t>PASSIF</t>
        </is>
      </c>
    </row>
    <row r="23">
      <c r="B23" s="7" t="inlineStr">
        <is>
          <t>442100</t>
        </is>
      </c>
      <c r="C23" s="8" t="inlineStr">
        <is>
          <t>PRELEVEMENT A LA SOURCE</t>
        </is>
      </c>
      <c r="D23" s="9" t="n">
        <v>9.851000000000001</v>
      </c>
      <c r="E23" s="9" t="n">
        <v>9.612</v>
      </c>
      <c r="F23" s="9" t="n">
        <v>0.239</v>
      </c>
      <c r="G23" s="10" t="n">
        <v>0.0249</v>
      </c>
      <c r="H23" s="7" t="inlineStr">
        <is>
          <t>E0</t>
        </is>
      </c>
      <c r="J23" s="7" t="inlineStr">
        <is>
          <t>E</t>
        </is>
      </c>
    </row>
    <row r="24">
      <c r="B24" s="7" t="inlineStr">
        <is>
          <t>445500</t>
        </is>
      </c>
      <c r="C24" s="8" t="inlineStr">
        <is>
          <t>TVA DUE</t>
        </is>
      </c>
      <c r="D24" s="9" t="n">
        <v>62.769</v>
      </c>
      <c r="E24" s="9" t="n">
        <v>50.853</v>
      </c>
      <c r="F24" s="9" t="n">
        <v>11.916</v>
      </c>
      <c r="G24" s="10" t="n">
        <v>0.2343</v>
      </c>
      <c r="H24" s="7" t="inlineStr">
        <is>
          <t>E0</t>
        </is>
      </c>
      <c r="J24" s="7" t="inlineStr">
        <is>
          <t>E</t>
        </is>
      </c>
    </row>
    <row r="25">
      <c r="B25" s="7" t="inlineStr">
        <is>
          <t>445620</t>
        </is>
      </c>
      <c r="C25" s="8" t="inlineStr">
        <is>
          <t>TVA DED SUR IMMOBILISATION 20.0%</t>
        </is>
      </c>
      <c r="D25" s="9" t="n">
        <v>-0</v>
      </c>
      <c r="E25" s="9" t="n">
        <v>0.007</v>
      </c>
      <c r="F25" s="9" t="n">
        <v>-0.007</v>
      </c>
      <c r="G25" s="10" t="n">
        <v>-1</v>
      </c>
      <c r="H25" s="7" t="inlineStr">
        <is>
          <t>E0</t>
        </is>
      </c>
      <c r="J25" s="7" t="inlineStr">
        <is>
          <t>E</t>
        </is>
      </c>
    </row>
    <row r="26">
      <c r="B26" s="7" t="inlineStr">
        <is>
          <t>445661</t>
        </is>
      </c>
      <c r="C26" s="8" t="inlineStr">
        <is>
          <t>TVA DED SUR BIENS-SERVICES 5.50%</t>
        </is>
      </c>
      <c r="D26" s="9" t="n">
        <v>-0</v>
      </c>
      <c r="E26" s="9" t="n">
        <v>-0</v>
      </c>
      <c r="F26" s="9" t="n">
        <v>0</v>
      </c>
      <c r="G26" s="8" t="inlineStr">
        <is>
          <t>n/a</t>
        </is>
      </c>
      <c r="H26" s="7" t="inlineStr">
        <is>
          <t>E0</t>
        </is>
      </c>
      <c r="J26" s="7" t="inlineStr">
        <is>
          <t>E</t>
        </is>
      </c>
    </row>
    <row r="27">
      <c r="B27" s="7" t="inlineStr">
        <is>
          <t>448600</t>
        </is>
      </c>
      <c r="C27" s="8" t="inlineStr">
        <is>
          <t>ETAT CHARGES A PAYER</t>
        </is>
      </c>
      <c r="D27" s="9" t="n">
        <v>2</v>
      </c>
      <c r="E27" s="9" t="n">
        <v>1.546</v>
      </c>
      <c r="F27" s="9" t="n">
        <v>0.454</v>
      </c>
      <c r="G27" s="10" t="n">
        <v>0.2937</v>
      </c>
      <c r="H27" s="7" t="inlineStr">
        <is>
          <t>E0</t>
        </is>
      </c>
      <c r="J27" s="7" t="inlineStr">
        <is>
          <t>E</t>
        </is>
      </c>
    </row>
    <row r="29">
      <c r="B29" s="11" t="inlineStr">
        <is>
          <t>CHARGES</t>
        </is>
      </c>
    </row>
    <row r="30">
      <c r="B30" s="7" t="inlineStr">
        <is>
          <t>633300</t>
        </is>
      </c>
      <c r="C30" s="8" t="inlineStr">
        <is>
          <t>FORMATION PROFESSIONNELLE CONTINUE</t>
        </is>
      </c>
      <c r="D30" s="9" t="n">
        <v>19.385</v>
      </c>
      <c r="E30" s="9" t="n">
        <v>18.827</v>
      </c>
      <c r="F30" s="9" t="n">
        <v>0.5580000000000001</v>
      </c>
      <c r="G30" s="10" t="n">
        <v>0.0296</v>
      </c>
      <c r="H30" s="7" t="inlineStr">
        <is>
          <t>E0</t>
        </is>
      </c>
      <c r="J30" s="7" t="inlineStr">
        <is>
          <t>E</t>
        </is>
      </c>
    </row>
    <row r="31">
      <c r="B31" s="7" t="inlineStr">
        <is>
          <t>633500</t>
        </is>
      </c>
      <c r="C31" s="8" t="inlineStr">
        <is>
          <t>TAXE D'APPRENTISSAGE</t>
        </is>
      </c>
      <c r="D31" s="9" t="n">
        <v>11.743</v>
      </c>
      <c r="E31" s="9" t="n">
        <v>9.034000000000001</v>
      </c>
      <c r="F31" s="9" t="n">
        <v>2.709</v>
      </c>
      <c r="G31" s="10" t="n">
        <v>0.2999</v>
      </c>
      <c r="H31" s="7" t="inlineStr">
        <is>
          <t>E0</t>
        </is>
      </c>
      <c r="J31" s="7" t="inlineStr">
        <is>
          <t>E</t>
        </is>
      </c>
    </row>
    <row r="32">
      <c r="B32" s="7" t="inlineStr">
        <is>
          <t>635140</t>
        </is>
      </c>
      <c r="C32" s="8" t="inlineStr">
        <is>
          <t>TAXE VEHICULE SOCIETE</t>
        </is>
      </c>
      <c r="D32" s="9" t="n">
        <v>2</v>
      </c>
      <c r="E32" s="9" t="n">
        <v>1.546</v>
      </c>
      <c r="F32" s="9" t="n">
        <v>0.454</v>
      </c>
      <c r="G32" s="10" t="n">
        <v>0.2937</v>
      </c>
      <c r="H32" s="7" t="inlineStr">
        <is>
          <t>E0</t>
        </is>
      </c>
      <c r="J32" s="7" t="inlineStr">
        <is>
          <t>E</t>
        </is>
      </c>
    </row>
    <row r="33">
      <c r="B33" s="7" t="inlineStr">
        <is>
          <t>635160</t>
        </is>
      </c>
      <c r="C33" s="8" t="inlineStr">
        <is>
          <t>CFE</t>
        </is>
      </c>
      <c r="D33" s="9" t="n">
        <v>25.648</v>
      </c>
      <c r="E33" s="9" t="n">
        <v>26.133</v>
      </c>
      <c r="F33" s="9" t="n">
        <v>-0.485</v>
      </c>
      <c r="G33" s="10" t="n">
        <v>-0.0186</v>
      </c>
      <c r="H33" s="7" t="inlineStr">
        <is>
          <t>E0</t>
        </is>
      </c>
      <c r="J33" s="7" t="inlineStr">
        <is>
          <t>E</t>
        </is>
      </c>
    </row>
    <row r="34">
      <c r="B34" s="7" t="inlineStr">
        <is>
          <t>635170</t>
        </is>
      </c>
      <c r="C34" s="8" t="inlineStr">
        <is>
          <t>CVAE</t>
        </is>
      </c>
      <c r="D34" s="9" t="n">
        <v>20.829</v>
      </c>
      <c r="E34" s="9" t="n">
        <v>9.573</v>
      </c>
      <c r="F34" s="9" t="n">
        <v>11.256</v>
      </c>
      <c r="G34" s="10" t="n">
        <v>1.1758</v>
      </c>
      <c r="H34" s="7" t="inlineStr">
        <is>
          <t>E0</t>
        </is>
      </c>
      <c r="J34" s="7" t="inlineStr">
        <is>
          <t>E</t>
        </is>
      </c>
    </row>
    <row r="35">
      <c r="B35" s="7" t="inlineStr">
        <is>
          <t>635180</t>
        </is>
      </c>
      <c r="C35" s="8" t="inlineStr">
        <is>
          <t>IPC</t>
        </is>
      </c>
      <c r="D35" s="9" t="n">
        <v>3.404</v>
      </c>
      <c r="E35" s="9" t="n">
        <v>4.902</v>
      </c>
      <c r="F35" s="9" t="n">
        <v>-1.498</v>
      </c>
      <c r="G35" s="10" t="n">
        <v>-0.3056</v>
      </c>
      <c r="H35" s="7" t="inlineStr">
        <is>
          <t>E0</t>
        </is>
      </c>
      <c r="J35" s="7" t="inlineStr">
        <is>
          <t>E</t>
        </is>
      </c>
    </row>
    <row r="36">
      <c r="B36" s="7" t="inlineStr">
        <is>
          <t>637800</t>
        </is>
      </c>
      <c r="C36" s="8" t="inlineStr">
        <is>
          <t>TAXE ECO</t>
        </is>
      </c>
      <c r="D36" s="9" t="n">
        <v>0.23</v>
      </c>
      <c r="E36" s="9" t="n">
        <v>0.403</v>
      </c>
      <c r="F36" s="9" t="n">
        <v>-0.173</v>
      </c>
      <c r="G36" s="10" t="n">
        <v>-0.4293</v>
      </c>
      <c r="H36" s="7" t="inlineStr">
        <is>
          <t>E0</t>
        </is>
      </c>
      <c r="J36" s="7" t="inlineStr">
        <is>
          <t>E</t>
        </is>
      </c>
    </row>
    <row r="37">
      <c r="B37" s="7" t="inlineStr">
        <is>
          <t>637810</t>
        </is>
      </c>
      <c r="C37" s="8" t="inlineStr">
        <is>
          <t>INSUF OBL EMP TRAV HANDICAPES</t>
        </is>
      </c>
      <c r="D37" s="9" t="n">
        <v>6.13</v>
      </c>
      <c r="E37" s="9" t="n">
        <v>0</v>
      </c>
      <c r="F37" s="9" t="n">
        <v>6.13</v>
      </c>
      <c r="G37" s="8" t="inlineStr">
        <is>
          <t>n/a</t>
        </is>
      </c>
      <c r="H37" s="7" t="inlineStr">
        <is>
          <t>E0</t>
        </is>
      </c>
      <c r="J37" s="7" t="inlineStr">
        <is>
          <t>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T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467000</t>
        </is>
      </c>
      <c r="C11" s="8" t="inlineStr">
        <is>
          <t>ENCAISST SUR GILAC SASU</t>
        </is>
      </c>
      <c r="D11" s="9" t="n">
        <v>0.001</v>
      </c>
      <c r="E11" s="9" t="n">
        <v>0.001</v>
      </c>
      <c r="F11" s="9" t="n">
        <v>0</v>
      </c>
      <c r="G11" s="10" t="n">
        <v>0</v>
      </c>
      <c r="H11" s="7" t="inlineStr">
        <is>
          <t>T0</t>
        </is>
      </c>
      <c r="J11" s="7" t="inlineStr">
        <is>
          <t>T</t>
        </is>
      </c>
    </row>
    <row r="12">
      <c r="B12" s="7" t="inlineStr">
        <is>
          <t>471000</t>
        </is>
      </c>
      <c r="C12" s="8" t="inlineStr">
        <is>
          <t>COMPTE D'ATTENTE CLIENTS</t>
        </is>
      </c>
      <c r="D12" s="9" t="n">
        <v>1.715</v>
      </c>
      <c r="E12" s="9" t="n">
        <v>1.715</v>
      </c>
      <c r="F12" s="9" t="n">
        <v>0</v>
      </c>
      <c r="G12" s="10" t="n">
        <v>0</v>
      </c>
      <c r="H12" s="7" t="inlineStr">
        <is>
          <t>T0</t>
        </is>
      </c>
      <c r="J12" s="7" t="inlineStr">
        <is>
          <t>T</t>
        </is>
      </c>
    </row>
    <row r="14">
      <c r="B14" s="11" t="inlineStr">
        <is>
          <t>PASSIF</t>
        </is>
      </c>
    </row>
    <row r="15">
      <c r="B15" s="7" t="inlineStr">
        <is>
          <t>467110</t>
        </is>
      </c>
      <c r="C15" s="8" t="inlineStr">
        <is>
          <t>PRIX ACQUISITION FDC</t>
        </is>
      </c>
      <c r="D15" s="9" t="n">
        <v>0.474</v>
      </c>
      <c r="E15" s="9" t="n">
        <v>0.474</v>
      </c>
      <c r="F15" s="9" t="n">
        <v>0</v>
      </c>
      <c r="G15" s="10" t="n">
        <v>0</v>
      </c>
      <c r="H15" s="7" t="inlineStr">
        <is>
          <t>T0</t>
        </is>
      </c>
      <c r="J15" s="7" t="inlineStr">
        <is>
          <t>T</t>
        </is>
      </c>
    </row>
    <row r="17">
      <c r="B17" s="11" t="inlineStr">
        <is>
          <t>CHARGES</t>
        </is>
      </c>
    </row>
    <row r="18">
      <c r="B18" s="7" t="inlineStr">
        <is>
          <t>658000</t>
        </is>
      </c>
      <c r="C18" s="8" t="inlineStr">
        <is>
          <t>CHARGES DIVERSES DE GESTION COURANT</t>
        </is>
      </c>
      <c r="D18" s="9" t="n">
        <v>18.225</v>
      </c>
      <c r="E18" s="9" t="n">
        <v>50.712</v>
      </c>
      <c r="F18" s="9" t="n">
        <v>-32.487</v>
      </c>
      <c r="G18" s="10" t="n">
        <v>-0.6405999999999999</v>
      </c>
      <c r="H18" s="7" t="inlineStr">
        <is>
          <t>T0</t>
        </is>
      </c>
      <c r="J18" s="7" t="inlineStr">
        <is>
          <t>T</t>
        </is>
      </c>
    </row>
    <row r="20">
      <c r="B20" s="11" t="inlineStr">
        <is>
          <t>PRODUITS</t>
        </is>
      </c>
    </row>
    <row r="21">
      <c r="B21" s="7" t="inlineStr">
        <is>
          <t>758000</t>
        </is>
      </c>
      <c r="C21" s="8" t="inlineStr">
        <is>
          <t>PRDTS DIVERS DE GESTION COURANTE</t>
        </is>
      </c>
      <c r="D21" s="9" t="n">
        <v>12.427</v>
      </c>
      <c r="E21" s="9" t="n">
        <v>54.543</v>
      </c>
      <c r="F21" s="9" t="n">
        <v>-42.116</v>
      </c>
      <c r="G21" s="10" t="n">
        <v>-0.7722</v>
      </c>
      <c r="H21" s="7" t="inlineStr">
        <is>
          <t>T0</t>
        </is>
      </c>
      <c r="J21" s="7" t="inlineStr">
        <is>
          <t>T</t>
        </is>
      </c>
    </row>
    <row r="22">
      <c r="B22" s="7" t="inlineStr">
        <is>
          <t>758700</t>
        </is>
      </c>
      <c r="C22" s="8" t="inlineStr">
        <is>
          <t>INDEMNITES D'ASSURANCE</t>
        </is>
      </c>
      <c r="D22" s="9" t="n">
        <v>9.254</v>
      </c>
      <c r="E22" s="9" t="n">
        <v>-0</v>
      </c>
      <c r="F22" s="9" t="n">
        <v>9.254</v>
      </c>
      <c r="G22" s="8" t="inlineStr">
        <is>
          <t>n/a</t>
        </is>
      </c>
      <c r="H22" s="7" t="inlineStr">
        <is>
          <t>T0</t>
        </is>
      </c>
      <c r="J22" s="7" t="inlineStr">
        <is>
          <t>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X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CHARGES</t>
        </is>
      </c>
    </row>
    <row r="11">
      <c r="B11" s="7" t="inlineStr">
        <is>
          <t>671100</t>
        </is>
      </c>
      <c r="C11" s="8" t="inlineStr">
        <is>
          <t>PENALITES SUR MARCHE</t>
        </is>
      </c>
      <c r="D11" s="9" t="n">
        <v>1.592</v>
      </c>
      <c r="E11" s="9" t="n">
        <v>0</v>
      </c>
      <c r="F11" s="9" t="n">
        <v>1.592</v>
      </c>
      <c r="G11" s="8" t="inlineStr">
        <is>
          <t>n/a</t>
        </is>
      </c>
      <c r="H11" s="7" t="inlineStr">
        <is>
          <t>X0</t>
        </is>
      </c>
      <c r="J11" s="7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2026-04-19T11:30:42Z</dcterms:created>
  <dcterms:modified xsi:type="dcterms:W3CDTF">2026-04-19T11:30:43Z</dcterms:modified>
</cp:coreProperties>
</file>